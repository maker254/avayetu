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.ndegwa\Downloads\"/>
    </mc:Choice>
  </mc:AlternateContent>
  <xr:revisionPtr revIDLastSave="0" documentId="13_ncr:1_{844DA509-0176-4971-BEAB-D7A05766B91B}" xr6:coauthVersionLast="47" xr6:coauthVersionMax="47" xr10:uidLastSave="{00000000-0000-0000-0000-000000000000}"/>
  <workbookProtection workbookAlgorithmName="SHA-512" workbookHashValue="lhbmgN+8kRKizGZr9HRtBmax4Eh95Uvj1tny1ZKu4/N9uBU4ZXUwYaNCamkMYpR128Do81Kd+AkPSHDdOqc9Jw==" workbookSaltValue="JOFyWfMde5YrpI8sbhzLxg==" workbookSpinCount="100000" lockStructure="1"/>
  <bookViews>
    <workbookView xWindow="-110" yWindow="-110" windowWidth="19420" windowHeight="10300" xr2:uid="{BA6A287E-9886-4620-B88D-CF154B89C0AE}"/>
  </bookViews>
  <sheets>
    <sheet name="CLAIMS" sheetId="19" r:id="rId1"/>
    <sheet name="ROBBING LIST" sheetId="21" r:id="rId2"/>
    <sheet name="STORE ITEMS" sheetId="22" r:id="rId3"/>
    <sheet name="LIST" sheetId="16" r:id="rId4"/>
  </sheets>
  <externalReferences>
    <externalReference r:id="rId5"/>
  </externalReferences>
  <definedNames>
    <definedName name="_xlnm._FilterDatabase" localSheetId="0" hidden="1">CLAIMS!$A$1:$BB$1903</definedName>
    <definedName name="_xlnm._FilterDatabase" localSheetId="3" hidden="1">LIST!$A$1:$L$1</definedName>
    <definedName name="_xlnm._FilterDatabase" localSheetId="1" hidden="1">'ROBBING LIST'!$A$1:$M$195</definedName>
    <definedName name="_xlnm._FilterDatabase" localSheetId="2" hidden="1">'STORE ITEMS'!$A$1:$V$2493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96" i="19" l="1"/>
  <c r="S2" i="22"/>
  <c r="S3" i="22"/>
  <c r="S4" i="22"/>
  <c r="K98" i="21"/>
  <c r="K97" i="21"/>
  <c r="K96" i="21"/>
  <c r="K95" i="21"/>
  <c r="K94" i="21"/>
  <c r="K93" i="21"/>
  <c r="K92" i="21"/>
  <c r="K91" i="21"/>
  <c r="K90" i="21"/>
  <c r="K89" i="21"/>
  <c r="K88" i="21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5" i="21"/>
  <c r="K64" i="21"/>
  <c r="K63" i="21"/>
  <c r="K62" i="21"/>
  <c r="K61" i="21"/>
  <c r="K60" i="21"/>
  <c r="K59" i="21"/>
  <c r="K58" i="21"/>
  <c r="K57" i="21"/>
  <c r="K56" i="21"/>
  <c r="K55" i="21"/>
  <c r="K54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10" i="21"/>
  <c r="K9" i="21"/>
  <c r="K8" i="21"/>
  <c r="K7" i="21"/>
  <c r="K6" i="21"/>
  <c r="K5" i="21"/>
  <c r="K4" i="21"/>
  <c r="K3" i="21"/>
  <c r="K2" i="21"/>
  <c r="Y1392" i="19"/>
  <c r="Y1393" i="19"/>
  <c r="Y1394" i="19"/>
  <c r="Y1395" i="19"/>
  <c r="Y1396" i="19"/>
  <c r="Y1397" i="19"/>
  <c r="Y1398" i="19"/>
  <c r="Y1399" i="19"/>
  <c r="Y1400" i="19"/>
  <c r="Y1401" i="19"/>
  <c r="Y1402" i="19"/>
  <c r="Y1403" i="19"/>
  <c r="Y1404" i="19"/>
  <c r="Y1405" i="19"/>
  <c r="Y1406" i="19"/>
  <c r="Y1407" i="19"/>
  <c r="Y1408" i="19"/>
  <c r="Y1409" i="19"/>
  <c r="Y1410" i="19"/>
  <c r="Y1411" i="19"/>
  <c r="Y1412" i="19"/>
  <c r="Y1413" i="19"/>
  <c r="Y1414" i="19"/>
  <c r="Y1415" i="19"/>
  <c r="Y1416" i="19"/>
  <c r="Y1417" i="19"/>
  <c r="Y1418" i="19"/>
  <c r="Y1419" i="19"/>
  <c r="Y1420" i="19"/>
  <c r="Y1421" i="19"/>
  <c r="Y1422" i="19"/>
  <c r="Y1423" i="19"/>
  <c r="Y1424" i="19"/>
  <c r="Y1425" i="19"/>
  <c r="Y1426" i="19"/>
  <c r="Y1427" i="19"/>
  <c r="Y1428" i="19"/>
  <c r="Y1429" i="19"/>
  <c r="Y1430" i="19"/>
  <c r="Y1431" i="19"/>
  <c r="Y1432" i="19"/>
  <c r="Y1433" i="19"/>
  <c r="Y1434" i="19"/>
  <c r="Y1435" i="19"/>
  <c r="Y1436" i="19"/>
  <c r="Y1437" i="19"/>
  <c r="Y1438" i="19"/>
  <c r="Y1439" i="19"/>
  <c r="Y1440" i="19"/>
  <c r="Y1441" i="19"/>
  <c r="Y1442" i="19"/>
  <c r="Y1443" i="19"/>
  <c r="Y1444" i="19"/>
  <c r="Y1445" i="19"/>
  <c r="Y1446" i="19"/>
  <c r="Y1447" i="19"/>
  <c r="Y1448" i="19"/>
  <c r="Y1449" i="19"/>
  <c r="Y1450" i="19"/>
  <c r="Y1451" i="19"/>
  <c r="Y1452" i="19"/>
  <c r="Y1453" i="19"/>
  <c r="Y1454" i="19"/>
  <c r="Y1455" i="19"/>
  <c r="Y1456" i="19"/>
  <c r="Y1457" i="19"/>
  <c r="Y1458" i="19"/>
  <c r="Y1459" i="19"/>
  <c r="Y1460" i="19"/>
  <c r="Y1461" i="19"/>
  <c r="Y1462" i="19"/>
  <c r="Y1463" i="19"/>
  <c r="Y1464" i="19"/>
  <c r="Y1465" i="19"/>
  <c r="Y1466" i="19"/>
  <c r="Y1467" i="19"/>
  <c r="Y1468" i="19"/>
  <c r="Y1469" i="19"/>
  <c r="Y1470" i="19"/>
  <c r="Y1471" i="19"/>
  <c r="Y1472" i="19"/>
  <c r="Y1473" i="19"/>
  <c r="Y1474" i="19"/>
  <c r="Y1475" i="19"/>
  <c r="Y1476" i="19"/>
  <c r="Y1477" i="19"/>
  <c r="Y1478" i="19"/>
  <c r="Y1479" i="19"/>
  <c r="Y1480" i="19"/>
  <c r="Y1481" i="19"/>
  <c r="Y1482" i="19"/>
  <c r="Y1483" i="19"/>
  <c r="Y1484" i="19"/>
  <c r="Y1485" i="19"/>
  <c r="Y1486" i="19"/>
  <c r="Y1487" i="19"/>
  <c r="Y1488" i="19"/>
  <c r="Y1489" i="19"/>
  <c r="Y1490" i="19"/>
  <c r="Y1491" i="19"/>
  <c r="Y1492" i="19"/>
  <c r="Y1493" i="19"/>
  <c r="Y1494" i="19"/>
  <c r="Y1495" i="19"/>
  <c r="Y1496" i="19"/>
  <c r="Y1497" i="19"/>
  <c r="Y1498" i="19"/>
  <c r="Y1499" i="19"/>
  <c r="Y1500" i="19"/>
  <c r="Y1501" i="19"/>
  <c r="Y1502" i="19"/>
  <c r="Y1503" i="19"/>
  <c r="Y1504" i="19"/>
  <c r="Y1505" i="19"/>
  <c r="Y1506" i="19"/>
  <c r="Y1507" i="19"/>
  <c r="Y1508" i="19"/>
  <c r="Y1509" i="19"/>
  <c r="Y1510" i="19"/>
  <c r="Y1511" i="19"/>
  <c r="Y1512" i="19"/>
  <c r="Y1513" i="19"/>
  <c r="Y1514" i="19"/>
  <c r="Y1515" i="19"/>
  <c r="Y1516" i="19"/>
  <c r="Y1517" i="19"/>
  <c r="Y1518" i="19"/>
  <c r="Y1519" i="19"/>
  <c r="Y1520" i="19"/>
  <c r="Y1521" i="19"/>
  <c r="Y1522" i="19"/>
  <c r="Y1523" i="19"/>
  <c r="Y1524" i="19"/>
  <c r="Y1525" i="19"/>
  <c r="Y1526" i="19"/>
  <c r="Y1527" i="19"/>
  <c r="Y1528" i="19"/>
  <c r="Y1529" i="19"/>
  <c r="Y1530" i="19"/>
  <c r="Y1531" i="19"/>
  <c r="Y1532" i="19"/>
  <c r="Y1533" i="19"/>
  <c r="Y1534" i="19"/>
  <c r="Y1535" i="19"/>
  <c r="Y1536" i="19"/>
  <c r="Y1537" i="19"/>
  <c r="Y1538" i="19"/>
  <c r="Y1539" i="19"/>
  <c r="Y1540" i="19"/>
  <c r="Y1541" i="19"/>
  <c r="Y1542" i="19"/>
  <c r="Y1543" i="19"/>
  <c r="Y1544" i="19"/>
  <c r="Y1545" i="19"/>
  <c r="Y1546" i="19"/>
  <c r="Y1547" i="19"/>
  <c r="Y1548" i="19"/>
  <c r="Y1549" i="19"/>
  <c r="Y1550" i="19"/>
  <c r="Y1551" i="19"/>
  <c r="Y1552" i="19"/>
  <c r="Y1553" i="19"/>
  <c r="Y1554" i="19"/>
  <c r="Y1555" i="19"/>
  <c r="Y1556" i="19"/>
  <c r="Y1557" i="19"/>
  <c r="Y1558" i="19"/>
  <c r="Y1559" i="19"/>
  <c r="Y1560" i="19"/>
  <c r="Y1561" i="19"/>
  <c r="Y1562" i="19"/>
  <c r="Y1563" i="19"/>
  <c r="Y1564" i="19"/>
  <c r="Y1565" i="19"/>
  <c r="Y1566" i="19"/>
  <c r="Y1567" i="19"/>
  <c r="Y1568" i="19"/>
  <c r="Y1569" i="19"/>
  <c r="Y1570" i="19"/>
  <c r="Y1571" i="19"/>
  <c r="Y1572" i="19"/>
  <c r="Y1573" i="19"/>
  <c r="Y1574" i="19"/>
  <c r="Y1575" i="19"/>
  <c r="Y1576" i="19"/>
  <c r="Y1577" i="19"/>
  <c r="Y1578" i="19"/>
  <c r="Y1579" i="19"/>
  <c r="Y1580" i="19"/>
  <c r="Y1581" i="19"/>
  <c r="Y1582" i="19"/>
  <c r="Y1583" i="19"/>
  <c r="Y1584" i="19"/>
  <c r="Y1585" i="19"/>
  <c r="Y1586" i="19"/>
  <c r="Y1587" i="19"/>
  <c r="Y1588" i="19"/>
  <c r="Y1589" i="19"/>
  <c r="Y1590" i="19"/>
  <c r="Y1591" i="19"/>
  <c r="Y1592" i="19"/>
  <c r="Y1593" i="19"/>
  <c r="Y1594" i="19"/>
  <c r="Y1595" i="19"/>
  <c r="Y1596" i="19"/>
  <c r="Y1597" i="19"/>
  <c r="Y1598" i="19"/>
  <c r="Y1599" i="19"/>
  <c r="Y1600" i="19"/>
  <c r="Y1601" i="19"/>
  <c r="Y1602" i="19"/>
  <c r="Y1603" i="19"/>
  <c r="Y1604" i="19"/>
  <c r="Y1605" i="19"/>
  <c r="Y1606" i="19"/>
  <c r="Y1607" i="19"/>
  <c r="Y1608" i="19"/>
  <c r="Y1609" i="19"/>
  <c r="Y1610" i="19"/>
  <c r="Y1611" i="19"/>
  <c r="Y1612" i="19"/>
  <c r="Y1613" i="19"/>
  <c r="Y1614" i="19"/>
  <c r="Y1615" i="19"/>
  <c r="Y1616" i="19"/>
  <c r="Y1617" i="19"/>
  <c r="Y1618" i="19"/>
  <c r="Y1619" i="19"/>
  <c r="Y1620" i="19"/>
  <c r="Y1621" i="19"/>
  <c r="Y1622" i="19"/>
  <c r="Y1623" i="19"/>
  <c r="Y1624" i="19"/>
  <c r="Y1625" i="19"/>
  <c r="Y1626" i="19"/>
  <c r="Y1627" i="19"/>
  <c r="Y1628" i="19"/>
  <c r="Y1629" i="19"/>
  <c r="Y1630" i="19"/>
  <c r="Y1631" i="19"/>
  <c r="Y1632" i="19"/>
  <c r="Y1633" i="19"/>
  <c r="Y1634" i="19"/>
  <c r="Y1635" i="19"/>
  <c r="Y1636" i="19"/>
  <c r="Y1637" i="19"/>
  <c r="Y1638" i="19"/>
  <c r="Y1639" i="19"/>
  <c r="Y1640" i="19"/>
  <c r="Y1641" i="19"/>
  <c r="Y1642" i="19"/>
  <c r="Y1643" i="19"/>
  <c r="Y1644" i="19"/>
  <c r="Y1645" i="19"/>
  <c r="Y1646" i="19"/>
  <c r="Y1647" i="19"/>
  <c r="Y1648" i="19"/>
  <c r="Y1649" i="19"/>
  <c r="Y1650" i="19"/>
  <c r="Y1651" i="19"/>
  <c r="Y1652" i="19"/>
  <c r="Y1653" i="19"/>
  <c r="Y1654" i="19"/>
  <c r="Y1655" i="19"/>
  <c r="Y1656" i="19"/>
  <c r="Y1657" i="19"/>
  <c r="Y1658" i="19"/>
  <c r="Y1659" i="19"/>
  <c r="Y1660" i="19"/>
  <c r="Y1661" i="19"/>
  <c r="Y1662" i="19"/>
  <c r="Y1663" i="19"/>
  <c r="Y1664" i="19"/>
  <c r="Y1665" i="19"/>
  <c r="Y1666" i="19"/>
  <c r="Y1667" i="19"/>
  <c r="Y1668" i="19"/>
  <c r="Y1669" i="19"/>
  <c r="Y472" i="19"/>
  <c r="Y129" i="19"/>
  <c r="AD1543" i="19"/>
  <c r="AD1542" i="19"/>
  <c r="AD1541" i="19"/>
  <c r="AD1514" i="19"/>
  <c r="AD1509" i="19"/>
  <c r="AD1508" i="19"/>
  <c r="AD1507" i="19"/>
  <c r="AD1505" i="19"/>
  <c r="AD1504" i="19"/>
  <c r="AD1485" i="19"/>
  <c r="AD1482" i="19"/>
  <c r="AD1481" i="19"/>
  <c r="AD1480" i="19"/>
  <c r="AD1473" i="19"/>
  <c r="AD1472" i="19"/>
  <c r="AD1429" i="19"/>
  <c r="AD1428" i="19"/>
  <c r="AD1427" i="19"/>
  <c r="AD1426" i="19"/>
  <c r="AD1425" i="19"/>
  <c r="AD1424" i="19"/>
  <c r="AD1423" i="19"/>
  <c r="AD1422" i="19"/>
  <c r="AD1421" i="19"/>
  <c r="AD1419" i="19"/>
  <c r="AD1418" i="19"/>
  <c r="AD1395" i="19"/>
  <c r="AD1394" i="19"/>
  <c r="AD1393" i="19"/>
  <c r="AD1392" i="19"/>
  <c r="AD1391" i="19"/>
  <c r="AD1390" i="19"/>
  <c r="AD1388" i="19"/>
  <c r="AD1387" i="19"/>
  <c r="AD1385" i="19"/>
  <c r="AD1382" i="19"/>
  <c r="AD1381" i="19"/>
  <c r="AD1380" i="19"/>
  <c r="AD1379" i="19"/>
  <c r="AD1378" i="19"/>
  <c r="AD1377" i="19"/>
  <c r="AD1375" i="19"/>
  <c r="AD1370" i="19"/>
  <c r="AD1365" i="19"/>
  <c r="AD1364" i="19"/>
  <c r="AD1363" i="19"/>
  <c r="AD1362" i="19"/>
  <c r="AD1361" i="19"/>
  <c r="AD1360" i="19"/>
  <c r="AD1327" i="19"/>
  <c r="AD1326" i="19"/>
  <c r="AD1295" i="19"/>
  <c r="AD1294" i="19"/>
  <c r="AD1293" i="19"/>
  <c r="AD1291" i="19"/>
  <c r="AD1239" i="19"/>
  <c r="AD1238" i="19"/>
  <c r="AD1237" i="19"/>
  <c r="AD1236" i="19"/>
  <c r="AD1235" i="19"/>
  <c r="AD1234" i="19"/>
  <c r="AD1233" i="19"/>
  <c r="AD1232" i="19"/>
  <c r="AD1231" i="19"/>
  <c r="AD1230" i="19"/>
  <c r="AD1229" i="19"/>
  <c r="AD1228" i="19"/>
  <c r="AD1227" i="19"/>
  <c r="AD1226" i="19"/>
  <c r="AD1225" i="19"/>
  <c r="AD1224" i="19"/>
  <c r="AD1223" i="19"/>
  <c r="AD1222" i="19"/>
  <c r="AD1221" i="19"/>
  <c r="AD1220" i="19"/>
  <c r="AD1219" i="19"/>
  <c r="AD1218" i="19"/>
  <c r="AD1217" i="19"/>
  <c r="AD1216" i="19"/>
  <c r="AD1215" i="19"/>
  <c r="AD1164" i="19"/>
  <c r="AD1083" i="19"/>
  <c r="AD1080" i="19"/>
  <c r="AD1079" i="19"/>
  <c r="AD1046" i="19"/>
  <c r="AD1043" i="19"/>
  <c r="AD1026" i="19"/>
  <c r="AD1003" i="19"/>
  <c r="AD1002" i="19"/>
  <c r="AD1001" i="19"/>
  <c r="AD1000" i="19"/>
  <c r="AD999" i="19"/>
  <c r="AD998" i="19"/>
  <c r="AD997" i="19"/>
  <c r="AD996" i="19"/>
  <c r="AD995" i="19"/>
  <c r="AD994" i="19"/>
  <c r="AD993" i="19"/>
  <c r="AD992" i="19"/>
  <c r="AD991" i="19"/>
  <c r="AD990" i="19"/>
  <c r="AD989" i="19"/>
  <c r="AD988" i="19"/>
  <c r="AD987" i="19"/>
  <c r="AD986" i="19"/>
  <c r="AD985" i="19"/>
  <c r="AD976" i="19"/>
  <c r="AD971" i="19"/>
  <c r="AD964" i="19"/>
  <c r="AD963" i="19"/>
  <c r="AD962" i="19"/>
  <c r="AD961" i="19"/>
  <c r="AD958" i="19"/>
  <c r="AD956" i="19"/>
  <c r="AD952" i="19"/>
  <c r="AD950" i="19"/>
  <c r="AD949" i="19"/>
  <c r="AD948" i="19"/>
  <c r="AD934" i="19"/>
  <c r="AD918" i="19"/>
  <c r="AD914" i="19"/>
  <c r="AD879" i="19"/>
  <c r="AD878" i="19"/>
  <c r="AC1543" i="19"/>
  <c r="AC1542" i="19"/>
  <c r="AC1541" i="19"/>
  <c r="AC1514" i="19"/>
  <c r="AC1509" i="19"/>
  <c r="AC1508" i="19"/>
  <c r="AC1507" i="19"/>
  <c r="AC1506" i="19"/>
  <c r="AC1505" i="19"/>
  <c r="AC1504" i="19"/>
  <c r="AC1485" i="19"/>
  <c r="AC1482" i="19"/>
  <c r="AC1481" i="19"/>
  <c r="AC1480" i="19"/>
  <c r="AC1473" i="19"/>
  <c r="AC1472" i="19"/>
  <c r="AC1471" i="19"/>
  <c r="AC1470" i="19"/>
  <c r="AC1469" i="19"/>
  <c r="AC1468" i="19"/>
  <c r="AC1467" i="19"/>
  <c r="AC1466" i="19"/>
  <c r="AC1465" i="19"/>
  <c r="AC1464" i="19"/>
  <c r="AC1463" i="19"/>
  <c r="AC1462" i="19"/>
  <c r="AC1461" i="19"/>
  <c r="AC1460" i="19"/>
  <c r="AC1459" i="19"/>
  <c r="AC1458" i="19"/>
  <c r="AC1457" i="19"/>
  <c r="AC1456" i="19"/>
  <c r="AC1455" i="19"/>
  <c r="AC1454" i="19"/>
  <c r="AC1453" i="19"/>
  <c r="AC1452" i="19"/>
  <c r="AC1451" i="19"/>
  <c r="AC1450" i="19"/>
  <c r="AC1449" i="19"/>
  <c r="AC1448" i="19"/>
  <c r="AC1447" i="19"/>
  <c r="AC1446" i="19"/>
  <c r="AC1445" i="19"/>
  <c r="AC1444" i="19"/>
  <c r="AC1443" i="19"/>
  <c r="AC1442" i="19"/>
  <c r="AC1441" i="19"/>
  <c r="AC1440" i="19"/>
  <c r="AC1439" i="19"/>
  <c r="AC1438" i="19"/>
  <c r="AC1437" i="19"/>
  <c r="AC1436" i="19"/>
  <c r="AC1435" i="19"/>
  <c r="AC1429" i="19"/>
  <c r="AC1428" i="19"/>
  <c r="AC1427" i="19"/>
  <c r="AC1426" i="19"/>
  <c r="AC1425" i="19"/>
  <c r="AC1424" i="19"/>
  <c r="AC1423" i="19"/>
  <c r="AC1422" i="19"/>
  <c r="AC1421" i="19"/>
  <c r="AC1420" i="19"/>
  <c r="AC1419" i="19"/>
  <c r="AC1418" i="19"/>
  <c r="AC1395" i="19"/>
  <c r="AC1394" i="19"/>
  <c r="AC1393" i="19"/>
  <c r="AC1392" i="19"/>
  <c r="AC1391" i="19"/>
  <c r="AC1390" i="19"/>
  <c r="AC1389" i="19"/>
  <c r="AC1388" i="19"/>
  <c r="AC1387" i="19"/>
  <c r="AC1386" i="19"/>
  <c r="AC1385" i="19"/>
  <c r="AC1384" i="19"/>
  <c r="AC1382" i="19"/>
  <c r="AC1381" i="19"/>
  <c r="AC1380" i="19"/>
  <c r="AC1379" i="19"/>
  <c r="AC1378" i="19"/>
  <c r="AC1377" i="19"/>
  <c r="AC1376" i="19"/>
  <c r="AC1375" i="19"/>
  <c r="AC1370" i="19"/>
  <c r="AC1369" i="19"/>
  <c r="AC1368" i="19"/>
  <c r="AC1367" i="19"/>
  <c r="AC1366" i="19"/>
  <c r="AC1365" i="19"/>
  <c r="AC1364" i="19"/>
  <c r="AC1363" i="19"/>
  <c r="AC1362" i="19"/>
  <c r="AC1361" i="19"/>
  <c r="AC1360" i="19"/>
  <c r="AC1359" i="19"/>
  <c r="AC1331" i="19"/>
  <c r="AC1327" i="19"/>
  <c r="AC1326" i="19"/>
  <c r="AC1295" i="19"/>
  <c r="AC1294" i="19"/>
  <c r="AC1293" i="19"/>
  <c r="AC1292" i="19"/>
  <c r="AC1291" i="19"/>
  <c r="AC1290" i="19"/>
  <c r="AC1289" i="19"/>
  <c r="AC1288" i="19"/>
  <c r="AC1287" i="19"/>
  <c r="AC1286" i="19"/>
  <c r="AC1239" i="19"/>
  <c r="AC1238" i="19"/>
  <c r="AC1237" i="19"/>
  <c r="AC1236" i="19"/>
  <c r="AC1235" i="19"/>
  <c r="AC1234" i="19"/>
  <c r="AC1233" i="19"/>
  <c r="AC1232" i="19"/>
  <c r="AC1231" i="19"/>
  <c r="AC1230" i="19"/>
  <c r="AC1229" i="19"/>
  <c r="AC1228" i="19"/>
  <c r="AC1227" i="19"/>
  <c r="AC1226" i="19"/>
  <c r="AC1225" i="19"/>
  <c r="AC1224" i="19"/>
  <c r="AC1223" i="19"/>
  <c r="AC1222" i="19"/>
  <c r="AC1221" i="19"/>
  <c r="AC1220" i="19"/>
  <c r="AC1219" i="19"/>
  <c r="AC1218" i="19"/>
  <c r="AC1217" i="19"/>
  <c r="AC1216" i="19"/>
  <c r="AC1215" i="19"/>
  <c r="AC1176" i="19"/>
  <c r="AC1175" i="19"/>
  <c r="AC1174" i="19"/>
  <c r="AC1173" i="19"/>
  <c r="AC1172" i="19"/>
  <c r="AC1171" i="19"/>
  <c r="AC1170" i="19"/>
  <c r="AC1167" i="19"/>
  <c r="AC1166" i="19"/>
  <c r="AC1164" i="19"/>
  <c r="AC1163" i="19"/>
  <c r="AC1107" i="19"/>
  <c r="AC1102" i="19"/>
  <c r="AC1093" i="19"/>
  <c r="AC1085" i="19"/>
  <c r="AC1084" i="19"/>
  <c r="AC1083" i="19"/>
  <c r="AC1082" i="19"/>
  <c r="AC1080" i="19"/>
  <c r="AC1079" i="19"/>
  <c r="AC1049" i="19"/>
  <c r="AC1048" i="19"/>
  <c r="AC1046" i="19"/>
  <c r="AC1044" i="19"/>
  <c r="AC1043" i="19"/>
  <c r="AC1027" i="19"/>
  <c r="AC1026" i="19"/>
  <c r="AC1025" i="19"/>
  <c r="AC1003" i="19"/>
  <c r="AC1002" i="19"/>
  <c r="AC1001" i="19"/>
  <c r="AC1000" i="19"/>
  <c r="AC999" i="19"/>
  <c r="AC998" i="19"/>
  <c r="AC997" i="19"/>
  <c r="AC996" i="19"/>
  <c r="AC995" i="19"/>
  <c r="AC994" i="19"/>
  <c r="AC993" i="19"/>
  <c r="AC992" i="19"/>
  <c r="AC991" i="19"/>
  <c r="AC990" i="19"/>
  <c r="AC989" i="19"/>
  <c r="AC988" i="19"/>
  <c r="AC987" i="19"/>
  <c r="AC986" i="19"/>
  <c r="AC985" i="19"/>
  <c r="AC976" i="19"/>
  <c r="AC975" i="19"/>
  <c r="AC974" i="19"/>
  <c r="AC971" i="19"/>
  <c r="AC964" i="19"/>
  <c r="AC963" i="19"/>
  <c r="AC962" i="19"/>
  <c r="AC961" i="19"/>
  <c r="AC958" i="19"/>
  <c r="AC956" i="19"/>
  <c r="AC952" i="19"/>
  <c r="AC950" i="19"/>
  <c r="AC949" i="19"/>
  <c r="AC948" i="19"/>
  <c r="AC934" i="19"/>
  <c r="AC920" i="19"/>
  <c r="AC918" i="19"/>
  <c r="AC917" i="19"/>
  <c r="AC914" i="19"/>
  <c r="AC880" i="19"/>
  <c r="AC879" i="19"/>
  <c r="AC878" i="19"/>
  <c r="Y865" i="19"/>
  <c r="W8" i="19"/>
  <c r="Y8" i="19" s="1"/>
  <c r="Y2" i="19"/>
  <c r="Y3" i="19"/>
  <c r="Y4" i="19"/>
  <c r="Y5" i="19"/>
  <c r="Y6" i="19"/>
  <c r="Y7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Y21" i="19"/>
  <c r="Y30" i="19"/>
  <c r="E7" i="16"/>
  <c r="Y1240" i="19"/>
  <c r="Y1241" i="19"/>
  <c r="Y1242" i="19"/>
  <c r="Y1243" i="19"/>
  <c r="Y1244" i="19"/>
  <c r="Y1245" i="19"/>
  <c r="Y1246" i="19"/>
  <c r="Y1247" i="19"/>
  <c r="Y1248" i="19"/>
  <c r="Y1249" i="19"/>
  <c r="Y1250" i="19"/>
  <c r="Y1251" i="19"/>
  <c r="Y1252" i="19"/>
  <c r="Y1253" i="19"/>
  <c r="Y1254" i="19"/>
  <c r="Y1255" i="19"/>
  <c r="Y1256" i="19"/>
  <c r="Y1257" i="19"/>
  <c r="Y1258" i="19"/>
  <c r="Y1259" i="19"/>
  <c r="Y1260" i="19"/>
  <c r="Y1261" i="19"/>
  <c r="Y1262" i="19"/>
  <c r="Y1263" i="19"/>
  <c r="Y1264" i="19"/>
  <c r="Y1265" i="19"/>
  <c r="Y1266" i="19"/>
  <c r="Y1267" i="19"/>
  <c r="Y1268" i="19"/>
  <c r="Y1269" i="19"/>
  <c r="Y1270" i="19"/>
  <c r="Y1271" i="19"/>
  <c r="Y1272" i="19"/>
  <c r="Y1273" i="19"/>
  <c r="Y1274" i="19"/>
  <c r="Y1275" i="19"/>
  <c r="Y1276" i="19"/>
  <c r="Y1277" i="19"/>
  <c r="Y1278" i="19"/>
  <c r="Y1279" i="19"/>
  <c r="Y1280" i="19"/>
  <c r="Y1281" i="19"/>
  <c r="Y1282" i="19"/>
  <c r="Y1283" i="19"/>
  <c r="Y1284" i="19"/>
  <c r="Y1285" i="19"/>
  <c r="Y1286" i="19"/>
  <c r="Y1287" i="19"/>
  <c r="Y1288" i="19"/>
  <c r="Y1289" i="19"/>
  <c r="Y1290" i="19"/>
  <c r="Y1291" i="19"/>
  <c r="Y1292" i="19"/>
  <c r="Y1293" i="19"/>
  <c r="Y1294" i="19"/>
  <c r="Y1295" i="19"/>
  <c r="Y1296" i="19"/>
  <c r="Y1297" i="19"/>
  <c r="Y1298" i="19"/>
  <c r="Y1299" i="19"/>
  <c r="Y1300" i="19"/>
  <c r="Y1301" i="19"/>
  <c r="Y1302" i="19"/>
  <c r="Y1303" i="19"/>
  <c r="Y1304" i="19"/>
  <c r="Y1305" i="19"/>
  <c r="Y1306" i="19"/>
  <c r="Y1307" i="19"/>
  <c r="Y1308" i="19"/>
  <c r="Y1309" i="19"/>
  <c r="Y1310" i="19"/>
  <c r="Y1311" i="19"/>
  <c r="Y1312" i="19"/>
  <c r="Y1313" i="19"/>
  <c r="Y1314" i="19"/>
  <c r="Y1315" i="19"/>
  <c r="Y1316" i="19"/>
  <c r="Y1317" i="19"/>
  <c r="Y1318" i="19"/>
  <c r="Y1319" i="19"/>
  <c r="Y1320" i="19"/>
  <c r="Y1321" i="19"/>
  <c r="Y1322" i="19"/>
  <c r="Y1323" i="19"/>
  <c r="Y1324" i="19"/>
  <c r="Y1325" i="19"/>
  <c r="Y1326" i="19"/>
  <c r="Y1327" i="19"/>
  <c r="Y1328" i="19"/>
  <c r="Y1329" i="19"/>
  <c r="Y1330" i="19"/>
  <c r="Y1331" i="19"/>
  <c r="Y1332" i="19"/>
  <c r="Y1333" i="19"/>
  <c r="Y1334" i="19"/>
  <c r="Y1335" i="19"/>
  <c r="Y1336" i="19"/>
  <c r="Y1337" i="19"/>
  <c r="Y1338" i="19"/>
  <c r="Y1339" i="19"/>
  <c r="Y1340" i="19"/>
  <c r="Y1341" i="19"/>
  <c r="Y1342" i="19"/>
  <c r="Y1343" i="19"/>
  <c r="Y1344" i="19"/>
  <c r="Y1345" i="19"/>
  <c r="Y1346" i="19"/>
  <c r="Y1347" i="19"/>
  <c r="Y1348" i="19"/>
  <c r="Y1349" i="19"/>
  <c r="Y1350" i="19"/>
  <c r="Y1351" i="19"/>
  <c r="Y1352" i="19"/>
  <c r="Y1353" i="19"/>
  <c r="Y1354" i="19"/>
  <c r="Y1355" i="19"/>
  <c r="Y1356" i="19"/>
  <c r="Y1357" i="19"/>
  <c r="Y1358" i="19"/>
  <c r="Y1359" i="19"/>
  <c r="Y1360" i="19"/>
  <c r="Y1361" i="19"/>
  <c r="Y1362" i="19"/>
  <c r="Y1363" i="19"/>
  <c r="Y1364" i="19"/>
  <c r="Y1365" i="19"/>
  <c r="Y1366" i="19"/>
  <c r="Y1367" i="19"/>
  <c r="Y1368" i="19"/>
  <c r="Y1369" i="19"/>
  <c r="Y1370" i="19"/>
  <c r="Y1371" i="19"/>
  <c r="Y1372" i="19"/>
  <c r="Y1373" i="19"/>
  <c r="Y1374" i="19"/>
  <c r="Y1375" i="19"/>
  <c r="Y1376" i="19"/>
  <c r="Y1377" i="19"/>
  <c r="Y1378" i="19"/>
  <c r="Y1379" i="19"/>
  <c r="Y1380" i="19"/>
  <c r="Y1381" i="19"/>
  <c r="Y1382" i="19"/>
  <c r="Y1383" i="19"/>
  <c r="Y1384" i="19"/>
  <c r="Y1385" i="19"/>
  <c r="Y1386" i="19"/>
  <c r="Y1387" i="19"/>
  <c r="Y1388" i="19"/>
  <c r="Y1389" i="19"/>
  <c r="Y1390" i="19"/>
  <c r="Y1391" i="19"/>
  <c r="Y263" i="19"/>
  <c r="Y264" i="19"/>
  <c r="Y265" i="19"/>
  <c r="Y266" i="19"/>
  <c r="Y267" i="19"/>
  <c r="Y268" i="19"/>
  <c r="Y269" i="19"/>
  <c r="Y270" i="19"/>
  <c r="Y271" i="19"/>
  <c r="Y272" i="19"/>
  <c r="Y273" i="19"/>
  <c r="Y274" i="19"/>
  <c r="Y275" i="19"/>
  <c r="Y276" i="19"/>
  <c r="Y277" i="19"/>
  <c r="Y278" i="19"/>
  <c r="Y279" i="19"/>
  <c r="Y280" i="19"/>
  <c r="Y281" i="19"/>
  <c r="Y282" i="19"/>
  <c r="Y283" i="19"/>
  <c r="Y284" i="19"/>
  <c r="Y285" i="19"/>
  <c r="Y286" i="19"/>
  <c r="Y287" i="19"/>
  <c r="Y288" i="19"/>
  <c r="Y289" i="19"/>
  <c r="Y290" i="19"/>
  <c r="Y291" i="19"/>
  <c r="Y292" i="19"/>
  <c r="Y293" i="19"/>
  <c r="Y294" i="19"/>
  <c r="Y295" i="19"/>
  <c r="Y296" i="19"/>
  <c r="Y297" i="19"/>
  <c r="Y298" i="19"/>
  <c r="Y299" i="19"/>
  <c r="Y300" i="19"/>
  <c r="Y301" i="19"/>
  <c r="Y302" i="19"/>
  <c r="Y303" i="19"/>
  <c r="Y304" i="19"/>
  <c r="Y305" i="19"/>
  <c r="Y306" i="19"/>
  <c r="Y307" i="19"/>
  <c r="Y308" i="19"/>
  <c r="Y309" i="19"/>
  <c r="Y310" i="19"/>
  <c r="Y311" i="19"/>
  <c r="Y312" i="19"/>
  <c r="Y313" i="19"/>
  <c r="Y314" i="19"/>
  <c r="Y315" i="19"/>
  <c r="Y316" i="19"/>
  <c r="Y317" i="19"/>
  <c r="Y318" i="19"/>
  <c r="Y319" i="19"/>
  <c r="Y320" i="19"/>
  <c r="Y321" i="19"/>
  <c r="Y322" i="19"/>
  <c r="Y323" i="19"/>
  <c r="Y324" i="19"/>
  <c r="Y325" i="19"/>
  <c r="Y326" i="19"/>
  <c r="Y327" i="19"/>
  <c r="Y328" i="19"/>
  <c r="Y329" i="19"/>
  <c r="Y330" i="19"/>
  <c r="Y331" i="19"/>
  <c r="Y332" i="19"/>
  <c r="Y333" i="19"/>
  <c r="Y334" i="19"/>
  <c r="Y335" i="19"/>
  <c r="Y336" i="19"/>
  <c r="Y337" i="19"/>
  <c r="Y338" i="19"/>
  <c r="Y339" i="19"/>
  <c r="Y340" i="19"/>
  <c r="Y341" i="19"/>
  <c r="Y342" i="19"/>
  <c r="Y343" i="19"/>
  <c r="Y344" i="19"/>
  <c r="Y345" i="19"/>
  <c r="Y346" i="19"/>
  <c r="Y347" i="19"/>
  <c r="Y348" i="19"/>
  <c r="Y349" i="19"/>
  <c r="Y350" i="19"/>
  <c r="Y351" i="19"/>
  <c r="Y352" i="19"/>
  <c r="Y353" i="19"/>
  <c r="Y354" i="19"/>
  <c r="Y355" i="19"/>
  <c r="Y356" i="19"/>
  <c r="Y357" i="19"/>
  <c r="Y358" i="19"/>
  <c r="Y359" i="19"/>
  <c r="Y360" i="19"/>
  <c r="Y361" i="19"/>
  <c r="Y362" i="19"/>
  <c r="Y363" i="19"/>
  <c r="Y364" i="19"/>
  <c r="Y365" i="19"/>
  <c r="Y366" i="19"/>
  <c r="Y367" i="19"/>
  <c r="Y368" i="19"/>
  <c r="Y369" i="19"/>
  <c r="Y370" i="19"/>
  <c r="Y371" i="19"/>
  <c r="Y372" i="19"/>
  <c r="Y373" i="19"/>
  <c r="Y374" i="19"/>
  <c r="Y375" i="19"/>
  <c r="Y376" i="19"/>
  <c r="Y377" i="19"/>
  <c r="Y378" i="19"/>
  <c r="Y379" i="19"/>
  <c r="Y380" i="19"/>
  <c r="Y381" i="19"/>
  <c r="Y382" i="19"/>
  <c r="Y383" i="19"/>
  <c r="Y384" i="19"/>
  <c r="Y385" i="19"/>
  <c r="Y386" i="19"/>
  <c r="Y387" i="19"/>
  <c r="Y388" i="19"/>
  <c r="Y389" i="19"/>
  <c r="Y390" i="19"/>
  <c r="Y391" i="19"/>
  <c r="Y392" i="19"/>
  <c r="Y393" i="19"/>
  <c r="Y394" i="19"/>
  <c r="Y395" i="19"/>
  <c r="Y396" i="19"/>
  <c r="Y397" i="19"/>
  <c r="Y398" i="19"/>
  <c r="Y399" i="19"/>
  <c r="Y400" i="19"/>
  <c r="Y401" i="19"/>
  <c r="Y402" i="19"/>
  <c r="Y403" i="19"/>
  <c r="Y404" i="19"/>
  <c r="Y406" i="19"/>
  <c r="Y407" i="19"/>
  <c r="Y408" i="19"/>
  <c r="Y409" i="19"/>
  <c r="Y410" i="19"/>
  <c r="Y411" i="19"/>
  <c r="Y412" i="19"/>
  <c r="Y413" i="19"/>
  <c r="Y414" i="19"/>
  <c r="Y415" i="19"/>
  <c r="Y416" i="19"/>
  <c r="Y417" i="19"/>
  <c r="Y418" i="19"/>
  <c r="Y419" i="19"/>
  <c r="Y420" i="19"/>
  <c r="Y421" i="19"/>
  <c r="Y422" i="19"/>
  <c r="Y423" i="19"/>
  <c r="Y426" i="19"/>
  <c r="Y427" i="19"/>
  <c r="Y428" i="19"/>
  <c r="Y429" i="19"/>
  <c r="Y430" i="19"/>
  <c r="Y431" i="19"/>
  <c r="Y432" i="19"/>
  <c r="Y433" i="19"/>
  <c r="Y434" i="19"/>
  <c r="Y435" i="19"/>
  <c r="Y436" i="19"/>
  <c r="Y437" i="19"/>
  <c r="Y438" i="19"/>
  <c r="Y439" i="19"/>
  <c r="Y440" i="19"/>
  <c r="Y441" i="19"/>
  <c r="Y442" i="19"/>
  <c r="Y443" i="19"/>
  <c r="Y444" i="19"/>
  <c r="Y445" i="19"/>
  <c r="Y446" i="19"/>
  <c r="Y447" i="19"/>
  <c r="Y448" i="19"/>
  <c r="Y449" i="19"/>
  <c r="Y450" i="19"/>
  <c r="Y451" i="19"/>
  <c r="Y452" i="19"/>
  <c r="Y453" i="19"/>
  <c r="Y454" i="19"/>
  <c r="Y456" i="19"/>
  <c r="Y457" i="19"/>
  <c r="Y458" i="19"/>
  <c r="Y459" i="19"/>
  <c r="Y460" i="19"/>
  <c r="Y461" i="19"/>
  <c r="Y462" i="19"/>
  <c r="Y463" i="19"/>
  <c r="Y464" i="19"/>
  <c r="Y465" i="19"/>
  <c r="Y466" i="19"/>
  <c r="Y467" i="19"/>
  <c r="Y468" i="19"/>
  <c r="Y469" i="19"/>
  <c r="Y470" i="19"/>
  <c r="Y471" i="19"/>
  <c r="Y473" i="19"/>
  <c r="Y474" i="19"/>
  <c r="Y475" i="19"/>
  <c r="Y476" i="19"/>
  <c r="Y477" i="19"/>
  <c r="Y478" i="19"/>
  <c r="Y479" i="19"/>
  <c r="Y480" i="19"/>
  <c r="Y481" i="19"/>
  <c r="Y482" i="19"/>
  <c r="Y483" i="19"/>
  <c r="Y484" i="19"/>
  <c r="Y485" i="19"/>
  <c r="Y486" i="19"/>
  <c r="Y487" i="19"/>
  <c r="Y488" i="19"/>
  <c r="Y489" i="19"/>
  <c r="Y490" i="19"/>
  <c r="Y491" i="19"/>
  <c r="Y492" i="19"/>
  <c r="Y493" i="19"/>
  <c r="Y494" i="19"/>
  <c r="Y495" i="19"/>
  <c r="Y496" i="19"/>
  <c r="Y497" i="19"/>
  <c r="Y498" i="19"/>
  <c r="Y499" i="19"/>
  <c r="Y500" i="19"/>
  <c r="Y501" i="19"/>
  <c r="Y502" i="19"/>
  <c r="Y503" i="19"/>
  <c r="Y504" i="19"/>
  <c r="Y505" i="19"/>
  <c r="Y506" i="19"/>
  <c r="Y507" i="19"/>
  <c r="Y508" i="19"/>
  <c r="Y509" i="19"/>
  <c r="Y510" i="19"/>
  <c r="Y511" i="19"/>
  <c r="Y512" i="19"/>
  <c r="Y513" i="19"/>
  <c r="Y514" i="19"/>
  <c r="Y515" i="19"/>
  <c r="Y516" i="19"/>
  <c r="Y517" i="19"/>
  <c r="Y518" i="19"/>
  <c r="Y519" i="19"/>
  <c r="Y520" i="19"/>
  <c r="Y521" i="19"/>
  <c r="Y522" i="19"/>
  <c r="Y523" i="19"/>
  <c r="Y524" i="19"/>
  <c r="Y525" i="19"/>
  <c r="Y526" i="19"/>
  <c r="Y527" i="19"/>
  <c r="Y528" i="19"/>
  <c r="Y529" i="19"/>
  <c r="Y530" i="19"/>
  <c r="Y531" i="19"/>
  <c r="Y532" i="19"/>
  <c r="Y533" i="19"/>
  <c r="Y534" i="19"/>
  <c r="Y535" i="19"/>
  <c r="Y536" i="19"/>
  <c r="Y537" i="19"/>
  <c r="Y538" i="19"/>
  <c r="Y539" i="19"/>
  <c r="Y540" i="19"/>
  <c r="Y541" i="19"/>
  <c r="Y542" i="19"/>
  <c r="Y543" i="19"/>
  <c r="Y544" i="19"/>
  <c r="Y545" i="19"/>
  <c r="Y546" i="19"/>
  <c r="Y547" i="19"/>
  <c r="Y548" i="19"/>
  <c r="Y549" i="19"/>
  <c r="Y550" i="19"/>
  <c r="Y551" i="19"/>
  <c r="Y552" i="19"/>
  <c r="Y553" i="19"/>
  <c r="Y554" i="19"/>
  <c r="Y555" i="19"/>
  <c r="Y556" i="19"/>
  <c r="Y557" i="19"/>
  <c r="Y558" i="19"/>
  <c r="Y559" i="19"/>
  <c r="Y560" i="19"/>
  <c r="Y561" i="19"/>
  <c r="Y562" i="19"/>
  <c r="Y563" i="19"/>
  <c r="Y564" i="19"/>
  <c r="Y565" i="19"/>
  <c r="Y566" i="19"/>
  <c r="Y567" i="19"/>
  <c r="Y568" i="19"/>
  <c r="Y569" i="19"/>
  <c r="Y570" i="19"/>
  <c r="Y571" i="19"/>
  <c r="Y572" i="19"/>
  <c r="Y573" i="19"/>
  <c r="Y574" i="19"/>
  <c r="Y575" i="19"/>
  <c r="Y576" i="19"/>
  <c r="Y577" i="19"/>
  <c r="Y578" i="19"/>
  <c r="Y579" i="19"/>
  <c r="Y580" i="19"/>
  <c r="Y581" i="19"/>
  <c r="Y582" i="19"/>
  <c r="Y583" i="19"/>
  <c r="Y584" i="19"/>
  <c r="Y585" i="19"/>
  <c r="Y586" i="19"/>
  <c r="Y587" i="19"/>
  <c r="Y588" i="19"/>
  <c r="Y589" i="19"/>
  <c r="Y590" i="19"/>
  <c r="Y591" i="19"/>
  <c r="Y592" i="19"/>
  <c r="Y593" i="19"/>
  <c r="Y594" i="19"/>
  <c r="Y595" i="19"/>
  <c r="Y596" i="19"/>
  <c r="Y597" i="19"/>
  <c r="Y598" i="19"/>
  <c r="Y599" i="19"/>
  <c r="Y600" i="19"/>
  <c r="Y601" i="19"/>
  <c r="Y602" i="19"/>
  <c r="Y603" i="19"/>
  <c r="Y604" i="19"/>
  <c r="Y605" i="19"/>
  <c r="Y606" i="19"/>
  <c r="Y607" i="19"/>
  <c r="Y608" i="19"/>
  <c r="Y609" i="19"/>
  <c r="Y610" i="19"/>
  <c r="Y611" i="19"/>
  <c r="Y612" i="19"/>
  <c r="Y613" i="19"/>
  <c r="Y614" i="19"/>
  <c r="Y615" i="19"/>
  <c r="Y616" i="19"/>
  <c r="Y617" i="19"/>
  <c r="Y618" i="19"/>
  <c r="Y619" i="19"/>
  <c r="Y620" i="19"/>
  <c r="Y621" i="19"/>
  <c r="Y622" i="19"/>
  <c r="Y623" i="19"/>
  <c r="Y624" i="19"/>
  <c r="Y625" i="19"/>
  <c r="Y626" i="19"/>
  <c r="Y627" i="19"/>
  <c r="Y628" i="19"/>
  <c r="Y629" i="19"/>
  <c r="Y630" i="19"/>
  <c r="Y631" i="19"/>
  <c r="Y632" i="19"/>
  <c r="Y633" i="19"/>
  <c r="Y634" i="19"/>
  <c r="Y635" i="19"/>
  <c r="Y636" i="19"/>
  <c r="Y637" i="19"/>
  <c r="Y638" i="19"/>
  <c r="Y639" i="19"/>
  <c r="Y640" i="19"/>
  <c r="Y641" i="19"/>
  <c r="Y642" i="19"/>
  <c r="Y643" i="19"/>
  <c r="Y644" i="19"/>
  <c r="Y645" i="19"/>
  <c r="Y646" i="19"/>
  <c r="Y647" i="19"/>
  <c r="Y648" i="19"/>
  <c r="Y649" i="19"/>
  <c r="Y650" i="19"/>
  <c r="Y651" i="19"/>
  <c r="Y652" i="19"/>
  <c r="Y653" i="19"/>
  <c r="Y654" i="19"/>
  <c r="Y655" i="19"/>
  <c r="Y656" i="19"/>
  <c r="Y657" i="19"/>
  <c r="Y658" i="19"/>
  <c r="Y659" i="19"/>
  <c r="Y660" i="19"/>
  <c r="Y661" i="19"/>
  <c r="Y662" i="19"/>
  <c r="Y663" i="19"/>
  <c r="Y664" i="19"/>
  <c r="Y665" i="19"/>
  <c r="Y666" i="19"/>
  <c r="Y667" i="19"/>
  <c r="Y668" i="19"/>
  <c r="Y669" i="19"/>
  <c r="Y670" i="19"/>
  <c r="Y671" i="19"/>
  <c r="Y672" i="19"/>
  <c r="Y673" i="19"/>
  <c r="Y674" i="19"/>
  <c r="Y675" i="19"/>
  <c r="Y676" i="19"/>
  <c r="Y677" i="19"/>
  <c r="Y678" i="19"/>
  <c r="Y679" i="19"/>
  <c r="Y680" i="19"/>
  <c r="Y681" i="19"/>
  <c r="Y682" i="19"/>
  <c r="Y683" i="19"/>
  <c r="Y684" i="19"/>
  <c r="Y685" i="19"/>
  <c r="Y686" i="19"/>
  <c r="Y687" i="19"/>
  <c r="Y688" i="19"/>
  <c r="Y689" i="19"/>
  <c r="Y690" i="19"/>
  <c r="Y691" i="19"/>
  <c r="Y692" i="19"/>
  <c r="Y693" i="19"/>
  <c r="Y694" i="19"/>
  <c r="Y695" i="19"/>
  <c r="Y696" i="19"/>
  <c r="Y697" i="19"/>
  <c r="Y698" i="19"/>
  <c r="Y699" i="19"/>
  <c r="Y700" i="19"/>
  <c r="Y701" i="19"/>
  <c r="Y702" i="19"/>
  <c r="Y703" i="19"/>
  <c r="Y704" i="19"/>
  <c r="Y705" i="19"/>
  <c r="Y706" i="19"/>
  <c r="Y707" i="19"/>
  <c r="Y708" i="19"/>
  <c r="Y709" i="19"/>
  <c r="Y710" i="19"/>
  <c r="Y711" i="19"/>
  <c r="Y712" i="19"/>
  <c r="Y713" i="19"/>
  <c r="Y714" i="19"/>
  <c r="Y715" i="19"/>
  <c r="Y716" i="19"/>
  <c r="Y717" i="19"/>
  <c r="Y718" i="19"/>
  <c r="Y719" i="19"/>
  <c r="Y720" i="19"/>
  <c r="Y721" i="19"/>
  <c r="Y722" i="19"/>
  <c r="Y723" i="19"/>
  <c r="Y724" i="19"/>
  <c r="Y725" i="19"/>
  <c r="Y726" i="19"/>
  <c r="Y727" i="19"/>
  <c r="Y728" i="19"/>
  <c r="Y729" i="19"/>
  <c r="Y730" i="19"/>
  <c r="Y731" i="19"/>
  <c r="Y732" i="19"/>
  <c r="Y733" i="19"/>
  <c r="Y734" i="19"/>
  <c r="Y735" i="19"/>
  <c r="Y736" i="19"/>
  <c r="Y737" i="19"/>
  <c r="Y738" i="19"/>
  <c r="Y739" i="19"/>
  <c r="Y740" i="19"/>
  <c r="Y741" i="19"/>
  <c r="Y742" i="19"/>
  <c r="Y743" i="19"/>
  <c r="Y744" i="19"/>
  <c r="Y745" i="19"/>
  <c r="Y746" i="19"/>
  <c r="Y747" i="19"/>
  <c r="Y748" i="19"/>
  <c r="Y749" i="19"/>
  <c r="Y750" i="19"/>
  <c r="Y751" i="19"/>
  <c r="Y752" i="19"/>
  <c r="Y753" i="19"/>
  <c r="Y754" i="19"/>
  <c r="Y755" i="19"/>
  <c r="Y756" i="19"/>
  <c r="Y757" i="19"/>
  <c r="Y758" i="19"/>
  <c r="Y759" i="19"/>
  <c r="Y760" i="19"/>
  <c r="Y761" i="19"/>
  <c r="Y762" i="19"/>
  <c r="Y763" i="19"/>
  <c r="Y764" i="19"/>
  <c r="Y765" i="19"/>
  <c r="Y766" i="19"/>
  <c r="Y767" i="19"/>
  <c r="Y768" i="19"/>
  <c r="Y769" i="19"/>
  <c r="Y770" i="19"/>
  <c r="Y771" i="19"/>
  <c r="Y772" i="19"/>
  <c r="Y773" i="19"/>
  <c r="Y774" i="19"/>
  <c r="Y775" i="19"/>
  <c r="Y776" i="19"/>
  <c r="Y777" i="19"/>
  <c r="Y778" i="19"/>
  <c r="Y779" i="19"/>
  <c r="Y780" i="19"/>
  <c r="Y781" i="19"/>
  <c r="Y782" i="19"/>
  <c r="Y783" i="19"/>
  <c r="Y784" i="19"/>
  <c r="Y785" i="19"/>
  <c r="Y786" i="19"/>
  <c r="Y787" i="19"/>
  <c r="Y788" i="19"/>
  <c r="Y789" i="19"/>
  <c r="Y790" i="19"/>
  <c r="Y791" i="19"/>
  <c r="Y792" i="19"/>
  <c r="Y793" i="19"/>
  <c r="Y794" i="19"/>
  <c r="Y795" i="19"/>
  <c r="Y796" i="19"/>
  <c r="Y797" i="19"/>
  <c r="Y798" i="19"/>
  <c r="Y799" i="19"/>
  <c r="Y800" i="19"/>
  <c r="Y801" i="19"/>
  <c r="Y802" i="19"/>
  <c r="Y803" i="19"/>
  <c r="Y804" i="19"/>
  <c r="Y805" i="19"/>
  <c r="Y806" i="19"/>
  <c r="Y807" i="19"/>
  <c r="Y808" i="19"/>
  <c r="Y809" i="19"/>
  <c r="Y810" i="19"/>
  <c r="Y811" i="19"/>
  <c r="Y812" i="19"/>
  <c r="Y813" i="19"/>
  <c r="Y814" i="19"/>
  <c r="Y815" i="19"/>
  <c r="Y816" i="19"/>
  <c r="Y817" i="19"/>
  <c r="Y818" i="19"/>
  <c r="Y819" i="19"/>
  <c r="Y820" i="19"/>
  <c r="Y821" i="19"/>
  <c r="Y822" i="19"/>
  <c r="Y823" i="19"/>
  <c r="Y824" i="19"/>
  <c r="Y825" i="19"/>
  <c r="Y826" i="19"/>
  <c r="Y827" i="19"/>
  <c r="Y828" i="19"/>
  <c r="Y829" i="19"/>
  <c r="Y830" i="19"/>
  <c r="Y831" i="19"/>
  <c r="Y832" i="19"/>
  <c r="Y833" i="19"/>
  <c r="Y834" i="19"/>
  <c r="Y835" i="19"/>
  <c r="Y836" i="19"/>
  <c r="Y837" i="19"/>
  <c r="Y838" i="19"/>
  <c r="Y839" i="19"/>
  <c r="Y840" i="19"/>
  <c r="Y841" i="19"/>
  <c r="Y842" i="19"/>
  <c r="Y843" i="19"/>
  <c r="Y844" i="19"/>
  <c r="Y845" i="19"/>
  <c r="Y846" i="19"/>
  <c r="Y847" i="19"/>
  <c r="Y848" i="19"/>
  <c r="Y849" i="19"/>
  <c r="Y850" i="19"/>
  <c r="Y851" i="19"/>
  <c r="Y852" i="19"/>
  <c r="Y853" i="19"/>
  <c r="Y854" i="19"/>
  <c r="Y855" i="19"/>
  <c r="Y856" i="19"/>
  <c r="Y857" i="19"/>
  <c r="Y858" i="19"/>
  <c r="Y859" i="19"/>
  <c r="Y860" i="19"/>
  <c r="Y861" i="19"/>
  <c r="Y862" i="19"/>
  <c r="Y863" i="19"/>
  <c r="Y864" i="19"/>
  <c r="Y866" i="19"/>
  <c r="Y867" i="19"/>
  <c r="Y868" i="19"/>
  <c r="Y869" i="19"/>
  <c r="Y870" i="19"/>
  <c r="Y871" i="19"/>
  <c r="Y872" i="19"/>
  <c r="Y873" i="19"/>
  <c r="Y874" i="19"/>
  <c r="Y875" i="19"/>
  <c r="Y876" i="19"/>
  <c r="Y877" i="19"/>
  <c r="Y878" i="19"/>
  <c r="Y879" i="19"/>
  <c r="Y880" i="19"/>
  <c r="Y881" i="19"/>
  <c r="Y882" i="19"/>
  <c r="Y883" i="19"/>
  <c r="Y884" i="19"/>
  <c r="Y885" i="19"/>
  <c r="Y886" i="19"/>
  <c r="Y887" i="19"/>
  <c r="Y888" i="19"/>
  <c r="Y889" i="19"/>
  <c r="Y890" i="19"/>
  <c r="Y891" i="19"/>
  <c r="Y892" i="19"/>
  <c r="Y893" i="19"/>
  <c r="Y894" i="19"/>
  <c r="Y895" i="19"/>
  <c r="Y896" i="19"/>
  <c r="Y897" i="19"/>
  <c r="Y898" i="19"/>
  <c r="Y899" i="19"/>
  <c r="Y900" i="19"/>
  <c r="Y901" i="19"/>
  <c r="Y902" i="19"/>
  <c r="Y903" i="19"/>
  <c r="Y904" i="19"/>
  <c r="Y905" i="19"/>
  <c r="Y906" i="19"/>
  <c r="Y907" i="19"/>
  <c r="Y908" i="19"/>
  <c r="Y909" i="19"/>
  <c r="Y910" i="19"/>
  <c r="Y911" i="19"/>
  <c r="Y912" i="19"/>
  <c r="Y913" i="19"/>
  <c r="Y914" i="19"/>
  <c r="Y915" i="19"/>
  <c r="Y916" i="19"/>
  <c r="Y917" i="19"/>
  <c r="Y918" i="19"/>
  <c r="Y919" i="19"/>
  <c r="Y920" i="19"/>
  <c r="Y921" i="19"/>
  <c r="Y922" i="19"/>
  <c r="Y923" i="19"/>
  <c r="Y924" i="19"/>
  <c r="Y925" i="19"/>
  <c r="Y926" i="19"/>
  <c r="Y927" i="19"/>
  <c r="Y928" i="19"/>
  <c r="Y929" i="19"/>
  <c r="Y930" i="19"/>
  <c r="Y931" i="19"/>
  <c r="Y932" i="19"/>
  <c r="Y933" i="19"/>
  <c r="Y934" i="19"/>
  <c r="Y935" i="19"/>
  <c r="Y936" i="19"/>
  <c r="Y937" i="19"/>
  <c r="Y938" i="19"/>
  <c r="Y939" i="19"/>
  <c r="Y940" i="19"/>
  <c r="Y941" i="19"/>
  <c r="Y942" i="19"/>
  <c r="Y943" i="19"/>
  <c r="Y944" i="19"/>
  <c r="Y945" i="19"/>
  <c r="Y946" i="19"/>
  <c r="Y947" i="19"/>
  <c r="Y948" i="19"/>
  <c r="Y949" i="19"/>
  <c r="Y950" i="19"/>
  <c r="Y951" i="19"/>
  <c r="Y952" i="19"/>
  <c r="Y953" i="19"/>
  <c r="Y954" i="19"/>
  <c r="Y955" i="19"/>
  <c r="Y956" i="19"/>
  <c r="Y957" i="19"/>
  <c r="Y958" i="19"/>
  <c r="Y959" i="19"/>
  <c r="Y960" i="19"/>
  <c r="Y961" i="19"/>
  <c r="Y962" i="19"/>
  <c r="Y963" i="19"/>
  <c r="Y964" i="19"/>
  <c r="Y965" i="19"/>
  <c r="Y966" i="19"/>
  <c r="Y967" i="19"/>
  <c r="Y968" i="19"/>
  <c r="Y969" i="19"/>
  <c r="Y970" i="19"/>
  <c r="Y971" i="19"/>
  <c r="Y972" i="19"/>
  <c r="Y973" i="19"/>
  <c r="Y974" i="19"/>
  <c r="Y975" i="19"/>
  <c r="Y976" i="19"/>
  <c r="Y977" i="19"/>
  <c r="Y978" i="19"/>
  <c r="Y979" i="19"/>
  <c r="Y980" i="19"/>
  <c r="Y981" i="19"/>
  <c r="Y982" i="19"/>
  <c r="Y983" i="19"/>
  <c r="Y984" i="19"/>
  <c r="Y985" i="19"/>
  <c r="Y986" i="19"/>
  <c r="Y987" i="19"/>
  <c r="Y988" i="19"/>
  <c r="Y989" i="19"/>
  <c r="Y990" i="19"/>
  <c r="Y991" i="19"/>
  <c r="Y992" i="19"/>
  <c r="Y993" i="19"/>
  <c r="Y994" i="19"/>
  <c r="Y995" i="19"/>
  <c r="Y996" i="19"/>
  <c r="Y997" i="19"/>
  <c r="Y998" i="19"/>
  <c r="Y999" i="19"/>
  <c r="Y1000" i="19"/>
  <c r="Y1001" i="19"/>
  <c r="Y1002" i="19"/>
  <c r="Y1003" i="19"/>
  <c r="Y1004" i="19"/>
  <c r="Y1005" i="19"/>
  <c r="Y1006" i="19"/>
  <c r="Y1007" i="19"/>
  <c r="Y1008" i="19"/>
  <c r="Y1009" i="19"/>
  <c r="Y1010" i="19"/>
  <c r="Y1011" i="19"/>
  <c r="Y1012" i="19"/>
  <c r="Y1013" i="19"/>
  <c r="Y1014" i="19"/>
  <c r="Y1015" i="19"/>
  <c r="Y1016" i="19"/>
  <c r="Y1017" i="19"/>
  <c r="Y1018" i="19"/>
  <c r="Y1019" i="19"/>
  <c r="Y1020" i="19"/>
  <c r="Y1021" i="19"/>
  <c r="Y1022" i="19"/>
  <c r="Y1023" i="19"/>
  <c r="Y1024" i="19"/>
  <c r="Y1025" i="19"/>
  <c r="Y1026" i="19"/>
  <c r="Y1027" i="19"/>
  <c r="Y1028" i="19"/>
  <c r="Y1029" i="19"/>
  <c r="Y1030" i="19"/>
  <c r="Y1031" i="19"/>
  <c r="Y1032" i="19"/>
  <c r="Y1033" i="19"/>
  <c r="Y1034" i="19"/>
  <c r="Y1035" i="19"/>
  <c r="Y1036" i="19"/>
  <c r="Y1037" i="19"/>
  <c r="Y1038" i="19"/>
  <c r="Y1039" i="19"/>
  <c r="Y1040" i="19"/>
  <c r="Y1041" i="19"/>
  <c r="Y1042" i="19"/>
  <c r="Y1043" i="19"/>
  <c r="Y1044" i="19"/>
  <c r="Y1045" i="19"/>
  <c r="Y1046" i="19"/>
  <c r="Y1047" i="19"/>
  <c r="Y1048" i="19"/>
  <c r="Y1049" i="19"/>
  <c r="Y1050" i="19"/>
  <c r="Y1051" i="19"/>
  <c r="Y1052" i="19"/>
  <c r="Y1053" i="19"/>
  <c r="Y1054" i="19"/>
  <c r="Y1055" i="19"/>
  <c r="Y1056" i="19"/>
  <c r="Y1057" i="19"/>
  <c r="Y1058" i="19"/>
  <c r="Y1059" i="19"/>
  <c r="Y1060" i="19"/>
  <c r="Y1061" i="19"/>
  <c r="Y1062" i="19"/>
  <c r="Y1063" i="19"/>
  <c r="Y1064" i="19"/>
  <c r="Y1065" i="19"/>
  <c r="Y1066" i="19"/>
  <c r="Y1067" i="19"/>
  <c r="Y1068" i="19"/>
  <c r="Y1069" i="19"/>
  <c r="Y1070" i="19"/>
  <c r="Y1071" i="19"/>
  <c r="Y1072" i="19"/>
  <c r="Y1073" i="19"/>
  <c r="Y1074" i="19"/>
  <c r="Y1075" i="19"/>
  <c r="Y1076" i="19"/>
  <c r="Y1077" i="19"/>
  <c r="Y1078" i="19"/>
  <c r="Y1079" i="19"/>
  <c r="Y1080" i="19"/>
  <c r="Y1081" i="19"/>
  <c r="Y1082" i="19"/>
  <c r="Y1083" i="19"/>
  <c r="Y1084" i="19"/>
  <c r="Y1085" i="19"/>
  <c r="Y1086" i="19"/>
  <c r="Y1087" i="19"/>
  <c r="Y1088" i="19"/>
  <c r="Y1089" i="19"/>
  <c r="Y1090" i="19"/>
  <c r="Y1091" i="19"/>
  <c r="Y1092" i="19"/>
  <c r="Y1093" i="19"/>
  <c r="Y1094" i="19"/>
  <c r="Y1095" i="19"/>
  <c r="Y1096" i="19"/>
  <c r="Y1097" i="19"/>
  <c r="Y1098" i="19"/>
  <c r="Y1099" i="19"/>
  <c r="Y1100" i="19"/>
  <c r="Y1101" i="19"/>
  <c r="Y1102" i="19"/>
  <c r="Y1103" i="19"/>
  <c r="Y1104" i="19"/>
  <c r="Y1105" i="19"/>
  <c r="Y1106" i="19"/>
  <c r="Y1107" i="19"/>
  <c r="Y1108" i="19"/>
  <c r="Y1109" i="19"/>
  <c r="Y1110" i="19"/>
  <c r="Y1111" i="19"/>
  <c r="Y1112" i="19"/>
  <c r="Y1113" i="19"/>
  <c r="Y1114" i="19"/>
  <c r="Y1115" i="19"/>
  <c r="Y1116" i="19"/>
  <c r="Y1117" i="19"/>
  <c r="Y1118" i="19"/>
  <c r="Y1119" i="19"/>
  <c r="Y1120" i="19"/>
  <c r="Y1121" i="19"/>
  <c r="Y1122" i="19"/>
  <c r="Y1123" i="19"/>
  <c r="Y1124" i="19"/>
  <c r="Y1125" i="19"/>
  <c r="Y1126" i="19"/>
  <c r="Y1127" i="19"/>
  <c r="Y1128" i="19"/>
  <c r="Y1129" i="19"/>
  <c r="Y1130" i="19"/>
  <c r="Y1131" i="19"/>
  <c r="Y1132" i="19"/>
  <c r="Y1133" i="19"/>
  <c r="Y1134" i="19"/>
  <c r="Y1135" i="19"/>
  <c r="Y1136" i="19"/>
  <c r="Y1137" i="19"/>
  <c r="Y1138" i="19"/>
  <c r="Y1139" i="19"/>
  <c r="Y1140" i="19"/>
  <c r="Y1141" i="19"/>
  <c r="Y1142" i="19"/>
  <c r="Y1143" i="19"/>
  <c r="Y1144" i="19"/>
  <c r="Y1145" i="19"/>
  <c r="Y1146" i="19"/>
  <c r="Y1147" i="19"/>
  <c r="Y1148" i="19"/>
  <c r="Y1149" i="19"/>
  <c r="Y1150" i="19"/>
  <c r="Y1151" i="19"/>
  <c r="Y1152" i="19"/>
  <c r="Y1153" i="19"/>
  <c r="Y1154" i="19"/>
  <c r="Y1155" i="19"/>
  <c r="Y1156" i="19"/>
  <c r="Y1157" i="19"/>
  <c r="Y1158" i="19"/>
  <c r="Y1159" i="19"/>
  <c r="Y1160" i="19"/>
  <c r="Y1161" i="19"/>
  <c r="Y1162" i="19"/>
  <c r="Y1163" i="19"/>
  <c r="Y1164" i="19"/>
  <c r="Y1165" i="19"/>
  <c r="Y1166" i="19"/>
  <c r="Y1167" i="19"/>
  <c r="Y1168" i="19"/>
  <c r="Y1169" i="19"/>
  <c r="Y1170" i="19"/>
  <c r="Y1171" i="19"/>
  <c r="Y1172" i="19"/>
  <c r="Y1173" i="19"/>
  <c r="Y1174" i="19"/>
  <c r="Y1175" i="19"/>
  <c r="Y1176" i="19"/>
  <c r="Y1177" i="19"/>
  <c r="Y1178" i="19"/>
  <c r="Y1179" i="19"/>
  <c r="Y1180" i="19"/>
  <c r="Y1181" i="19"/>
  <c r="Y1182" i="19"/>
  <c r="Y1183" i="19"/>
  <c r="Y1184" i="19"/>
  <c r="Y1185" i="19"/>
  <c r="Y1186" i="19"/>
  <c r="Y1187" i="19"/>
  <c r="Y1188" i="19"/>
  <c r="Y1189" i="19"/>
  <c r="Y1190" i="19"/>
  <c r="Y1191" i="19"/>
  <c r="Y1192" i="19"/>
  <c r="Y1193" i="19"/>
  <c r="Y1194" i="19"/>
  <c r="Y1195" i="19"/>
  <c r="Y1196" i="19"/>
  <c r="Y1197" i="19"/>
  <c r="Y1198" i="19"/>
  <c r="Y1199" i="19"/>
  <c r="Y1200" i="19"/>
  <c r="Y1201" i="19"/>
  <c r="Y1202" i="19"/>
  <c r="Y1203" i="19"/>
  <c r="Y1204" i="19"/>
  <c r="Y1205" i="19"/>
  <c r="Y1206" i="19"/>
  <c r="Y1207" i="19"/>
  <c r="Y1208" i="19"/>
  <c r="Y1209" i="19"/>
  <c r="Y1210" i="19"/>
  <c r="Y1211" i="19"/>
  <c r="Y1212" i="19"/>
  <c r="Y1213" i="19"/>
  <c r="Y1214" i="19"/>
  <c r="Y1215" i="19"/>
  <c r="Y1216" i="19"/>
  <c r="Y1217" i="19"/>
  <c r="Y1218" i="19"/>
  <c r="Y1219" i="19"/>
  <c r="Y1220" i="19"/>
  <c r="Y1221" i="19"/>
  <c r="Y1222" i="19"/>
  <c r="Y1223" i="19"/>
  <c r="Y1224" i="19"/>
  <c r="Y1225" i="19"/>
  <c r="Y1226" i="19"/>
  <c r="Y1227" i="19"/>
  <c r="Y1228" i="19"/>
  <c r="Y1229" i="19"/>
  <c r="Y1230" i="19"/>
  <c r="Y1231" i="19"/>
  <c r="Y1232" i="19"/>
  <c r="Y1233" i="19"/>
  <c r="Y1234" i="19"/>
  <c r="Y1235" i="19"/>
  <c r="Y1236" i="19"/>
  <c r="Y1237" i="19"/>
  <c r="Y1238" i="19"/>
  <c r="Y1239" i="19"/>
  <c r="Y157" i="19"/>
  <c r="Y156" i="19"/>
  <c r="Y155" i="19"/>
  <c r="Y238" i="19"/>
  <c r="Y239" i="19"/>
  <c r="X593" i="19"/>
  <c r="X718" i="19"/>
  <c r="Y235" i="19"/>
  <c r="J33" i="22"/>
  <c r="Y199" i="19"/>
  <c r="Y200" i="19"/>
  <c r="Y201" i="19"/>
  <c r="Y202" i="19"/>
  <c r="Y203" i="19"/>
  <c r="Y204" i="19"/>
  <c r="Y205" i="19"/>
  <c r="Y231" i="19"/>
  <c r="Y232" i="19"/>
  <c r="Y234" i="19"/>
  <c r="Y249" i="19"/>
  <c r="Y250" i="19"/>
  <c r="Y251" i="19"/>
  <c r="X221" i="19"/>
  <c r="Y221" i="19"/>
  <c r="X53" i="19"/>
  <c r="Y165" i="19"/>
  <c r="Y177" i="19"/>
  <c r="Y253" i="19"/>
  <c r="Y254" i="19"/>
  <c r="Y255" i="19"/>
  <c r="Y258" i="19"/>
  <c r="Y259" i="19"/>
  <c r="Y260" i="19"/>
  <c r="Y262" i="19"/>
  <c r="Y240" i="19"/>
  <c r="Y241" i="19"/>
  <c r="Y242" i="19"/>
  <c r="Y243" i="19"/>
  <c r="Y244" i="19"/>
  <c r="Y245" i="19"/>
  <c r="Y246" i="19"/>
  <c r="Y247" i="19"/>
  <c r="Y248" i="19"/>
  <c r="Y158" i="19"/>
  <c r="Y159" i="19"/>
  <c r="Y160" i="19"/>
  <c r="Y161" i="19"/>
  <c r="Y162" i="19"/>
  <c r="Y163" i="19"/>
  <c r="Y164" i="19"/>
  <c r="Y184" i="19"/>
  <c r="Y175" i="19"/>
  <c r="Y176" i="19"/>
  <c r="Y185" i="19"/>
  <c r="Y186" i="19"/>
  <c r="Y187" i="19"/>
  <c r="Y188" i="19"/>
  <c r="Y256" i="19"/>
  <c r="Y189" i="19"/>
  <c r="Y190" i="19"/>
  <c r="Y191" i="19"/>
  <c r="Y192" i="19"/>
  <c r="Y193" i="19"/>
  <c r="Y194" i="19"/>
  <c r="Y195" i="19"/>
  <c r="Y196" i="19"/>
  <c r="Y197" i="19"/>
  <c r="Y198" i="19"/>
  <c r="Y206" i="19"/>
  <c r="Y207" i="19"/>
  <c r="Y208" i="19"/>
  <c r="Y209" i="19"/>
  <c r="Y210" i="19"/>
  <c r="Y211" i="19"/>
  <c r="Y212" i="19"/>
  <c r="Y213" i="19"/>
  <c r="Y214" i="19"/>
  <c r="Y215" i="19"/>
  <c r="Y216" i="19"/>
  <c r="Y217" i="19"/>
  <c r="Y218" i="19"/>
  <c r="Y219" i="19"/>
  <c r="Y220" i="19"/>
  <c r="Y222" i="19"/>
  <c r="Y223" i="19"/>
  <c r="Y224" i="19"/>
  <c r="Y225" i="19"/>
  <c r="Y226" i="19"/>
  <c r="Y227" i="19"/>
  <c r="Y228" i="19"/>
  <c r="Y229" i="19"/>
  <c r="Y230" i="19"/>
  <c r="Y233" i="19"/>
  <c r="Y236" i="19"/>
  <c r="Y237" i="19"/>
  <c r="Y257" i="19"/>
  <c r="Y178" i="19"/>
  <c r="Y179" i="19"/>
  <c r="Y180" i="19"/>
  <c r="Y181" i="19"/>
  <c r="Y182" i="19"/>
  <c r="Y183" i="19"/>
  <c r="Y167" i="19"/>
  <c r="Y168" i="19"/>
  <c r="Y169" i="19"/>
  <c r="Y170" i="19"/>
  <c r="Y171" i="19"/>
  <c r="Y172" i="19"/>
  <c r="Y173" i="19"/>
  <c r="Y174" i="19"/>
  <c r="Y137" i="19"/>
  <c r="Y138" i="19"/>
  <c r="Y139" i="19"/>
  <c r="Y140" i="19"/>
  <c r="Y141" i="19"/>
  <c r="Y142" i="19"/>
  <c r="Y143" i="19"/>
  <c r="Y144" i="19"/>
  <c r="Y145" i="19"/>
  <c r="Y146" i="19"/>
  <c r="Y147" i="19"/>
  <c r="Y148" i="19"/>
  <c r="Y149" i="19"/>
  <c r="Y150" i="19"/>
  <c r="Y151" i="19"/>
  <c r="Y152" i="19"/>
  <c r="Y153" i="19"/>
  <c r="Y154" i="19"/>
  <c r="Y166" i="19"/>
  <c r="Y136" i="19"/>
  <c r="Y135" i="19"/>
  <c r="Y134" i="19"/>
  <c r="Y133" i="19"/>
  <c r="Y132" i="19"/>
  <c r="Y131" i="19"/>
  <c r="Y130" i="19"/>
  <c r="Y128" i="19"/>
  <c r="Y127" i="19"/>
  <c r="Y126" i="19"/>
  <c r="Y125" i="19"/>
  <c r="Y124" i="19"/>
  <c r="Y123" i="19"/>
  <c r="Y122" i="19"/>
  <c r="Y121" i="19"/>
  <c r="Y120" i="19"/>
  <c r="Y119" i="19"/>
  <c r="Y118" i="19"/>
  <c r="Y117" i="19"/>
  <c r="Y116" i="19"/>
  <c r="Y115" i="19"/>
  <c r="Y114" i="19"/>
  <c r="Y113" i="19"/>
  <c r="Y112" i="19"/>
  <c r="Y111" i="19"/>
  <c r="Y110" i="19"/>
  <c r="Y109" i="19"/>
  <c r="Y108" i="19"/>
  <c r="Y107" i="19"/>
  <c r="Y106" i="19"/>
  <c r="Y105" i="19"/>
  <c r="Y104" i="19"/>
  <c r="Y103" i="19"/>
  <c r="Y102" i="19"/>
  <c r="Y101" i="19"/>
  <c r="Y100" i="19"/>
  <c r="Y99" i="19"/>
  <c r="Y98" i="19"/>
  <c r="Y97" i="19"/>
  <c r="Y96" i="19"/>
  <c r="Y95" i="19"/>
  <c r="Y94" i="19"/>
  <c r="Y93" i="19"/>
  <c r="Y92" i="19"/>
  <c r="Y91" i="19"/>
  <c r="Y90" i="19"/>
  <c r="Y89" i="19"/>
  <c r="Y88" i="19"/>
  <c r="Y87" i="19"/>
  <c r="Y86" i="19"/>
  <c r="Y85" i="19"/>
  <c r="Y84" i="19"/>
  <c r="Y83" i="19"/>
  <c r="Y82" i="19"/>
  <c r="Y81" i="19"/>
  <c r="Y80" i="19"/>
  <c r="Y79" i="19"/>
  <c r="Y78" i="19"/>
  <c r="Y77" i="19"/>
  <c r="Y76" i="19"/>
  <c r="Y75" i="19"/>
  <c r="Y74" i="19"/>
  <c r="Y73" i="19"/>
  <c r="Y72" i="19"/>
  <c r="Y71" i="19"/>
  <c r="Y70" i="19"/>
  <c r="Y69" i="19"/>
  <c r="Y68" i="19"/>
  <c r="Y67" i="19"/>
  <c r="Y66" i="19"/>
  <c r="Y65" i="19"/>
  <c r="Y64" i="19"/>
  <c r="Y63" i="19"/>
  <c r="Y62" i="19"/>
  <c r="Y61" i="19"/>
  <c r="Y60" i="19"/>
  <c r="Y59" i="19"/>
  <c r="Y58" i="19"/>
  <c r="Y57" i="19"/>
  <c r="Y56" i="19"/>
  <c r="Y55" i="19"/>
  <c r="Y54" i="19"/>
  <c r="Y53" i="19"/>
  <c r="Y52" i="19"/>
  <c r="Y51" i="19"/>
  <c r="Y50" i="19"/>
  <c r="Y49" i="19"/>
  <c r="Y48" i="19"/>
  <c r="Y47" i="19"/>
  <c r="Y46" i="19"/>
  <c r="Y45" i="19"/>
  <c r="Y44" i="19"/>
  <c r="Y43" i="19"/>
  <c r="Y42" i="19"/>
  <c r="Y41" i="19"/>
  <c r="Y40" i="19"/>
  <c r="Y39" i="19"/>
  <c r="Y38" i="19"/>
  <c r="Y37" i="19"/>
  <c r="Y36" i="19"/>
  <c r="Y35" i="19"/>
  <c r="Y34" i="19"/>
  <c r="Y33" i="19"/>
  <c r="Y32" i="19"/>
  <c r="Y31" i="19"/>
  <c r="Y29" i="19"/>
  <c r="Y28" i="19"/>
  <c r="Y27" i="19"/>
  <c r="Y26" i="19"/>
  <c r="Y25" i="19"/>
  <c r="Y24" i="19"/>
  <c r="Y23" i="19"/>
  <c r="Y2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tc={312AA89D-71C5-4344-86A6-49CC3F33B7CE}</author>
    <author>tc={B3968815-DD8B-4E07-923B-A8B6E42CE073}</author>
    <author>tc={008B13EB-ECE9-434B-94EB-3AAAC054FEC9}</author>
    <author>tc={41E49D85-7551-4368-8210-154299510F7C}</author>
    <author>tc={F3DB5D9D-5616-488B-B1CB-CBE91CFEDB64}</author>
    <author>tc={CABF9BA4-7827-4CC1-A39D-8C8D08156333}</author>
    <author>tc={15CD77EC-0D4E-4B3B-8A08-3C8570BB0838}</author>
    <author>tc={8128A150-3A99-4469-A52C-ED64366EC4D5}</author>
    <author>tc={00E26E91-AA15-4391-85EA-455F09F8966A}</author>
    <author>tc={BD6D63E5-6C91-4F23-9C9A-B202320ADA0D}</author>
    <author>tc={A117E5DA-40EB-4682-A7C0-65312A6F5B0F}</author>
    <author>tc={59BD4DBB-56FA-47F9-A148-CF8F1B07EBA6}</author>
    <author>tc={6DAE788E-D56E-48C8-8086-D5A9BAAB5A07}</author>
    <author>tc={201BF9E4-9CFC-4CFF-B536-FE58483B3CDC}</author>
    <author>tc={A16F293C-56C2-4220-AC1E-1A302FFF517A}</author>
    <author>tc={83D6B1E7-F8F0-4342-8B24-EE1DA83FB3A4}</author>
    <author>tc={C863FBE4-3291-419C-80A6-4EC8C13634F1}</author>
    <author>tc={FB3523CE-CE5F-4B87-BA59-B7424A2EA08B}</author>
  </authors>
  <commentList>
    <comment ref="F19" authorId="0" shapeId="0" xr:uid="{312AA89D-71C5-4344-86A6-49CC3F33B7CE}">
      <text>
        <t>[Threaded comment]
Your version of Excel allows you to read this threaded comment; however, any edits to it will get removed if the file is opened in a newer version of Excel. Learn more: https://go.microsoft.com/fwlink/?linkid=870924
Comment:
    @Winnie Ikaal note that the part number indicated earlier had a typo error which i have corrected
Reply:
    Thank you</t>
      </text>
    </comment>
    <comment ref="F246" authorId="1" shapeId="0" xr:uid="{B3968815-DD8B-4E07-923B-A8B6E42CE073}">
      <text>
        <t>[Threaded comment]
Your version of Excel allows you to read this threaded comment; however, any edits to it will get removed if the file is opened in a newer version of Excel. Learn more: https://go.microsoft.com/fwlink/?linkid=870924
Comment:
    @Winnie Ikaal this part number isn't in the packing list. However, I understand the issue. It's a bracket that should come pre-fitted in the cabin. AL will confirm the correct part number.</t>
      </text>
    </comment>
    <comment ref="F247" authorId="2" shapeId="0" xr:uid="{008B13EB-ECE9-434B-94EB-3AAAC054FEC9}">
      <text>
        <t>[Threaded comment]
Your version of Excel allows you to read this threaded comment; however, any edits to it will get removed if the file is opened in a newer version of Excel. Learn more: https://go.microsoft.com/fwlink/?linkid=870924
Comment:
    @Winnie Ikaal same to this one. AL will confirm from observation list.</t>
      </text>
    </comment>
    <comment ref="G860" authorId="3" shapeId="0" xr:uid="{41E49D85-7551-4368-8210-154299510F7C}">
      <text>
        <t>[Threaded comment]
Your version of Excel allows you to read this threaded comment; however, any edits to it will get removed if the file is opened in a newer version of Excel. Learn more: https://go.microsoft.com/fwlink/?linkid=870924
Comment:
    Hello @Winnie, remember to add the 2 more ECUs</t>
      </text>
    </comment>
    <comment ref="C888" authorId="4" shapeId="0" xr:uid="{F3DB5D9D-5616-488B-B1CB-CBE91CFEDB64}">
      <text>
        <t>[Threaded comment]
Your version of Excel allows you to read this threaded comment; however, any edits to it will get removed if the file is opened in a newer version of Excel. Learn more: https://go.microsoft.com/fwlink/?linkid=870924
Comment:
    KEB0011/23 claims info. missing</t>
      </text>
    </comment>
    <comment ref="H898" authorId="5" shapeId="0" xr:uid="{CABF9BA4-7827-4CC1-A39D-8C8D0815633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@Winnie Ikaal kindly note that I have adjusted the quantities of this item to match @Vophsy Orwa 's report (From 1pc to 32 pcs)</t>
      </text>
    </comment>
    <comment ref="F1177" authorId="6" shapeId="0" xr:uid="{15CD77EC-0D4E-4B3B-8A08-3C8570BB083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@Winnie Ikaal kindly follow up on this item</t>
      </text>
    </comment>
    <comment ref="A1254" authorId="7" shapeId="0" xr:uid="{8128A150-3A99-4469-A52C-ED64366EC4D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@Rehema Karisa &amp; @Winnie Ikaal  not filed</t>
      </text>
    </comment>
    <comment ref="A1255" authorId="8" shapeId="0" xr:uid="{00E26E91-AA15-4391-85EA-455F09F8966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@Rehema Karisa &amp; @Winnie Ikaal  not filed</t>
      </text>
    </comment>
    <comment ref="A1256" authorId="9" shapeId="0" xr:uid="{BD6D63E5-6C91-4F23-9C9A-B202320ADA0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@Rehema Karisa &amp; @Winnie Ikaal  not filed</t>
      </text>
    </comment>
    <comment ref="A1257" authorId="10" shapeId="0" xr:uid="{A117E5DA-40EB-4682-A7C0-65312A6F5B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@Rehema Karisa &amp; @Winnie Ikaal  not filed</t>
      </text>
    </comment>
    <comment ref="A1258" authorId="11" shapeId="0" xr:uid="{59BD4DBB-56FA-47F9-A148-CF8F1B07EBA6}">
      <text>
        <t>[Threaded comment]
Your version of Excel allows you to read this threaded comment; however, any edits to it will get removed if the file is opened in a newer version of Excel. Learn more: https://go.microsoft.com/fwlink/?linkid=870924
Comment:
    @Rehema Karisa &amp; @Winnie Ikaal  not filed</t>
      </text>
    </comment>
    <comment ref="A1259" authorId="12" shapeId="0" xr:uid="{6DAE788E-D56E-48C8-8086-D5A9BAAB5A0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@Rehema Karisa &amp; @Winnie Ikaal not filed</t>
      </text>
    </comment>
    <comment ref="A1260" authorId="13" shapeId="0" xr:uid="{201BF9E4-9CFC-4CFF-B536-FE58483B3CD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@Rehema Karisa &amp; @Winnie Ikaal not filed</t>
      </text>
    </comment>
    <comment ref="A1261" authorId="14" shapeId="0" xr:uid="{A16F293C-56C2-4220-AC1E-1A302FFF517A}">
      <text>
        <t>[Threaded comment]
Your version of Excel allows you to read this threaded comment; however, any edits to it will get removed if the file is opened in a newer version of Excel. Learn more: https://go.microsoft.com/fwlink/?linkid=870924
Comment:
    @Rehema Karisa &amp; @Winnie Ikaal  not filed</t>
      </text>
    </comment>
    <comment ref="G1295" authorId="15" shapeId="0" xr:uid="{83D6B1E7-F8F0-4342-8B24-EE1DA83FB3A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@Winnie Ikaal @Rehema Karisa I don't believe this is accurate, (54 back glasss, 11 lh &amp; 21 rh) if im not mistaken. kindly clarify</t>
      </text>
    </comment>
    <comment ref="F1397" authorId="16" shapeId="0" xr:uid="{C863FBE4-3291-419C-80A6-4EC8C13634F1}">
      <text>
        <t>[Threaded comment]
Your version of Excel allows you to read this threaded comment; however, any edits to it will get removed if the file is opened in a newer version of Excel. Learn more: https://go.microsoft.com/fwlink/?linkid=870924
Comment:
    kindly confirm part no</t>
      </text>
    </comment>
    <comment ref="AB1654" authorId="17" shapeId="0" xr:uid="{FB3523CE-CE5F-4B87-BA59-B7424A2EA0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@Rehema Karisa @Mark Bett The claims entered on 3rd of September were counted under August report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tc={34C69A30-E1EF-4FE6-8660-CE53A4648908}</author>
  </authors>
  <commentList>
    <comment ref="E179" authorId="0" shapeId="0" xr:uid="{34C69A30-E1EF-4FE6-8660-CE53A4648908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following up on this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tc={9C4502A5-C908-4D0A-A975-A0A27AAE0099}</author>
  </authors>
  <commentList>
    <comment ref="B2201" authorId="0" shapeId="0" xr:uid="{9C4502A5-C908-4D0A-A975-A0A27AAE00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is Ultra 1918 for the M14 Nuts
Reply:
    Noted</t>
      </text>
    </comment>
  </commentList>
</comments>
</file>

<file path=xl/sharedStrings.xml><?xml version="1.0" encoding="utf-8"?>
<sst xmlns="http://schemas.openxmlformats.org/spreadsheetml/2006/main" count="29581" uniqueCount="8462">
  <si>
    <t>Date</t>
  </si>
  <si>
    <t>Customer</t>
  </si>
  <si>
    <t>Model</t>
  </si>
  <si>
    <t>Chassis</t>
  </si>
  <si>
    <t>Part No.</t>
  </si>
  <si>
    <t>Description</t>
  </si>
  <si>
    <t>Qty</t>
  </si>
  <si>
    <t>Lot affected</t>
  </si>
  <si>
    <t>Reason Code</t>
  </si>
  <si>
    <t>CATEGORY</t>
  </si>
  <si>
    <t>RCA</t>
  </si>
  <si>
    <t>MMO PO</t>
  </si>
  <si>
    <t>EST. COST</t>
  </si>
  <si>
    <t>CORRECT COST</t>
  </si>
  <si>
    <t>Claim/Order Date</t>
  </si>
  <si>
    <t>OEM Response</t>
  </si>
  <si>
    <t>OEM Remarks</t>
  </si>
  <si>
    <t>OEM Packing date</t>
  </si>
  <si>
    <t>Sea/ flight Detail</t>
  </si>
  <si>
    <t>ETA-Kenya</t>
  </si>
  <si>
    <t>ETA-AVA</t>
  </si>
  <si>
    <t>Receiving Date</t>
  </si>
  <si>
    <t>Process aging</t>
  </si>
  <si>
    <t>Rework date</t>
  </si>
  <si>
    <t xml:space="preserve">Status </t>
  </si>
  <si>
    <t>Remark</t>
  </si>
  <si>
    <t>Seal</t>
  </si>
  <si>
    <t>P440</t>
  </si>
  <si>
    <t>4042392, 4042395, 4042399,4042401,4042403,4042404, 4042405, 4042406, 4042407</t>
  </si>
  <si>
    <t>Grommet Lamp Guard</t>
  </si>
  <si>
    <t>Ket013/23</t>
  </si>
  <si>
    <t>Manufacturer Error</t>
  </si>
  <si>
    <t>KDQR</t>
  </si>
  <si>
    <t>N/A</t>
  </si>
  <si>
    <t>Accepted</t>
  </si>
  <si>
    <t>Toyota</t>
  </si>
  <si>
    <t>Hilux</t>
  </si>
  <si>
    <t>56101-0kp40</t>
  </si>
  <si>
    <t>Glass sub assy, windsheld</t>
  </si>
  <si>
    <t>FY010</t>
  </si>
  <si>
    <t>16711-0l180</t>
  </si>
  <si>
    <t>Shroud Fan</t>
  </si>
  <si>
    <t>FX007</t>
  </si>
  <si>
    <t>Wrong Shipment</t>
  </si>
  <si>
    <t>67914-kk020</t>
  </si>
  <si>
    <t>Plate Door Scuff, LH</t>
  </si>
  <si>
    <t>Short Shipment</t>
  </si>
  <si>
    <t>90159-T0037</t>
  </si>
  <si>
    <t>Screw w/washer</t>
  </si>
  <si>
    <t>Fw6,8,9, Fy4,5,7</t>
  </si>
  <si>
    <t>90119-T0126</t>
  </si>
  <si>
    <t>Bolt W/Washer</t>
  </si>
  <si>
    <t>Bal 116</t>
  </si>
  <si>
    <t>90119-T0141</t>
  </si>
  <si>
    <t>55522-0k010</t>
  </si>
  <si>
    <t>f786</t>
  </si>
  <si>
    <t>Fw009</t>
  </si>
  <si>
    <t>55406-kk150 co</t>
  </si>
  <si>
    <t>Panelsub- Assy Instr lwctr</t>
  </si>
  <si>
    <t>Fw008</t>
  </si>
  <si>
    <t>Scm</t>
  </si>
  <si>
    <t>JL0904</t>
  </si>
  <si>
    <t>F3205710</t>
  </si>
  <si>
    <t>CONTROL ROD</t>
  </si>
  <si>
    <t>LK115</t>
  </si>
  <si>
    <t>Scania</t>
  </si>
  <si>
    <t>Reignforcement Bracket</t>
  </si>
  <si>
    <t>Keb002/23</t>
  </si>
  <si>
    <t>Line Damage</t>
  </si>
  <si>
    <t>MMO</t>
  </si>
  <si>
    <t>PCM-000033</t>
  </si>
  <si>
    <t>VDJ</t>
  </si>
  <si>
    <t>51741-60060</t>
  </si>
  <si>
    <t xml:space="preserve">BRACKET, RR BODY MOUNTING, NO.1        </t>
  </si>
  <si>
    <t>GF067</t>
  </si>
  <si>
    <t>51744-60020</t>
  </si>
  <si>
    <t xml:space="preserve">cROSSMEMBER SUB-ASSY, FRAME, RR </t>
  </si>
  <si>
    <t>51701-60070</t>
  </si>
  <si>
    <t xml:space="preserve">BRACKET SUB-ASSY, CAB FR MOUNTING, RH  </t>
  </si>
  <si>
    <t>51763-60010</t>
  </si>
  <si>
    <t xml:space="preserve">BRACKET, BODY SUPPORT, NO.6            </t>
  </si>
  <si>
    <t>51209-60081</t>
  </si>
  <si>
    <t xml:space="preserve">CROSSMEMBER SUB-ASSY, FRAME, RR </t>
  </si>
  <si>
    <t>Hiace</t>
  </si>
  <si>
    <t>41991-60061</t>
  </si>
  <si>
    <t>Differential Lock System Operation</t>
  </si>
  <si>
    <t>F1700900</t>
  </si>
  <si>
    <t>SA OF BALL JOINT</t>
  </si>
  <si>
    <t>JL0907</t>
  </si>
  <si>
    <t>B2034307</t>
  </si>
  <si>
    <t>S/A BALL JOINT</t>
  </si>
  <si>
    <t>JL0913</t>
  </si>
  <si>
    <t>B1211616</t>
  </si>
  <si>
    <t>DAT TANK</t>
  </si>
  <si>
    <t>21</t>
  </si>
  <si>
    <t>Press Screw M12</t>
  </si>
  <si>
    <t>Keb1</t>
  </si>
  <si>
    <t>22</t>
  </si>
  <si>
    <t>5634441/5634354</t>
  </si>
  <si>
    <t>69090-0k080</t>
  </si>
  <si>
    <t>HANDLE ASSY BACK OUTSIDE</t>
  </si>
  <si>
    <t>EZ2</t>
  </si>
  <si>
    <t>Line Loss</t>
  </si>
  <si>
    <t>PCM-000036</t>
  </si>
  <si>
    <t>23</t>
  </si>
  <si>
    <t>67861-0k151</t>
  </si>
  <si>
    <t>WEATHERSTRIP FR DOOR RH</t>
  </si>
  <si>
    <t>EZ5</t>
  </si>
  <si>
    <t>24</t>
  </si>
  <si>
    <t>52110-0k0580-B1</t>
  </si>
  <si>
    <t>BUMPER ASSY FR</t>
  </si>
  <si>
    <t>25</t>
  </si>
  <si>
    <t>52163-0K040</t>
  </si>
  <si>
    <t>PLATE RR BUMBER RH</t>
  </si>
  <si>
    <t>26</t>
  </si>
  <si>
    <t>71003-0K851-C1</t>
  </si>
  <si>
    <t>FR SEAT SET,LH</t>
  </si>
  <si>
    <t>27</t>
  </si>
  <si>
    <t>67491-KK020</t>
  </si>
  <si>
    <t>GARNISH FR DOOR RH</t>
  </si>
  <si>
    <t>DK6</t>
  </si>
  <si>
    <t>PCM-000037</t>
  </si>
  <si>
    <t>28</t>
  </si>
  <si>
    <t>74250-0K200</t>
  </si>
  <si>
    <t>ARMREST ASSY DOOR RH</t>
  </si>
  <si>
    <t>29</t>
  </si>
  <si>
    <t>53100-0KK00</t>
  </si>
  <si>
    <t>GRILLE ASSY RADIATOR</t>
  </si>
  <si>
    <t>30</t>
  </si>
  <si>
    <t>71003-0KA52</t>
  </si>
  <si>
    <t>31</t>
  </si>
  <si>
    <t>53117-0K130</t>
  </si>
  <si>
    <t>RETAINER, RADIATOR GRILLE, NO.1</t>
  </si>
  <si>
    <t>32</t>
  </si>
  <si>
    <t>69284-0K040</t>
  </si>
  <si>
    <t>PLUG, DOOR INSIDE HANDLE BEZEL, LH</t>
  </si>
  <si>
    <t>33</t>
  </si>
  <si>
    <t>90333-01009</t>
  </si>
  <si>
    <t>PLUG PLATE</t>
  </si>
  <si>
    <t>CZ3</t>
  </si>
  <si>
    <t>PCM-000025</t>
  </si>
  <si>
    <t>34</t>
  </si>
  <si>
    <t>HOOK BODY ASSY RR(WHITE)</t>
  </si>
  <si>
    <t>DL13</t>
  </si>
  <si>
    <t>PCM-000038</t>
  </si>
  <si>
    <t>35</t>
  </si>
  <si>
    <t>53117-0K050</t>
  </si>
  <si>
    <t>RETAINER RADIATOR GRILLE NO.1</t>
  </si>
  <si>
    <t>36</t>
  </si>
  <si>
    <t>53115-0K090</t>
  </si>
  <si>
    <t>BRACKET RADIATOR GRILLE</t>
  </si>
  <si>
    <t>37</t>
  </si>
  <si>
    <t>5762959/5763027/5633941</t>
  </si>
  <si>
    <t>REAR AXLE GROMMET</t>
  </si>
  <si>
    <t>DL13,FY1,DC14</t>
  </si>
  <si>
    <t>38</t>
  </si>
  <si>
    <t>FUEL FLAP GROMMET</t>
  </si>
  <si>
    <t>FY1</t>
  </si>
  <si>
    <t>PCM-000042</t>
  </si>
  <si>
    <t>39</t>
  </si>
  <si>
    <t>90119-T0220</t>
  </si>
  <si>
    <t>BOLT W/WASHER</t>
  </si>
  <si>
    <t>PCM-000043</t>
  </si>
  <si>
    <t>40</t>
  </si>
  <si>
    <t>69005-0KB40</t>
  </si>
  <si>
    <t>CYLINDER KEYSET TAILGATE</t>
  </si>
  <si>
    <t>PCM-000044</t>
  </si>
  <si>
    <t>41</t>
  </si>
  <si>
    <t>RH RR WHEEL HOUSING BRACKET</t>
  </si>
  <si>
    <t>DB005</t>
  </si>
  <si>
    <t>42</t>
  </si>
  <si>
    <t>52152-0K080</t>
  </si>
  <si>
    <t>RR BUMPER ASSY</t>
  </si>
  <si>
    <t>FH001</t>
  </si>
  <si>
    <t>43</t>
  </si>
  <si>
    <t>HOOK BODY ASSY RR(OXIDE BRONZE)</t>
  </si>
  <si>
    <t>44</t>
  </si>
  <si>
    <t>Fortuner</t>
  </si>
  <si>
    <t>AHTDB3F5800248294</t>
  </si>
  <si>
    <t>44410-0k290</t>
  </si>
  <si>
    <t>Tube Assy Pressure Feed</t>
  </si>
  <si>
    <t>AJ004</t>
  </si>
  <si>
    <t>45</t>
  </si>
  <si>
    <t>AHTDB3F5800248292</t>
  </si>
  <si>
    <t>46</t>
  </si>
  <si>
    <t>48190-0k050</t>
  </si>
  <si>
    <t>Cam Assy , camber Adjust</t>
  </si>
  <si>
    <t>FY06</t>
  </si>
  <si>
    <t>47</t>
  </si>
  <si>
    <t>48304-0k041</t>
  </si>
  <si>
    <t>Bumper Sub Assy FR Spring</t>
  </si>
  <si>
    <t>48</t>
  </si>
  <si>
    <t>48810-0k010</t>
  </si>
  <si>
    <t>Link Assy FR Stabilizer LH</t>
  </si>
  <si>
    <t>excess 5</t>
  </si>
  <si>
    <t>49</t>
  </si>
  <si>
    <t>Full Lot</t>
  </si>
  <si>
    <t>65638-0K090</t>
  </si>
  <si>
    <t>Liner RR Wheel House LH</t>
  </si>
  <si>
    <t>FY08</t>
  </si>
  <si>
    <t>50</t>
  </si>
  <si>
    <t>71003-0K085</t>
  </si>
  <si>
    <t>Co- driver Seat</t>
  </si>
  <si>
    <t>51</t>
  </si>
  <si>
    <t>90950-f1005</t>
  </si>
  <si>
    <t>Plug Hole(buffer)</t>
  </si>
  <si>
    <t>EH01, EK02</t>
  </si>
  <si>
    <t>52</t>
  </si>
  <si>
    <t>90950-f1001</t>
  </si>
  <si>
    <t>EK03,FY11</t>
  </si>
  <si>
    <t>53</t>
  </si>
  <si>
    <t>90950-f1003</t>
  </si>
  <si>
    <t>FW12,FW10</t>
  </si>
  <si>
    <t>54</t>
  </si>
  <si>
    <t>Mudguard</t>
  </si>
  <si>
    <t>Ket08/23</t>
  </si>
  <si>
    <t>55</t>
  </si>
  <si>
    <t>Fuel Filter</t>
  </si>
  <si>
    <t>56</t>
  </si>
  <si>
    <t>Tata</t>
  </si>
  <si>
    <t>Daewoo</t>
  </si>
  <si>
    <t>K000048</t>
  </si>
  <si>
    <t>LAMP A-FRT COMBINATION LH</t>
  </si>
  <si>
    <t>PCM-000064</t>
  </si>
  <si>
    <t>57</t>
  </si>
  <si>
    <t>3411300190</t>
  </si>
  <si>
    <t>LOCK PLATE</t>
  </si>
  <si>
    <t>58</t>
  </si>
  <si>
    <t>WARNING STICKERS</t>
  </si>
  <si>
    <t>2206-2</t>
  </si>
  <si>
    <t>59</t>
  </si>
  <si>
    <t>MOTOR WIPER</t>
  </si>
  <si>
    <t>60</t>
  </si>
  <si>
    <t>HEAD LINING</t>
  </si>
  <si>
    <t>61</t>
  </si>
  <si>
    <t>354100AD</t>
  </si>
  <si>
    <t>RELEASE CABLE A FRT LID</t>
  </si>
  <si>
    <t>62</t>
  </si>
  <si>
    <t>K000060</t>
  </si>
  <si>
    <t>HEX SCREW</t>
  </si>
  <si>
    <t>2207-1</t>
  </si>
  <si>
    <t>63</t>
  </si>
  <si>
    <t>P3431000140</t>
  </si>
  <si>
    <t>STEERING HOUSING COLUMN</t>
  </si>
  <si>
    <t>64</t>
  </si>
  <si>
    <t>K000047</t>
  </si>
  <si>
    <t>GLASS SUB ASM - GLASS RH</t>
  </si>
  <si>
    <t>65</t>
  </si>
  <si>
    <t>K000038</t>
  </si>
  <si>
    <t>CHILD PART</t>
  </si>
  <si>
    <t>ALTERNATOR</t>
  </si>
  <si>
    <t>66</t>
  </si>
  <si>
    <t>Scania Truck</t>
  </si>
  <si>
    <t>for Antenna housing</t>
  </si>
  <si>
    <t>Locking Plate &amp; Nut</t>
  </si>
  <si>
    <t>Ket20/23</t>
  </si>
  <si>
    <t>67</t>
  </si>
  <si>
    <t>4WD Sticker</t>
  </si>
  <si>
    <t>68</t>
  </si>
  <si>
    <t>F3565910</t>
  </si>
  <si>
    <t>Special Screw dan Head Torx</t>
  </si>
  <si>
    <t>69</t>
  </si>
  <si>
    <t>31380-kk120</t>
  </si>
  <si>
    <t>Support Assy Clutch Pedal</t>
  </si>
  <si>
    <t>FB02</t>
  </si>
  <si>
    <t>Pack Damage</t>
  </si>
  <si>
    <t>ISSUED TO WANGARE 27/11/23</t>
  </si>
  <si>
    <t>70</t>
  </si>
  <si>
    <t>88310-0kb60</t>
  </si>
  <si>
    <t>Compressor Assy w/magnet clutch</t>
  </si>
  <si>
    <t>71</t>
  </si>
  <si>
    <t>child Part</t>
  </si>
  <si>
    <t>Frt Axle</t>
  </si>
  <si>
    <t>72</t>
  </si>
  <si>
    <t>Hino FMA1</t>
  </si>
  <si>
    <t>SZ950-41261</t>
  </si>
  <si>
    <t xml:space="preserve">PLUG HOLE                               </t>
  </si>
  <si>
    <t>Pilot</t>
  </si>
  <si>
    <t>PCM-000046</t>
  </si>
  <si>
    <t>73</t>
  </si>
  <si>
    <t>S170H-E0020</t>
  </si>
  <si>
    <t xml:space="preserve">CLIP SUB-ASSY, PIPE                     </t>
  </si>
  <si>
    <t>74</t>
  </si>
  <si>
    <t>S4701-E0U20</t>
  </si>
  <si>
    <t xml:space="preserve">BRACKET SUB-ASSY, TUBE CLIP             </t>
  </si>
  <si>
    <t>75</t>
  </si>
  <si>
    <t>91551-80816</t>
  </si>
  <si>
    <t xml:space="preserve">BOLT, FLANGE                            </t>
  </si>
  <si>
    <t>76</t>
  </si>
  <si>
    <t>SL621-01633</t>
  </si>
  <si>
    <t xml:space="preserve">WASHER,PLAIN                            </t>
  </si>
  <si>
    <t>77</t>
  </si>
  <si>
    <t>82715-E3B50</t>
  </si>
  <si>
    <t xml:space="preserve">BRACKET, WIRING HARNESS CLAMP           </t>
  </si>
  <si>
    <t>78</t>
  </si>
  <si>
    <t>94151-80800</t>
  </si>
  <si>
    <t xml:space="preserve">NUT, FLANGE                             </t>
  </si>
  <si>
    <t>79</t>
  </si>
  <si>
    <t>74451-10010</t>
  </si>
  <si>
    <t>Bolt, Battery Clamp</t>
  </si>
  <si>
    <t>GH228</t>
  </si>
  <si>
    <t>PCM-000041</t>
  </si>
  <si>
    <t>80</t>
  </si>
  <si>
    <t>90119-06983</t>
  </si>
  <si>
    <t>Bolt, W/washer</t>
  </si>
  <si>
    <t>81</t>
  </si>
  <si>
    <t>90179-06146</t>
  </si>
  <si>
    <t>Nut</t>
  </si>
  <si>
    <t>82</t>
  </si>
  <si>
    <t>74404-26110</t>
  </si>
  <si>
    <t>Clamp sub assy,Battery</t>
  </si>
  <si>
    <t>83</t>
  </si>
  <si>
    <t>Child part</t>
  </si>
  <si>
    <t>Grille Radiator LWR</t>
  </si>
  <si>
    <t>84</t>
  </si>
  <si>
    <t>Front Hood(Bonnet)</t>
  </si>
  <si>
    <t>85</t>
  </si>
  <si>
    <t>Front quarter panel</t>
  </si>
  <si>
    <t>86</t>
  </si>
  <si>
    <t>8110-60C32</t>
  </si>
  <si>
    <t>Headlamp Assy,RH</t>
  </si>
  <si>
    <t>87</t>
  </si>
  <si>
    <t>Screw w/washer tapping</t>
  </si>
  <si>
    <t>Buffer</t>
  </si>
  <si>
    <t>88</t>
  </si>
  <si>
    <t>55620-KK010</t>
  </si>
  <si>
    <t>Holder Assy Instrument Panel cup</t>
  </si>
  <si>
    <t>FB001</t>
  </si>
  <si>
    <t>89</t>
  </si>
  <si>
    <t>55625-KK030</t>
  </si>
  <si>
    <t>Tray Instrument Panel cup Holder</t>
  </si>
  <si>
    <t>90</t>
  </si>
  <si>
    <t>58000-KK901</t>
  </si>
  <si>
    <t>Shell Assy Body (S.P) Bonet</t>
  </si>
  <si>
    <t>91</t>
  </si>
  <si>
    <t>Child Part</t>
  </si>
  <si>
    <t>Front quater panel</t>
  </si>
  <si>
    <t>92</t>
  </si>
  <si>
    <t>8110-60c32</t>
  </si>
  <si>
    <t>Headlamp Assy RH</t>
  </si>
  <si>
    <t>93</t>
  </si>
  <si>
    <t>67491-kk020</t>
  </si>
  <si>
    <t>Garnish FR DR LWR</t>
  </si>
  <si>
    <t>FH02</t>
  </si>
  <si>
    <t>94</t>
  </si>
  <si>
    <t>95</t>
  </si>
  <si>
    <t>96</t>
  </si>
  <si>
    <t>97</t>
  </si>
  <si>
    <t>98</t>
  </si>
  <si>
    <t>51807, 51842, 51881,51734, 54448,544483,54399,54376</t>
  </si>
  <si>
    <t>75921-0k090</t>
  </si>
  <si>
    <t>Black Tape Outer</t>
  </si>
  <si>
    <t>99</t>
  </si>
  <si>
    <t>FJ02</t>
  </si>
  <si>
    <t>100</t>
  </si>
  <si>
    <t>68610-0K110</t>
  </si>
  <si>
    <t>Check Assy FR DR</t>
  </si>
  <si>
    <t>FV07</t>
  </si>
  <si>
    <t>101</t>
  </si>
  <si>
    <t>69205-0K120</t>
  </si>
  <si>
    <t>Handle Sub Assy FR DR</t>
  </si>
  <si>
    <t>102</t>
  </si>
  <si>
    <t>69206-0K110</t>
  </si>
  <si>
    <t>103</t>
  </si>
  <si>
    <t>69311-0K170</t>
  </si>
  <si>
    <t>Rod FR DR Lock open RH</t>
  </si>
  <si>
    <t>104</t>
  </si>
  <si>
    <t>69312-0K170</t>
  </si>
  <si>
    <t>Rod FR DR Lock open LH</t>
  </si>
  <si>
    <t>105</t>
  </si>
  <si>
    <t>69320-02160</t>
  </si>
  <si>
    <t>Lock Assy FR DR LH</t>
  </si>
  <si>
    <t>106</t>
  </si>
  <si>
    <t>69759-0K060</t>
  </si>
  <si>
    <t>Silencer DR Lock Link</t>
  </si>
  <si>
    <t>107</t>
  </si>
  <si>
    <t>63233, 63234</t>
  </si>
  <si>
    <t>55355-kk020</t>
  </si>
  <si>
    <t>Cushion Instru Panel No1</t>
  </si>
  <si>
    <t>FX013</t>
  </si>
  <si>
    <t>108</t>
  </si>
  <si>
    <t>63232, 63235</t>
  </si>
  <si>
    <t>86212-kk050</t>
  </si>
  <si>
    <t>Bracket Radio Receiver</t>
  </si>
  <si>
    <t>109</t>
  </si>
  <si>
    <t>86211-kk050</t>
  </si>
  <si>
    <t>110</t>
  </si>
  <si>
    <t>AC Cap low Missing</t>
  </si>
  <si>
    <t>FY01</t>
  </si>
  <si>
    <t>111</t>
  </si>
  <si>
    <t>42620-0kf40</t>
  </si>
  <si>
    <t>Rim Assy</t>
  </si>
  <si>
    <t>PCM-000061</t>
  </si>
  <si>
    <t>112</t>
  </si>
  <si>
    <t>74231-0KA90</t>
  </si>
  <si>
    <t>Panel Fr DRArm Rest Base RH</t>
  </si>
  <si>
    <t>EH01</t>
  </si>
  <si>
    <t>113</t>
  </si>
  <si>
    <t>Bar RR Bumper Side LH</t>
  </si>
  <si>
    <t>FC01</t>
  </si>
  <si>
    <t>Excess  1</t>
  </si>
  <si>
    <t>114</t>
  </si>
  <si>
    <t>62511-kk020</t>
  </si>
  <si>
    <t>Panel Quater Trim, RH</t>
  </si>
  <si>
    <t>115</t>
  </si>
  <si>
    <t>64261-KK050 B0</t>
  </si>
  <si>
    <t>Garnish Backpanel UPR</t>
  </si>
  <si>
    <t>116</t>
  </si>
  <si>
    <t>86160-0k500</t>
  </si>
  <si>
    <t>Speaker Assy Radio</t>
  </si>
  <si>
    <t>117</t>
  </si>
  <si>
    <t>118</t>
  </si>
  <si>
    <t>Speaker Assy radio</t>
  </si>
  <si>
    <t>119</t>
  </si>
  <si>
    <t>68630-0k0800</t>
  </si>
  <si>
    <t>Check Assy RR DR</t>
  </si>
  <si>
    <t>DD011</t>
  </si>
  <si>
    <t>120</t>
  </si>
  <si>
    <t>BU</t>
  </si>
  <si>
    <t>121</t>
  </si>
  <si>
    <t>87940-0Kb21</t>
  </si>
  <si>
    <t>Mirror Assy outer View LH</t>
  </si>
  <si>
    <t>DD014</t>
  </si>
  <si>
    <t>122</t>
  </si>
  <si>
    <t>EC01</t>
  </si>
  <si>
    <t>123</t>
  </si>
  <si>
    <t>124</t>
  </si>
  <si>
    <t>81730-0d121</t>
  </si>
  <si>
    <t>Lamp assy Side turn signal</t>
  </si>
  <si>
    <t>EB01</t>
  </si>
  <si>
    <t>125</t>
  </si>
  <si>
    <t>47200-0kg30</t>
  </si>
  <si>
    <t>Cylinder Assy Brake Master(cap Damaged) Child part</t>
  </si>
  <si>
    <t>EJ05</t>
  </si>
  <si>
    <t>126</t>
  </si>
  <si>
    <t>44310-0K142</t>
  </si>
  <si>
    <t>Pump Assy Vane</t>
  </si>
  <si>
    <t>127</t>
  </si>
  <si>
    <t>Differential Lock System</t>
  </si>
  <si>
    <t>128</t>
  </si>
  <si>
    <t>Bracket for Heat Shield</t>
  </si>
  <si>
    <t>Ket020/23</t>
  </si>
  <si>
    <t>129</t>
  </si>
  <si>
    <t>RUPD CHANEL</t>
  </si>
  <si>
    <t>Lot 48</t>
  </si>
  <si>
    <t>130</t>
  </si>
  <si>
    <t>Assy Hood Lutch</t>
  </si>
  <si>
    <t>131</t>
  </si>
  <si>
    <t>Assy Control &amp; Panel Complete (child part)</t>
  </si>
  <si>
    <t>132</t>
  </si>
  <si>
    <t>Main Wiring Harness</t>
  </si>
  <si>
    <t>133</t>
  </si>
  <si>
    <t>Headlamp RH</t>
  </si>
  <si>
    <t>134</t>
  </si>
  <si>
    <t>Headlamp LH</t>
  </si>
  <si>
    <t>135</t>
  </si>
  <si>
    <t>Seatbelt RH</t>
  </si>
  <si>
    <t>136</t>
  </si>
  <si>
    <t>Seatbelt LH</t>
  </si>
  <si>
    <t>137</t>
  </si>
  <si>
    <t>Wiper Motor</t>
  </si>
  <si>
    <t>BAL 1</t>
  </si>
  <si>
    <t>138</t>
  </si>
  <si>
    <t>Nylon Pipe</t>
  </si>
  <si>
    <t>139</t>
  </si>
  <si>
    <t>140</t>
  </si>
  <si>
    <t>Grille Side RH</t>
  </si>
  <si>
    <t>141</t>
  </si>
  <si>
    <t>Assy Sealing RH</t>
  </si>
  <si>
    <t>142</t>
  </si>
  <si>
    <t>99267383102L</t>
  </si>
  <si>
    <t>Plenum Chamber with Hose</t>
  </si>
  <si>
    <t>143</t>
  </si>
  <si>
    <t>Bumper</t>
  </si>
  <si>
    <t>144</t>
  </si>
  <si>
    <t>Whole lot</t>
  </si>
  <si>
    <t>Linning Side RR</t>
  </si>
  <si>
    <t>PCM-000048</t>
  </si>
  <si>
    <t>145</t>
  </si>
  <si>
    <t>Whole Lot</t>
  </si>
  <si>
    <t>Linning Side FR</t>
  </si>
  <si>
    <t>146</t>
  </si>
  <si>
    <t>Accelerator Cable</t>
  </si>
  <si>
    <t>147</t>
  </si>
  <si>
    <t>Assy lock</t>
  </si>
  <si>
    <t>148</t>
  </si>
  <si>
    <t>Guide Plate cast</t>
  </si>
  <si>
    <t>149</t>
  </si>
  <si>
    <t>Horn(Low Torn) 24V</t>
  </si>
  <si>
    <t>150</t>
  </si>
  <si>
    <t>CWX101560</t>
  </si>
  <si>
    <t>Clutch Servor</t>
  </si>
  <si>
    <t>151</t>
  </si>
  <si>
    <t>Air Pressure Pipe</t>
  </si>
  <si>
    <t>152</t>
  </si>
  <si>
    <t>Temperature Sensor</t>
  </si>
  <si>
    <t>153</t>
  </si>
  <si>
    <t>Exhaust Studs</t>
  </si>
  <si>
    <t>154</t>
  </si>
  <si>
    <t>Tyre</t>
  </si>
  <si>
    <t>Follow up with AVA</t>
  </si>
  <si>
    <t>155</t>
  </si>
  <si>
    <t>Glass Windshield</t>
  </si>
  <si>
    <t>156</t>
  </si>
  <si>
    <t>Grease Cap</t>
  </si>
  <si>
    <t>157</t>
  </si>
  <si>
    <t>X5B00500</t>
  </si>
  <si>
    <t>24V Windshield washer unit (nozzle child part)</t>
  </si>
  <si>
    <t>Claimed during robbing</t>
  </si>
  <si>
    <t>158</t>
  </si>
  <si>
    <t>LOT</t>
  </si>
  <si>
    <t>B2257302</t>
  </si>
  <si>
    <t>S/A Pressure Line</t>
  </si>
  <si>
    <t>159</t>
  </si>
  <si>
    <t>X1102250</t>
  </si>
  <si>
    <t>Power staring resevoir Cover</t>
  </si>
  <si>
    <t>160</t>
  </si>
  <si>
    <t>CHILD PART OF ENGINE</t>
  </si>
  <si>
    <t>Accelerator Cable Bracket attached to Fuel Pump( child Part)</t>
  </si>
  <si>
    <t>161</t>
  </si>
  <si>
    <t>CHILD PART OF ACC. CABLE</t>
  </si>
  <si>
    <t>Acceleerator cable ball Joint Lock</t>
  </si>
  <si>
    <t>162</t>
  </si>
  <si>
    <t>F0810010</t>
  </si>
  <si>
    <t>O Clamp</t>
  </si>
  <si>
    <t>163</t>
  </si>
  <si>
    <t>Bolero</t>
  </si>
  <si>
    <t>Z0028414</t>
  </si>
  <si>
    <t>Windshield Animated Camper</t>
  </si>
  <si>
    <t>164</t>
  </si>
  <si>
    <t>R6086607</t>
  </si>
  <si>
    <t>2301AAN00470A</t>
  </si>
  <si>
    <t>Instrumenta panel Assy ( child part)</t>
  </si>
  <si>
    <t>165</t>
  </si>
  <si>
    <t>72681-kk020</t>
  </si>
  <si>
    <t>Hook RR Seat</t>
  </si>
  <si>
    <t>AN002</t>
  </si>
  <si>
    <t>166</t>
  </si>
  <si>
    <t>55607-kk030</t>
  </si>
  <si>
    <t>Cover sub Assy Instru Panel under N0.2</t>
  </si>
  <si>
    <t>AJ005</t>
  </si>
  <si>
    <t>Not Supplied</t>
  </si>
  <si>
    <t>167</t>
  </si>
  <si>
    <t>90109-06385</t>
  </si>
  <si>
    <t>Bolt</t>
  </si>
  <si>
    <t>168</t>
  </si>
  <si>
    <t>67403-0k100</t>
  </si>
  <si>
    <t>Frame Sub Assy FR DR,RR LWR RH</t>
  </si>
  <si>
    <t>BU003</t>
  </si>
  <si>
    <t>169</t>
  </si>
  <si>
    <t>67404-0k100</t>
  </si>
  <si>
    <t>Frame Sub Assy FR DR,RR LWR LH</t>
  </si>
  <si>
    <t>170</t>
  </si>
  <si>
    <t>16400-0L392</t>
  </si>
  <si>
    <t>Radiator Assy</t>
  </si>
  <si>
    <t>171</t>
  </si>
  <si>
    <t>76085-0k070</t>
  </si>
  <si>
    <t>Spoiler Sub Assy RR</t>
  </si>
  <si>
    <t>172</t>
  </si>
  <si>
    <t>66322-0k020</t>
  </si>
  <si>
    <t>Bumper, Tailgate Rubber</t>
  </si>
  <si>
    <t>FV007</t>
  </si>
  <si>
    <t>173</t>
  </si>
  <si>
    <t>82715-kk290</t>
  </si>
  <si>
    <t>Bracket Wiring  Harness</t>
  </si>
  <si>
    <t>174</t>
  </si>
  <si>
    <t>Clamp</t>
  </si>
  <si>
    <t>175</t>
  </si>
  <si>
    <t>55620-0kk01</t>
  </si>
  <si>
    <t>Holder Assy Instrument Panel Ciup</t>
  </si>
  <si>
    <t>176</t>
  </si>
  <si>
    <t>TBC</t>
  </si>
  <si>
    <t>1805AAA01941N</t>
  </si>
  <si>
    <t>VACUUM MODULATOR</t>
  </si>
  <si>
    <t>177</t>
  </si>
  <si>
    <t>BOSS</t>
  </si>
  <si>
    <t>FAG19700</t>
  </si>
  <si>
    <t>HARNESS LOCK PIN(SPEED SENSOR)</t>
  </si>
  <si>
    <t>LK113</t>
  </si>
  <si>
    <t>178</t>
  </si>
  <si>
    <t>B4464901</t>
  </si>
  <si>
    <t>HOSE ASSY FEED PUMP (TO FUEL FILTER)</t>
  </si>
  <si>
    <t>179</t>
  </si>
  <si>
    <t>FH501600</t>
  </si>
  <si>
    <t>MARKER LAMP</t>
  </si>
  <si>
    <t>180</t>
  </si>
  <si>
    <t>BZC03401</t>
  </si>
  <si>
    <t>DRAG LINK SUB ASSY</t>
  </si>
  <si>
    <t>181</t>
  </si>
  <si>
    <t>F9P00700</t>
  </si>
  <si>
    <t>HOSE CAB TILTING</t>
  </si>
  <si>
    <t>182</t>
  </si>
  <si>
    <t>F8200110</t>
  </si>
  <si>
    <t>JUPITOR HOSE CLAMP</t>
  </si>
  <si>
    <t>183</t>
  </si>
  <si>
    <t>B8340805</t>
  </si>
  <si>
    <t>COMPRESSOR-PIPE</t>
  </si>
  <si>
    <t>184</t>
  </si>
  <si>
    <t>CT2518</t>
  </si>
  <si>
    <t>6817-6818</t>
  </si>
  <si>
    <t>X7815200</t>
  </si>
  <si>
    <t>Tail Lamp</t>
  </si>
  <si>
    <t>AK0024</t>
  </si>
  <si>
    <t>185</t>
  </si>
  <si>
    <t>F8068100</t>
  </si>
  <si>
    <t>Mirror</t>
  </si>
  <si>
    <t>186</t>
  </si>
  <si>
    <t>F8254600</t>
  </si>
  <si>
    <t>187</t>
  </si>
  <si>
    <t>F1000400</t>
  </si>
  <si>
    <t>Airtank</t>
  </si>
  <si>
    <t>Robbed/Claim</t>
  </si>
  <si>
    <t>188</t>
  </si>
  <si>
    <t>FF403400</t>
  </si>
  <si>
    <t>PROXMITY SENSOR- IMM LENGTH 2.50CM</t>
  </si>
  <si>
    <t>189</t>
  </si>
  <si>
    <t>B5412246</t>
  </si>
  <si>
    <t>HANDLE CAB LOCK -ECOMET</t>
  </si>
  <si>
    <t>190</t>
  </si>
  <si>
    <t>B2251601</t>
  </si>
  <si>
    <t>S/A STG PIPE-PUMP</t>
  </si>
  <si>
    <t>191</t>
  </si>
  <si>
    <t>30L AIRTANK WITH VOSS FITTINGS</t>
  </si>
  <si>
    <t>192</t>
  </si>
  <si>
    <t>FF400168</t>
  </si>
  <si>
    <t>FUEL SENSOR UNIT REED SWITCH TYPE</t>
  </si>
  <si>
    <t>193</t>
  </si>
  <si>
    <t>F3140215</t>
  </si>
  <si>
    <t>M12 BANJO</t>
  </si>
  <si>
    <t>194</t>
  </si>
  <si>
    <t>F4922300</t>
  </si>
  <si>
    <t>GASKET</t>
  </si>
  <si>
    <t>195</t>
  </si>
  <si>
    <t>F8008200</t>
  </si>
  <si>
    <t>BANJO BOLT</t>
  </si>
  <si>
    <t>196</t>
  </si>
  <si>
    <t>B5583111</t>
  </si>
  <si>
    <t>ARM ASSY  DOOR CHEC</t>
  </si>
  <si>
    <t>197</t>
  </si>
  <si>
    <t>B5583112</t>
  </si>
  <si>
    <t>ARM ASSYDOOR CHECK</t>
  </si>
  <si>
    <t>198</t>
  </si>
  <si>
    <t>F0121515</t>
  </si>
  <si>
    <t>Adaptor M12 Solenoid Valves</t>
  </si>
  <si>
    <t>HKT0072</t>
  </si>
  <si>
    <t>199</t>
  </si>
  <si>
    <t>F3592615</t>
  </si>
  <si>
    <t xml:space="preserve">Lock Nut </t>
  </si>
  <si>
    <t>200</t>
  </si>
  <si>
    <t>F0151515</t>
  </si>
  <si>
    <t>Hose Adaptor Diff Lock Solenoid</t>
  </si>
  <si>
    <t>201</t>
  </si>
  <si>
    <t>X0637900</t>
  </si>
  <si>
    <t>W/A Roof Mark Lamp</t>
  </si>
  <si>
    <t>202</t>
  </si>
  <si>
    <t>F4931440</t>
  </si>
  <si>
    <t>SPL Washer</t>
  </si>
  <si>
    <t>203</t>
  </si>
  <si>
    <t>Vehicle Speed Sensor</t>
  </si>
  <si>
    <t>204</t>
  </si>
  <si>
    <t>FMX02899</t>
  </si>
  <si>
    <t>Main Wiring Harness bus body M</t>
  </si>
  <si>
    <t>205</t>
  </si>
  <si>
    <t>75471-90K00</t>
  </si>
  <si>
    <t>4WD STICKER</t>
  </si>
  <si>
    <t>GF057</t>
  </si>
  <si>
    <t>206</t>
  </si>
  <si>
    <t>47320-60071</t>
  </si>
  <si>
    <t>Brake Tubing</t>
  </si>
  <si>
    <t>GF070</t>
  </si>
  <si>
    <t>Ready units</t>
  </si>
  <si>
    <t>207</t>
  </si>
  <si>
    <t>91611-40825</t>
  </si>
  <si>
    <t>GF071</t>
  </si>
  <si>
    <t>208</t>
  </si>
  <si>
    <t>75370-60020</t>
  </si>
  <si>
    <t>Emblem Quater Panel</t>
  </si>
  <si>
    <t>GF69</t>
  </si>
  <si>
    <t>Boss</t>
  </si>
  <si>
    <t>209</t>
  </si>
  <si>
    <t>Wiper Blade ASM</t>
  </si>
  <si>
    <t>PCM-000040</t>
  </si>
  <si>
    <t>210</t>
  </si>
  <si>
    <t>Corner vane A RH</t>
  </si>
  <si>
    <t>211</t>
  </si>
  <si>
    <t>Lock A_FRT Lid</t>
  </si>
  <si>
    <t>212</t>
  </si>
  <si>
    <t>Clamp RR fender MTG D</t>
  </si>
  <si>
    <t>213</t>
  </si>
  <si>
    <t>Motor A W/s Wiper</t>
  </si>
  <si>
    <t>214</t>
  </si>
  <si>
    <t>Spring Chamer 3030</t>
  </si>
  <si>
    <t>215</t>
  </si>
  <si>
    <t>Drag Link ASM</t>
  </si>
  <si>
    <t>216</t>
  </si>
  <si>
    <t>Mirror A-FRT under View</t>
  </si>
  <si>
    <t>217</t>
  </si>
  <si>
    <t>Mirror A-RR View</t>
  </si>
  <si>
    <t>218</t>
  </si>
  <si>
    <t>Hollow screw</t>
  </si>
  <si>
    <t>219</t>
  </si>
  <si>
    <t>3431000140BK</t>
  </si>
  <si>
    <t>STRG Col Housing UPR RR</t>
  </si>
  <si>
    <t>220</t>
  </si>
  <si>
    <t>Label- Air Filter</t>
  </si>
  <si>
    <t>ISSUED TO MAPENZI 23/11/23 BAL. 1</t>
  </si>
  <si>
    <t>221</t>
  </si>
  <si>
    <t>3722100030LB</t>
  </si>
  <si>
    <t>Headlining A</t>
  </si>
  <si>
    <t>222</t>
  </si>
  <si>
    <t>BRKT A-Door Hand Grip FRT</t>
  </si>
  <si>
    <t>ISSUED TO MAPENZI 23/11/23</t>
  </si>
  <si>
    <t>223</t>
  </si>
  <si>
    <t>Release Cable A-FRT Lid</t>
  </si>
  <si>
    <t>224</t>
  </si>
  <si>
    <t>3723500110DB</t>
  </si>
  <si>
    <t>Cap- Door Assist Grip</t>
  </si>
  <si>
    <t>225</t>
  </si>
  <si>
    <t>Lamp A)FRT Comb LH</t>
  </si>
  <si>
    <t>226</t>
  </si>
  <si>
    <t>Lamp A-FRT Comb RH</t>
  </si>
  <si>
    <t>227</t>
  </si>
  <si>
    <t>53117-0k190</t>
  </si>
  <si>
    <t>Retainer Radiator Grill</t>
  </si>
  <si>
    <t>228</t>
  </si>
  <si>
    <t>62205-26013</t>
  </si>
  <si>
    <t>Glass Sub Assy RR side Window FR RH</t>
  </si>
  <si>
    <t>GH0267</t>
  </si>
  <si>
    <t>229</t>
  </si>
  <si>
    <t>63310-26A63-B1</t>
  </si>
  <si>
    <t>FR Roof Headlining Clip( child Part)</t>
  </si>
  <si>
    <t>230</t>
  </si>
  <si>
    <t>F8040200</t>
  </si>
  <si>
    <t>Interior Lamp Assy 24V</t>
  </si>
  <si>
    <t>231</t>
  </si>
  <si>
    <t>F6B00268</t>
  </si>
  <si>
    <t>Door Trim RH</t>
  </si>
  <si>
    <t>232</t>
  </si>
  <si>
    <t>Regulator</t>
  </si>
  <si>
    <t>233</t>
  </si>
  <si>
    <t>Hose Assy-Filter to Flip</t>
  </si>
  <si>
    <t>234</t>
  </si>
  <si>
    <t>ECOMET</t>
  </si>
  <si>
    <t>NPEJ9718,21,13,19</t>
  </si>
  <si>
    <t>F7900913</t>
  </si>
  <si>
    <t>REINFORCEMENT PLATE REAR</t>
  </si>
  <si>
    <t>LK110</t>
  </si>
  <si>
    <t>235</t>
  </si>
  <si>
    <t>77100-V3040</t>
  </si>
  <si>
    <t>Fuel Tank S.P</t>
  </si>
  <si>
    <t>GH280</t>
  </si>
  <si>
    <t>PCM-000062</t>
  </si>
  <si>
    <t>236</t>
  </si>
  <si>
    <t>42260-0KF40</t>
  </si>
  <si>
    <t>Front Tyre LH</t>
  </si>
  <si>
    <t>EJ005</t>
  </si>
  <si>
    <t>237</t>
  </si>
  <si>
    <t>WHOLE LOT</t>
  </si>
  <si>
    <t>F1960050</t>
  </si>
  <si>
    <t>HOSE AIR PIPE</t>
  </si>
  <si>
    <t>238</t>
  </si>
  <si>
    <t>FW900568</t>
  </si>
  <si>
    <t>PANEL ROOF TRIM</t>
  </si>
  <si>
    <t>239</t>
  </si>
  <si>
    <t>X7901214</t>
  </si>
  <si>
    <t>BRACKET RADIATOR GRILL OUTER</t>
  </si>
  <si>
    <t>240</t>
  </si>
  <si>
    <t>X7901114</t>
  </si>
  <si>
    <t>241</t>
  </si>
  <si>
    <t>242</t>
  </si>
  <si>
    <t>F3542810</t>
  </si>
  <si>
    <t>M6 CAGE NUT</t>
  </si>
  <si>
    <t>243</t>
  </si>
  <si>
    <t>F7873050</t>
  </si>
  <si>
    <t>HOOD LOCK</t>
  </si>
  <si>
    <t>14 Bal</t>
  </si>
  <si>
    <t>244</t>
  </si>
  <si>
    <t>F3542410</t>
  </si>
  <si>
    <t>M8 SQUARE CAGE NUT</t>
  </si>
  <si>
    <t>Bal 18</t>
  </si>
  <si>
    <t>245</t>
  </si>
  <si>
    <t>AL TO CONFIRM</t>
  </si>
  <si>
    <t>BRACKET GRILL SUPP RH</t>
  </si>
  <si>
    <t>246</t>
  </si>
  <si>
    <t>BRACKET GRILL SUPP LH</t>
  </si>
  <si>
    <t>247</t>
  </si>
  <si>
    <t>B4461908</t>
  </si>
  <si>
    <t xml:space="preserve">MAIN FUEL FILTER </t>
  </si>
  <si>
    <t>248</t>
  </si>
  <si>
    <t>FE84CE</t>
  </si>
  <si>
    <t>ME624501</t>
  </si>
  <si>
    <t>L- joint</t>
  </si>
  <si>
    <t>95/96</t>
  </si>
  <si>
    <t>249</t>
  </si>
  <si>
    <t>ME510511</t>
  </si>
  <si>
    <t>Joint Speedo Meter</t>
  </si>
  <si>
    <t>250</t>
  </si>
  <si>
    <t>ME0510512</t>
  </si>
  <si>
    <t>Shaft Speedo Drive</t>
  </si>
  <si>
    <t>251</t>
  </si>
  <si>
    <t>FE85CG</t>
  </si>
  <si>
    <t>ML324236</t>
  </si>
  <si>
    <t>Blower Assy ( child Part Missing) Sieve</t>
  </si>
  <si>
    <t>252</t>
  </si>
  <si>
    <t>ME624504</t>
  </si>
  <si>
    <t>L-Joint</t>
  </si>
  <si>
    <t>89/90</t>
  </si>
  <si>
    <t>253</t>
  </si>
  <si>
    <t>254</t>
  </si>
  <si>
    <t>255</t>
  </si>
  <si>
    <t>FE85CH</t>
  </si>
  <si>
    <t>4D337SYF2644</t>
  </si>
  <si>
    <t>Starter(Engine service Part)</t>
  </si>
  <si>
    <t>256</t>
  </si>
  <si>
    <t>FE85CG, 3 WHOLE LOT</t>
  </si>
  <si>
    <t>L-JOINT</t>
  </si>
  <si>
    <t>48/49</t>
  </si>
  <si>
    <t>B123120052</t>
  </si>
  <si>
    <t>257</t>
  </si>
  <si>
    <t>50/51</t>
  </si>
  <si>
    <t>258</t>
  </si>
  <si>
    <t>259</t>
  </si>
  <si>
    <t>ME0570512</t>
  </si>
  <si>
    <t>260</t>
  </si>
  <si>
    <t>Blower Assy ( child Part) Sieve</t>
  </si>
  <si>
    <t>B123110050</t>
  </si>
  <si>
    <t>261</t>
  </si>
  <si>
    <t>MC130643</t>
  </si>
  <si>
    <t>Rivet Screw</t>
  </si>
  <si>
    <t>262</t>
  </si>
  <si>
    <t>263</t>
  </si>
  <si>
    <t>56100-26111</t>
  </si>
  <si>
    <t>Windshield screen</t>
  </si>
  <si>
    <t>GH0287</t>
  </si>
  <si>
    <t>264</t>
  </si>
  <si>
    <t>Joint Speedometer</t>
  </si>
  <si>
    <t>265</t>
  </si>
  <si>
    <t>266</t>
  </si>
  <si>
    <t>FEC91</t>
  </si>
  <si>
    <t>MK403156</t>
  </si>
  <si>
    <t>W/strip, F DR Fender</t>
  </si>
  <si>
    <t>B124010005</t>
  </si>
  <si>
    <t>267</t>
  </si>
  <si>
    <t>FECX</t>
  </si>
  <si>
    <t>Y01544</t>
  </si>
  <si>
    <t>ML317041</t>
  </si>
  <si>
    <t>Tank Assy Fuel(70L)</t>
  </si>
  <si>
    <t>B123120051</t>
  </si>
  <si>
    <t>268</t>
  </si>
  <si>
    <t>FI EV</t>
  </si>
  <si>
    <t>P010826</t>
  </si>
  <si>
    <t>A4004700369</t>
  </si>
  <si>
    <t>Fuel Filter water separator</t>
  </si>
  <si>
    <t>269</t>
  </si>
  <si>
    <t>P010824</t>
  </si>
  <si>
    <t>Fuel filter water seperator</t>
  </si>
  <si>
    <t>270</t>
  </si>
  <si>
    <t>P010781</t>
  </si>
  <si>
    <t>DCA4004770401</t>
  </si>
  <si>
    <t>Fuel filter</t>
  </si>
  <si>
    <t>271</t>
  </si>
  <si>
    <t>P010763</t>
  </si>
  <si>
    <t>400924D0055148</t>
  </si>
  <si>
    <t>Flange on output shaft from GearBox</t>
  </si>
  <si>
    <t>272</t>
  </si>
  <si>
    <t>A4003110003</t>
  </si>
  <si>
    <t>Long Member LH</t>
  </si>
  <si>
    <t>273</t>
  </si>
  <si>
    <t>A4003110103</t>
  </si>
  <si>
    <t>Long Member RH</t>
  </si>
  <si>
    <t>274</t>
  </si>
  <si>
    <t>P010826, P010823</t>
  </si>
  <si>
    <t>A4005441303</t>
  </si>
  <si>
    <t>Tail Lamp LHS</t>
  </si>
  <si>
    <t>275</t>
  </si>
  <si>
    <t>Fi1217r</t>
  </si>
  <si>
    <t>P010717</t>
  </si>
  <si>
    <t>A4003230300</t>
  </si>
  <si>
    <t>Front shock Absorber Nut (child Part)</t>
  </si>
  <si>
    <t>276</t>
  </si>
  <si>
    <t>FI1217R</t>
  </si>
  <si>
    <t>A4007200146</t>
  </si>
  <si>
    <t>LU Window Lift RH (Door Regulator (Child part))</t>
  </si>
  <si>
    <t>277</t>
  </si>
  <si>
    <t>N910105008041</t>
  </si>
  <si>
    <t>Screws (Washer Screws Missing)</t>
  </si>
  <si>
    <t>278</t>
  </si>
  <si>
    <t>A4007230501</t>
  </si>
  <si>
    <t>LU LOCK RRT LH</t>
  </si>
  <si>
    <t>279</t>
  </si>
  <si>
    <t>Marcopolo</t>
  </si>
  <si>
    <t>Front HandRail LH</t>
  </si>
  <si>
    <t>001/22</t>
  </si>
  <si>
    <t>280</t>
  </si>
  <si>
    <t>Co-driver Seat LH</t>
  </si>
  <si>
    <t>281</t>
  </si>
  <si>
    <t>Maintain Cap Assembly screws</t>
  </si>
  <si>
    <t>282</t>
  </si>
  <si>
    <t>P008912, P008913</t>
  </si>
  <si>
    <t>Washer Side</t>
  </si>
  <si>
    <t>283</t>
  </si>
  <si>
    <t>P011510</t>
  </si>
  <si>
    <t>A4008102816</t>
  </si>
  <si>
    <t>LU Mirror RH</t>
  </si>
  <si>
    <t>284</t>
  </si>
  <si>
    <t>Mould/Cabdoor Handle RR</t>
  </si>
  <si>
    <t>285</t>
  </si>
  <si>
    <t>Cover Mold/CabRR Door handle</t>
  </si>
  <si>
    <t>286</t>
  </si>
  <si>
    <t>A4008600585</t>
  </si>
  <si>
    <t>LU Seat belt</t>
  </si>
  <si>
    <t>287</t>
  </si>
  <si>
    <t>82821-24010</t>
  </si>
  <si>
    <t>COVER CONNECTOR</t>
  </si>
  <si>
    <t>288</t>
  </si>
  <si>
    <t>A4008200040</t>
  </si>
  <si>
    <t>LU Wiper Compl arm</t>
  </si>
  <si>
    <t>289</t>
  </si>
  <si>
    <t>MEC0574A/ UPP011577</t>
  </si>
  <si>
    <t xml:space="preserve">LU Lock FRT LH Door </t>
  </si>
  <si>
    <t>290</t>
  </si>
  <si>
    <t>MEC0574A/ UPP011565</t>
  </si>
  <si>
    <t>A4008200479</t>
  </si>
  <si>
    <t>LU Radio / Neutral</t>
  </si>
  <si>
    <t>291</t>
  </si>
  <si>
    <t xml:space="preserve">6980283, 6980286, 6980284, 6980288, </t>
  </si>
  <si>
    <t>58449-26021</t>
  </si>
  <si>
    <t>PACKING, BATTERY SERVICE HOLE COVER</t>
  </si>
  <si>
    <t>GH284, GH287, 285, GH289</t>
  </si>
  <si>
    <t>PCM-000050</t>
  </si>
  <si>
    <t>292</t>
  </si>
  <si>
    <t xml:space="preserve">Grab Handle </t>
  </si>
  <si>
    <t>ket020/23</t>
  </si>
  <si>
    <t xml:space="preserve"> 9/19/23</t>
  </si>
  <si>
    <t>293</t>
  </si>
  <si>
    <t>PP011576</t>
  </si>
  <si>
    <t>Thrust Washer Rear</t>
  </si>
  <si>
    <t>294</t>
  </si>
  <si>
    <t>PP011577</t>
  </si>
  <si>
    <t>A4003220230</t>
  </si>
  <si>
    <t>LH Spring Shackle Pin</t>
  </si>
  <si>
    <t>295</t>
  </si>
  <si>
    <t>Cabin Child part</t>
  </si>
  <si>
    <t xml:space="preserve">Cabin Door Grommets </t>
  </si>
  <si>
    <t>FP03 &amp; FB03</t>
  </si>
  <si>
    <t>296</t>
  </si>
  <si>
    <t>P011553</t>
  </si>
  <si>
    <t>GRAB HANDLE</t>
  </si>
  <si>
    <t>297</t>
  </si>
  <si>
    <t>A4004630501</t>
  </si>
  <si>
    <t>LU PITMAN ARM</t>
  </si>
  <si>
    <t>298</t>
  </si>
  <si>
    <t>A4003150132</t>
  </si>
  <si>
    <t>TOW HOOK</t>
  </si>
  <si>
    <t>299</t>
  </si>
  <si>
    <t>P011612, P011613</t>
  </si>
  <si>
    <t>A4005842301</t>
  </si>
  <si>
    <t>VIN PLATE</t>
  </si>
  <si>
    <t>300</t>
  </si>
  <si>
    <t>A4007201375</t>
  </si>
  <si>
    <t>ZB DOOR HANDLE OUTER LH ( CHILD PART)</t>
  </si>
  <si>
    <t>301</t>
  </si>
  <si>
    <t>74451-16010</t>
  </si>
  <si>
    <t>Bolt Battery Clamp</t>
  </si>
  <si>
    <t>302</t>
  </si>
  <si>
    <t>Clamp Sub Assy Battery Hold Down</t>
  </si>
  <si>
    <t>303</t>
  </si>
  <si>
    <t xml:space="preserve">Door Handle Exterior LH </t>
  </si>
  <si>
    <t>304</t>
  </si>
  <si>
    <t>Grab Handle RH &amp; LH</t>
  </si>
  <si>
    <t>KET020/23</t>
  </si>
  <si>
    <t>305</t>
  </si>
  <si>
    <t>Spring Bracket RH</t>
  </si>
  <si>
    <t>306</t>
  </si>
  <si>
    <t>Bracket for Heat shield medium</t>
  </si>
  <si>
    <t>307</t>
  </si>
  <si>
    <t>Ignition Set</t>
  </si>
  <si>
    <t>308</t>
  </si>
  <si>
    <t>ECU C300</t>
  </si>
  <si>
    <t>309</t>
  </si>
  <si>
    <t>RRAxle Child Part</t>
  </si>
  <si>
    <t>Spring bracket chamber release screw LH</t>
  </si>
  <si>
    <t>ket015/23</t>
  </si>
  <si>
    <t>310</t>
  </si>
  <si>
    <t>P012217, 18, 19</t>
  </si>
  <si>
    <t>A4004132242</t>
  </si>
  <si>
    <t xml:space="preserve">Bracket/1217/4x2 </t>
  </si>
  <si>
    <t>311</t>
  </si>
  <si>
    <t>Scania P410</t>
  </si>
  <si>
    <t>KeyTop Automatic Mode</t>
  </si>
  <si>
    <t>KET021/23</t>
  </si>
  <si>
    <t>312</t>
  </si>
  <si>
    <t>A4007602906</t>
  </si>
  <si>
    <t>ZB Key/Fuso</t>
  </si>
  <si>
    <t>B123120053</t>
  </si>
  <si>
    <t>313</t>
  </si>
  <si>
    <t>A4008140001A0</t>
  </si>
  <si>
    <t>Coat Hook</t>
  </si>
  <si>
    <t>314</t>
  </si>
  <si>
    <t>MH014098</t>
  </si>
  <si>
    <t>LU Seat Belt LH</t>
  </si>
  <si>
    <t>B123110046</t>
  </si>
  <si>
    <t>315</t>
  </si>
  <si>
    <t>40092ZD0058504</t>
  </si>
  <si>
    <t>Engine (child part)</t>
  </si>
  <si>
    <t>371 &amp; 370</t>
  </si>
  <si>
    <t>316</t>
  </si>
  <si>
    <t>Scania F360</t>
  </si>
  <si>
    <t>Air Compressor</t>
  </si>
  <si>
    <t>KEB003</t>
  </si>
  <si>
    <t>317</t>
  </si>
  <si>
    <t>74513-02020</t>
  </si>
  <si>
    <t>Label Identification number Information</t>
  </si>
  <si>
    <t>EX0001</t>
  </si>
  <si>
    <t>318</t>
  </si>
  <si>
    <t>42600-26C12</t>
  </si>
  <si>
    <t>TYRE</t>
  </si>
  <si>
    <t>GH303,306</t>
  </si>
  <si>
    <t>319</t>
  </si>
  <si>
    <t>Exhaust pipe</t>
  </si>
  <si>
    <t xml:space="preserve"> 9-Jan-2024</t>
  </si>
  <si>
    <t>320</t>
  </si>
  <si>
    <t>U- Bolt</t>
  </si>
  <si>
    <t>321</t>
  </si>
  <si>
    <t>Hose (cooling pipe child part)</t>
  </si>
  <si>
    <t>KEB004</t>
  </si>
  <si>
    <t>322</t>
  </si>
  <si>
    <t xml:space="preserve">Mudguard Bracket LH </t>
  </si>
  <si>
    <t>323</t>
  </si>
  <si>
    <t>Mudguard Bracket RH</t>
  </si>
  <si>
    <t>324</t>
  </si>
  <si>
    <t>Fuel Tank</t>
  </si>
  <si>
    <t>GH287</t>
  </si>
  <si>
    <t>325</t>
  </si>
  <si>
    <t>42600-2C12</t>
  </si>
  <si>
    <t>326</t>
  </si>
  <si>
    <t>89668-0K270</t>
  </si>
  <si>
    <t>Bracket Junction</t>
  </si>
  <si>
    <t>DC0014</t>
  </si>
  <si>
    <t>327</t>
  </si>
  <si>
    <t>89667-0K270</t>
  </si>
  <si>
    <t>328</t>
  </si>
  <si>
    <t>90153-T0001</t>
  </si>
  <si>
    <t>Screw, crossrecess</t>
  </si>
  <si>
    <t>329</t>
  </si>
  <si>
    <t>6823-0K010</t>
  </si>
  <si>
    <t>Mould Weather</t>
  </si>
  <si>
    <t>X</t>
  </si>
  <si>
    <t>330</t>
  </si>
  <si>
    <t>Hexagon Screw</t>
  </si>
  <si>
    <t>331</t>
  </si>
  <si>
    <t>Washer</t>
  </si>
  <si>
    <t>332</t>
  </si>
  <si>
    <t>333</t>
  </si>
  <si>
    <t>Link</t>
  </si>
  <si>
    <t>334</t>
  </si>
  <si>
    <t>P011865</t>
  </si>
  <si>
    <t>Vin Plate</t>
  </si>
  <si>
    <t>335</t>
  </si>
  <si>
    <t>Reinforcement</t>
  </si>
  <si>
    <t>336</t>
  </si>
  <si>
    <t>90950-01970</t>
  </si>
  <si>
    <t>Plug Hole</t>
  </si>
  <si>
    <t>337</t>
  </si>
  <si>
    <t>P012214</t>
  </si>
  <si>
    <t>A4008201279</t>
  </si>
  <si>
    <t>LU  Radio / Pillar Antena</t>
  </si>
  <si>
    <t>338</t>
  </si>
  <si>
    <t>P011848</t>
  </si>
  <si>
    <t>Spare wheel</t>
  </si>
  <si>
    <t>339</t>
  </si>
  <si>
    <t>A4002600939</t>
  </si>
  <si>
    <t>LU GearShift Lever Compl 12 TON</t>
  </si>
  <si>
    <t>B123110049</t>
  </si>
  <si>
    <t>340</t>
  </si>
  <si>
    <t>341</t>
  </si>
  <si>
    <t>MK509756</t>
  </si>
  <si>
    <t>Heater/Unit</t>
  </si>
  <si>
    <t>342</t>
  </si>
  <si>
    <t>A40031000325</t>
  </si>
  <si>
    <t>ZB Cab Suspension</t>
  </si>
  <si>
    <t>B124010002</t>
  </si>
  <si>
    <t>343</t>
  </si>
  <si>
    <t>17080-30162</t>
  </si>
  <si>
    <t>Air Cleaner</t>
  </si>
  <si>
    <t>GH291</t>
  </si>
  <si>
    <t>344</t>
  </si>
  <si>
    <t>GH0280</t>
  </si>
  <si>
    <t>345</t>
  </si>
  <si>
    <t>16470-0L122</t>
  </si>
  <si>
    <t>Reserve Tank Assy</t>
  </si>
  <si>
    <t>FV0010</t>
  </si>
  <si>
    <t>346</t>
  </si>
  <si>
    <t>CFCM00000009</t>
  </si>
  <si>
    <t>ZB Cross member /No.4</t>
  </si>
  <si>
    <t>B124010001</t>
  </si>
  <si>
    <t>347</t>
  </si>
  <si>
    <t>A4005203341</t>
  </si>
  <si>
    <t>Front Bumper brkt right hand</t>
  </si>
  <si>
    <t>348</t>
  </si>
  <si>
    <t>FJ1623R</t>
  </si>
  <si>
    <t>P008383</t>
  </si>
  <si>
    <t>N000000003250</t>
  </si>
  <si>
    <t>349</t>
  </si>
  <si>
    <t>NP008385</t>
  </si>
  <si>
    <t>A9797230269</t>
  </si>
  <si>
    <t>Tow bar Open</t>
  </si>
  <si>
    <t>350</t>
  </si>
  <si>
    <t>NP008384</t>
  </si>
  <si>
    <t>Tow Bar Open</t>
  </si>
  <si>
    <t>351</t>
  </si>
  <si>
    <t>NP008383</t>
  </si>
  <si>
    <t>N00000003250</t>
  </si>
  <si>
    <t>352</t>
  </si>
  <si>
    <t>74511-35741</t>
  </si>
  <si>
    <t>PLATE NAME</t>
  </si>
  <si>
    <t>GF009</t>
  </si>
  <si>
    <t>353</t>
  </si>
  <si>
    <t>P008385</t>
  </si>
  <si>
    <t>A002988048</t>
  </si>
  <si>
    <t>Snap Fastener other types</t>
  </si>
  <si>
    <t>354</t>
  </si>
  <si>
    <t>4006800506A6</t>
  </si>
  <si>
    <t>ZB Trim Panel Feet Recess Brown</t>
  </si>
  <si>
    <t>355</t>
  </si>
  <si>
    <t>FJ1823R</t>
  </si>
  <si>
    <t>PP012202,03,04,05,06,07</t>
  </si>
  <si>
    <t>A4004921210</t>
  </si>
  <si>
    <t>Steering Column Plug</t>
  </si>
  <si>
    <t>24/11/2023</t>
  </si>
  <si>
    <t>356</t>
  </si>
  <si>
    <t>Fj2523c</t>
  </si>
  <si>
    <t>P009599</t>
  </si>
  <si>
    <t>A4004460002</t>
  </si>
  <si>
    <t>ECU</t>
  </si>
  <si>
    <t>357</t>
  </si>
  <si>
    <t>P009603</t>
  </si>
  <si>
    <t>A9406891514</t>
  </si>
  <si>
    <t>Bracket air duct</t>
  </si>
  <si>
    <t>358</t>
  </si>
  <si>
    <t>Fj2523C</t>
  </si>
  <si>
    <t>service part(1885303)</t>
  </si>
  <si>
    <t>Flexible Hose</t>
  </si>
  <si>
    <t>PCM-000035</t>
  </si>
  <si>
    <t>359</t>
  </si>
  <si>
    <t>A4005420718</t>
  </si>
  <si>
    <t>Lu pressure sensor</t>
  </si>
  <si>
    <t>360</t>
  </si>
  <si>
    <t>FJ2523C</t>
  </si>
  <si>
    <t>Bolt Flange &amp; nut</t>
  </si>
  <si>
    <t>361</t>
  </si>
  <si>
    <t>Bolt Flange &amp; Nut</t>
  </si>
  <si>
    <t>362</t>
  </si>
  <si>
    <t>A4008250602</t>
  </si>
  <si>
    <t>Side Marker Lamp</t>
  </si>
  <si>
    <t>363</t>
  </si>
  <si>
    <t>A4008250702</t>
  </si>
  <si>
    <t>Top Marker Lamp</t>
  </si>
  <si>
    <t>364</t>
  </si>
  <si>
    <t>FC3J</t>
  </si>
  <si>
    <t>S521381010</t>
  </si>
  <si>
    <t>BRACKET,FR BUMPER STAY,LH</t>
  </si>
  <si>
    <t>AD478</t>
  </si>
  <si>
    <t>PCM-000066</t>
  </si>
  <si>
    <t/>
  </si>
  <si>
    <t>365</t>
  </si>
  <si>
    <t>RR AXLE WHEEL NUT,LH</t>
  </si>
  <si>
    <t>366</t>
  </si>
  <si>
    <t>S2310-01020</t>
  </si>
  <si>
    <t>PRE-FILTER ASSY,FUEL W/SEPARATOR</t>
  </si>
  <si>
    <t>367</t>
  </si>
  <si>
    <t>S5312-E0010</t>
  </si>
  <si>
    <t>BOARD SPLASH RR</t>
  </si>
  <si>
    <t>368</t>
  </si>
  <si>
    <t>S7990-43160</t>
  </si>
  <si>
    <t>CLIP SUB ASSY</t>
  </si>
  <si>
    <t>369</t>
  </si>
  <si>
    <t>74645-E0010</t>
  </si>
  <si>
    <t>COVER, DOOR ASSIST GRIP, RH</t>
  </si>
  <si>
    <t>370</t>
  </si>
  <si>
    <t>SZ164-05010</t>
  </si>
  <si>
    <t>BOLT</t>
  </si>
  <si>
    <t>371</t>
  </si>
  <si>
    <t>16470-E0090</t>
  </si>
  <si>
    <t>RESERVE TANK</t>
  </si>
  <si>
    <t>372</t>
  </si>
  <si>
    <t>REFLECTOR ASSY, REFLEX SIDE</t>
  </si>
  <si>
    <t>373</t>
  </si>
  <si>
    <t>SZ950-39052</t>
  </si>
  <si>
    <t>RETAINER</t>
  </si>
  <si>
    <t>374</t>
  </si>
  <si>
    <t>74512-E0140</t>
  </si>
  <si>
    <t>PLATE, IDENTIFICATION NUMBER</t>
  </si>
  <si>
    <t>375</t>
  </si>
  <si>
    <t>S791801331</t>
  </si>
  <si>
    <t>LOCK ASSY,LID</t>
  </si>
  <si>
    <t>376</t>
  </si>
  <si>
    <t>S791821010</t>
  </si>
  <si>
    <t>COVER,LID LOCK</t>
  </si>
  <si>
    <t>377</t>
  </si>
  <si>
    <t>S7656-42920</t>
  </si>
  <si>
    <t>PLATE,CAUTION</t>
  </si>
  <si>
    <t>378</t>
  </si>
  <si>
    <t>GARNISH ASSY, FR PILLAR, RH</t>
  </si>
  <si>
    <t>379</t>
  </si>
  <si>
    <t>GARNISH ASSY, FR PILLAR, LH</t>
  </si>
  <si>
    <t>380</t>
  </si>
  <si>
    <t>55320-E0080</t>
  </si>
  <si>
    <t>PANEL ASSY, INSTRUMENT, LWR NO.2</t>
  </si>
  <si>
    <t>381</t>
  </si>
  <si>
    <t>81580-E0030</t>
  </si>
  <si>
    <t>382</t>
  </si>
  <si>
    <t>S5536-61060</t>
  </si>
  <si>
    <t>COVER,STEREO OPENING</t>
  </si>
  <si>
    <t>383</t>
  </si>
  <si>
    <t>XZU720R</t>
  </si>
  <si>
    <t>86520-37120</t>
  </si>
  <si>
    <t>HORN ASSY</t>
  </si>
  <si>
    <t>DR9</t>
  </si>
  <si>
    <t>384</t>
  </si>
  <si>
    <t>VALVE,TUBELESS</t>
  </si>
  <si>
    <t>385</t>
  </si>
  <si>
    <t>BRAKE PIPE</t>
  </si>
  <si>
    <t>386</t>
  </si>
  <si>
    <t>A4005503007</t>
  </si>
  <si>
    <t>Hose Clip For Sunction</t>
  </si>
  <si>
    <t>387</t>
  </si>
  <si>
    <t>BOLT WASHER</t>
  </si>
  <si>
    <t>BU005,AJ006,AJ007,AN003</t>
  </si>
  <si>
    <t>388</t>
  </si>
  <si>
    <t>67403-0K100</t>
  </si>
  <si>
    <t>FRAME SUB ASSY FR DR LH</t>
  </si>
  <si>
    <t>BU005,AJ006,AN003</t>
  </si>
  <si>
    <t>389</t>
  </si>
  <si>
    <t>67404-0K100</t>
  </si>
  <si>
    <t>FRAME SUB ASSY DR RH</t>
  </si>
  <si>
    <t>390</t>
  </si>
  <si>
    <t>SUPPORT BRACKET</t>
  </si>
  <si>
    <t>AJ007</t>
  </si>
  <si>
    <t>391</t>
  </si>
  <si>
    <t>66322-0K020</t>
  </si>
  <si>
    <t>BUMPER TAIL GATE RUBBER</t>
  </si>
  <si>
    <t>FX0014,FV009,FV0010</t>
  </si>
  <si>
    <t>392</t>
  </si>
  <si>
    <t>55407-KK170</t>
  </si>
  <si>
    <t>COVER SUB-ASSY INSTRUMENT</t>
  </si>
  <si>
    <t>FV0010, FW0016</t>
  </si>
  <si>
    <t>393</t>
  </si>
  <si>
    <t>MOUNTING BOLT SLEEVE</t>
  </si>
  <si>
    <t>394</t>
  </si>
  <si>
    <t>A4005500117</t>
  </si>
  <si>
    <t>Hex Head Bolt M16X15X55</t>
  </si>
  <si>
    <t>395</t>
  </si>
  <si>
    <t>A4005500507</t>
  </si>
  <si>
    <t>Cyl eye spacer</t>
  </si>
  <si>
    <t>396</t>
  </si>
  <si>
    <t>A4005501107</t>
  </si>
  <si>
    <t>Nylock Nut</t>
  </si>
  <si>
    <t>397</t>
  </si>
  <si>
    <t>Scania P440</t>
  </si>
  <si>
    <t>WINDSCREEN WIPER RHD</t>
  </si>
  <si>
    <t>KET061/22</t>
  </si>
  <si>
    <t>398</t>
  </si>
  <si>
    <t>4046569-74</t>
  </si>
  <si>
    <t>WASHER</t>
  </si>
  <si>
    <t>KEB004/23</t>
  </si>
  <si>
    <t>399</t>
  </si>
  <si>
    <t>Mighardnut Washer</t>
  </si>
  <si>
    <t>400</t>
  </si>
  <si>
    <t>A4006800108</t>
  </si>
  <si>
    <t>ZB Cover RH</t>
  </si>
  <si>
    <t>B123110047</t>
  </si>
  <si>
    <t>401</t>
  </si>
  <si>
    <t>Tata 810</t>
  </si>
  <si>
    <t>R700872</t>
  </si>
  <si>
    <t>SUPPORT CROSSMEMBER</t>
  </si>
  <si>
    <t>PKA2302002</t>
  </si>
  <si>
    <t>402</t>
  </si>
  <si>
    <t>ASSY INNER REAR VIEW MIRROR</t>
  </si>
  <si>
    <t>PKA2302001</t>
  </si>
  <si>
    <t>403</t>
  </si>
  <si>
    <t>82141-V3150</t>
  </si>
  <si>
    <t>WIRE INST PANEL</t>
  </si>
  <si>
    <t>GH350</t>
  </si>
  <si>
    <t>404</t>
  </si>
  <si>
    <t>A4005406609</t>
  </si>
  <si>
    <t>ZB Electrical Wiring Harness/ Engine</t>
  </si>
  <si>
    <t>KNOWN SHORTAGE ( 2 pcs wrong shipped)</t>
  </si>
  <si>
    <t>405</t>
  </si>
  <si>
    <t>90269-03002</t>
  </si>
  <si>
    <t>RIVET</t>
  </si>
  <si>
    <t>BOM Error</t>
  </si>
  <si>
    <t>406</t>
  </si>
  <si>
    <t>PLATE RR 4WD</t>
  </si>
  <si>
    <t>GF072</t>
  </si>
  <si>
    <t>407</t>
  </si>
  <si>
    <t>82729-60060</t>
  </si>
  <si>
    <t>BRACKET</t>
  </si>
  <si>
    <t>408</t>
  </si>
  <si>
    <t>45107-28030</t>
  </si>
  <si>
    <t>WIRE SUB ASSY</t>
  </si>
  <si>
    <t>409</t>
  </si>
  <si>
    <t>410</t>
  </si>
  <si>
    <t>LABEL DIFF LOCK</t>
  </si>
  <si>
    <t>411</t>
  </si>
  <si>
    <t>EMBLEM QUATER PANEL</t>
  </si>
  <si>
    <t>412</t>
  </si>
  <si>
    <t>84306-60190</t>
  </si>
  <si>
    <t>SPIRAL</t>
  </si>
  <si>
    <t>413</t>
  </si>
  <si>
    <t>90468-03006</t>
  </si>
  <si>
    <t>PARKING CLIP</t>
  </si>
  <si>
    <t>414</t>
  </si>
  <si>
    <t>SEALING ( REAR MUDGURD)</t>
  </si>
  <si>
    <t>PKA2302001,  PKA2302002</t>
  </si>
  <si>
    <t>415</t>
  </si>
  <si>
    <t>Washer ISO</t>
  </si>
  <si>
    <t>416</t>
  </si>
  <si>
    <t>ACCELERATOR CABLE ( Child Part)</t>
  </si>
  <si>
    <t>#7KY2309111</t>
  </si>
  <si>
    <t>417</t>
  </si>
  <si>
    <t>A4005240940</t>
  </si>
  <si>
    <t>Bracket</t>
  </si>
  <si>
    <t>85/86</t>
  </si>
  <si>
    <t>418</t>
  </si>
  <si>
    <t>A4005206541</t>
  </si>
  <si>
    <t>Lu Bracket/ support</t>
  </si>
  <si>
    <t>419</t>
  </si>
  <si>
    <t>65414-KK010</t>
  </si>
  <si>
    <t>CABIN HOOK / STOPPER GUARD FRAME{OXIDE BRONZE}</t>
  </si>
  <si>
    <t>FC003</t>
  </si>
  <si>
    <t>420</t>
  </si>
  <si>
    <t>SPRING BRACKET RH</t>
  </si>
  <si>
    <t>KEB006/23</t>
  </si>
  <si>
    <t>421</t>
  </si>
  <si>
    <t>FJ2528 C</t>
  </si>
  <si>
    <t>P009975</t>
  </si>
  <si>
    <t>A4006710110</t>
  </si>
  <si>
    <t>Windshield HDT</t>
  </si>
  <si>
    <t>422</t>
  </si>
  <si>
    <t>FJ2528C</t>
  </si>
  <si>
    <t>P009972</t>
  </si>
  <si>
    <t>Steuergeraet CPC /FR MPS REL.39</t>
  </si>
  <si>
    <t>Short shipment</t>
  </si>
  <si>
    <t>423</t>
  </si>
  <si>
    <t>A0039976689</t>
  </si>
  <si>
    <t>Coupling Plug</t>
  </si>
  <si>
    <t>424</t>
  </si>
  <si>
    <t>A4005451840</t>
  </si>
  <si>
    <t>Bracket Interconnection</t>
  </si>
  <si>
    <t>425</t>
  </si>
  <si>
    <t>N000000001875</t>
  </si>
  <si>
    <t>Hex Screw</t>
  </si>
  <si>
    <t>426</t>
  </si>
  <si>
    <t>N91011201400</t>
  </si>
  <si>
    <t>427</t>
  </si>
  <si>
    <t>A4405400140</t>
  </si>
  <si>
    <t>ZB Bracket RHD</t>
  </si>
  <si>
    <t>428</t>
  </si>
  <si>
    <t>A4008262647</t>
  </si>
  <si>
    <t>429</t>
  </si>
  <si>
    <t>2 LOTS</t>
  </si>
  <si>
    <t>BRACKET HOSE MTG ON RR AXLE (RR AXLE PIPING)</t>
  </si>
  <si>
    <t>Fabricated by AVA</t>
  </si>
  <si>
    <t>430</t>
  </si>
  <si>
    <t>86150-0K260</t>
  </si>
  <si>
    <t>SPEAKER ASSY W/BRACKET</t>
  </si>
  <si>
    <t>431</t>
  </si>
  <si>
    <t>55607-KK030</t>
  </si>
  <si>
    <t>ASSY PANEL UNDER</t>
  </si>
  <si>
    <t>432</t>
  </si>
  <si>
    <t>33554-0K020</t>
  </si>
  <si>
    <t>CONSOLE PLUG HOLE</t>
  </si>
  <si>
    <t>433</t>
  </si>
  <si>
    <t>71849-KK010</t>
  </si>
  <si>
    <t>CAP SEAT ADJUSTER</t>
  </si>
  <si>
    <t>434</t>
  </si>
  <si>
    <t>Scania P360</t>
  </si>
  <si>
    <t>4031667-70</t>
  </si>
  <si>
    <t>SCREW PLATE</t>
  </si>
  <si>
    <t>KET058/22</t>
  </si>
  <si>
    <t>435</t>
  </si>
  <si>
    <t>LED CAT6 DI RHS</t>
  </si>
  <si>
    <t>1/9/2024,12-May-2023</t>
  </si>
  <si>
    <t>436</t>
  </si>
  <si>
    <t xml:space="preserve">VIEW MIRROR MAN ADJ W/O HEA </t>
  </si>
  <si>
    <t>437</t>
  </si>
  <si>
    <t>ECU 6959</t>
  </si>
  <si>
    <t>SEAT LH</t>
  </si>
  <si>
    <t>KET074/22</t>
  </si>
  <si>
    <t>438</t>
  </si>
  <si>
    <t>ECU 7012</t>
  </si>
  <si>
    <t>CABLE HARNESS DOOR PA</t>
  </si>
  <si>
    <t>439</t>
  </si>
  <si>
    <t>4033694, 4032863</t>
  </si>
  <si>
    <t>CONNECTOR(Child part of CU 6915 16 air pipe rh floor)</t>
  </si>
  <si>
    <t>KET065/22</t>
  </si>
  <si>
    <t>440</t>
  </si>
  <si>
    <t>SPRING BRACKET LH</t>
  </si>
  <si>
    <t>1/9/2024,11-Dec-2023</t>
  </si>
  <si>
    <t>441</t>
  </si>
  <si>
    <t>TORCH(child part of emergency kit)</t>
  </si>
  <si>
    <t>442</t>
  </si>
  <si>
    <t>CLOSE PROXIMITY MIRROR</t>
  </si>
  <si>
    <t>443</t>
  </si>
  <si>
    <t>N000000001935</t>
  </si>
  <si>
    <t>Screw</t>
  </si>
  <si>
    <t>444</t>
  </si>
  <si>
    <t>51082-0K100</t>
  </si>
  <si>
    <t>STAYSUB-ASSY, SIDESTEP NO.1 LH</t>
  </si>
  <si>
    <t>BU006</t>
  </si>
  <si>
    <t>445</t>
  </si>
  <si>
    <t>84270-71010</t>
  </si>
  <si>
    <t>SENSOR ASSY POWER BACK DOOR</t>
  </si>
  <si>
    <t>446</t>
  </si>
  <si>
    <t>17940-0E030</t>
  </si>
  <si>
    <t>INTERCOOLER ASSY</t>
  </si>
  <si>
    <t>B0007</t>
  </si>
  <si>
    <t>447</t>
  </si>
  <si>
    <t>KEB006</t>
  </si>
  <si>
    <t>Bal 14</t>
  </si>
  <si>
    <t>448</t>
  </si>
  <si>
    <t>4048263,67,64,66</t>
  </si>
  <si>
    <t>FLEXIBLE HOSE</t>
  </si>
  <si>
    <t>449</t>
  </si>
  <si>
    <t>4048263,67,64,66,65</t>
  </si>
  <si>
    <t>HOSE CLAMP</t>
  </si>
  <si>
    <t>450</t>
  </si>
  <si>
    <t>ASSY INNER REAR VIEW MIRROR (ANTI GLARE)</t>
  </si>
  <si>
    <t>451</t>
  </si>
  <si>
    <t>A009903978</t>
  </si>
  <si>
    <t>Connection Sleeve</t>
  </si>
  <si>
    <t>B124010003</t>
  </si>
  <si>
    <t>452</t>
  </si>
  <si>
    <t>REAR WALL LINNING</t>
  </si>
  <si>
    <t>customer</t>
  </si>
  <si>
    <t>model</t>
  </si>
  <si>
    <t>Lot</t>
  </si>
  <si>
    <t>vin</t>
  </si>
  <si>
    <t>kdqr</t>
  </si>
  <si>
    <t>unit</t>
  </si>
  <si>
    <t>453</t>
  </si>
  <si>
    <t>ASSY FLAME COMPL LH SIDE MIRROR</t>
  </si>
  <si>
    <t>xx</t>
  </si>
  <si>
    <t>454</t>
  </si>
  <si>
    <t>Wiring Harness Engine</t>
  </si>
  <si>
    <t>B124010004</t>
  </si>
  <si>
    <t>xy</t>
  </si>
  <si>
    <t>455</t>
  </si>
  <si>
    <t>ALL 3 LOTS</t>
  </si>
  <si>
    <t xml:space="preserve">REINFORCENMENT MIDDLE LH </t>
  </si>
  <si>
    <t>#7KY2309111,222,333</t>
  </si>
  <si>
    <t>456</t>
  </si>
  <si>
    <t>FJ2528R</t>
  </si>
  <si>
    <t>P0011431</t>
  </si>
  <si>
    <t>N000912008206</t>
  </si>
  <si>
    <t>Cap Bolt M8x45</t>
  </si>
  <si>
    <t>457</t>
  </si>
  <si>
    <t>458</t>
  </si>
  <si>
    <t>459</t>
  </si>
  <si>
    <t>460</t>
  </si>
  <si>
    <t>Bolt M14x &amp;0mm</t>
  </si>
  <si>
    <t>461</t>
  </si>
  <si>
    <t>A4006603830</t>
  </si>
  <si>
    <t>ZB Support Tube(Construction/ LH/ RET)</t>
  </si>
  <si>
    <t>B123110044</t>
  </si>
  <si>
    <t>462</t>
  </si>
  <si>
    <t>A4004292506</t>
  </si>
  <si>
    <t>LU Compressed Air Line</t>
  </si>
  <si>
    <t>B123110045</t>
  </si>
  <si>
    <t>463</t>
  </si>
  <si>
    <t>PP011433</t>
  </si>
  <si>
    <t>A4004310115</t>
  </si>
  <si>
    <t>LU Air Drier</t>
  </si>
  <si>
    <t>B123110048</t>
  </si>
  <si>
    <t>464</t>
  </si>
  <si>
    <t>A40088009714</t>
  </si>
  <si>
    <t>ZB Bracket/Lower Assy RH</t>
  </si>
  <si>
    <t>465</t>
  </si>
  <si>
    <t>FM657L</t>
  </si>
  <si>
    <t>ML249166</t>
  </si>
  <si>
    <t>Trim Back</t>
  </si>
  <si>
    <t>466</t>
  </si>
  <si>
    <t>Y01517, Y01518, Y01519, Y015120</t>
  </si>
  <si>
    <t>ML273158</t>
  </si>
  <si>
    <t>Trim RR Side LH</t>
  </si>
  <si>
    <t>467</t>
  </si>
  <si>
    <t>Y02196</t>
  </si>
  <si>
    <t>ML327131</t>
  </si>
  <si>
    <t>VALVE 4-WAY</t>
  </si>
  <si>
    <t>468</t>
  </si>
  <si>
    <t>Y01525</t>
  </si>
  <si>
    <t>MC859640</t>
  </si>
  <si>
    <t>KEYSET</t>
  </si>
  <si>
    <t>321,322,323,</t>
  </si>
  <si>
    <t>469</t>
  </si>
  <si>
    <t>Y011513</t>
  </si>
  <si>
    <t>MC857723</t>
  </si>
  <si>
    <t>SENSOR SPEED</t>
  </si>
  <si>
    <t>470</t>
  </si>
  <si>
    <t>MK510557</t>
  </si>
  <si>
    <t>LAMP PERSONAL RH</t>
  </si>
  <si>
    <t>471</t>
  </si>
  <si>
    <t>MC923837</t>
  </si>
  <si>
    <t>HOOD METER</t>
  </si>
  <si>
    <t>472</t>
  </si>
  <si>
    <t>Hino FC3J</t>
  </si>
  <si>
    <t>52148-E0150</t>
  </si>
  <si>
    <t>PCM-000072</t>
  </si>
  <si>
    <t>473</t>
  </si>
  <si>
    <t>SZ94022014</t>
  </si>
  <si>
    <t>NUT, HUB, LH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</si>
  <si>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</si>
  <si>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</si>
  <si>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</si>
  <si>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</si>
  <si>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</si>
  <si>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</si>
  <si>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</si>
  <si>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</si>
  <si>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</si>
  <si>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</si>
  <si>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</si>
  <si>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</si>
  <si>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</si>
  <si>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</si>
  <si>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</si>
  <si>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</si>
  <si>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</si>
  <si>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</si>
  <si>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</si>
  <si>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S473329600</t>
  </si>
  <si>
    <t>PIPE,OIL</t>
  </si>
  <si>
    <t>493</t>
  </si>
  <si>
    <t>KIT-LOCK WITH KEY</t>
  </si>
  <si>
    <t>#7KY2309222</t>
  </si>
  <si>
    <t>494</t>
  </si>
  <si>
    <t>NSY01531-2</t>
  </si>
  <si>
    <t>MC887439</t>
  </si>
  <si>
    <t>TUNER AM RADIO</t>
  </si>
  <si>
    <t>495</t>
  </si>
  <si>
    <t>Y01524</t>
  </si>
  <si>
    <t>MK492318</t>
  </si>
  <si>
    <t>Plate Name</t>
  </si>
  <si>
    <t>496</t>
  </si>
  <si>
    <t>FM65FL</t>
  </si>
  <si>
    <t>PSY02196</t>
  </si>
  <si>
    <t>MK58356</t>
  </si>
  <si>
    <t>Lamp End Out Line Marker LH</t>
  </si>
  <si>
    <t>PCM-0000045</t>
  </si>
  <si>
    <t>497</t>
  </si>
  <si>
    <t>Y01532</t>
  </si>
  <si>
    <t>MK421275</t>
  </si>
  <si>
    <t>BUZZER WARNING</t>
  </si>
  <si>
    <t>498</t>
  </si>
  <si>
    <t>FN627R</t>
  </si>
  <si>
    <t>MC961541</t>
  </si>
  <si>
    <t>Plug</t>
  </si>
  <si>
    <t>499</t>
  </si>
  <si>
    <t>MC967621</t>
  </si>
  <si>
    <t>Tape Seal</t>
  </si>
  <si>
    <t>500</t>
  </si>
  <si>
    <t>MC907587</t>
  </si>
  <si>
    <t>Cover main hook</t>
  </si>
  <si>
    <t>501</t>
  </si>
  <si>
    <t>N000000005510</t>
  </si>
  <si>
    <t>502</t>
  </si>
  <si>
    <t>Y01328</t>
  </si>
  <si>
    <t>MK590576</t>
  </si>
  <si>
    <t>Drag Link Assy</t>
  </si>
  <si>
    <t>503</t>
  </si>
  <si>
    <t>Y01336</t>
  </si>
  <si>
    <t>MK573103</t>
  </si>
  <si>
    <t>Motor Assy Fuel cut</t>
  </si>
  <si>
    <t>504</t>
  </si>
  <si>
    <t>FM512644</t>
  </si>
  <si>
    <t>Clip FR Pillar</t>
  </si>
  <si>
    <t>505</t>
  </si>
  <si>
    <t>Y01353</t>
  </si>
  <si>
    <t>MK464179</t>
  </si>
  <si>
    <t>BUSHING B</t>
  </si>
  <si>
    <t>506</t>
  </si>
  <si>
    <t>R700868</t>
  </si>
  <si>
    <t>FUEL SUNCTION PIPE</t>
  </si>
  <si>
    <t>507</t>
  </si>
  <si>
    <t>Y01349,50,51,52</t>
  </si>
  <si>
    <t>508</t>
  </si>
  <si>
    <t>GF0089</t>
  </si>
  <si>
    <t>509</t>
  </si>
  <si>
    <t>T.9</t>
  </si>
  <si>
    <t xml:space="preserve">Modulator Valve Inlet Voss &amp; </t>
  </si>
  <si>
    <t>PKD23070002</t>
  </si>
  <si>
    <t>Received</t>
  </si>
  <si>
    <t>510</t>
  </si>
  <si>
    <t>FUEL FILTER</t>
  </si>
  <si>
    <t>Not Received</t>
  </si>
  <si>
    <t>511</t>
  </si>
  <si>
    <t>PAD ANTIDOTE</t>
  </si>
  <si>
    <t>Process sheet to be updated</t>
  </si>
  <si>
    <t>not required</t>
  </si>
  <si>
    <t>512</t>
  </si>
  <si>
    <t>R700892</t>
  </si>
  <si>
    <t>585869506322-G</t>
  </si>
  <si>
    <t>CAP HEADBOX MOUNTING</t>
  </si>
  <si>
    <t>Not required</t>
  </si>
  <si>
    <t>513</t>
  </si>
  <si>
    <t>Y01356</t>
  </si>
  <si>
    <t>514</t>
  </si>
  <si>
    <t>NSY01335</t>
  </si>
  <si>
    <t>ML242369</t>
  </si>
  <si>
    <t>SUPPORT ENGINE</t>
  </si>
  <si>
    <t>515</t>
  </si>
  <si>
    <t>91552-B1040</t>
  </si>
  <si>
    <t>BOLT FLANGE</t>
  </si>
  <si>
    <t>516</t>
  </si>
  <si>
    <t>88715-26400</t>
  </si>
  <si>
    <t>AC/PIPE</t>
  </si>
  <si>
    <t>517</t>
  </si>
  <si>
    <t>FN62FU</t>
  </si>
  <si>
    <t>PSY01319</t>
  </si>
  <si>
    <t>MC072028</t>
  </si>
  <si>
    <t>Connector</t>
  </si>
  <si>
    <t>518</t>
  </si>
  <si>
    <t>Haulage</t>
  </si>
  <si>
    <t>F7509014</t>
  </si>
  <si>
    <t>Bracket Cab Light</t>
  </si>
  <si>
    <t>519</t>
  </si>
  <si>
    <t>F7602060</t>
  </si>
  <si>
    <t>Plug switch Hose</t>
  </si>
  <si>
    <t>520</t>
  </si>
  <si>
    <t>F7622260</t>
  </si>
  <si>
    <t>Door Pad</t>
  </si>
  <si>
    <t>Robbed/Claimed</t>
  </si>
  <si>
    <t>521</t>
  </si>
  <si>
    <t>F7873850</t>
  </si>
  <si>
    <t>Special Screw</t>
  </si>
  <si>
    <t>522</t>
  </si>
  <si>
    <t>X5075413</t>
  </si>
  <si>
    <t>523</t>
  </si>
  <si>
    <t>N0000006</t>
  </si>
  <si>
    <t>Headlamp</t>
  </si>
  <si>
    <t>524</t>
  </si>
  <si>
    <t>F7868600</t>
  </si>
  <si>
    <t>Valve trailer Control Brake</t>
  </si>
  <si>
    <t>Robbed/claim</t>
  </si>
  <si>
    <t>525</t>
  </si>
  <si>
    <t>BOY04741</t>
  </si>
  <si>
    <t>Handle Cab Tilt</t>
  </si>
  <si>
    <t>526</t>
  </si>
  <si>
    <t>F3R00114-RH</t>
  </si>
  <si>
    <t>B.Booster RH</t>
  </si>
  <si>
    <t>PCM-000068</t>
  </si>
  <si>
    <t>527</t>
  </si>
  <si>
    <t>F3R00114 LH</t>
  </si>
  <si>
    <t>B. Booster LH</t>
  </si>
  <si>
    <t>528</t>
  </si>
  <si>
    <t>FL100110</t>
  </si>
  <si>
    <t>U-Bolt RR</t>
  </si>
  <si>
    <t>529</t>
  </si>
  <si>
    <t>F8061700</t>
  </si>
  <si>
    <t>Door Upper Glass</t>
  </si>
  <si>
    <t>530</t>
  </si>
  <si>
    <t>R700891, R700892</t>
  </si>
  <si>
    <t>Spacer Leafspring MTG</t>
  </si>
  <si>
    <t>To be supplied</t>
  </si>
  <si>
    <t>531</t>
  </si>
  <si>
    <t>532</t>
  </si>
  <si>
    <t>Headlamp Seal LH</t>
  </si>
  <si>
    <t>533</t>
  </si>
  <si>
    <t>BIV29502</t>
  </si>
  <si>
    <t>BRKT Rad Supply Tank</t>
  </si>
  <si>
    <t>534</t>
  </si>
  <si>
    <t>42020-0KF40</t>
  </si>
  <si>
    <t>FX014</t>
  </si>
  <si>
    <t>535</t>
  </si>
  <si>
    <t xml:space="preserve"> </t>
  </si>
  <si>
    <t>Twisted Bracket</t>
  </si>
  <si>
    <t>536</t>
  </si>
  <si>
    <t>F7871810</t>
  </si>
  <si>
    <t>Clip ball Joint</t>
  </si>
  <si>
    <t>537</t>
  </si>
  <si>
    <t>Headlamp RH (child part)</t>
  </si>
  <si>
    <t>TML to share Waybill no.</t>
  </si>
  <si>
    <t>538</t>
  </si>
  <si>
    <t>Channel Assy Glass Run Rear LH</t>
  </si>
  <si>
    <t>supplied</t>
  </si>
  <si>
    <t>539</t>
  </si>
  <si>
    <t>Channel assy Glass Run Rear-RH</t>
  </si>
  <si>
    <t>540</t>
  </si>
  <si>
    <t>FL SCR M10X25</t>
  </si>
  <si>
    <t>20/02/2024 (10 more supplied)</t>
  </si>
  <si>
    <t>541</t>
  </si>
  <si>
    <t>ALL UNITS</t>
  </si>
  <si>
    <t>Bright Washer</t>
  </si>
  <si>
    <t>542</t>
  </si>
  <si>
    <t>Hex FL Nut Am6</t>
  </si>
  <si>
    <t>To be supplied with( 12301500805)</t>
  </si>
  <si>
    <t>543</t>
  </si>
  <si>
    <t>Hexagon nuts</t>
  </si>
  <si>
    <t>544</t>
  </si>
  <si>
    <t>B0Y04741</t>
  </si>
  <si>
    <t>545</t>
  </si>
  <si>
    <t>X3010410</t>
  </si>
  <si>
    <t>Fender RH</t>
  </si>
  <si>
    <t>546</t>
  </si>
  <si>
    <t>68189-0k060</t>
  </si>
  <si>
    <t>Weatherstrip RRDoor Quater Window LH</t>
  </si>
  <si>
    <t>BU008</t>
  </si>
  <si>
    <t>547</t>
  </si>
  <si>
    <t>48811-26460</t>
  </si>
  <si>
    <t>Stabilizer</t>
  </si>
  <si>
    <t>GH370</t>
  </si>
  <si>
    <t>548</t>
  </si>
  <si>
    <t>632514,12,04,00,15</t>
  </si>
  <si>
    <t>335540k020</t>
  </si>
  <si>
    <t>Cover shift Lock</t>
  </si>
  <si>
    <t>BU007</t>
  </si>
  <si>
    <t>549</t>
  </si>
  <si>
    <t>V3010510</t>
  </si>
  <si>
    <t>Fender LH</t>
  </si>
  <si>
    <t>550</t>
  </si>
  <si>
    <t>X7105410</t>
  </si>
  <si>
    <t>Stay LH</t>
  </si>
  <si>
    <t>551</t>
  </si>
  <si>
    <t>X7105510</t>
  </si>
  <si>
    <t>RR Stay RH</t>
  </si>
  <si>
    <t>552</t>
  </si>
  <si>
    <t>F787455</t>
  </si>
  <si>
    <t>Supp Ass LH</t>
  </si>
  <si>
    <t>553</t>
  </si>
  <si>
    <t>F7869660</t>
  </si>
  <si>
    <t>PLUG12DIA BUTTON</t>
  </si>
  <si>
    <t>Claimed during Pilot</t>
  </si>
  <si>
    <t>554</t>
  </si>
  <si>
    <t>BRACKET CAB MOUNTING</t>
  </si>
  <si>
    <t>555</t>
  </si>
  <si>
    <t>F7E03811</t>
  </si>
  <si>
    <t>ENGINE MOUNTING SCREWS AND NUTS</t>
  </si>
  <si>
    <t>556</t>
  </si>
  <si>
    <t>F4934715</t>
  </si>
  <si>
    <t xml:space="preserve"> SPECIAL WASHER - IN - PLAIN </t>
  </si>
  <si>
    <t>557</t>
  </si>
  <si>
    <t>X4900513</t>
  </si>
  <si>
    <t>SPECIAL WASHERS</t>
  </si>
  <si>
    <t>558</t>
  </si>
  <si>
    <t>L2011030</t>
  </si>
  <si>
    <t xml:space="preserve">FRONT ENGINE MOUNTING BOLT </t>
  </si>
  <si>
    <t>559</t>
  </si>
  <si>
    <t>L1021213</t>
  </si>
  <si>
    <t>DAT BRACKET SCREWS</t>
  </si>
  <si>
    <t>560</t>
  </si>
  <si>
    <t>GROMMET</t>
  </si>
  <si>
    <t>561</t>
  </si>
  <si>
    <t>SCREWS TO AIRTANK BRACKETS</t>
  </si>
  <si>
    <t>562</t>
  </si>
  <si>
    <t>L1011211</t>
  </si>
  <si>
    <t>TAIL LAMP BRACKET SCREWS</t>
  </si>
  <si>
    <t>563</t>
  </si>
  <si>
    <t>N0000439</t>
  </si>
  <si>
    <t>564</t>
  </si>
  <si>
    <t>F7874180</t>
  </si>
  <si>
    <t>Special Screw Hex Socket Round</t>
  </si>
  <si>
    <t>robbed/Claim</t>
  </si>
  <si>
    <t>565</t>
  </si>
  <si>
    <t>L3811218</t>
  </si>
  <si>
    <t>NUT M12</t>
  </si>
  <si>
    <t>566</t>
  </si>
  <si>
    <t>F7870060</t>
  </si>
  <si>
    <t>Special Screw Cross Recessed</t>
  </si>
  <si>
    <t>567</t>
  </si>
  <si>
    <t>AIR INTAKE KIT</t>
  </si>
  <si>
    <t>568</t>
  </si>
  <si>
    <t>53341-ok270</t>
  </si>
  <si>
    <t>Insulator Hood</t>
  </si>
  <si>
    <t>FP02</t>
  </si>
  <si>
    <t>569</t>
  </si>
  <si>
    <t>L200</t>
  </si>
  <si>
    <t>4408A239G</t>
  </si>
  <si>
    <t>Lock Steering Handle</t>
  </si>
  <si>
    <t>RK07</t>
  </si>
  <si>
    <t>570</t>
  </si>
  <si>
    <t>6369A113</t>
  </si>
  <si>
    <t>Key Set</t>
  </si>
  <si>
    <t>571</t>
  </si>
  <si>
    <t>MU001623</t>
  </si>
  <si>
    <t>CLIP</t>
  </si>
  <si>
    <t>572</t>
  </si>
  <si>
    <t>RK06</t>
  </si>
  <si>
    <t>573</t>
  </si>
  <si>
    <t>46708008V</t>
  </si>
  <si>
    <t>Sensor, Wheel speed RR RH</t>
  </si>
  <si>
    <t>574</t>
  </si>
  <si>
    <t>4451A147</t>
  </si>
  <si>
    <t>BELT -V- RIBBED</t>
  </si>
  <si>
    <t>575</t>
  </si>
  <si>
    <t>7835A001V</t>
  </si>
  <si>
    <t>Duct Assy air outlet</t>
  </si>
  <si>
    <t>576</t>
  </si>
  <si>
    <t>Cover STN Shaft</t>
  </si>
  <si>
    <t>577</t>
  </si>
  <si>
    <t>5715A009</t>
  </si>
  <si>
    <t>Striker</t>
  </si>
  <si>
    <t>578</t>
  </si>
  <si>
    <t>8011C317XA</t>
  </si>
  <si>
    <t>Console Assy FL Front</t>
  </si>
  <si>
    <t>579</t>
  </si>
  <si>
    <t>MR992324</t>
  </si>
  <si>
    <t>LH Front Axle Callipre</t>
  </si>
  <si>
    <t>580</t>
  </si>
  <si>
    <t>LH Front Axle Calliper</t>
  </si>
  <si>
    <t>581</t>
  </si>
  <si>
    <t>5746A139</t>
  </si>
  <si>
    <t>Base R/DR outside Handle LH ( service)</t>
  </si>
  <si>
    <t>EOL</t>
  </si>
  <si>
    <t>582</t>
  </si>
  <si>
    <t>6730A082</t>
  </si>
  <si>
    <t>Bolt special</t>
  </si>
  <si>
    <t>583</t>
  </si>
  <si>
    <t>MU670027</t>
  </si>
  <si>
    <t>Plug (50)</t>
  </si>
  <si>
    <t>584</t>
  </si>
  <si>
    <t>MU000291</t>
  </si>
  <si>
    <t>Plug (20)</t>
  </si>
  <si>
    <t>585</t>
  </si>
  <si>
    <t>3 lots</t>
  </si>
  <si>
    <t>Reinforcement Middle RH &amp; LH</t>
  </si>
  <si>
    <t>7KY23090004,5,6</t>
  </si>
  <si>
    <t>586</t>
  </si>
  <si>
    <t>7620B780HA</t>
  </si>
  <si>
    <t>Sunvisor Assy RH</t>
  </si>
  <si>
    <t>587</t>
  </si>
  <si>
    <t>MF205654</t>
  </si>
  <si>
    <t>Screw Machine ( 5x16)</t>
  </si>
  <si>
    <t>588</t>
  </si>
  <si>
    <t>MR315094VG</t>
  </si>
  <si>
    <t>589</t>
  </si>
  <si>
    <t>6958A227N</t>
  </si>
  <si>
    <t>Sticker for CTR 3PB</t>
  </si>
  <si>
    <t>5 &amp; 6</t>
  </si>
  <si>
    <t>590</t>
  </si>
  <si>
    <t>0112AAG07781C</t>
  </si>
  <si>
    <t>INSTR PANEL ASSY RHD</t>
  </si>
  <si>
    <t>591</t>
  </si>
  <si>
    <t>Mahindra</t>
  </si>
  <si>
    <t>1701AAA07661N</t>
  </si>
  <si>
    <t>HEADLAMP LH</t>
  </si>
  <si>
    <t>592</t>
  </si>
  <si>
    <t>0609CAB00190N</t>
  </si>
  <si>
    <t>GROMMET EHCU BRKT</t>
  </si>
  <si>
    <t>593</t>
  </si>
  <si>
    <t>1801AAZG221N</t>
  </si>
  <si>
    <t>FLOOR WIRING HARNESS</t>
  </si>
  <si>
    <t>594</t>
  </si>
  <si>
    <t>WINDSHIELD</t>
  </si>
  <si>
    <t>595</t>
  </si>
  <si>
    <t xml:space="preserve">BOLT, BATTERY CLAMP       </t>
  </si>
  <si>
    <t>PCM-000074</t>
  </si>
  <si>
    <t>596</t>
  </si>
  <si>
    <t>597</t>
  </si>
  <si>
    <t>598</t>
  </si>
  <si>
    <t>53100-26390</t>
  </si>
  <si>
    <t>599</t>
  </si>
  <si>
    <t>81110-26741</t>
  </si>
  <si>
    <t xml:space="preserve">HEADLAMP ASSY, RH      </t>
  </si>
  <si>
    <t>600</t>
  </si>
  <si>
    <t>WHEEL ASSEMBLY</t>
  </si>
  <si>
    <t>GH218,245,303,306,287,315</t>
  </si>
  <si>
    <t>601</t>
  </si>
  <si>
    <t>GH280,GH287</t>
  </si>
  <si>
    <t>602</t>
  </si>
  <si>
    <t>AIR CLEANER ASSEMBLY</t>
  </si>
  <si>
    <t>GH291,307</t>
  </si>
  <si>
    <t>603</t>
  </si>
  <si>
    <t xml:space="preserve">PLUG, HOLE               </t>
  </si>
  <si>
    <t>GH321</t>
  </si>
  <si>
    <t>604</t>
  </si>
  <si>
    <t>81580-V1040</t>
  </si>
  <si>
    <t xml:space="preserve">REFLECTOR ASSY, REFLEX SIDE   </t>
  </si>
  <si>
    <t>GH351</t>
  </si>
  <si>
    <t>605</t>
  </si>
  <si>
    <t>90541-09126</t>
  </si>
  <si>
    <t xml:space="preserve">CUSHION        </t>
  </si>
  <si>
    <t>606</t>
  </si>
  <si>
    <t>84332-26130</t>
  </si>
  <si>
    <t xml:space="preserve">SWITCH, HAZARD WARNING SIGNAL           </t>
  </si>
  <si>
    <t>GH351/GH389</t>
  </si>
  <si>
    <t>607</t>
  </si>
  <si>
    <t>74559-14030</t>
  </si>
  <si>
    <t xml:space="preserve">PLATE, FUEL CAUTION   </t>
  </si>
  <si>
    <t>608</t>
  </si>
  <si>
    <t>68161-26040</t>
  </si>
  <si>
    <t xml:space="preserve">WEATHERSTRIP, FR DOOR GLASS, OUTER RH   </t>
  </si>
  <si>
    <t>609</t>
  </si>
  <si>
    <t>53246-26020</t>
  </si>
  <si>
    <t xml:space="preserve">BRACKET, HEADLAMP, LH                   </t>
  </si>
  <si>
    <t>610</t>
  </si>
  <si>
    <t>90975-02176</t>
  </si>
  <si>
    <t xml:space="preserve">EMBLEM, SYMBOL   </t>
  </si>
  <si>
    <t>611</t>
  </si>
  <si>
    <t xml:space="preserve">CLAMP SUB-ASSY, BATTERY HOLD DOWN       </t>
  </si>
  <si>
    <t>612</t>
  </si>
  <si>
    <t>90480-14470</t>
  </si>
  <si>
    <t xml:space="preserve">GROMMET      </t>
  </si>
  <si>
    <t>613</t>
  </si>
  <si>
    <t>96111-10800</t>
  </si>
  <si>
    <t xml:space="preserve">CLAMP, HOSE           </t>
  </si>
  <si>
    <t>614</t>
  </si>
  <si>
    <t>58448-26010</t>
  </si>
  <si>
    <t>HOOK, ENGINE SERVICE HOLE COVER, NO.2 LH</t>
  </si>
  <si>
    <t>615</t>
  </si>
  <si>
    <t>90467-06168</t>
  </si>
  <si>
    <t xml:space="preserve">CLIP       </t>
  </si>
  <si>
    <t>616</t>
  </si>
  <si>
    <t>96137-41901</t>
  </si>
  <si>
    <t xml:space="preserve">CLIP, HOSE     </t>
  </si>
  <si>
    <t>617</t>
  </si>
  <si>
    <t>90466-26004</t>
  </si>
  <si>
    <t xml:space="preserve">CLIP, HOSE       </t>
  </si>
  <si>
    <t>618</t>
  </si>
  <si>
    <t>84802-V3020</t>
  </si>
  <si>
    <t xml:space="preserve">SWITCH SET, POWER WINDOW MASTER    </t>
  </si>
  <si>
    <t>619</t>
  </si>
  <si>
    <t>73240-26182</t>
  </si>
  <si>
    <t xml:space="preserve">BELT ASSY, FR SEAT, INNER LH     </t>
  </si>
  <si>
    <t>620</t>
  </si>
  <si>
    <t>82715-26G30</t>
  </si>
  <si>
    <t xml:space="preserve">BRACKET, WIRING HARNESS CLAMP        </t>
  </si>
  <si>
    <t>621</t>
  </si>
  <si>
    <t>90179-12022</t>
  </si>
  <si>
    <t xml:space="preserve">NUT                </t>
  </si>
  <si>
    <t>GH351/389</t>
  </si>
  <si>
    <t>622</t>
  </si>
  <si>
    <t>82141-V3J50</t>
  </si>
  <si>
    <t xml:space="preserve">WIRE, INSTRUMENT PANEL    </t>
  </si>
  <si>
    <t>623</t>
  </si>
  <si>
    <t>52159-26530</t>
  </si>
  <si>
    <t xml:space="preserve">COVER, RR BUMPER       </t>
  </si>
  <si>
    <t>624</t>
  </si>
  <si>
    <t>68105-26660</t>
  </si>
  <si>
    <t xml:space="preserve">GLASS SUB-ASSY, BACK DOOR          </t>
  </si>
  <si>
    <t>625</t>
  </si>
  <si>
    <t>51774-26023</t>
  </si>
  <si>
    <t xml:space="preserve">COVER, STEP PLATE, LH      </t>
  </si>
  <si>
    <t>626</t>
  </si>
  <si>
    <t>71420-26A30</t>
  </si>
  <si>
    <t xml:space="preserve">CUSHION ASSY, FR SEAT, LH       </t>
  </si>
  <si>
    <t>GH387</t>
  </si>
  <si>
    <t>627</t>
  </si>
  <si>
    <t>67610-26671</t>
  </si>
  <si>
    <t>BOARD ASSY, FR DOOR TRIM, RH</t>
  </si>
  <si>
    <t>GH389</t>
  </si>
  <si>
    <t>628</t>
  </si>
  <si>
    <t xml:space="preserve">PACKING, BATTERY SERVICE HOLE COVER   </t>
  </si>
  <si>
    <t>GH389,383</t>
  </si>
  <si>
    <t>629</t>
  </si>
  <si>
    <t>630</t>
  </si>
  <si>
    <t>58510-26G10</t>
  </si>
  <si>
    <t xml:space="preserve">MAT ASSY, FLOOR, FR   </t>
  </si>
  <si>
    <t>631</t>
  </si>
  <si>
    <t>75441-26281</t>
  </si>
  <si>
    <t xml:space="preserve">PLATE, BACK DOOR NAME, NO.1      </t>
  </si>
  <si>
    <t>632</t>
  </si>
  <si>
    <t xml:space="preserve">GLASS SUB-ASSY, RR SIDE WINDOW, FR RH </t>
  </si>
  <si>
    <t>633</t>
  </si>
  <si>
    <t xml:space="preserve">17792-E0211         </t>
  </si>
  <si>
    <t>LABEL, EMISSION CONT DEVICE INFORMATION</t>
  </si>
  <si>
    <t>PILOT</t>
  </si>
  <si>
    <t>PCM-000077</t>
  </si>
  <si>
    <t>634</t>
  </si>
  <si>
    <t>COVER, SHIFT LOCK RELEASE BUTTON</t>
  </si>
  <si>
    <t>635</t>
  </si>
  <si>
    <t>SPEAKER ASSY RADIO</t>
  </si>
  <si>
    <t>636</t>
  </si>
  <si>
    <t>71849-KK010-C0</t>
  </si>
  <si>
    <t>CAP, SEAT ADJUSTER COVER, LH</t>
  </si>
  <si>
    <t>637</t>
  </si>
  <si>
    <t>71001-F0742-C1</t>
  </si>
  <si>
    <t>SEAT SET</t>
  </si>
  <si>
    <t>AJ002</t>
  </si>
  <si>
    <t>638</t>
  </si>
  <si>
    <t>48304-0K041</t>
  </si>
  <si>
    <t>PCM-000075</t>
  </si>
  <si>
    <t>639</t>
  </si>
  <si>
    <t>88310-0KB60</t>
  </si>
  <si>
    <t>640</t>
  </si>
  <si>
    <t>EJ05/FX14</t>
  </si>
  <si>
    <t>641</t>
  </si>
  <si>
    <t>68630-0K080</t>
  </si>
  <si>
    <t>DD11</t>
  </si>
  <si>
    <t>642</t>
  </si>
  <si>
    <t>89667-0K240</t>
  </si>
  <si>
    <t>BRACKET, ENGINE CONTROL COMPUTER, NO.1</t>
  </si>
  <si>
    <t>FC02</t>
  </si>
  <si>
    <t>643</t>
  </si>
  <si>
    <t>BRACKET, ENGINE CONTROL COMPUTER, NO.2</t>
  </si>
  <si>
    <t>644</t>
  </si>
  <si>
    <t>89533-71102</t>
  </si>
  <si>
    <t>COMPUTER, 4 WHEEL DRIVE CONTROL</t>
  </si>
  <si>
    <t>645</t>
  </si>
  <si>
    <t>89661-FA200</t>
  </si>
  <si>
    <t>COMPUTER, ENGINE CONTROL</t>
  </si>
  <si>
    <t>646</t>
  </si>
  <si>
    <t>71003-0K820-C5</t>
  </si>
  <si>
    <t>FR SEAT SET</t>
  </si>
  <si>
    <t>FW13</t>
  </si>
  <si>
    <t>647</t>
  </si>
  <si>
    <t>04949-0K150</t>
  </si>
  <si>
    <t>REAR BRAKE PLUG(ROUND PIECE)</t>
  </si>
  <si>
    <t>FC3/FC1/FP3</t>
  </si>
  <si>
    <t>648</t>
  </si>
  <si>
    <t>09111-520W0</t>
  </si>
  <si>
    <t>WARNING TRIANGLE</t>
  </si>
  <si>
    <t>FL01</t>
  </si>
  <si>
    <t>649</t>
  </si>
  <si>
    <t>17700-0L380</t>
  </si>
  <si>
    <t>CLEANER ASSY, AIR W/ELEMENT</t>
  </si>
  <si>
    <t>FW16</t>
  </si>
  <si>
    <t>650</t>
  </si>
  <si>
    <t>62940-0K230</t>
  </si>
  <si>
    <t>DUCT ASSY, QUARTER VENT, LH</t>
  </si>
  <si>
    <t>651</t>
  </si>
  <si>
    <t>47341-0K090</t>
  </si>
  <si>
    <t>TUBE, WHEEL CYLINDER, FR RH</t>
  </si>
  <si>
    <t>652</t>
  </si>
  <si>
    <t>85370-0K350</t>
  </si>
  <si>
    <t>HOSE ASSY, WASHER</t>
  </si>
  <si>
    <t>653</t>
  </si>
  <si>
    <t>53341-0K270</t>
  </si>
  <si>
    <t>INSULATOR, HOOD</t>
  </si>
  <si>
    <t>654</t>
  </si>
  <si>
    <t>89543-0K081</t>
  </si>
  <si>
    <t>SENSOR, SPEED, FR LH</t>
  </si>
  <si>
    <t>655</t>
  </si>
  <si>
    <t>COVER SUB-ASSY, INSTRUMENT, LWR</t>
  </si>
  <si>
    <t>FV10/FW16</t>
  </si>
  <si>
    <t>656</t>
  </si>
  <si>
    <t>77360-0K010</t>
  </si>
  <si>
    <t>SPRING ASSY, FUEL FILLER OPENING LID</t>
  </si>
  <si>
    <t>FW10</t>
  </si>
  <si>
    <t>657</t>
  </si>
  <si>
    <t>77201-KK070</t>
  </si>
  <si>
    <t>PIPE SUB-ASSY, FUEL TANK FILLER</t>
  </si>
  <si>
    <t>658</t>
  </si>
  <si>
    <t>45100-0KE60</t>
  </si>
  <si>
    <t>WHEEL ASSY, STEERING</t>
  </si>
  <si>
    <t>659</t>
  </si>
  <si>
    <t>56101-0KP40</t>
  </si>
  <si>
    <t>GLASS SUB-ASSY, WINDSHIELD</t>
  </si>
  <si>
    <t>660</t>
  </si>
  <si>
    <t>87010-0KE21</t>
  </si>
  <si>
    <t>UNIT ASSY, AIR CONDITIONER</t>
  </si>
  <si>
    <t>661</t>
  </si>
  <si>
    <t>TRAY, INSTRUMENT PANEL CUP HOLDER</t>
  </si>
  <si>
    <t>662</t>
  </si>
  <si>
    <t>81730-0D121</t>
  </si>
  <si>
    <t>LAMP ASSY, SIDE TURN SIGNAL</t>
  </si>
  <si>
    <t>663</t>
  </si>
  <si>
    <t>664</t>
  </si>
  <si>
    <t>43520-75W58</t>
  </si>
  <si>
    <t>Fr Axle Assembly - 2x4 16'' Disc - Kenya(LHS HUB ONLY)</t>
  </si>
  <si>
    <t>FW09</t>
  </si>
  <si>
    <t>665</t>
  </si>
  <si>
    <t>31380-KK120</t>
  </si>
  <si>
    <t>SUPPORT ASSY CLUTCH PEDAL</t>
  </si>
  <si>
    <t>FW17</t>
  </si>
  <si>
    <t>666</t>
  </si>
  <si>
    <t>55393-0K020</t>
  </si>
  <si>
    <t>PROTECTOR,HOOD FR</t>
  </si>
  <si>
    <t>667</t>
  </si>
  <si>
    <t>62315-60050</t>
  </si>
  <si>
    <t xml:space="preserve">WEATHERSTRIP, FR DOOR OPG TRIM, RR RH   </t>
  </si>
  <si>
    <t>GF36</t>
  </si>
  <si>
    <t>PCM-000079</t>
  </si>
  <si>
    <t>668</t>
  </si>
  <si>
    <t>81110-60C32</t>
  </si>
  <si>
    <t xml:space="preserve">HEADLAMP ASSY, RH                       </t>
  </si>
  <si>
    <t>669</t>
  </si>
  <si>
    <t>56121-60140</t>
  </si>
  <si>
    <t xml:space="preserve">WEATHERSTRIP, WINDSHIELD     </t>
  </si>
  <si>
    <t>670</t>
  </si>
  <si>
    <t>75505-90K00</t>
  </si>
  <si>
    <t>MOULDING SUB-ASSY, RF DRIP SI FIN, FR RH</t>
  </si>
  <si>
    <t>GF33/53</t>
  </si>
  <si>
    <t>671</t>
  </si>
  <si>
    <t>75506-90K00</t>
  </si>
  <si>
    <t>MOULDING SUB-ASSY, RF DRIP SI FIN, FR LH</t>
  </si>
  <si>
    <t>672</t>
  </si>
  <si>
    <t>90119-06048</t>
  </si>
  <si>
    <t xml:space="preserve">BOLT, W/WASHER                          </t>
  </si>
  <si>
    <t>GF53</t>
  </si>
  <si>
    <t>673</t>
  </si>
  <si>
    <t>45897-12020</t>
  </si>
  <si>
    <t xml:space="preserve">BOLT, STEERING LOCK      </t>
  </si>
  <si>
    <t>674</t>
  </si>
  <si>
    <t>17700-51031</t>
  </si>
  <si>
    <t xml:space="preserve">CLEANER ASSY, AIR W/ELEMENT    </t>
  </si>
  <si>
    <t>GF23</t>
  </si>
  <si>
    <t>675</t>
  </si>
  <si>
    <t>68141-90K00</t>
  </si>
  <si>
    <t xml:space="preserve">RUN, FR DOOR GLASS, NO.1                </t>
  </si>
  <si>
    <t>676</t>
  </si>
  <si>
    <t>67861-60110</t>
  </si>
  <si>
    <t xml:space="preserve">WEATHERSTRIP, FR DOOR, RH               </t>
  </si>
  <si>
    <t>677</t>
  </si>
  <si>
    <t>81550-60422</t>
  </si>
  <si>
    <t xml:space="preserve">LAMP ASSY, RR COMBINATION, RH           </t>
  </si>
  <si>
    <t>678</t>
  </si>
  <si>
    <t>81560-60342</t>
  </si>
  <si>
    <t xml:space="preserve">LAMP ASSY, RR COMBINATION, LH           </t>
  </si>
  <si>
    <t>679</t>
  </si>
  <si>
    <t>74598-20010</t>
  </si>
  <si>
    <t xml:space="preserve">LABEL, PASSENGER AIR BAG CAUTION        </t>
  </si>
  <si>
    <t>680</t>
  </si>
  <si>
    <t xml:space="preserve">BOLT, W/WASHER          </t>
  </si>
  <si>
    <t>GF25</t>
  </si>
  <si>
    <t>681</t>
  </si>
  <si>
    <t>887126A390</t>
  </si>
  <si>
    <t xml:space="preserve">HOSE, SUCTION     </t>
  </si>
  <si>
    <t>682</t>
  </si>
  <si>
    <t>74567-20261</t>
  </si>
  <si>
    <t xml:space="preserve">PLATE, E.C.E APPROVED NUMBER           </t>
  </si>
  <si>
    <t>683</t>
  </si>
  <si>
    <t>85381-60120</t>
  </si>
  <si>
    <t xml:space="preserve">NOZZLE, FR WASHER           </t>
  </si>
  <si>
    <t>684</t>
  </si>
  <si>
    <t>53455-60020</t>
  </si>
  <si>
    <t xml:space="preserve">CLAMP, HOOD SUPPORT ROD        </t>
  </si>
  <si>
    <t>685</t>
  </si>
  <si>
    <t>PCM-000081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</si>
  <si>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</si>
  <si>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</si>
  <si>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</si>
  <si>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</si>
  <si>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</si>
  <si>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</si>
  <si>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</si>
  <si>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</si>
  <si>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</si>
  <si>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</si>
  <si>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82169-60150</t>
  </si>
  <si>
    <t xml:space="preserve">WIRE, FLOOR, NO.6             </t>
  </si>
  <si>
    <t>696</t>
  </si>
  <si>
    <t>23300-51090</t>
  </si>
  <si>
    <t xml:space="preserve">FILTER ASSY, FUEL      </t>
  </si>
  <si>
    <t>697</t>
  </si>
  <si>
    <t>55519-60300</t>
  </si>
  <si>
    <t xml:space="preserve">PLATE, HEATER CONTROL NAME   </t>
  </si>
  <si>
    <t>698</t>
  </si>
  <si>
    <t>36369-60510</t>
  </si>
  <si>
    <t>LABEL, TRANSFER CAUTION</t>
  </si>
  <si>
    <t>699</t>
  </si>
  <si>
    <t>17279-17030</t>
  </si>
  <si>
    <t xml:space="preserve">GASKET, TURBINE OUTLET ELBOW </t>
  </si>
  <si>
    <t>700</t>
  </si>
  <si>
    <t>67862-60110</t>
  </si>
  <si>
    <t>WEATHERSTRIP, FR DOOR, LH</t>
  </si>
  <si>
    <t>701</t>
  </si>
  <si>
    <t>81570-26230</t>
  </si>
  <si>
    <t>Lamp Assy stop CTR</t>
  </si>
  <si>
    <t>GH404</t>
  </si>
  <si>
    <t>702</t>
  </si>
  <si>
    <t>94151-80840</t>
  </si>
  <si>
    <t>Nut Flange</t>
  </si>
  <si>
    <t>GH394</t>
  </si>
  <si>
    <t>703</t>
  </si>
  <si>
    <t>31481-26390</t>
  </si>
  <si>
    <t>Tube Assy Brake no.1, Hose Assy Vacuum,Tube Master CYL tube connect( missing Clip)</t>
  </si>
  <si>
    <t>GH0390</t>
  </si>
  <si>
    <t>704</t>
  </si>
  <si>
    <t>0111CG070N</t>
  </si>
  <si>
    <t>SIDE GLASS</t>
  </si>
  <si>
    <t>705</t>
  </si>
  <si>
    <t>31115</t>
  </si>
  <si>
    <t>1702BAA009013</t>
  </si>
  <si>
    <t>INTERIOR READING LAMP</t>
  </si>
  <si>
    <t>706</t>
  </si>
  <si>
    <t>31116</t>
  </si>
  <si>
    <t>0107CG0050N</t>
  </si>
  <si>
    <t>RUN SEAL RR WIN GLASS LH</t>
  </si>
  <si>
    <t>707</t>
  </si>
  <si>
    <t>74513-012020</t>
  </si>
  <si>
    <t>Label Identitification number Information</t>
  </si>
  <si>
    <t>AJ009</t>
  </si>
  <si>
    <t>708</t>
  </si>
  <si>
    <t>31117</t>
  </si>
  <si>
    <t>0105HF0200E</t>
  </si>
  <si>
    <t>SPEAKER GRILL LH DC</t>
  </si>
  <si>
    <t>709</t>
  </si>
  <si>
    <t>19000A3971N</t>
  </si>
  <si>
    <t>BONNET SWITCH SECURITY SYSTEM</t>
  </si>
  <si>
    <t>710</t>
  </si>
  <si>
    <t>0605AAB005008</t>
  </si>
  <si>
    <t>ASSY LEVER PARKING BRAKE LEVER BLACK</t>
  </si>
  <si>
    <t>711</t>
  </si>
  <si>
    <t>01118G0020N</t>
  </si>
  <si>
    <t>REGULATOR</t>
  </si>
  <si>
    <t>712</t>
  </si>
  <si>
    <t>P2B31117</t>
  </si>
  <si>
    <t>05CAG00820A</t>
  </si>
  <si>
    <t>HEADLINER ASSY DC MID PC GREY (</t>
  </si>
  <si>
    <t>713</t>
  </si>
  <si>
    <t>1001CAA13070N</t>
  </si>
  <si>
    <t>Fuel Line Assy Return FIP to Tank</t>
  </si>
  <si>
    <t>714</t>
  </si>
  <si>
    <t>04010BBSCS40</t>
  </si>
  <si>
    <t>Stabilizer bar RR</t>
  </si>
  <si>
    <t>715</t>
  </si>
  <si>
    <t>SF0103084</t>
  </si>
  <si>
    <t>Bolt combi M10x1.5</t>
  </si>
  <si>
    <t>716</t>
  </si>
  <si>
    <t>0401BA0390N</t>
  </si>
  <si>
    <t>Bolt T-bar M14</t>
  </si>
  <si>
    <t>717</t>
  </si>
  <si>
    <t>SF0103152</t>
  </si>
  <si>
    <t>Bolt Combi M8 X1.25X30</t>
  </si>
  <si>
    <t>718</t>
  </si>
  <si>
    <t>0114EL0060N</t>
  </si>
  <si>
    <t>Handle Assy Tail Door</t>
  </si>
  <si>
    <t>719</t>
  </si>
  <si>
    <t>0703AAD0560N</t>
  </si>
  <si>
    <t>GearBox Transmission assembly (Service Part)</t>
  </si>
  <si>
    <t>720</t>
  </si>
  <si>
    <t>0108BAG01640N</t>
  </si>
  <si>
    <t>Plenun App ligue Assy</t>
  </si>
  <si>
    <t>721</t>
  </si>
  <si>
    <t>SF0304005</t>
  </si>
  <si>
    <t>Slotted Nut</t>
  </si>
  <si>
    <t>722</t>
  </si>
  <si>
    <t>86790-0K050</t>
  </si>
  <si>
    <t>Camera Assy, Television</t>
  </si>
  <si>
    <t>FP003</t>
  </si>
  <si>
    <t>723</t>
  </si>
  <si>
    <t>1001CAB025N</t>
  </si>
  <si>
    <t>Fuel Line Assy Main</t>
  </si>
  <si>
    <t>724</t>
  </si>
  <si>
    <t>42600-60E60</t>
  </si>
  <si>
    <t>GF086</t>
  </si>
  <si>
    <t>725</t>
  </si>
  <si>
    <t>Run Seal RR Window Glass</t>
  </si>
  <si>
    <t>726</t>
  </si>
  <si>
    <t>53450-26010</t>
  </si>
  <si>
    <t>Hood Support Rod</t>
  </si>
  <si>
    <t>GH380</t>
  </si>
  <si>
    <t>727</t>
  </si>
  <si>
    <t>FMA1</t>
  </si>
  <si>
    <t>728</t>
  </si>
  <si>
    <t>729</t>
  </si>
  <si>
    <t>S4701-E0Y80</t>
  </si>
  <si>
    <t>730</t>
  </si>
  <si>
    <t>731</t>
  </si>
  <si>
    <t>SZ950-41257</t>
  </si>
  <si>
    <t>732</t>
  </si>
  <si>
    <t>SZ119-06051</t>
  </si>
  <si>
    <t xml:space="preserve">BOLT                                    </t>
  </si>
  <si>
    <t>733</t>
  </si>
  <si>
    <t>SZ119-06056</t>
  </si>
  <si>
    <t>734</t>
  </si>
  <si>
    <t>SZ950-41272</t>
  </si>
  <si>
    <t>735</t>
  </si>
  <si>
    <t>736</t>
  </si>
  <si>
    <t>SN480-01311</t>
  </si>
  <si>
    <t xml:space="preserve">PLUG                                    </t>
  </si>
  <si>
    <t>737</t>
  </si>
  <si>
    <t>74541-E0070</t>
  </si>
  <si>
    <t xml:space="preserve">LABEL, BODY CAUTION                     </t>
  </si>
  <si>
    <t>738</t>
  </si>
  <si>
    <t>SH656-30625</t>
  </si>
  <si>
    <t xml:space="preserve">BOLT,W/WASHER                           </t>
  </si>
  <si>
    <t>739</t>
  </si>
  <si>
    <t>740</t>
  </si>
  <si>
    <t>SZ950-39319</t>
  </si>
  <si>
    <t xml:space="preserve">RETAINER                                </t>
  </si>
  <si>
    <t>741</t>
  </si>
  <si>
    <t>SZ950-46171</t>
  </si>
  <si>
    <t xml:space="preserve">GROMMET                                 </t>
  </si>
  <si>
    <t>742</t>
  </si>
  <si>
    <t>SZ481-21002</t>
  </si>
  <si>
    <t>743</t>
  </si>
  <si>
    <t>17792-E0220</t>
  </si>
  <si>
    <t xml:space="preserve">LABEL, EMISSION CONT DEVICE INFORMATION </t>
  </si>
  <si>
    <t>744</t>
  </si>
  <si>
    <t>SH653-20830</t>
  </si>
  <si>
    <t>745</t>
  </si>
  <si>
    <t>SK561-05016</t>
  </si>
  <si>
    <t xml:space="preserve">SCREW, TAPPING                          </t>
  </si>
  <si>
    <t>746</t>
  </si>
  <si>
    <t>S33QR-E0281</t>
  </si>
  <si>
    <t xml:space="preserve">LABEL, TRANSMISSION CAUTION, NO.2       </t>
  </si>
  <si>
    <t>747</t>
  </si>
  <si>
    <t>S7652-31942</t>
  </si>
  <si>
    <t xml:space="preserve">LABEL,WARNING                           </t>
  </si>
  <si>
    <t>748</t>
  </si>
  <si>
    <t>SH691-20825</t>
  </si>
  <si>
    <t>749</t>
  </si>
  <si>
    <t>750</t>
  </si>
  <si>
    <t>SH656-20826</t>
  </si>
  <si>
    <t>751</t>
  </si>
  <si>
    <t>21576-E0160</t>
  </si>
  <si>
    <t>752</t>
  </si>
  <si>
    <t>21576-E0190</t>
  </si>
  <si>
    <t>753</t>
  </si>
  <si>
    <t>90468-14016</t>
  </si>
  <si>
    <t>754</t>
  </si>
  <si>
    <t>90468-14036</t>
  </si>
  <si>
    <t>755</t>
  </si>
  <si>
    <t>S4716-E0040</t>
  </si>
  <si>
    <t>BAND, BRAKE TUBE CLAMP</t>
  </si>
  <si>
    <t>756</t>
  </si>
  <si>
    <t>S471D-E0040</t>
  </si>
  <si>
    <t>CLAMP, BRAKE PIPE</t>
  </si>
  <si>
    <t>757</t>
  </si>
  <si>
    <t>S471D-E0050</t>
  </si>
  <si>
    <t>758</t>
  </si>
  <si>
    <t>S4736-11610</t>
  </si>
  <si>
    <t>CLAMP,BRAKE PIPE</t>
  </si>
  <si>
    <t>759</t>
  </si>
  <si>
    <t>S4736-11730</t>
  </si>
  <si>
    <t>760</t>
  </si>
  <si>
    <t>S4736-11790</t>
  </si>
  <si>
    <t>761</t>
  </si>
  <si>
    <t>S4736-11950</t>
  </si>
  <si>
    <t>762</t>
  </si>
  <si>
    <t>S4783-71230</t>
  </si>
  <si>
    <t>BAND,CLAMP</t>
  </si>
  <si>
    <t>EXCESS BY 6PCS</t>
  </si>
  <si>
    <t>763</t>
  </si>
  <si>
    <t>S7990-44280</t>
  </si>
  <si>
    <t>764</t>
  </si>
  <si>
    <t>S8271-11310</t>
  </si>
  <si>
    <t>CLAMP,WIRING HARNESS</t>
  </si>
  <si>
    <t>765</t>
  </si>
  <si>
    <t>S8271-11550</t>
  </si>
  <si>
    <t>766</t>
  </si>
  <si>
    <t>S8271-12610</t>
  </si>
  <si>
    <t>767</t>
  </si>
  <si>
    <t>SN221-30601</t>
  </si>
  <si>
    <t>768</t>
  </si>
  <si>
    <t>SN231-01001</t>
  </si>
  <si>
    <t>769</t>
  </si>
  <si>
    <t>SN231-01501</t>
  </si>
  <si>
    <t>770</t>
  </si>
  <si>
    <t>SN231-01801</t>
  </si>
  <si>
    <t>771</t>
  </si>
  <si>
    <t>SN231-02201</t>
  </si>
  <si>
    <t>772</t>
  </si>
  <si>
    <t>SN231-02401</t>
  </si>
  <si>
    <t>773</t>
  </si>
  <si>
    <t>SN231-03201</t>
  </si>
  <si>
    <t>774</t>
  </si>
  <si>
    <t>SN231-03401</t>
  </si>
  <si>
    <t>775</t>
  </si>
  <si>
    <t>SZ460-10002</t>
  </si>
  <si>
    <t>776</t>
  </si>
  <si>
    <t>SZ460-11006</t>
  </si>
  <si>
    <t>CLAMP</t>
  </si>
  <si>
    <t>777</t>
  </si>
  <si>
    <t>SZ460-13001</t>
  </si>
  <si>
    <t>778</t>
  </si>
  <si>
    <t>SZ460-14001</t>
  </si>
  <si>
    <t>779</t>
  </si>
  <si>
    <t>SZ460-22003</t>
  </si>
  <si>
    <t>780</t>
  </si>
  <si>
    <t>SZ460-33001</t>
  </si>
  <si>
    <t>781</t>
  </si>
  <si>
    <t>SZ460-51001</t>
  </si>
  <si>
    <t>782</t>
  </si>
  <si>
    <t>SZ460-70005</t>
  </si>
  <si>
    <t>783</t>
  </si>
  <si>
    <t>SZ461-08046</t>
  </si>
  <si>
    <t>784</t>
  </si>
  <si>
    <t>SZ461-24004</t>
  </si>
  <si>
    <t>785</t>
  </si>
  <si>
    <t>SZ464-01006</t>
  </si>
  <si>
    <t>786</t>
  </si>
  <si>
    <t>SZ466-15005</t>
  </si>
  <si>
    <t>787</t>
  </si>
  <si>
    <t>SZ466-24002</t>
  </si>
  <si>
    <t>788</t>
  </si>
  <si>
    <t>SZ469-17007</t>
  </si>
  <si>
    <t>789</t>
  </si>
  <si>
    <t>SZ469-17009</t>
  </si>
  <si>
    <t>790</t>
  </si>
  <si>
    <t>SZ950-37034</t>
  </si>
  <si>
    <t>791</t>
  </si>
  <si>
    <t>SZ950-37115</t>
  </si>
  <si>
    <t>792</t>
  </si>
  <si>
    <t>SZ950-37116</t>
  </si>
  <si>
    <t>793</t>
  </si>
  <si>
    <t>SZ950-37123</t>
  </si>
  <si>
    <t>794</t>
  </si>
  <si>
    <t>SZ950-24060</t>
  </si>
  <si>
    <t>795</t>
  </si>
  <si>
    <t>91552-L1440</t>
  </si>
  <si>
    <t>BOLT, FLANGE</t>
  </si>
  <si>
    <t>796</t>
  </si>
  <si>
    <t>91552-L1450</t>
  </si>
  <si>
    <t>797</t>
  </si>
  <si>
    <t>91552-F1235</t>
  </si>
  <si>
    <t>798</t>
  </si>
  <si>
    <t>94151-21401</t>
  </si>
  <si>
    <t>NUT, FLANGE</t>
  </si>
  <si>
    <t>799</t>
  </si>
  <si>
    <t>SZ177-08011</t>
  </si>
  <si>
    <t>NUT</t>
  </si>
  <si>
    <t>800</t>
  </si>
  <si>
    <t>SZ950-39342</t>
  </si>
  <si>
    <t>801</t>
  </si>
  <si>
    <t>FCJ9</t>
  </si>
  <si>
    <t>SZ464-01005</t>
  </si>
  <si>
    <t>802</t>
  </si>
  <si>
    <t>S7656-62860</t>
  </si>
  <si>
    <t>803</t>
  </si>
  <si>
    <t>S8271-11600</t>
  </si>
  <si>
    <t>804</t>
  </si>
  <si>
    <t>805</t>
  </si>
  <si>
    <t>S8271-12650</t>
  </si>
  <si>
    <t>806</t>
  </si>
  <si>
    <t>S8271-11590</t>
  </si>
  <si>
    <t>807</t>
  </si>
  <si>
    <t>808</t>
  </si>
  <si>
    <t>SH692-21030</t>
  </si>
  <si>
    <t>809</t>
  </si>
  <si>
    <t>PLUG HOLE</t>
  </si>
  <si>
    <t>810</t>
  </si>
  <si>
    <t>S8271-11560</t>
  </si>
  <si>
    <t>811</t>
  </si>
  <si>
    <t>SZ167-04003</t>
  </si>
  <si>
    <t>812</t>
  </si>
  <si>
    <t>813</t>
  </si>
  <si>
    <t>SH656-30830</t>
  </si>
  <si>
    <t>BOLT,W/WASHER</t>
  </si>
  <si>
    <t>814</t>
  </si>
  <si>
    <t>SZ950-94003</t>
  </si>
  <si>
    <t>CAP,BOLT</t>
  </si>
  <si>
    <t>815</t>
  </si>
  <si>
    <t>816</t>
  </si>
  <si>
    <t>817</t>
  </si>
  <si>
    <t>SZ950-41005</t>
  </si>
  <si>
    <t>818</t>
  </si>
  <si>
    <t>819</t>
  </si>
  <si>
    <t>SZ940-85267</t>
  </si>
  <si>
    <t>SPACER</t>
  </si>
  <si>
    <t>820</t>
  </si>
  <si>
    <t>821</t>
  </si>
  <si>
    <t>53630-26062</t>
  </si>
  <si>
    <t>Cable Assy Hoodlock control</t>
  </si>
  <si>
    <t>822</t>
  </si>
  <si>
    <t>Matt Assr FI Fr</t>
  </si>
  <si>
    <t>GH406</t>
  </si>
  <si>
    <t>823</t>
  </si>
  <si>
    <t>75506-90K00-00</t>
  </si>
  <si>
    <t>Moulding</t>
  </si>
  <si>
    <t>GF092</t>
  </si>
  <si>
    <t>824</t>
  </si>
  <si>
    <t>90159-60497</t>
  </si>
  <si>
    <t>GH414</t>
  </si>
  <si>
    <t>825</t>
  </si>
  <si>
    <t>52217-60090</t>
  </si>
  <si>
    <t>Bolt Body Mounting</t>
  </si>
  <si>
    <t>GF097</t>
  </si>
  <si>
    <t>826</t>
  </si>
  <si>
    <t>Pin Spring Front</t>
  </si>
  <si>
    <t>PKA23090003</t>
  </si>
  <si>
    <t>827</t>
  </si>
  <si>
    <t>Exhaust Pipe</t>
  </si>
  <si>
    <t>Keb010/23</t>
  </si>
  <si>
    <t>828</t>
  </si>
  <si>
    <t>58285-71010</t>
  </si>
  <si>
    <t>Cover RR Floor Hole</t>
  </si>
  <si>
    <t>BU009</t>
  </si>
  <si>
    <t>829</t>
  </si>
  <si>
    <t>0105HF0190E</t>
  </si>
  <si>
    <t>Speaker Grill</t>
  </si>
  <si>
    <t>830</t>
  </si>
  <si>
    <t>Mass Air Flow Sensor</t>
  </si>
  <si>
    <t>PKA23090004</t>
  </si>
  <si>
    <t>Known Shortage</t>
  </si>
  <si>
    <t>831</t>
  </si>
  <si>
    <t>832</t>
  </si>
  <si>
    <t>0116AG0080N</t>
  </si>
  <si>
    <t xml:space="preserve">Arm Wiper Front DS Mark </t>
  </si>
  <si>
    <t>833</t>
  </si>
  <si>
    <t>011AAG00B10N</t>
  </si>
  <si>
    <t>Glass Assembly Windscreen</t>
  </si>
  <si>
    <t>834</t>
  </si>
  <si>
    <t>03076AM00321N</t>
  </si>
  <si>
    <t>Starter Motor for Eagle CRDE with ESS</t>
  </si>
  <si>
    <t>835</t>
  </si>
  <si>
    <t xml:space="preserve">Dashboard Panel </t>
  </si>
  <si>
    <t>836</t>
  </si>
  <si>
    <t>0116A61010N</t>
  </si>
  <si>
    <t>Arm Wiper front AS mark</t>
  </si>
  <si>
    <t>837</t>
  </si>
  <si>
    <t>Assy parking break Lever cap</t>
  </si>
  <si>
    <t>838</t>
  </si>
  <si>
    <t>839</t>
  </si>
  <si>
    <t>Phoenix</t>
  </si>
  <si>
    <t>X5R00108</t>
  </si>
  <si>
    <t>FR Windshield Glass</t>
  </si>
  <si>
    <t>BD002</t>
  </si>
  <si>
    <t>840</t>
  </si>
  <si>
    <t>FE2497</t>
  </si>
  <si>
    <t>FAN00668</t>
  </si>
  <si>
    <t>PUSH CLIP RIVET</t>
  </si>
  <si>
    <t>841</t>
  </si>
  <si>
    <t>FAN03600</t>
  </si>
  <si>
    <t>CLIP SPACER TUBE WAY</t>
  </si>
  <si>
    <t>842</t>
  </si>
  <si>
    <t>FXD05600</t>
  </si>
  <si>
    <t>SHOCK ABSORBER REAR GABRILL</t>
  </si>
  <si>
    <t>843</t>
  </si>
  <si>
    <t>BFZ066503</t>
  </si>
  <si>
    <t>SA BODY FENDER (CHILD PART)</t>
  </si>
  <si>
    <t>844</t>
  </si>
  <si>
    <t>845</t>
  </si>
  <si>
    <t>BFZ06504</t>
  </si>
  <si>
    <t>SA BODY FENDER (CHILD PART</t>
  </si>
  <si>
    <t>846</t>
  </si>
  <si>
    <t>PE2499</t>
  </si>
  <si>
    <t>FMG03600</t>
  </si>
  <si>
    <t>LOGO</t>
  </si>
  <si>
    <t>847</t>
  </si>
  <si>
    <t>PE2449</t>
  </si>
  <si>
    <t>FB601500</t>
  </si>
  <si>
    <t>COMBINATION SWITCH</t>
  </si>
  <si>
    <t>848</t>
  </si>
  <si>
    <t>FOC00668</t>
  </si>
  <si>
    <t>HANDLE PILLAR COVER</t>
  </si>
  <si>
    <t>849</t>
  </si>
  <si>
    <t>FYR03911</t>
  </si>
  <si>
    <t>Special Washer for 3.5T</t>
  </si>
  <si>
    <t>AKBD003</t>
  </si>
  <si>
    <t>850</t>
  </si>
  <si>
    <t>FYR04011</t>
  </si>
  <si>
    <t>851</t>
  </si>
  <si>
    <t>FYM05411</t>
  </si>
  <si>
    <t>Special Nut Slock nut</t>
  </si>
  <si>
    <t>852</t>
  </si>
  <si>
    <t>FYK01011</t>
  </si>
  <si>
    <t>Special Flange nut m14x1</t>
  </si>
  <si>
    <t>853</t>
  </si>
  <si>
    <t>Intra V20</t>
  </si>
  <si>
    <t>Assly. battery Clamping Stud</t>
  </si>
  <si>
    <t>3KI23090002</t>
  </si>
  <si>
    <t>854</t>
  </si>
  <si>
    <t>Ace Start System</t>
  </si>
  <si>
    <t>855</t>
  </si>
  <si>
    <t>Gear Lever Sector</t>
  </si>
  <si>
    <t>856</t>
  </si>
  <si>
    <t>Cabin Mounting bolt</t>
  </si>
  <si>
    <t>857</t>
  </si>
  <si>
    <t>Fog Lamp Assy</t>
  </si>
  <si>
    <t>Assembly  supported by TML</t>
  </si>
  <si>
    <t>858</t>
  </si>
  <si>
    <t>CR Pan HD Screw M6X20 IS7483 SS845152-Y</t>
  </si>
  <si>
    <t>859</t>
  </si>
  <si>
    <t>ECU, EMS 497 CR 12V</t>
  </si>
  <si>
    <t>15/5/23</t>
  </si>
  <si>
    <t>860</t>
  </si>
  <si>
    <t>2348A314</t>
  </si>
  <si>
    <t>Tube, Clutch</t>
  </si>
  <si>
    <t>861</t>
  </si>
  <si>
    <t>FYL07311</t>
  </si>
  <si>
    <t>Flange Bolt (mx10x1.5x25mm)</t>
  </si>
  <si>
    <t>862</t>
  </si>
  <si>
    <t>FYL07211</t>
  </si>
  <si>
    <t>Flange screw ( m8x1.25x25mm)</t>
  </si>
  <si>
    <t>863</t>
  </si>
  <si>
    <t>FYR12113</t>
  </si>
  <si>
    <t>Special Washer</t>
  </si>
  <si>
    <t>864</t>
  </si>
  <si>
    <t>Instrument Cluster</t>
  </si>
  <si>
    <t>865</t>
  </si>
  <si>
    <t>X3566415</t>
  </si>
  <si>
    <t>Nut Flange M8X1.25</t>
  </si>
  <si>
    <t>866</t>
  </si>
  <si>
    <t>Safety Belt LH</t>
  </si>
  <si>
    <t>7KY23090004</t>
  </si>
  <si>
    <t>867</t>
  </si>
  <si>
    <t>Assy battery Cable</t>
  </si>
  <si>
    <t>868</t>
  </si>
  <si>
    <t>F7Y00310</t>
  </si>
  <si>
    <t>Gasket</t>
  </si>
  <si>
    <t>869</t>
  </si>
  <si>
    <t>Support Cross Member</t>
  </si>
  <si>
    <t>PKA23110006</t>
  </si>
  <si>
    <t>870</t>
  </si>
  <si>
    <t>F3C03014</t>
  </si>
  <si>
    <t>Battery Clamp</t>
  </si>
  <si>
    <t>871</t>
  </si>
  <si>
    <t>Male Adaptor</t>
  </si>
  <si>
    <t>53/54</t>
  </si>
  <si>
    <t>Supplied with (207747800159)</t>
  </si>
  <si>
    <t>872</t>
  </si>
  <si>
    <t>Spencer CAB MTG</t>
  </si>
  <si>
    <t>873</t>
  </si>
  <si>
    <t>Fuse-childpart of W/H Engine</t>
  </si>
  <si>
    <t>874</t>
  </si>
  <si>
    <t>875</t>
  </si>
  <si>
    <t>Assy Bracket - LH( A/TANK MTG)</t>
  </si>
  <si>
    <t>1K123110002</t>
  </si>
  <si>
    <t>876</t>
  </si>
  <si>
    <t>Assy Bracket - RH( A/TANK MTG)</t>
  </si>
  <si>
    <t>877</t>
  </si>
  <si>
    <t>90159-50311</t>
  </si>
  <si>
    <t>Screw W/washer Tap</t>
  </si>
  <si>
    <t>GH472</t>
  </si>
  <si>
    <t>878</t>
  </si>
  <si>
    <t>90119-08C13</t>
  </si>
  <si>
    <t>Bolt w/washer</t>
  </si>
  <si>
    <t>GH477</t>
  </si>
  <si>
    <t>879</t>
  </si>
  <si>
    <t>88710-2N071</t>
  </si>
  <si>
    <t>Tube and Accessory assy air conditioner</t>
  </si>
  <si>
    <t>GH457</t>
  </si>
  <si>
    <t>880</t>
  </si>
  <si>
    <t>Coupling body</t>
  </si>
  <si>
    <t>1K123110002 &amp; 3</t>
  </si>
  <si>
    <t>881</t>
  </si>
  <si>
    <t>Air Dryer</t>
  </si>
  <si>
    <t>882</t>
  </si>
  <si>
    <t>Return Spring-Child part of accelerator control shaft</t>
  </si>
  <si>
    <t>883</t>
  </si>
  <si>
    <t>Engine Lamp &amp; Bracket</t>
  </si>
  <si>
    <t>884</t>
  </si>
  <si>
    <t>Block Circuit Coupling</t>
  </si>
  <si>
    <t>Ket068/22</t>
  </si>
  <si>
    <t>Backlog</t>
  </si>
  <si>
    <t>885</t>
  </si>
  <si>
    <t>Firtree Union</t>
  </si>
  <si>
    <t>886</t>
  </si>
  <si>
    <t>Scania P380</t>
  </si>
  <si>
    <t>Manifold fitting</t>
  </si>
  <si>
    <t>Ket02/23</t>
  </si>
  <si>
    <t>887</t>
  </si>
  <si>
    <t>Wheel Speed Sensor</t>
  </si>
  <si>
    <t>Ket072/22</t>
  </si>
  <si>
    <t>Mulfunction</t>
  </si>
  <si>
    <t>888</t>
  </si>
  <si>
    <t>Sealing</t>
  </si>
  <si>
    <t>Ket015/23</t>
  </si>
  <si>
    <t>1/31/2024, 16/9/23</t>
  </si>
  <si>
    <t>889</t>
  </si>
  <si>
    <t xml:space="preserve">Insert assy </t>
  </si>
  <si>
    <t>890</t>
  </si>
  <si>
    <t>Insert Assy</t>
  </si>
  <si>
    <t>Ket017/23</t>
  </si>
  <si>
    <t>891</t>
  </si>
  <si>
    <t>Grommet Lamp Guard ( Screws)</t>
  </si>
  <si>
    <t>892</t>
  </si>
  <si>
    <t>Cable h roofshelf Normal &amp; high Roof</t>
  </si>
  <si>
    <t>Ket065/22</t>
  </si>
  <si>
    <t>893</t>
  </si>
  <si>
    <t>FTZ00108</t>
  </si>
  <si>
    <t>Mirror Rear View Outer RH</t>
  </si>
  <si>
    <t>894</t>
  </si>
  <si>
    <t>X7K00500</t>
  </si>
  <si>
    <t>Door Lock Assy</t>
  </si>
  <si>
    <t>895</t>
  </si>
  <si>
    <t>U2523</t>
  </si>
  <si>
    <t>MB1HTLHC5NEPJ9919</t>
  </si>
  <si>
    <t>F9F00511-</t>
  </si>
  <si>
    <t>LEAF SPRING</t>
  </si>
  <si>
    <t>LK112</t>
  </si>
  <si>
    <t>896</t>
  </si>
  <si>
    <t>NEPJ9919</t>
  </si>
  <si>
    <t>F9W00842</t>
  </si>
  <si>
    <t>PIPE CACTIC OUTLET ELBOW</t>
  </si>
  <si>
    <t>897</t>
  </si>
  <si>
    <t>F6L00115</t>
  </si>
  <si>
    <t>ELBOW M18 X M22 120</t>
  </si>
  <si>
    <t>898</t>
  </si>
  <si>
    <t>FA200213</t>
  </si>
  <si>
    <t>ST.4.2 PLATE NUT</t>
  </si>
  <si>
    <t>899</t>
  </si>
  <si>
    <t>FH310500</t>
  </si>
  <si>
    <t>FUSE BOX STICKER</t>
  </si>
  <si>
    <t>900</t>
  </si>
  <si>
    <t>F3780015</t>
  </si>
  <si>
    <t>PUSH ON FASTENERS</t>
  </si>
  <si>
    <t>901</t>
  </si>
  <si>
    <t>X7602060</t>
  </si>
  <si>
    <t>PLUG SWITCH</t>
  </si>
  <si>
    <t>11 Excess</t>
  </si>
  <si>
    <t>902</t>
  </si>
  <si>
    <t>F7400850</t>
  </si>
  <si>
    <t>WEATHERSTRIP ASSY DOOR</t>
  </si>
  <si>
    <t>903</t>
  </si>
  <si>
    <t>PJ9919</t>
  </si>
  <si>
    <t>F33541410</t>
  </si>
  <si>
    <t>SPECIAL NUT HEX M20X1.5P</t>
  </si>
  <si>
    <t>904</t>
  </si>
  <si>
    <t>F1932850</t>
  </si>
  <si>
    <t>HOSE</t>
  </si>
  <si>
    <t>905</t>
  </si>
  <si>
    <t>Spring Pin</t>
  </si>
  <si>
    <t>PKD23100003</t>
  </si>
  <si>
    <t>906</t>
  </si>
  <si>
    <t>Reinforcement RH (SHB REAR REAR)</t>
  </si>
  <si>
    <t>907</t>
  </si>
  <si>
    <t>Reinforcement RH ( SBH REAR FRONT)</t>
  </si>
  <si>
    <t>908</t>
  </si>
  <si>
    <t>Windshield Glass</t>
  </si>
  <si>
    <t>909</t>
  </si>
  <si>
    <t>Windshield Glass Support</t>
  </si>
  <si>
    <t>910</t>
  </si>
  <si>
    <t>Windshield GlassSupport Centre</t>
  </si>
  <si>
    <t>911</t>
  </si>
  <si>
    <t>0004280035J</t>
  </si>
  <si>
    <t>Assy High Pressure Hose BI</t>
  </si>
  <si>
    <t>912</t>
  </si>
  <si>
    <t>Bracket Assy, Engine MTG Front RH</t>
  </si>
  <si>
    <t>913</t>
  </si>
  <si>
    <t>5884-26050</t>
  </si>
  <si>
    <t>Gear Lever Cover</t>
  </si>
  <si>
    <t>GH492</t>
  </si>
  <si>
    <t>914</t>
  </si>
  <si>
    <t>Fender Rear LH Wide</t>
  </si>
  <si>
    <t>915</t>
  </si>
  <si>
    <t>Fender Rear RH Wide</t>
  </si>
  <si>
    <t>916</t>
  </si>
  <si>
    <t>11285-51010</t>
  </si>
  <si>
    <t>Label Coolant</t>
  </si>
  <si>
    <t>917</t>
  </si>
  <si>
    <t>90467-06155</t>
  </si>
  <si>
    <t>Clip</t>
  </si>
  <si>
    <t>918</t>
  </si>
  <si>
    <t>F3566510</t>
  </si>
  <si>
    <t>SCREW SHEET METAL TU</t>
  </si>
  <si>
    <t>919</t>
  </si>
  <si>
    <t>90541-09028</t>
  </si>
  <si>
    <t>Grommet Stopper ( Engine Cover)</t>
  </si>
  <si>
    <t>GH495</t>
  </si>
  <si>
    <t>920</t>
  </si>
  <si>
    <t>Hex nut M3 1S1364P3-8-SS9400</t>
  </si>
  <si>
    <t>921</t>
  </si>
  <si>
    <t>CR PAN HD SCREW M3X16 1S7483 SS8451-8C</t>
  </si>
  <si>
    <t>11406706208 Supplied</t>
  </si>
  <si>
    <t>922</t>
  </si>
  <si>
    <t>252709137802-281</t>
  </si>
  <si>
    <t>Rubber Sleeve(M/S FLTG)</t>
  </si>
  <si>
    <t>923</t>
  </si>
  <si>
    <t>L1011418</t>
  </si>
  <si>
    <t>924</t>
  </si>
  <si>
    <t>L3611418</t>
  </si>
  <si>
    <t>925</t>
  </si>
  <si>
    <t>X3516910</t>
  </si>
  <si>
    <t>Special Flanged Bolt Hex M1</t>
  </si>
  <si>
    <t>926</t>
  </si>
  <si>
    <t>GF093</t>
  </si>
  <si>
    <t>927</t>
  </si>
  <si>
    <t>ML322446</t>
  </si>
  <si>
    <t>Cable Assy, Park Brake</t>
  </si>
  <si>
    <t>928</t>
  </si>
  <si>
    <t>ML334444</t>
  </si>
  <si>
    <t>Cable Assy M/T Control</t>
  </si>
  <si>
    <t>929</t>
  </si>
  <si>
    <t>Assy Tail Lamp with EOM and with RPL LH-24V</t>
  </si>
  <si>
    <t>930</t>
  </si>
  <si>
    <t>Assy Tail Lamp with EOM and with RPL RH-24V</t>
  </si>
  <si>
    <t>931</t>
  </si>
  <si>
    <t>585881100218-170</t>
  </si>
  <si>
    <t>Main Mirror Assy LH</t>
  </si>
  <si>
    <t>932</t>
  </si>
  <si>
    <t>Assy Grab handle ( Dash Board)</t>
  </si>
  <si>
    <t>933</t>
  </si>
  <si>
    <t>42600-26012</t>
  </si>
  <si>
    <t>GH516</t>
  </si>
  <si>
    <t>Rework</t>
  </si>
  <si>
    <t>934</t>
  </si>
  <si>
    <t>Lever type Control Valve</t>
  </si>
  <si>
    <t>935</t>
  </si>
  <si>
    <t>Rear Fixed Glass Seal</t>
  </si>
  <si>
    <t>3K23090002</t>
  </si>
  <si>
    <t>936</t>
  </si>
  <si>
    <t>Split Pin 3.2X22 IS549SS</t>
  </si>
  <si>
    <t>Confirm split Pin Claim</t>
  </si>
  <si>
    <t>937</t>
  </si>
  <si>
    <t>Spare Wheel MTG Pin</t>
  </si>
  <si>
    <t>938</t>
  </si>
  <si>
    <t>Assy Composite Floor Matt RH</t>
  </si>
  <si>
    <t>1KI23100002</t>
  </si>
  <si>
    <t>939</t>
  </si>
  <si>
    <t>Clutch Master Cylinder Assy</t>
  </si>
  <si>
    <t>940</t>
  </si>
  <si>
    <t>Assy Thrust Rod</t>
  </si>
  <si>
    <t>941</t>
  </si>
  <si>
    <t>A4006840103</t>
  </si>
  <si>
    <t>Floor Covering /Driver Side S- Cab</t>
  </si>
  <si>
    <t>20/2/2024</t>
  </si>
  <si>
    <t>942</t>
  </si>
  <si>
    <t>943</t>
  </si>
  <si>
    <t>944</t>
  </si>
  <si>
    <t>N000000001435</t>
  </si>
  <si>
    <t>HXRD SCREW</t>
  </si>
  <si>
    <t>945</t>
  </si>
  <si>
    <t>946</t>
  </si>
  <si>
    <t>A9737500451</t>
  </si>
  <si>
    <t>ZB Hinge RH</t>
  </si>
  <si>
    <t>947</t>
  </si>
  <si>
    <t xml:space="preserve">Plate Name </t>
  </si>
  <si>
    <t>BZ0011</t>
  </si>
  <si>
    <t>948</t>
  </si>
  <si>
    <t>949</t>
  </si>
  <si>
    <t>91553-80814</t>
  </si>
  <si>
    <t>Flange Bolt</t>
  </si>
  <si>
    <t>950</t>
  </si>
  <si>
    <t>140024V</t>
  </si>
  <si>
    <t>Bolt Flange</t>
  </si>
  <si>
    <t>7.8.9</t>
  </si>
  <si>
    <t>951</t>
  </si>
  <si>
    <t>91533-A0625</t>
  </si>
  <si>
    <t>952</t>
  </si>
  <si>
    <t>Condenser</t>
  </si>
  <si>
    <t>13K23090002</t>
  </si>
  <si>
    <t>953</t>
  </si>
  <si>
    <t>Partner</t>
  </si>
  <si>
    <t>963022VE0B</t>
  </si>
  <si>
    <t>Mirror Assy Outside LH</t>
  </si>
  <si>
    <t>954</t>
  </si>
  <si>
    <t>A4005420340</t>
  </si>
  <si>
    <t>Bracket metal</t>
  </si>
  <si>
    <t>87-88</t>
  </si>
  <si>
    <t>955</t>
  </si>
  <si>
    <t>45450-60260</t>
  </si>
  <si>
    <t>Rod Assy, Steering Relay (Child Part)</t>
  </si>
  <si>
    <t>BZ007</t>
  </si>
  <si>
    <t>956</t>
  </si>
  <si>
    <t>B124090023</t>
  </si>
  <si>
    <t>957</t>
  </si>
  <si>
    <t>Spiral</t>
  </si>
  <si>
    <t>958</t>
  </si>
  <si>
    <t>A0003121571</t>
  </si>
  <si>
    <t>Hexagonal Head Bolt</t>
  </si>
  <si>
    <t>959</t>
  </si>
  <si>
    <t>90117-14072</t>
  </si>
  <si>
    <t>960</t>
  </si>
  <si>
    <t>90178-14009</t>
  </si>
  <si>
    <t>Flange Nut</t>
  </si>
  <si>
    <t>961</t>
  </si>
  <si>
    <t>67918-KK040</t>
  </si>
  <si>
    <t>Plate RR Door Scuff Inside</t>
  </si>
  <si>
    <t>AJ010</t>
  </si>
  <si>
    <t>962</t>
  </si>
  <si>
    <t>25625-KK030</t>
  </si>
  <si>
    <t>Tray Instr. Panel Cup Holder</t>
  </si>
  <si>
    <t>FG002</t>
  </si>
  <si>
    <t>963</t>
  </si>
  <si>
    <t>89661-FA730</t>
  </si>
  <si>
    <t>Computer Engine  control</t>
  </si>
  <si>
    <t>964</t>
  </si>
  <si>
    <t>U-Bolt</t>
  </si>
  <si>
    <t>Ket016/23</t>
  </si>
  <si>
    <t>965</t>
  </si>
  <si>
    <t>BZ016,BZ014, BZ016</t>
  </si>
  <si>
    <t>966</t>
  </si>
  <si>
    <t>Lu Water Seperator/with Fuel Filter</t>
  </si>
  <si>
    <t>967</t>
  </si>
  <si>
    <t>Handle Assy parking Brake Control</t>
  </si>
  <si>
    <t>968</t>
  </si>
  <si>
    <t>XR102600</t>
  </si>
  <si>
    <t>Tail Lamp LH</t>
  </si>
  <si>
    <t>KBD003</t>
  </si>
  <si>
    <t>969</t>
  </si>
  <si>
    <t>FFY00200</t>
  </si>
  <si>
    <t>Fuel Feed Pump</t>
  </si>
  <si>
    <t>970</t>
  </si>
  <si>
    <t>BZ003</t>
  </si>
  <si>
    <t>971</t>
  </si>
  <si>
    <t>Spare Tyre</t>
  </si>
  <si>
    <t>972</t>
  </si>
  <si>
    <t>A4005840047</t>
  </si>
  <si>
    <t>Warning Sign</t>
  </si>
  <si>
    <t>973</t>
  </si>
  <si>
    <t>68102-26084</t>
  </si>
  <si>
    <t>Glass Sub Assy FR Door RH</t>
  </si>
  <si>
    <t>GH487</t>
  </si>
  <si>
    <t>974</t>
  </si>
  <si>
    <t>Hiace Sticker</t>
  </si>
  <si>
    <t>GH486</t>
  </si>
  <si>
    <t>975</t>
  </si>
  <si>
    <t>90249-08256</t>
  </si>
  <si>
    <t>Clutch Pins</t>
  </si>
  <si>
    <t>GF107, 108</t>
  </si>
  <si>
    <t>976</t>
  </si>
  <si>
    <t>977</t>
  </si>
  <si>
    <t>978</t>
  </si>
  <si>
    <t>CFCM00000001</t>
  </si>
  <si>
    <t>CrossMember Sub-Assy rhd</t>
  </si>
  <si>
    <t>979</t>
  </si>
  <si>
    <t>Cab Hinge</t>
  </si>
  <si>
    <t>980</t>
  </si>
  <si>
    <t>Clip( Brake hose)</t>
  </si>
  <si>
    <t>981</t>
  </si>
  <si>
    <t>87/88</t>
  </si>
  <si>
    <t>982</t>
  </si>
  <si>
    <t>983</t>
  </si>
  <si>
    <t>984</t>
  </si>
  <si>
    <t>47307-E0490</t>
  </si>
  <si>
    <t>Connector Sub Assy Tube</t>
  </si>
  <si>
    <t>DR009</t>
  </si>
  <si>
    <t>985</t>
  </si>
  <si>
    <t>47307-E0530</t>
  </si>
  <si>
    <t>986</t>
  </si>
  <si>
    <t>8110-E0881</t>
  </si>
  <si>
    <t>987</t>
  </si>
  <si>
    <t>SZ950-39329</t>
  </si>
  <si>
    <t>Retainer</t>
  </si>
  <si>
    <t>988</t>
  </si>
  <si>
    <t>SZ950-39334</t>
  </si>
  <si>
    <t>989</t>
  </si>
  <si>
    <t>54677-66390</t>
  </si>
  <si>
    <t>Pipe, Air</t>
  </si>
  <si>
    <t>990</t>
  </si>
  <si>
    <t>86301-E0030</t>
  </si>
  <si>
    <t>Pole sub-Assy Antenna</t>
  </si>
  <si>
    <t>991</t>
  </si>
  <si>
    <t>57645-41012</t>
  </si>
  <si>
    <t>Cover, fr Grip LH</t>
  </si>
  <si>
    <t>992</t>
  </si>
  <si>
    <t>85500-E0030</t>
  </si>
  <si>
    <t>Lighter Assy, Cigatte</t>
  </si>
  <si>
    <t>993</t>
  </si>
  <si>
    <t>SZ950-39055</t>
  </si>
  <si>
    <t>994</t>
  </si>
  <si>
    <t>995</t>
  </si>
  <si>
    <t>91552-F1040</t>
  </si>
  <si>
    <t>996</t>
  </si>
  <si>
    <t>SL611-01024</t>
  </si>
  <si>
    <t>997</t>
  </si>
  <si>
    <t>94151-81001</t>
  </si>
  <si>
    <t>998</t>
  </si>
  <si>
    <t>SL722-01415</t>
  </si>
  <si>
    <t>999</t>
  </si>
  <si>
    <t>57724-31840</t>
  </si>
  <si>
    <t>Pipe, Fuel Feed</t>
  </si>
  <si>
    <t>1000</t>
  </si>
  <si>
    <t>SZ401-1400</t>
  </si>
  <si>
    <t>1001</t>
  </si>
  <si>
    <t>84306-37070</t>
  </si>
  <si>
    <t>Cable Sub ( spiral)</t>
  </si>
  <si>
    <t>1002</t>
  </si>
  <si>
    <t>42620-31320</t>
  </si>
  <si>
    <t>Wheel Assy</t>
  </si>
  <si>
    <t>1003</t>
  </si>
  <si>
    <t>2302GSF00060N</t>
  </si>
  <si>
    <t>Decals RR RH</t>
  </si>
  <si>
    <t>1004</t>
  </si>
  <si>
    <t>0111EF0060N</t>
  </si>
  <si>
    <t>Glass Windshield Laminated Camper</t>
  </si>
  <si>
    <t>1005</t>
  </si>
  <si>
    <t>0706AAA01150N</t>
  </si>
  <si>
    <t>Lever Assembly Gearshift Top</t>
  </si>
  <si>
    <t>1006</t>
  </si>
  <si>
    <t>Weatherstrip Rear Window SCDC</t>
  </si>
  <si>
    <t>1007</t>
  </si>
  <si>
    <t>0304DAB02320N</t>
  </si>
  <si>
    <t>Hose Radiator Inlet</t>
  </si>
  <si>
    <t>1008</t>
  </si>
  <si>
    <t>0609AAA00801N</t>
  </si>
  <si>
    <t>Sensor Wheel Front</t>
  </si>
  <si>
    <t>1009</t>
  </si>
  <si>
    <t>F310</t>
  </si>
  <si>
    <t>Bolt Tensioner</t>
  </si>
  <si>
    <t>Keb012/23</t>
  </si>
  <si>
    <t>1010</t>
  </si>
  <si>
    <t>keb005/23</t>
  </si>
  <si>
    <t>1011</t>
  </si>
  <si>
    <t>1012</t>
  </si>
  <si>
    <t>Hexagon locknut M14</t>
  </si>
  <si>
    <t>Keb005/23</t>
  </si>
  <si>
    <t>19/9/23</t>
  </si>
  <si>
    <t>1013</t>
  </si>
  <si>
    <t>Rear Lead Union</t>
  </si>
  <si>
    <t>1014</t>
  </si>
  <si>
    <t xml:space="preserve">Support Assy </t>
  </si>
  <si>
    <t>1015</t>
  </si>
  <si>
    <t>LPK2518</t>
  </si>
  <si>
    <t>Rubber Moulding Fixed Quater</t>
  </si>
  <si>
    <t>IKJ23110001</t>
  </si>
  <si>
    <t>1016</t>
  </si>
  <si>
    <t>Keto65/22</t>
  </si>
  <si>
    <t>1017</t>
  </si>
  <si>
    <t>Led Cat56 DI RHS</t>
  </si>
  <si>
    <t>Ket065/23</t>
  </si>
  <si>
    <t>1018</t>
  </si>
  <si>
    <t>Hose Clamp</t>
  </si>
  <si>
    <t>Ket01/23</t>
  </si>
  <si>
    <t>1019</t>
  </si>
  <si>
    <t>Insert Union</t>
  </si>
  <si>
    <t>1020</t>
  </si>
  <si>
    <t>Guide rail Assy</t>
  </si>
  <si>
    <t>Keb013/23</t>
  </si>
  <si>
    <t>1021</t>
  </si>
  <si>
    <t>Press Screw</t>
  </si>
  <si>
    <t>1022</t>
  </si>
  <si>
    <t>Plastic Member Assy Front Door LH</t>
  </si>
  <si>
    <t>1023</t>
  </si>
  <si>
    <t>R100351</t>
  </si>
  <si>
    <t>Bracket Articulation Stopper</t>
  </si>
  <si>
    <t>1024</t>
  </si>
  <si>
    <t>17700-51032</t>
  </si>
  <si>
    <t>BZ020</t>
  </si>
  <si>
    <t>1025</t>
  </si>
  <si>
    <t>15471-90K00</t>
  </si>
  <si>
    <t>BZ008</t>
  </si>
  <si>
    <t>1026</t>
  </si>
  <si>
    <t>56101-60332</t>
  </si>
  <si>
    <t>Windshield</t>
  </si>
  <si>
    <t>BZ012</t>
  </si>
  <si>
    <t>1027</t>
  </si>
  <si>
    <t>MK580858</t>
  </si>
  <si>
    <t>Dummy Lamp LH</t>
  </si>
  <si>
    <t>1028</t>
  </si>
  <si>
    <t>4625A558</t>
  </si>
  <si>
    <t>M/cyl booster Assy</t>
  </si>
  <si>
    <t>1029</t>
  </si>
  <si>
    <t>Banjo Bolt</t>
  </si>
  <si>
    <t>1030</t>
  </si>
  <si>
    <t>MC933814VZ</t>
  </si>
  <si>
    <t>Trim  FR Door LH</t>
  </si>
  <si>
    <t>B124040009</t>
  </si>
  <si>
    <t>1031</t>
  </si>
  <si>
    <t>ACC Cable Assy</t>
  </si>
  <si>
    <t>1032</t>
  </si>
  <si>
    <t>Keb05/23</t>
  </si>
  <si>
    <t>1033</t>
  </si>
  <si>
    <t>Suport Assy</t>
  </si>
  <si>
    <t>1034</t>
  </si>
  <si>
    <t>1035</t>
  </si>
  <si>
    <t>1036</t>
  </si>
  <si>
    <t>Hexagon Lock Nut</t>
  </si>
  <si>
    <t>1037</t>
  </si>
  <si>
    <t>Gromet</t>
  </si>
  <si>
    <t>1038</t>
  </si>
  <si>
    <t>Belt Tension</t>
  </si>
  <si>
    <t>1039</t>
  </si>
  <si>
    <t>PKB23110001</t>
  </si>
  <si>
    <t>1040</t>
  </si>
  <si>
    <t>Close Proximity Mirror</t>
  </si>
  <si>
    <t>1041</t>
  </si>
  <si>
    <t>Front Door Glass</t>
  </si>
  <si>
    <t>1042</t>
  </si>
  <si>
    <t>89543-0k008100</t>
  </si>
  <si>
    <t>Sensor Speed</t>
  </si>
  <si>
    <t>FW017</t>
  </si>
  <si>
    <t>1043</t>
  </si>
  <si>
    <t>53737-60140</t>
  </si>
  <si>
    <t>Seal Front Fender Apton LH</t>
  </si>
  <si>
    <t>BZ0021</t>
  </si>
  <si>
    <t>1044</t>
  </si>
  <si>
    <t>Air tank Assy</t>
  </si>
  <si>
    <t>1045</t>
  </si>
  <si>
    <t>89516-60570</t>
  </si>
  <si>
    <t>LH Front ABS Sensor</t>
  </si>
  <si>
    <t>1046</t>
  </si>
  <si>
    <t>Brake Chamber Connector</t>
  </si>
  <si>
    <t>1047</t>
  </si>
  <si>
    <t>48531-26860</t>
  </si>
  <si>
    <t>Absorber Shock RR</t>
  </si>
  <si>
    <t>GH552</t>
  </si>
  <si>
    <t>1048</t>
  </si>
  <si>
    <t>Weatherstrip</t>
  </si>
  <si>
    <t>1049</t>
  </si>
  <si>
    <t>F9P00500</t>
  </si>
  <si>
    <t>Hose Cabtilting</t>
  </si>
  <si>
    <t>LK119</t>
  </si>
  <si>
    <t>1050</t>
  </si>
  <si>
    <t>F3526511</t>
  </si>
  <si>
    <t>Special Bolt</t>
  </si>
  <si>
    <t>1051</t>
  </si>
  <si>
    <t>F9P01900</t>
  </si>
  <si>
    <t>Hose Dia</t>
  </si>
  <si>
    <t>1052</t>
  </si>
  <si>
    <t>FNN00268</t>
  </si>
  <si>
    <t>Nacille Interior Trim Upper</t>
  </si>
  <si>
    <t>1053</t>
  </si>
  <si>
    <t>B0Y18255</t>
  </si>
  <si>
    <t>Handle A-Inside DR LH</t>
  </si>
  <si>
    <t>1054</t>
  </si>
  <si>
    <t>B0Y18256</t>
  </si>
  <si>
    <t>Handle A- Inside DR RH</t>
  </si>
  <si>
    <t>1055</t>
  </si>
  <si>
    <t>B0Y18258</t>
  </si>
  <si>
    <t>Check Arm</t>
  </si>
  <si>
    <t>1056</t>
  </si>
  <si>
    <t>B0Y18229</t>
  </si>
  <si>
    <t>S/A of Stricker A-Front Lid</t>
  </si>
  <si>
    <t>1057</t>
  </si>
  <si>
    <t>F6T01060</t>
  </si>
  <si>
    <t>Handle A Grab EXT Frt LH</t>
  </si>
  <si>
    <t>1058</t>
  </si>
  <si>
    <t>FDS00700</t>
  </si>
  <si>
    <t>Door Harness</t>
  </si>
  <si>
    <t>1059</t>
  </si>
  <si>
    <t>F8L00800</t>
  </si>
  <si>
    <t>Outer Door handle LH</t>
  </si>
  <si>
    <t>1060</t>
  </si>
  <si>
    <t>F6B00760</t>
  </si>
  <si>
    <t>Housing Handle</t>
  </si>
  <si>
    <t>1061</t>
  </si>
  <si>
    <t>F9L01160</t>
  </si>
  <si>
    <t>Cover Rocker Panel RR RH</t>
  </si>
  <si>
    <t>1062</t>
  </si>
  <si>
    <t>F9L00760</t>
  </si>
  <si>
    <t>Cover Rocker Panel FRT LH</t>
  </si>
  <si>
    <t>1063</t>
  </si>
  <si>
    <t>FE704210</t>
  </si>
  <si>
    <t>1064</t>
  </si>
  <si>
    <t>F9L00460</t>
  </si>
  <si>
    <t>Trim Pillar Upper LH</t>
  </si>
  <si>
    <t>1065</t>
  </si>
  <si>
    <t>F9L00560</t>
  </si>
  <si>
    <t>Trim Pillar Upper RH</t>
  </si>
  <si>
    <t>1066</t>
  </si>
  <si>
    <t>F3S02568</t>
  </si>
  <si>
    <t xml:space="preserve">Black Cover </t>
  </si>
  <si>
    <t>1067</t>
  </si>
  <si>
    <t>FSC00400</t>
  </si>
  <si>
    <t>Cigaratte Lighter</t>
  </si>
  <si>
    <t>1068</t>
  </si>
  <si>
    <t>F5V01660</t>
  </si>
  <si>
    <t>Pocket</t>
  </si>
  <si>
    <t>1069</t>
  </si>
  <si>
    <t>FC403468</t>
  </si>
  <si>
    <t>Cover IP CTR LWR</t>
  </si>
  <si>
    <t>1070</t>
  </si>
  <si>
    <t>F5V00660</t>
  </si>
  <si>
    <t>PANEL I P, PASSENGER LOWER - RH</t>
  </si>
  <si>
    <t>1071</t>
  </si>
  <si>
    <t>F5V09268</t>
  </si>
  <si>
    <t>Ash Tray</t>
  </si>
  <si>
    <t>1072</t>
  </si>
  <si>
    <t>F4X00160</t>
  </si>
  <si>
    <t>1073</t>
  </si>
  <si>
    <t>B1E17501</t>
  </si>
  <si>
    <t>CSO CABLE UNIT</t>
  </si>
  <si>
    <t>1074</t>
  </si>
  <si>
    <t>HOSE 1/8 DIA M12x1.5 2900mm Long</t>
  </si>
  <si>
    <t>1075</t>
  </si>
  <si>
    <t>F6D02313</t>
  </si>
  <si>
    <t>Bracket-FUPD LH</t>
  </si>
  <si>
    <t>1076</t>
  </si>
  <si>
    <t>F6A00212</t>
  </si>
  <si>
    <t>Bracket-Front Spring Rear RH</t>
  </si>
  <si>
    <t>1077</t>
  </si>
  <si>
    <t>FHT00299</t>
  </si>
  <si>
    <t>Cap Fuel Tank</t>
  </si>
  <si>
    <t>1078</t>
  </si>
  <si>
    <t>1079</t>
  </si>
  <si>
    <t>Computer Engine Control</t>
  </si>
  <si>
    <t>1080</t>
  </si>
  <si>
    <t>Scania P250</t>
  </si>
  <si>
    <t xml:space="preserve">Fire Extinguisher </t>
  </si>
  <si>
    <t>Ket22/23</t>
  </si>
  <si>
    <t>1081</t>
  </si>
  <si>
    <t>Support Assy Hood</t>
  </si>
  <si>
    <t>GH448</t>
  </si>
  <si>
    <t>1082</t>
  </si>
  <si>
    <t>7740530,31,32,34</t>
  </si>
  <si>
    <t>Clutch Pin</t>
  </si>
  <si>
    <t>GF107,108</t>
  </si>
  <si>
    <t>1083</t>
  </si>
  <si>
    <t>46110-26591</t>
  </si>
  <si>
    <t>Handle Assy Parking</t>
  </si>
  <si>
    <t>1084</t>
  </si>
  <si>
    <t>12268-30050</t>
  </si>
  <si>
    <t>Hose Oil Return (child part)</t>
  </si>
  <si>
    <t>GH0572</t>
  </si>
  <si>
    <t>1085</t>
  </si>
  <si>
    <t>Washer M14</t>
  </si>
  <si>
    <t>1086</t>
  </si>
  <si>
    <t>Label</t>
  </si>
  <si>
    <t>1087</t>
  </si>
  <si>
    <t>Air spring Link LH</t>
  </si>
  <si>
    <t>1088</t>
  </si>
  <si>
    <t>Air Spring Link RH</t>
  </si>
  <si>
    <t>1089</t>
  </si>
  <si>
    <t>Screws</t>
  </si>
  <si>
    <t>Ket06/23</t>
  </si>
  <si>
    <t>1090</t>
  </si>
  <si>
    <t>KET013/23</t>
  </si>
  <si>
    <t>1091</t>
  </si>
  <si>
    <t xml:space="preserve"> V-ROD MTG. BKT ON FRAME-TML SUSPENSION</t>
  </si>
  <si>
    <t>1092</t>
  </si>
  <si>
    <t>44740-60270</t>
  </si>
  <si>
    <t>Reservoir Assy Vacuum</t>
  </si>
  <si>
    <t>BZ0022</t>
  </si>
  <si>
    <t>1093</t>
  </si>
  <si>
    <t>Scania F310</t>
  </si>
  <si>
    <t xml:space="preserve">Fuel Pickup Plug </t>
  </si>
  <si>
    <t>1094</t>
  </si>
  <si>
    <t>1095</t>
  </si>
  <si>
    <t>Blanking piece</t>
  </si>
  <si>
    <t>1096</t>
  </si>
  <si>
    <t>Weatherstrip A.Door openning</t>
  </si>
  <si>
    <t>1097</t>
  </si>
  <si>
    <t>Glass Sub ASM-OK Glass RH</t>
  </si>
  <si>
    <t>PCM-000092</t>
  </si>
  <si>
    <t>1098</t>
  </si>
  <si>
    <t>Bond Clamp-168</t>
  </si>
  <si>
    <t>1099</t>
  </si>
  <si>
    <t>Spring Washer</t>
  </si>
  <si>
    <t>1100</t>
  </si>
  <si>
    <t>Hex FL Bolt M20X2.5</t>
  </si>
  <si>
    <t>1101</t>
  </si>
  <si>
    <t>17940-30051</t>
  </si>
  <si>
    <t>Intercooler Assy</t>
  </si>
  <si>
    <t>GH581</t>
  </si>
  <si>
    <t>1102</t>
  </si>
  <si>
    <t>MH000483</t>
  </si>
  <si>
    <t>Bolt Reamer</t>
  </si>
  <si>
    <t>1103</t>
  </si>
  <si>
    <t>1104</t>
  </si>
  <si>
    <t>Mudguard Stud</t>
  </si>
  <si>
    <t>1105</t>
  </si>
  <si>
    <t>Fuel Filter Assy</t>
  </si>
  <si>
    <t>1106</t>
  </si>
  <si>
    <t>Seal FR Fender Apton LH</t>
  </si>
  <si>
    <t>1107</t>
  </si>
  <si>
    <t>Combi Lamp Comp LH NUM Plate</t>
  </si>
  <si>
    <t>Ket04/23</t>
  </si>
  <si>
    <t>1108</t>
  </si>
  <si>
    <t>Rubber Pass LH CP/CG</t>
  </si>
  <si>
    <t>1109</t>
  </si>
  <si>
    <t>ABS Channel Tube LH</t>
  </si>
  <si>
    <t>1110</t>
  </si>
  <si>
    <t>ABS Channel Tube RH</t>
  </si>
  <si>
    <t>1111</t>
  </si>
  <si>
    <t>RH Mudguard Stud</t>
  </si>
  <si>
    <t>1112</t>
  </si>
  <si>
    <t>Bolt -P/S Gear Fix</t>
  </si>
  <si>
    <t>1113</t>
  </si>
  <si>
    <t>Side Plate- Shaft</t>
  </si>
  <si>
    <t>1114</t>
  </si>
  <si>
    <t>1115</t>
  </si>
  <si>
    <t>1116</t>
  </si>
  <si>
    <t>Lamp P12V 21W BA15S E CERT.ECE R37</t>
  </si>
  <si>
    <t>1117</t>
  </si>
  <si>
    <t>H THIN NUT M12X1.25IS13724-05SS8451S2-Y</t>
  </si>
  <si>
    <t>1118</t>
  </si>
  <si>
    <t>INSULATOR BASE BATTERY CUT OFF SWITCH</t>
  </si>
  <si>
    <t>1119</t>
  </si>
  <si>
    <t>CONNECTOR- ON RR BRAKE CHAMBER HOSE CONNECTION</t>
  </si>
  <si>
    <t>1120</t>
  </si>
  <si>
    <t>FUEL SUCTION PIPE</t>
  </si>
  <si>
    <t>Pending Supply</t>
  </si>
  <si>
    <t>1121</t>
  </si>
  <si>
    <t>Keb13/23</t>
  </si>
  <si>
    <t>1122</t>
  </si>
  <si>
    <t>Guide Rail Assy</t>
  </si>
  <si>
    <t>1123</t>
  </si>
  <si>
    <t>FT100100</t>
  </si>
  <si>
    <t>1124</t>
  </si>
  <si>
    <t>FM500310</t>
  </si>
  <si>
    <t>Arm Assist</t>
  </si>
  <si>
    <t>1125</t>
  </si>
  <si>
    <t>FM500410</t>
  </si>
  <si>
    <t>Arm A wiper RHD</t>
  </si>
  <si>
    <t>1126</t>
  </si>
  <si>
    <t>1127</t>
  </si>
  <si>
    <t>F9E17400</t>
  </si>
  <si>
    <t>LED TAIL LAMP ASSY - RH</t>
  </si>
  <si>
    <t>1128</t>
  </si>
  <si>
    <t>F2L00768</t>
  </si>
  <si>
    <t>BOSS EMBLEM</t>
  </si>
  <si>
    <t>1129</t>
  </si>
  <si>
    <t>Outer Door Handle LH</t>
  </si>
  <si>
    <t>1130</t>
  </si>
  <si>
    <t>F8L00900</t>
  </si>
  <si>
    <t>Outer Door Handle RH</t>
  </si>
  <si>
    <t>1131</t>
  </si>
  <si>
    <t>F4C00400</t>
  </si>
  <si>
    <t>LATCH A FRONT DOOR - LH</t>
  </si>
  <si>
    <t>1132</t>
  </si>
  <si>
    <t>F4C00500</t>
  </si>
  <si>
    <t>LATCH A FRONT DOOR - RH</t>
  </si>
  <si>
    <t>1133</t>
  </si>
  <si>
    <t>FA974913</t>
  </si>
  <si>
    <t>REINF - A TRIM OF DOOR</t>
  </si>
  <si>
    <t>1134</t>
  </si>
  <si>
    <t>F6B01360</t>
  </si>
  <si>
    <t>DOOR GLASS CLIP</t>
  </si>
  <si>
    <t>1135</t>
  </si>
  <si>
    <t>FC201700</t>
  </si>
  <si>
    <t xml:space="preserve">CLIP </t>
  </si>
  <si>
    <t>1136</t>
  </si>
  <si>
    <t>FV500110</t>
  </si>
  <si>
    <t>ABS CONTROL UNIT HOLDER - RHD</t>
  </si>
  <si>
    <t>1137</t>
  </si>
  <si>
    <t>B0Y18745</t>
  </si>
  <si>
    <t>S/A OF MTG BRKT - CANTRAIL</t>
  </si>
  <si>
    <t>1138</t>
  </si>
  <si>
    <t>L6010625</t>
  </si>
  <si>
    <t>STANDARD SCREW - CROSS RECESSED PAN HEAD - M6 X 1 CP X 25mm LONG X GR 8.8</t>
  </si>
  <si>
    <t>1139</t>
  </si>
  <si>
    <t>B0Y18257</t>
  </si>
  <si>
    <t>S/A OF HANDLE COMP - WDO FRONT DR</t>
  </si>
  <si>
    <t>1140</t>
  </si>
  <si>
    <t>FJ113500</t>
  </si>
  <si>
    <t>LAMP LEVELLING SWITCH</t>
  </si>
  <si>
    <t>1141</t>
  </si>
  <si>
    <t>FC403168</t>
  </si>
  <si>
    <t>DUMMY COVER RH</t>
  </si>
  <si>
    <t>1142</t>
  </si>
  <si>
    <t>FC403268</t>
  </si>
  <si>
    <t>DUMMY COVER LH</t>
  </si>
  <si>
    <t>1143</t>
  </si>
  <si>
    <t>ASH TRAY</t>
  </si>
  <si>
    <t>1144</t>
  </si>
  <si>
    <t>F4Z00150</t>
  </si>
  <si>
    <t>STEERING COLUMN GAITER</t>
  </si>
  <si>
    <t>1145</t>
  </si>
  <si>
    <t>F5V00460</t>
  </si>
  <si>
    <t>PANEL INST LOWER OUTER</t>
  </si>
  <si>
    <t>1146</t>
  </si>
  <si>
    <t>F9L00660</t>
  </si>
  <si>
    <t>COVER ROCKER PANEL RR - LH</t>
  </si>
  <si>
    <t>1147</t>
  </si>
  <si>
    <t>COVER ROCKER PANEL FRT - LH</t>
  </si>
  <si>
    <t>1148</t>
  </si>
  <si>
    <t>F5B00414</t>
  </si>
  <si>
    <t>SHIFT CABLE SUPPORT BRACKET</t>
  </si>
  <si>
    <t>1149</t>
  </si>
  <si>
    <t>PIVOT A SUPPORT HOOD</t>
  </si>
  <si>
    <t>1150</t>
  </si>
  <si>
    <t>F3V00400</t>
  </si>
  <si>
    <t>HAND BRAKE VALVE WITH SELF RETURN FUTURE WITHOUT LP SWITCH</t>
  </si>
  <si>
    <t>1151</t>
  </si>
  <si>
    <t>F4Z39513</t>
  </si>
  <si>
    <t>Bracket- Front Bumper MTG Bracket LH</t>
  </si>
  <si>
    <t>1152</t>
  </si>
  <si>
    <t>B0Y18275</t>
  </si>
  <si>
    <t>S/A OF FUSEBOX HOLDER REAR ASM - RHD</t>
  </si>
  <si>
    <t>115 &amp; 116</t>
  </si>
  <si>
    <t>1153</t>
  </si>
  <si>
    <t>FSS00300</t>
  </si>
  <si>
    <t>Elbow Adaptor 90 Degrees</t>
  </si>
  <si>
    <t>1154</t>
  </si>
  <si>
    <t>1155</t>
  </si>
  <si>
    <t>F5V08800</t>
  </si>
  <si>
    <t>Nozzle Screen Defrost RH</t>
  </si>
  <si>
    <t>1156</t>
  </si>
  <si>
    <t>X3H00268</t>
  </si>
  <si>
    <t>Blank Mirror Adjust switch</t>
  </si>
  <si>
    <t>1157</t>
  </si>
  <si>
    <t>B0Y18630</t>
  </si>
  <si>
    <t>SA of Support Reint Bracket</t>
  </si>
  <si>
    <t>1158</t>
  </si>
  <si>
    <t>1159</t>
  </si>
  <si>
    <t>F0E00260</t>
  </si>
  <si>
    <t>Air Deflector RH</t>
  </si>
  <si>
    <t>1160</t>
  </si>
  <si>
    <t>F0E00160</t>
  </si>
  <si>
    <t>Air Deflector LH</t>
  </si>
  <si>
    <t>1161</t>
  </si>
  <si>
    <t>Sunvisor Side Assy RH</t>
  </si>
  <si>
    <t>4/7/2024, 5-Feb-2024</t>
  </si>
  <si>
    <t>1162</t>
  </si>
  <si>
    <t>Handle A Assy Packing Brake Control</t>
  </si>
  <si>
    <t>GH0576</t>
  </si>
  <si>
    <t>1163</t>
  </si>
  <si>
    <t>17940-3005</t>
  </si>
  <si>
    <t>1164</t>
  </si>
  <si>
    <t>A4005400094</t>
  </si>
  <si>
    <t>Starter Cable ( Child Part)</t>
  </si>
  <si>
    <t>B124040013</t>
  </si>
  <si>
    <t>1165</t>
  </si>
  <si>
    <t>17943-51020</t>
  </si>
  <si>
    <t>Protector Intercooler</t>
  </si>
  <si>
    <t>BZ0029</t>
  </si>
  <si>
    <t>1166</t>
  </si>
  <si>
    <t>88460-60640</t>
  </si>
  <si>
    <t>BZ0019</t>
  </si>
  <si>
    <t>1167</t>
  </si>
  <si>
    <t>A4004710430</t>
  </si>
  <si>
    <t>LU Tank Filler Cap Diesel</t>
  </si>
  <si>
    <t>1168</t>
  </si>
  <si>
    <t>A40066600102</t>
  </si>
  <si>
    <t>Entrance RH/ Support for foot Step</t>
  </si>
  <si>
    <t>1169</t>
  </si>
  <si>
    <t>74511-2B300</t>
  </si>
  <si>
    <t>PLATE, NAME</t>
  </si>
  <si>
    <t>GH0551</t>
  </si>
  <si>
    <t>1170</t>
  </si>
  <si>
    <t>90460-67008</t>
  </si>
  <si>
    <t>GH0565</t>
  </si>
  <si>
    <t>1171</t>
  </si>
  <si>
    <t>90119-06A06</t>
  </si>
  <si>
    <t>BOLT, W/WASHER</t>
  </si>
  <si>
    <t>GH0560</t>
  </si>
  <si>
    <t>1172</t>
  </si>
  <si>
    <t>90159-60303</t>
  </si>
  <si>
    <t>SCREW, W/WASHER TAPPING</t>
  </si>
  <si>
    <t>1173</t>
  </si>
  <si>
    <t>90159-60602</t>
  </si>
  <si>
    <t>GH560</t>
  </si>
  <si>
    <t>1174</t>
  </si>
  <si>
    <t>GLASS SUB-ASSY, RR SIDE WINDOW, FR RH</t>
  </si>
  <si>
    <t>GH0541</t>
  </si>
  <si>
    <t>27/11/23</t>
  </si>
  <si>
    <t>1175</t>
  </si>
  <si>
    <t>91554-C1025</t>
  </si>
  <si>
    <t xml:space="preserve">BOLT,FLANGE </t>
  </si>
  <si>
    <t>GH0567</t>
  </si>
  <si>
    <t>1176</t>
  </si>
  <si>
    <t>37110-6A260</t>
  </si>
  <si>
    <t>SHAFT ASSY, PROPELLER, RR</t>
  </si>
  <si>
    <t>BZ0030</t>
  </si>
  <si>
    <t>1177</t>
  </si>
  <si>
    <t>Ketb015/23</t>
  </si>
  <si>
    <t>1178</t>
  </si>
  <si>
    <t>Guide Rail</t>
  </si>
  <si>
    <t>Keb014/23</t>
  </si>
  <si>
    <t>1179</t>
  </si>
  <si>
    <t>1180</t>
  </si>
  <si>
    <t>Pad Assy</t>
  </si>
  <si>
    <t>1181</t>
  </si>
  <si>
    <t>Consume Wall Panel</t>
  </si>
  <si>
    <t>1182</t>
  </si>
  <si>
    <t>400922D0060760</t>
  </si>
  <si>
    <t>Engine Child part (stud)</t>
  </si>
  <si>
    <t>1183</t>
  </si>
  <si>
    <t>N000000001590</t>
  </si>
  <si>
    <t>B124040021</t>
  </si>
  <si>
    <t>1184</t>
  </si>
  <si>
    <t>CFCM00000013</t>
  </si>
  <si>
    <t>Crossmember FRT Compl</t>
  </si>
  <si>
    <t>1185</t>
  </si>
  <si>
    <t>A40031120211</t>
  </si>
  <si>
    <t>Crossmember Prop shaft</t>
  </si>
  <si>
    <t>1186</t>
  </si>
  <si>
    <t>Front Bumper Bracket RH</t>
  </si>
  <si>
    <t>1187</t>
  </si>
  <si>
    <t>Lu Radio/Pillar Antenna</t>
  </si>
  <si>
    <t>B124040015</t>
  </si>
  <si>
    <t>1188</t>
  </si>
  <si>
    <t>A4007200069A6</t>
  </si>
  <si>
    <t>Cover Armrest</t>
  </si>
  <si>
    <t>1189</t>
  </si>
  <si>
    <t>1190</t>
  </si>
  <si>
    <t>0111HG0020N</t>
  </si>
  <si>
    <t>Reg Elect FRT Door Window RH</t>
  </si>
  <si>
    <t>1191</t>
  </si>
  <si>
    <t>Entrance  RH/ support for Foot Step</t>
  </si>
  <si>
    <t>1192</t>
  </si>
  <si>
    <t>A4008351107</t>
  </si>
  <si>
    <t>Lu Blower HVAC</t>
  </si>
  <si>
    <t>B124040019</t>
  </si>
  <si>
    <t>1193</t>
  </si>
  <si>
    <t>GLASS SIDE WINDOW;LH</t>
  </si>
  <si>
    <t>Glass Packed in Kits</t>
  </si>
  <si>
    <t>1194</t>
  </si>
  <si>
    <t>GLASS SIDE WINDOW;RH</t>
  </si>
  <si>
    <t>1195</t>
  </si>
  <si>
    <t>Combi Switch Cap - Child part of combi switch</t>
  </si>
  <si>
    <t>1196</t>
  </si>
  <si>
    <t>ASSY_ANTENNA_DUMMY_CAP ( Yodhya Antena Cap )</t>
  </si>
  <si>
    <t>1197</t>
  </si>
  <si>
    <t>BRACKET CLUTCH PIPE MTG</t>
  </si>
  <si>
    <t>1198</t>
  </si>
  <si>
    <t xml:space="preserve">Support bkt coolant pipe </t>
  </si>
  <si>
    <t>1199</t>
  </si>
  <si>
    <t>HOSE CLAMP TB-72</t>
  </si>
  <si>
    <t>1200</t>
  </si>
  <si>
    <t xml:space="preserve">CLAMP ASSY </t>
  </si>
  <si>
    <t>1201</t>
  </si>
  <si>
    <t>HOSE CLAMP 70 IS4762-SS8451-8B</t>
  </si>
  <si>
    <t>1202</t>
  </si>
  <si>
    <t>HOSE CLAMP TB 60 SAE J1508</t>
  </si>
  <si>
    <t>1203</t>
  </si>
  <si>
    <t xml:space="preserve">TABLE DRG. HOSE CLAMP </t>
  </si>
  <si>
    <t>1204</t>
  </si>
  <si>
    <t xml:space="preserve">HOSE CLAMP 45 </t>
  </si>
  <si>
    <t>1205</t>
  </si>
  <si>
    <t xml:space="preserve">P-TYPE CLAMP,PIPE TC TO IC </t>
  </si>
  <si>
    <t>1206</t>
  </si>
  <si>
    <t xml:space="preserve">Clamp </t>
  </si>
  <si>
    <t>1207</t>
  </si>
  <si>
    <t>COATED CLAMP ( 12 O.D.)</t>
  </si>
  <si>
    <t>1208</t>
  </si>
  <si>
    <t>Engine mtg Pad</t>
  </si>
  <si>
    <t>1209</t>
  </si>
  <si>
    <t>HEX Bolt M14X2X55 Grade 10.9</t>
  </si>
  <si>
    <t>1210</t>
  </si>
  <si>
    <t>1211</t>
  </si>
  <si>
    <t>M8X40 CAP Screw</t>
  </si>
  <si>
    <t>1212</t>
  </si>
  <si>
    <t>570950408224 (OP)</t>
  </si>
  <si>
    <t>Pipe assy- Radiator to water Pump</t>
  </si>
  <si>
    <t>1213</t>
  </si>
  <si>
    <t>SPRING BRAKE CHAMBER LH</t>
  </si>
  <si>
    <t>1214</t>
  </si>
  <si>
    <t xml:space="preserve">LIGHTER ASSY, CIGARETTE                 </t>
  </si>
  <si>
    <t>PCM000093</t>
  </si>
  <si>
    <t>1215</t>
  </si>
  <si>
    <t>SZ950-41141</t>
  </si>
  <si>
    <t>1216</t>
  </si>
  <si>
    <t>1217</t>
  </si>
  <si>
    <t>1218</t>
  </si>
  <si>
    <t>1219</t>
  </si>
  <si>
    <t>1220</t>
  </si>
  <si>
    <t>1221</t>
  </si>
  <si>
    <t>1222</t>
  </si>
  <si>
    <t>S7724-31840</t>
  </si>
  <si>
    <t>PIPE,FUEL FEED</t>
  </si>
  <si>
    <t>1223</t>
  </si>
  <si>
    <t>1224</t>
  </si>
  <si>
    <t>HINO XZU</t>
  </si>
  <si>
    <t>CABLE, SUB (SPIRAL)</t>
  </si>
  <si>
    <t>1225</t>
  </si>
  <si>
    <t>42620-3V320</t>
  </si>
  <si>
    <t>WHEEL ASSY</t>
  </si>
  <si>
    <t>1226</t>
  </si>
  <si>
    <t>45130-E0100</t>
  </si>
  <si>
    <t>BUTTON ASSY, HORN</t>
  </si>
  <si>
    <t>1227</t>
  </si>
  <si>
    <t>1228</t>
  </si>
  <si>
    <t>81510-E0091</t>
  </si>
  <si>
    <t>LAMP ASSY, FR TURN SIGNAL, RH</t>
  </si>
  <si>
    <t>1229</t>
  </si>
  <si>
    <t>S8791-51633</t>
  </si>
  <si>
    <t>COVER OUTSIDE MIRROR</t>
  </si>
  <si>
    <t>1230</t>
  </si>
  <si>
    <t>S8791-51643</t>
  </si>
  <si>
    <t>1231</t>
  </si>
  <si>
    <t>85310-E0090</t>
  </si>
  <si>
    <t>WASHER TANK</t>
  </si>
  <si>
    <t>1232</t>
  </si>
  <si>
    <t>1233</t>
  </si>
  <si>
    <t>SZ178-08001</t>
  </si>
  <si>
    <t>1234</t>
  </si>
  <si>
    <t xml:space="preserve">CONNECTOR SUB-ASSY, TUBE                </t>
  </si>
  <si>
    <t>1235</t>
  </si>
  <si>
    <t>1236</t>
  </si>
  <si>
    <t>1237</t>
  </si>
  <si>
    <t>1238</t>
  </si>
  <si>
    <t>86301-E0020</t>
  </si>
  <si>
    <t xml:space="preserve">POLE SUB-ASSY, ANTENNA                  </t>
  </si>
  <si>
    <t>1240</t>
  </si>
  <si>
    <t>Aspire</t>
  </si>
  <si>
    <t>0304AAB0097</t>
  </si>
  <si>
    <t>Radiator Assy ( missing Bracket)</t>
  </si>
  <si>
    <t>1241</t>
  </si>
  <si>
    <t>Scorpio D/C</t>
  </si>
  <si>
    <t>0105CAG00820A</t>
  </si>
  <si>
    <t>Headliner Assy DC MID PC Grey</t>
  </si>
  <si>
    <t>1242</t>
  </si>
  <si>
    <t>Headlamp Assy LH</t>
  </si>
  <si>
    <t>PCM-000100</t>
  </si>
  <si>
    <t>1243</t>
  </si>
  <si>
    <t>1701AAA07671N</t>
  </si>
  <si>
    <t>Headlampy Assy RH</t>
  </si>
  <si>
    <t>1244</t>
  </si>
  <si>
    <t>0112AG4680C</t>
  </si>
  <si>
    <t>Front Seat Belt Welr TC4 &amp; EXP RH ( R200)</t>
  </si>
  <si>
    <t>1245</t>
  </si>
  <si>
    <t>0120AB0700C</t>
  </si>
  <si>
    <t>Seat Belt RH TCS Black Theme ( missing Cover)</t>
  </si>
  <si>
    <t>1246</t>
  </si>
  <si>
    <t>1805AAAD4251N</t>
  </si>
  <si>
    <t>Mahindra Body FUNC Module Assy</t>
  </si>
  <si>
    <t>1247</t>
  </si>
  <si>
    <t>SF0103025</t>
  </si>
  <si>
    <t>Bolt Combi LP M10</t>
  </si>
  <si>
    <t>1248</t>
  </si>
  <si>
    <t>Reg Elect FRT Door Window  RH</t>
  </si>
  <si>
    <t>1249</t>
  </si>
  <si>
    <t>1250</t>
  </si>
  <si>
    <t>0105EAG2061B</t>
  </si>
  <si>
    <t>Trim Assy DR FRT LH WO Puddle</t>
  </si>
  <si>
    <t>1251</t>
  </si>
  <si>
    <t>0110AAG04421A</t>
  </si>
  <si>
    <t>Seat Assy Front RH with HET AOJ (missing Part)</t>
  </si>
  <si>
    <t>1252</t>
  </si>
  <si>
    <t>0501BA0010N</t>
  </si>
  <si>
    <t>Lock Strap FRT Axle End Bolts</t>
  </si>
  <si>
    <t>1253</t>
  </si>
  <si>
    <t>0112BAGO2970B</t>
  </si>
  <si>
    <t>CNCL Assy FLR  4WDDC RHD MID RV BLK (Missing Vent)</t>
  </si>
  <si>
    <t>1254</t>
  </si>
  <si>
    <t>000A490</t>
  </si>
  <si>
    <t>U- bolt Propeller Shaft</t>
  </si>
  <si>
    <t>1255</t>
  </si>
  <si>
    <t>1703AA0020N</t>
  </si>
  <si>
    <t>Lamp Assy Rear Combination - LHS</t>
  </si>
  <si>
    <t>1256</t>
  </si>
  <si>
    <t>17030A0030N</t>
  </si>
  <si>
    <t>Tail Lamp with Fog RH ( pick Up)</t>
  </si>
  <si>
    <t>1257</t>
  </si>
  <si>
    <t>0119AAG01851N</t>
  </si>
  <si>
    <t>Block FRT Bumper Side LH</t>
  </si>
  <si>
    <t>1258</t>
  </si>
  <si>
    <t>0119AAG01841N</t>
  </si>
  <si>
    <t>Block FRT Bumper Side RH</t>
  </si>
  <si>
    <t>1259</t>
  </si>
  <si>
    <t>1260</t>
  </si>
  <si>
    <t>0108BAG01610U</t>
  </si>
  <si>
    <t>Cladding Assy Fender FRT RH</t>
  </si>
  <si>
    <t>1261</t>
  </si>
  <si>
    <t>1001DA0260N</t>
  </si>
  <si>
    <t>Cap Fuel Filler Neck</t>
  </si>
  <si>
    <t>1262</t>
  </si>
  <si>
    <t>Deluxe</t>
  </si>
  <si>
    <t>561002VE0A</t>
  </si>
  <si>
    <t>ABS COMPL-FR SHOCK</t>
  </si>
  <si>
    <t>1263</t>
  </si>
  <si>
    <t>618702VE0A</t>
  </si>
  <si>
    <t>FIN ASSY-UPR,CTR</t>
  </si>
  <si>
    <t>1264</t>
  </si>
  <si>
    <t>809602VE3A</t>
  </si>
  <si>
    <t>FIN-ASSY MNL WDW UTILITY POCKET, RH</t>
  </si>
  <si>
    <t>1265</t>
  </si>
  <si>
    <t>89-15246-1A</t>
  </si>
  <si>
    <t>WASHER-LOCK SPRING M16 X 4.8t</t>
  </si>
  <si>
    <t>1266</t>
  </si>
  <si>
    <t>MIRROR ASSY-OUTSIDE,RH</t>
  </si>
  <si>
    <t>1267</t>
  </si>
  <si>
    <t>963012VE0B</t>
  </si>
  <si>
    <t>1268</t>
  </si>
  <si>
    <t>F6C03113</t>
  </si>
  <si>
    <t>BRACKET-FUEL TANK</t>
  </si>
  <si>
    <t>1269</t>
  </si>
  <si>
    <t>ML241954</t>
  </si>
  <si>
    <t>FLANGE NUT SELF LOCKING(8)</t>
  </si>
  <si>
    <t>1270</t>
  </si>
  <si>
    <t>ML242114</t>
  </si>
  <si>
    <t>HOSE, AIR INLET A</t>
  </si>
  <si>
    <t>1271</t>
  </si>
  <si>
    <t>ML242111</t>
  </si>
  <si>
    <t>HOSE, AIR INLET C</t>
  </si>
  <si>
    <t>1272</t>
  </si>
  <si>
    <t>MH020387</t>
  </si>
  <si>
    <t>CLIP, HOSE</t>
  </si>
  <si>
    <t>1273</t>
  </si>
  <si>
    <t>MH001282</t>
  </si>
  <si>
    <t>BOLT,WASHER ASSEMBLED,FT</t>
  </si>
  <si>
    <t>1274</t>
  </si>
  <si>
    <t>MF434104</t>
  </si>
  <si>
    <t>NUT,FLANGE (8)</t>
  </si>
  <si>
    <t>1275</t>
  </si>
  <si>
    <t>MC858449</t>
  </si>
  <si>
    <t>CABLE,ANTENNA</t>
  </si>
  <si>
    <t>1276</t>
  </si>
  <si>
    <t>MK344359</t>
  </si>
  <si>
    <t>ANTENNA,SIDE MOUNT</t>
  </si>
  <si>
    <t>1277</t>
  </si>
  <si>
    <t>MC000056</t>
  </si>
  <si>
    <t>CHAIN</t>
  </si>
  <si>
    <t>1278</t>
  </si>
  <si>
    <t>ML222703</t>
  </si>
  <si>
    <t>TUNER,RADIO(AUX)</t>
  </si>
  <si>
    <t>1279</t>
  </si>
  <si>
    <t>ML233984</t>
  </si>
  <si>
    <t>SPEAKER(10CM)</t>
  </si>
  <si>
    <t>1280</t>
  </si>
  <si>
    <t>MK370540</t>
  </si>
  <si>
    <t>RELAY, FLASHER</t>
  </si>
  <si>
    <t>1281</t>
  </si>
  <si>
    <t>WASHER,LOCK (16.5)</t>
  </si>
  <si>
    <t>1282</t>
  </si>
  <si>
    <t>SUPPORT,ENGINE RR C/</t>
  </si>
  <si>
    <t>1283</t>
  </si>
  <si>
    <t>0306CAB00101N</t>
  </si>
  <si>
    <t>Fan belt (Supplied Together with engine Missing)</t>
  </si>
  <si>
    <t>1284</t>
  </si>
  <si>
    <t>0105CF0170A</t>
  </si>
  <si>
    <t>Kit Roof and Side trim Rexine</t>
  </si>
  <si>
    <t>1285</t>
  </si>
  <si>
    <t>2301AAF0020A</t>
  </si>
  <si>
    <t>Panel Assy IP Driver Walnut(child part not supplied)</t>
  </si>
  <si>
    <t>1286</t>
  </si>
  <si>
    <t>69202-0K070</t>
  </si>
  <si>
    <t xml:space="preserve">Frame sub-Assy door handle LH </t>
  </si>
  <si>
    <t>JE,JD,JG</t>
  </si>
  <si>
    <t>1287</t>
  </si>
  <si>
    <t>90171-T0001</t>
  </si>
  <si>
    <t>Nut Castle</t>
  </si>
  <si>
    <t>1288</t>
  </si>
  <si>
    <t>90468-16029</t>
  </si>
  <si>
    <t>1289</t>
  </si>
  <si>
    <t>JE,JD,JG,HV,HW,HT,HU</t>
  </si>
  <si>
    <t>1290</t>
  </si>
  <si>
    <t>Tata T.9</t>
  </si>
  <si>
    <t>90467-05171</t>
  </si>
  <si>
    <t>1291</t>
  </si>
  <si>
    <t>90467-T0004-B0</t>
  </si>
  <si>
    <t>Clip (B0)</t>
  </si>
  <si>
    <t>1292</t>
  </si>
  <si>
    <t>Bolt Washer</t>
  </si>
  <si>
    <t>1293</t>
  </si>
  <si>
    <t>55539-33170</t>
  </si>
  <si>
    <t>Cover Spare Switch Hole</t>
  </si>
  <si>
    <t>BZ0036</t>
  </si>
  <si>
    <t>1294</t>
  </si>
  <si>
    <t>BZ035(3),BZ033,BZ033</t>
  </si>
  <si>
    <t>1295</t>
  </si>
  <si>
    <t>68102-60130</t>
  </si>
  <si>
    <t>Glass Sub Assy FR Door LH</t>
  </si>
  <si>
    <t>1296</t>
  </si>
  <si>
    <t>Yodha</t>
  </si>
  <si>
    <t>CLAMP,ANTI ROLL BAR MTG</t>
  </si>
  <si>
    <t>1297</t>
  </si>
  <si>
    <t>Bush for Anti roll Bar</t>
  </si>
  <si>
    <t>1298</t>
  </si>
  <si>
    <t>End cap Roof beding LH &amp; mtg screw</t>
  </si>
  <si>
    <t>1299</t>
  </si>
  <si>
    <t>End cap Roof beding RH &amp; Screw</t>
  </si>
  <si>
    <t>1300</t>
  </si>
  <si>
    <t>LINK ASSY FLAT DOOR TRIM RH</t>
  </si>
  <si>
    <t>1301</t>
  </si>
  <si>
    <t>Child part of wiring harness</t>
  </si>
  <si>
    <t xml:space="preserve">Main ECU Power Relay </t>
  </si>
  <si>
    <t>1302</t>
  </si>
  <si>
    <t>Child part of Sunvisor</t>
  </si>
  <si>
    <t>Sunvisor Holder assly</t>
  </si>
  <si>
    <t>1303</t>
  </si>
  <si>
    <t>RUBBER BELLOW</t>
  </si>
  <si>
    <t>1304</t>
  </si>
  <si>
    <t>1305</t>
  </si>
  <si>
    <t>Glove Box Lock &amp; Driver door Barrel &amp; Fuel lock ( Part of lock kit )</t>
  </si>
  <si>
    <t>1306</t>
  </si>
  <si>
    <t>TAP.SCR C-ST2.9X13</t>
  </si>
  <si>
    <t>1307</t>
  </si>
  <si>
    <t>269842700163 or 65</t>
  </si>
  <si>
    <t xml:space="preserve">PARKING BRAKE LEVER </t>
  </si>
  <si>
    <t>1308</t>
  </si>
  <si>
    <t>PARKING BRAKE CABLE ASSY;REAR</t>
  </si>
  <si>
    <t>1309</t>
  </si>
  <si>
    <t>ASSY POWER SOCKET W/O ILLUMINATION</t>
  </si>
  <si>
    <t>1310</t>
  </si>
  <si>
    <t>WINDOW WINDING REGULATOR ASSY;LH</t>
  </si>
  <si>
    <t>1311</t>
  </si>
  <si>
    <t>ASSY. SLAVE CYLINDER HOSE</t>
  </si>
  <si>
    <t>1312</t>
  </si>
  <si>
    <t>Clutch hose or assly Sleve Cylinder hose mtg clamp</t>
  </si>
  <si>
    <t>1313</t>
  </si>
  <si>
    <t>SEAL,REAR SLIDING WINDOW</t>
  </si>
  <si>
    <t>1314</t>
  </si>
  <si>
    <t>Hosing Clip &amp; Pin</t>
  </si>
  <si>
    <t>1315</t>
  </si>
  <si>
    <t>SPRING CLIP - SELF TAPPING SCR - 4.2</t>
  </si>
  <si>
    <t>1316</t>
  </si>
  <si>
    <t>FRONT DOOR GLASS RUN RH</t>
  </si>
  <si>
    <t>1317</t>
  </si>
  <si>
    <t>264082409907​</t>
  </si>
  <si>
    <t>NOZZLE UNIT</t>
  </si>
  <si>
    <t>1318</t>
  </si>
  <si>
    <t>MK492313</t>
  </si>
  <si>
    <t>1319</t>
  </si>
  <si>
    <t>Flitch</t>
  </si>
  <si>
    <t>HK0074</t>
  </si>
  <si>
    <t>1320</t>
  </si>
  <si>
    <t>L2021245</t>
  </si>
  <si>
    <t>Std Screw- Hex M12 X 1.5FP X 45MM Long GR 8.8</t>
  </si>
  <si>
    <t>1321</t>
  </si>
  <si>
    <t>X5E04700</t>
  </si>
  <si>
    <t xml:space="preserve">Rim </t>
  </si>
  <si>
    <t>1322</t>
  </si>
  <si>
    <t>X3502911</t>
  </si>
  <si>
    <t>SPL Bolt Head 3/4 xBS</t>
  </si>
  <si>
    <t>1323</t>
  </si>
  <si>
    <t>Close Proximity Mirrror</t>
  </si>
  <si>
    <t>1324</t>
  </si>
  <si>
    <t>cable Harness</t>
  </si>
  <si>
    <t>1325</t>
  </si>
  <si>
    <t>1326</t>
  </si>
  <si>
    <t>85292-13010</t>
  </si>
  <si>
    <t>Cap, Wiper Arm Head</t>
  </si>
  <si>
    <t>BZ0027</t>
  </si>
  <si>
    <t>1327</t>
  </si>
  <si>
    <t>8430-60190</t>
  </si>
  <si>
    <t>GF018</t>
  </si>
  <si>
    <t>1328</t>
  </si>
  <si>
    <t>2302GAF00060N</t>
  </si>
  <si>
    <t xml:space="preserve">Decal </t>
  </si>
  <si>
    <t>PCM-000101</t>
  </si>
  <si>
    <t>1329</t>
  </si>
  <si>
    <t>2302GAN00691N</t>
  </si>
  <si>
    <t>Decal FRT-ABS 10</t>
  </si>
  <si>
    <t>1330</t>
  </si>
  <si>
    <t>0000AAF01440N</t>
  </si>
  <si>
    <t>1331</t>
  </si>
  <si>
    <t>53630-60300</t>
  </si>
  <si>
    <t>Bonnet Lock Cable</t>
  </si>
  <si>
    <t>BZ0039</t>
  </si>
  <si>
    <t>1332</t>
  </si>
  <si>
    <t>GF108</t>
  </si>
  <si>
    <t>1333</t>
  </si>
  <si>
    <t>76109-60010</t>
  </si>
  <si>
    <t>Guide Sub Assy Hood Air</t>
  </si>
  <si>
    <t>1334</t>
  </si>
  <si>
    <t>90167-45005</t>
  </si>
  <si>
    <t>Screw Pan tapping</t>
  </si>
  <si>
    <t>1335</t>
  </si>
  <si>
    <t>Bolt washer</t>
  </si>
  <si>
    <t>1336</t>
  </si>
  <si>
    <t>B5412239</t>
  </si>
  <si>
    <t>Bracket Assy Accelshaft</t>
  </si>
  <si>
    <t>HKT0073</t>
  </si>
  <si>
    <t>1337</t>
  </si>
  <si>
    <t>B4464902</t>
  </si>
  <si>
    <t>Hose Assy Filter Top Fip</t>
  </si>
  <si>
    <t>1338</t>
  </si>
  <si>
    <t>FB544614</t>
  </si>
  <si>
    <t>Pipe Thermostat outlet to Rad</t>
  </si>
  <si>
    <t>1339</t>
  </si>
  <si>
    <t>F781500</t>
  </si>
  <si>
    <t>Plug Plastic</t>
  </si>
  <si>
    <t>1340</t>
  </si>
  <si>
    <t>0114DAG0831N</t>
  </si>
  <si>
    <t>Assy Latch frt or</t>
  </si>
  <si>
    <t>1341</t>
  </si>
  <si>
    <t>Laggage Compatiment Rack</t>
  </si>
  <si>
    <t>Keb006/23</t>
  </si>
  <si>
    <t>1342</t>
  </si>
  <si>
    <t>Switches</t>
  </si>
  <si>
    <t>1343</t>
  </si>
  <si>
    <t>AC Compressor Belt</t>
  </si>
  <si>
    <t>1344</t>
  </si>
  <si>
    <t>80106065A02</t>
  </si>
  <si>
    <t>High Pressure AC Compressor Sensor</t>
  </si>
  <si>
    <t>1345</t>
  </si>
  <si>
    <t>80106066A02</t>
  </si>
  <si>
    <t>Low Pressure AC Compressor Sensor</t>
  </si>
  <si>
    <t>1346</t>
  </si>
  <si>
    <t>Push Pull Rubber For Tool Kit Flap Install</t>
  </si>
  <si>
    <t>1347</t>
  </si>
  <si>
    <t>T180 Connector</t>
  </si>
  <si>
    <t>Ket018/23</t>
  </si>
  <si>
    <t>1348</t>
  </si>
  <si>
    <t>Axle Bracket</t>
  </si>
  <si>
    <t>1349</t>
  </si>
  <si>
    <t>Cable Harness</t>
  </si>
  <si>
    <t>1350</t>
  </si>
  <si>
    <t>Spring Brake Chamber</t>
  </si>
  <si>
    <t>1351</t>
  </si>
  <si>
    <t>Locking Hook Profile</t>
  </si>
  <si>
    <t>Short Sipment</t>
  </si>
  <si>
    <t>Items Received in nairobi not physically confirmed</t>
  </si>
  <si>
    <t>1352</t>
  </si>
  <si>
    <t>Top BKt Assy</t>
  </si>
  <si>
    <t>1353</t>
  </si>
  <si>
    <t>M8x25 Screw</t>
  </si>
  <si>
    <t>1354</t>
  </si>
  <si>
    <t>Pl Washer M8 Flap</t>
  </si>
  <si>
    <t>1355</t>
  </si>
  <si>
    <t>Nyloc Nut M8</t>
  </si>
  <si>
    <t>1356</t>
  </si>
  <si>
    <t>N/a</t>
  </si>
  <si>
    <t>Hinge brkt for Hyd. Cylinder Assy</t>
  </si>
  <si>
    <t>1357</t>
  </si>
  <si>
    <t>Hex Head Bolt M16X150</t>
  </si>
  <si>
    <t>Wrong shipment</t>
  </si>
  <si>
    <t>1358</t>
  </si>
  <si>
    <t>Fan HVAC (Blower)</t>
  </si>
  <si>
    <t>1359</t>
  </si>
  <si>
    <t>53827-26010</t>
  </si>
  <si>
    <t>Protector FR fender Side Panel RH</t>
  </si>
  <si>
    <t>GH644</t>
  </si>
  <si>
    <t>1360</t>
  </si>
  <si>
    <t>68210-OK040</t>
  </si>
  <si>
    <t>Weatherstrip Ass Front Door Glass LH Clip</t>
  </si>
  <si>
    <t>JG001</t>
  </si>
  <si>
    <t>1361</t>
  </si>
  <si>
    <t>88716-60E80</t>
  </si>
  <si>
    <t>Tube Liquid No1 (child Part- Clip)</t>
  </si>
  <si>
    <t>BZ0033</t>
  </si>
  <si>
    <t>1362</t>
  </si>
  <si>
    <t>17900-51010</t>
  </si>
  <si>
    <t>Intercooler Assy, W Sensor</t>
  </si>
  <si>
    <t>BZ0035</t>
  </si>
  <si>
    <t>1363</t>
  </si>
  <si>
    <t>89660-6AB61</t>
  </si>
  <si>
    <t>Computer Assy, Engine Control</t>
  </si>
  <si>
    <t>BZ0040</t>
  </si>
  <si>
    <t>1364</t>
  </si>
  <si>
    <t>Moulding Sub Assy RF Drip FIN FR LH</t>
  </si>
  <si>
    <t>BZ0042</t>
  </si>
  <si>
    <t>1365</t>
  </si>
  <si>
    <t>82111-V3030</t>
  </si>
  <si>
    <t>Wire Engine Room Main</t>
  </si>
  <si>
    <t>GH0528</t>
  </si>
  <si>
    <t>1366</t>
  </si>
  <si>
    <t>88723-28240</t>
  </si>
  <si>
    <t>Label, Cooler Service Caution</t>
  </si>
  <si>
    <t>1367</t>
  </si>
  <si>
    <t>81150-26741</t>
  </si>
  <si>
    <t>GH0644</t>
  </si>
  <si>
    <t>1368</t>
  </si>
  <si>
    <t>53510-26060</t>
  </si>
  <si>
    <t>Lock Assy Hood</t>
  </si>
  <si>
    <t>1369</t>
  </si>
  <si>
    <t>48820-26051</t>
  </si>
  <si>
    <t>Link Assy FR Stabilizer</t>
  </si>
  <si>
    <t>GH628</t>
  </si>
  <si>
    <t>1370</t>
  </si>
  <si>
    <t>Weathersrip Ass Front Door Glass LH Clip</t>
  </si>
  <si>
    <t>GH0617</t>
  </si>
  <si>
    <t>1371</t>
  </si>
  <si>
    <t>Rubberstrip for Windshield Glass</t>
  </si>
  <si>
    <t>Keb06/23</t>
  </si>
  <si>
    <t>1372</t>
  </si>
  <si>
    <t>Reinforcement Plate (Battery Bracket)</t>
  </si>
  <si>
    <t>1373</t>
  </si>
  <si>
    <t>ELC 4</t>
  </si>
  <si>
    <t>Keb004/23</t>
  </si>
  <si>
    <t>1374</t>
  </si>
  <si>
    <t>Lead in Union Heavy Duty M18</t>
  </si>
  <si>
    <t>1375</t>
  </si>
  <si>
    <t>Plate ECE Approved Number</t>
  </si>
  <si>
    <t>BZ0043</t>
  </si>
  <si>
    <t>1376</t>
  </si>
  <si>
    <t>Tube Wheel Cylinder FR RH</t>
  </si>
  <si>
    <t>1377</t>
  </si>
  <si>
    <t>55618-KK030</t>
  </si>
  <si>
    <t>Holder Instrument Panel Cup No.1</t>
  </si>
  <si>
    <t>1378</t>
  </si>
  <si>
    <t>Tray Insrument Panel Cup Holder</t>
  </si>
  <si>
    <t>1379</t>
  </si>
  <si>
    <t>Holder Assy Instrument Panel Cup</t>
  </si>
  <si>
    <t>1380</t>
  </si>
  <si>
    <t>47315-KK030</t>
  </si>
  <si>
    <t>Tube FR Brake N0.5</t>
  </si>
  <si>
    <t>1381</t>
  </si>
  <si>
    <t>52205-0L110</t>
  </si>
  <si>
    <t>Cab Mounting</t>
  </si>
  <si>
    <t>1382</t>
  </si>
  <si>
    <t>BZ0053</t>
  </si>
  <si>
    <t>1383</t>
  </si>
  <si>
    <t>AC Pipe</t>
  </si>
  <si>
    <t>3K123090002</t>
  </si>
  <si>
    <t>1384</t>
  </si>
  <si>
    <t>Glass Assy , Windshield</t>
  </si>
  <si>
    <t>GH0698</t>
  </si>
  <si>
    <t>1385</t>
  </si>
  <si>
    <t>68112-60160</t>
  </si>
  <si>
    <t>Glass Fr Door LH</t>
  </si>
  <si>
    <t>1386</t>
  </si>
  <si>
    <t>63343-26110</t>
  </si>
  <si>
    <t>Pad Roof Silencer No.3</t>
  </si>
  <si>
    <t>GH0685</t>
  </si>
  <si>
    <t>1387</t>
  </si>
  <si>
    <t>90167-40057</t>
  </si>
  <si>
    <t>Screw Pan Tapping</t>
  </si>
  <si>
    <t>BZ0049</t>
  </si>
  <si>
    <t>1388</t>
  </si>
  <si>
    <t>Label, Passenger Air Bag Caution</t>
  </si>
  <si>
    <t>BZ0047</t>
  </si>
  <si>
    <t>1389</t>
  </si>
  <si>
    <t>33820-V3020</t>
  </si>
  <si>
    <t>Cable Assy Transmission Control</t>
  </si>
  <si>
    <t>GH064</t>
  </si>
  <si>
    <t>1390</t>
  </si>
  <si>
    <t>90178-T0007</t>
  </si>
  <si>
    <t>HU001</t>
  </si>
  <si>
    <t>1391</t>
  </si>
  <si>
    <t>Plate RR Body Name, N0.1</t>
  </si>
  <si>
    <t>1392</t>
  </si>
  <si>
    <t>Hino FC9</t>
  </si>
  <si>
    <t>SZ179-08031</t>
  </si>
  <si>
    <t>1393</t>
  </si>
  <si>
    <t>90987-T2001</t>
  </si>
  <si>
    <t>Relay</t>
  </si>
  <si>
    <t>HT001/ AU001</t>
  </si>
  <si>
    <t>1394</t>
  </si>
  <si>
    <t>69283-0k0060 C0</t>
  </si>
  <si>
    <t>Plug Door Inside Handle Bezel RH</t>
  </si>
  <si>
    <t>HT001</t>
  </si>
  <si>
    <t>1395</t>
  </si>
  <si>
    <t>69284-0K040 C0</t>
  </si>
  <si>
    <t>Plug Door Inside Handle Bezel LH</t>
  </si>
  <si>
    <t>1396</t>
  </si>
  <si>
    <t>2302AAL00030L</t>
  </si>
  <si>
    <t>FRT Bumber Assy Mid Artic WH</t>
  </si>
  <si>
    <t>1397</t>
  </si>
  <si>
    <t>02055AAK00270N</t>
  </si>
  <si>
    <t>Assy Spare Wheel Winch Scorp</t>
  </si>
  <si>
    <t>1398</t>
  </si>
  <si>
    <t>0111AAG00310N</t>
  </si>
  <si>
    <t>Glass Assembly Windscreen Tint</t>
  </si>
  <si>
    <t>1399</t>
  </si>
  <si>
    <t>0119AAG02600B</t>
  </si>
  <si>
    <t>Grill Assy Front Mid</t>
  </si>
  <si>
    <t>1400</t>
  </si>
  <si>
    <t>0503AA4690N</t>
  </si>
  <si>
    <t>Front Axle Assy Clip ( child part)</t>
  </si>
  <si>
    <t>1401</t>
  </si>
  <si>
    <t>0107CG0270N</t>
  </si>
  <si>
    <t>Fixed Glass Seal LH</t>
  </si>
  <si>
    <t>1402</t>
  </si>
  <si>
    <t>1203BA1470N</t>
  </si>
  <si>
    <t>Condenser Assy</t>
  </si>
  <si>
    <t>1403</t>
  </si>
  <si>
    <t>1702BAA00901B</t>
  </si>
  <si>
    <t>Interior Reading Lamp  Assy</t>
  </si>
  <si>
    <t>42&amp;43</t>
  </si>
  <si>
    <t>1404</t>
  </si>
  <si>
    <t>19000A0330N</t>
  </si>
  <si>
    <t>U- Clamp Exaust</t>
  </si>
  <si>
    <t>1405</t>
  </si>
  <si>
    <t>Slide Rail cover ( child part)</t>
  </si>
  <si>
    <t>PKD23100004</t>
  </si>
  <si>
    <t>1406</t>
  </si>
  <si>
    <t>A4002601651</t>
  </si>
  <si>
    <t>LU Cable Gear Shift</t>
  </si>
  <si>
    <t>1409</t>
  </si>
  <si>
    <t>HYD Pipeline from Hose to Clutch Booster</t>
  </si>
  <si>
    <t>37KY2312007</t>
  </si>
  <si>
    <t>1411</t>
  </si>
  <si>
    <t>T-Bolt</t>
  </si>
  <si>
    <t>Keb007/23</t>
  </si>
  <si>
    <t>1412</t>
  </si>
  <si>
    <t>990-2017 Double Seat Assy</t>
  </si>
  <si>
    <t>1413</t>
  </si>
  <si>
    <t>1414</t>
  </si>
  <si>
    <t>Battery Box Assy</t>
  </si>
  <si>
    <t>1415</t>
  </si>
  <si>
    <t>Door Knob</t>
  </si>
  <si>
    <t>1416</t>
  </si>
  <si>
    <t>Service Indicator Adaptor</t>
  </si>
  <si>
    <t>1417</t>
  </si>
  <si>
    <t xml:space="preserve">Grommet </t>
  </si>
  <si>
    <t>1418</t>
  </si>
  <si>
    <t>Male adaptor</t>
  </si>
  <si>
    <t>1419</t>
  </si>
  <si>
    <t>MASCOT  AC STICKER</t>
  </si>
  <si>
    <t>1420</t>
  </si>
  <si>
    <t>Hump hose</t>
  </si>
  <si>
    <t>PKA23110007</t>
  </si>
  <si>
    <t>1421</t>
  </si>
  <si>
    <t>69030-02470</t>
  </si>
  <si>
    <t>LockAssy FrDoor W/Motor</t>
  </si>
  <si>
    <t>HW002</t>
  </si>
  <si>
    <t>1422</t>
  </si>
  <si>
    <t>86169-0k500</t>
  </si>
  <si>
    <t>SpeakerAssy, Radio</t>
  </si>
  <si>
    <t>HN0002,3</t>
  </si>
  <si>
    <t>1423</t>
  </si>
  <si>
    <t>HN0001,2,3</t>
  </si>
  <si>
    <t>1424</t>
  </si>
  <si>
    <t>76626-0K32000</t>
  </si>
  <si>
    <t>Mudguard RR Body LH</t>
  </si>
  <si>
    <t>1425</t>
  </si>
  <si>
    <t>Insulator, Hood</t>
  </si>
  <si>
    <t>HN0002</t>
  </si>
  <si>
    <t>1426</t>
  </si>
  <si>
    <t>69036-0204000</t>
  </si>
  <si>
    <t>Cover Sub-Assy, FR Door Lock, LH</t>
  </si>
  <si>
    <t>HN0001,2,3,4,5,6</t>
  </si>
  <si>
    <t>1427</t>
  </si>
  <si>
    <t>53601-0K120 C0</t>
  </si>
  <si>
    <t>Lever Sub-Assy Hood Lock Control</t>
  </si>
  <si>
    <t>HW003</t>
  </si>
  <si>
    <t>1428</t>
  </si>
  <si>
    <t>74511-37040</t>
  </si>
  <si>
    <t>Plate, Name</t>
  </si>
  <si>
    <t>GG003</t>
  </si>
  <si>
    <t>1429</t>
  </si>
  <si>
    <t>SZ950-39275</t>
  </si>
  <si>
    <t>1430</t>
  </si>
  <si>
    <t>1431</t>
  </si>
  <si>
    <t>FG8</t>
  </si>
  <si>
    <t>47307-E0300</t>
  </si>
  <si>
    <t>GA001</t>
  </si>
  <si>
    <t>1432</t>
  </si>
  <si>
    <t>47307-E0351</t>
  </si>
  <si>
    <t>Connector Sub Assy Tubed</t>
  </si>
  <si>
    <t>1433</t>
  </si>
  <si>
    <t>WG24 Windshield Glass</t>
  </si>
  <si>
    <t>1434</t>
  </si>
  <si>
    <t>Assy Tail Lamp with EOM and with RPL RH 24V</t>
  </si>
  <si>
    <t>1435</t>
  </si>
  <si>
    <t>Wire rope (heatshield mounting)</t>
  </si>
  <si>
    <t>1436</t>
  </si>
  <si>
    <t xml:space="preserve">Reverse Buzzer Screw </t>
  </si>
  <si>
    <t>1437</t>
  </si>
  <si>
    <t xml:space="preserve">Hex Nut </t>
  </si>
  <si>
    <t>1438</t>
  </si>
  <si>
    <t>74615-60020-B0</t>
  </si>
  <si>
    <t xml:space="preserve">PLUG, FR ASSIST GRIP, NO.1 RH     </t>
  </si>
  <si>
    <t>GH710</t>
  </si>
  <si>
    <t>1439</t>
  </si>
  <si>
    <t xml:space="preserve">GLASS ASSY, WINDSHIELD  </t>
  </si>
  <si>
    <t>1440</t>
  </si>
  <si>
    <t xml:space="preserve">LABEL, COOLER SERVICE CAUTION      </t>
  </si>
  <si>
    <t>GH528</t>
  </si>
  <si>
    <t>1441</t>
  </si>
  <si>
    <t xml:space="preserve">HANDLE ASSY, PARKING BRAKE CONTROL   </t>
  </si>
  <si>
    <t>1442</t>
  </si>
  <si>
    <t>LOCK ASSY, HOOD</t>
  </si>
  <si>
    <t>1443</t>
  </si>
  <si>
    <t xml:space="preserve">LINK ASSY, FR STABILIZER                </t>
  </si>
  <si>
    <t>1444</t>
  </si>
  <si>
    <t xml:space="preserve">PROTECTOR, FR FENDER SIDE PANEL, RH     </t>
  </si>
  <si>
    <t>1445</t>
  </si>
  <si>
    <t xml:space="preserve">CABLE ASSY, TRANSMISSION CONTROL    </t>
  </si>
  <si>
    <t>1446</t>
  </si>
  <si>
    <t>94612-11400</t>
  </si>
  <si>
    <t>WASHER, PLATE</t>
  </si>
  <si>
    <t>1447</t>
  </si>
  <si>
    <t>88710-26C90</t>
  </si>
  <si>
    <t xml:space="preserve">TUBE &amp; ACCESSORY ASSY, AIR CONDITIONER  </t>
  </si>
  <si>
    <t>1448</t>
  </si>
  <si>
    <t xml:space="preserve">HEADLAMP ASSY, LH  </t>
  </si>
  <si>
    <t>1449</t>
  </si>
  <si>
    <t>82111-V3D30</t>
  </si>
  <si>
    <t xml:space="preserve">WIRE, ENGINE ROOM MAIN        </t>
  </si>
  <si>
    <t>1450</t>
  </si>
  <si>
    <t>94130-61400</t>
  </si>
  <si>
    <t>1451</t>
  </si>
  <si>
    <t>90101-14042</t>
  </si>
  <si>
    <t xml:space="preserve">BOLT, HEXAGON                           </t>
  </si>
  <si>
    <t>1452</t>
  </si>
  <si>
    <t>44310-0K130</t>
  </si>
  <si>
    <t>PUMP ASSY, VANE</t>
  </si>
  <si>
    <t>HT01</t>
  </si>
  <si>
    <t>1453</t>
  </si>
  <si>
    <t>47315-KK010</t>
  </si>
  <si>
    <t>TUBE, FR BRAKE, NO.5</t>
  </si>
  <si>
    <t>1454</t>
  </si>
  <si>
    <t>1455</t>
  </si>
  <si>
    <t>68210-0K040</t>
  </si>
  <si>
    <t>WEATHERSTRIP ASSY, FR DOOR GLASS, OUT LH</t>
  </si>
  <si>
    <t>1456</t>
  </si>
  <si>
    <t>52206-0K080</t>
  </si>
  <si>
    <t>CUSHION SUB-ASSY, CAB MOUNTING, NO. 3 LOWER(L)</t>
  </si>
  <si>
    <t>FW0017</t>
  </si>
  <si>
    <t>1457</t>
  </si>
  <si>
    <t>17900-51010-00</t>
  </si>
  <si>
    <t>INTERCOOLER ASSY, W/SENSOR</t>
  </si>
  <si>
    <t>HW0003</t>
  </si>
  <si>
    <t>1458</t>
  </si>
  <si>
    <t>84731-20040-00</t>
  </si>
  <si>
    <t>KNOB, HEATER BLOWER SWITCH</t>
  </si>
  <si>
    <t>BZ60</t>
  </si>
  <si>
    <t>1459</t>
  </si>
  <si>
    <t>88650-60G20-00</t>
  </si>
  <si>
    <t>AMPLIFIER ASSY, AIR CONDITIONER</t>
  </si>
  <si>
    <t>1460</t>
  </si>
  <si>
    <t>90467-06155-00</t>
  </si>
  <si>
    <t>1461</t>
  </si>
  <si>
    <t>55539-32010-C0</t>
  </si>
  <si>
    <t>COVER, SPARE SWITCH HOLE</t>
  </si>
  <si>
    <t>1462</t>
  </si>
  <si>
    <t>82143-60350-00</t>
  </si>
  <si>
    <t>WIRE, INSTRUMENT PANEL, NO.3</t>
  </si>
  <si>
    <t>1463</t>
  </si>
  <si>
    <t>17700-51032-00</t>
  </si>
  <si>
    <t>1464</t>
  </si>
  <si>
    <t>90119-06956-00</t>
  </si>
  <si>
    <t>1465</t>
  </si>
  <si>
    <t>55519-60300-00</t>
  </si>
  <si>
    <t>PLATE, HEATER CONTROL NAME</t>
  </si>
  <si>
    <t>1466</t>
  </si>
  <si>
    <t>90119-06048-00</t>
  </si>
  <si>
    <t>1467</t>
  </si>
  <si>
    <t>90460-99005-00</t>
  </si>
  <si>
    <t>CLAMP, HOSE</t>
  </si>
  <si>
    <t>1468</t>
  </si>
  <si>
    <t>52711-60150-00</t>
  </si>
  <si>
    <t>GARNISH, FR BUMPER</t>
  </si>
  <si>
    <t>1469</t>
  </si>
  <si>
    <t>77207-60292-00</t>
  </si>
  <si>
    <t>TUBE SUB-ASSY, FUEL MAIN, NO.3</t>
  </si>
  <si>
    <t>1470</t>
  </si>
  <si>
    <t>45450-60260-00</t>
  </si>
  <si>
    <t>ROD ASSY, STEERING RELAY</t>
  </si>
  <si>
    <t>1471</t>
  </si>
  <si>
    <t>88716-60E80-00</t>
  </si>
  <si>
    <t>TUBE, LIQUID, NO.1</t>
  </si>
  <si>
    <t>1472</t>
  </si>
  <si>
    <t>47320-60071-00</t>
  </si>
  <si>
    <t>TUBE ASSY, RR BRAKE, NO.1</t>
  </si>
  <si>
    <t>1473</t>
  </si>
  <si>
    <t>47939-60620-00</t>
  </si>
  <si>
    <t>LABEL, LSV MARKING INFORMATION</t>
  </si>
  <si>
    <t>1474</t>
  </si>
  <si>
    <t>17279-17030-00</t>
  </si>
  <si>
    <t>GASKET, TURBINE OUTLET ELBOW</t>
  </si>
  <si>
    <t>1475</t>
  </si>
  <si>
    <t>1476</t>
  </si>
  <si>
    <t>1477</t>
  </si>
  <si>
    <t>Horn, High Tone</t>
  </si>
  <si>
    <t>7KY23120009</t>
  </si>
  <si>
    <t>1478</t>
  </si>
  <si>
    <t>Horn, Low Tone 24V</t>
  </si>
  <si>
    <t>1479</t>
  </si>
  <si>
    <t>Sealing (Rear Mudguard)</t>
  </si>
  <si>
    <t>1480</t>
  </si>
  <si>
    <t>Assy Heater Valve</t>
  </si>
  <si>
    <t>1482</t>
  </si>
  <si>
    <t>215340-20901</t>
  </si>
  <si>
    <t>REAR TIRES</t>
  </si>
  <si>
    <t>1483</t>
  </si>
  <si>
    <t>Manufacturer Plate</t>
  </si>
  <si>
    <t>1484</t>
  </si>
  <si>
    <t>68103-0K220</t>
  </si>
  <si>
    <t>Glass Sub Assy RR Door</t>
  </si>
  <si>
    <t>HW</t>
  </si>
  <si>
    <t>1485</t>
  </si>
  <si>
    <t>75770-0K351</t>
  </si>
  <si>
    <t>Moulding Assy Hood</t>
  </si>
  <si>
    <t>HN008</t>
  </si>
  <si>
    <t>1486</t>
  </si>
  <si>
    <t>42140-0K730</t>
  </si>
  <si>
    <t>Axle Assy, RR</t>
  </si>
  <si>
    <t>1487</t>
  </si>
  <si>
    <t>F7400150</t>
  </si>
  <si>
    <t>Windscreen Rubber Beading  Cargo Cab</t>
  </si>
  <si>
    <t>1488</t>
  </si>
  <si>
    <t>F8052100</t>
  </si>
  <si>
    <t>Front Windshield Glass</t>
  </si>
  <si>
    <t>1489</t>
  </si>
  <si>
    <t>43520-75W52</t>
  </si>
  <si>
    <t>FR Axle Assembly</t>
  </si>
  <si>
    <t>HN009</t>
  </si>
  <si>
    <t>1490</t>
  </si>
  <si>
    <t>554597500104C7</t>
  </si>
  <si>
    <t>Seat Belt RH</t>
  </si>
  <si>
    <t>3KI23120003</t>
  </si>
  <si>
    <t>1491</t>
  </si>
  <si>
    <t>554597500101C7</t>
  </si>
  <si>
    <t>Seat Belt LH</t>
  </si>
  <si>
    <t>1492</t>
  </si>
  <si>
    <t>Wiring Harness antenna</t>
  </si>
  <si>
    <t>1493</t>
  </si>
  <si>
    <t>Clutch Cable( child Part)</t>
  </si>
  <si>
    <t>1494</t>
  </si>
  <si>
    <t>55457200102ZY</t>
  </si>
  <si>
    <t>Cap Door Trim RH ( child Part)</t>
  </si>
  <si>
    <t>1495</t>
  </si>
  <si>
    <t>Metal Pipe Assy Adaptor to air Dryer</t>
  </si>
  <si>
    <t>PKA23100004</t>
  </si>
  <si>
    <t>1496</t>
  </si>
  <si>
    <t>Glass Side door LH</t>
  </si>
  <si>
    <t>1497</t>
  </si>
  <si>
    <t>Glass Side door RH</t>
  </si>
  <si>
    <t>1498</t>
  </si>
  <si>
    <t>1499</t>
  </si>
  <si>
    <t>AIR DRYER 8.1BAR WO HEATER(VOSS)-K011425</t>
  </si>
  <si>
    <t>1500</t>
  </si>
  <si>
    <t>CHILD PART OF FRONT AXLE</t>
  </si>
  <si>
    <t>WHEEL GREASE CAP</t>
  </si>
  <si>
    <t>1501</t>
  </si>
  <si>
    <t xml:space="preserve">Assy Air Inlet </t>
  </si>
  <si>
    <t>1502</t>
  </si>
  <si>
    <t>CLUTCH SERVO (6220)</t>
  </si>
  <si>
    <t>1503</t>
  </si>
  <si>
    <t>Pressure Tester Connector</t>
  </si>
  <si>
    <t>1504</t>
  </si>
  <si>
    <t xml:space="preserve">Lock </t>
  </si>
  <si>
    <t>1505</t>
  </si>
  <si>
    <t>Rubber Stopper</t>
  </si>
  <si>
    <t>1506</t>
  </si>
  <si>
    <t>Assy ICL Instrument Panel</t>
  </si>
  <si>
    <t>1507</t>
  </si>
  <si>
    <t>Assy C008 Instrument Panel</t>
  </si>
  <si>
    <t>1508</t>
  </si>
  <si>
    <t>86520-0K010</t>
  </si>
  <si>
    <t>Horn Assy Low Pitched</t>
  </si>
  <si>
    <t>1509</t>
  </si>
  <si>
    <t>Glass- Assy Windshield</t>
  </si>
  <si>
    <t>HN010</t>
  </si>
  <si>
    <t>1510</t>
  </si>
  <si>
    <t>HN012</t>
  </si>
  <si>
    <t>1511</t>
  </si>
  <si>
    <t>90119-T0314</t>
  </si>
  <si>
    <t>JK01,02,03</t>
  </si>
  <si>
    <t>1512</t>
  </si>
  <si>
    <t>1513</t>
  </si>
  <si>
    <t>1514</t>
  </si>
  <si>
    <t>M12 X 30 Press Screw</t>
  </si>
  <si>
    <t>Keb002/24</t>
  </si>
  <si>
    <t>1515</t>
  </si>
  <si>
    <t>Stud Exhaust Turbo( Engine Child Part)</t>
  </si>
  <si>
    <t>AFBD0001</t>
  </si>
  <si>
    <t>1516</t>
  </si>
  <si>
    <t>1203EAA05361N</t>
  </si>
  <si>
    <t>Hose Sunction Assy AC</t>
  </si>
  <si>
    <t>1517</t>
  </si>
  <si>
    <t>0107CQ0260N</t>
  </si>
  <si>
    <t>Fixed Glass Seal RH</t>
  </si>
  <si>
    <t>1518</t>
  </si>
  <si>
    <t>53601-0K120</t>
  </si>
  <si>
    <t>Lever Sub Hood Lock Control</t>
  </si>
  <si>
    <t>1519</t>
  </si>
  <si>
    <t>5530268-20103</t>
  </si>
  <si>
    <t>Anchor Bracket Assy Shift Cable</t>
  </si>
  <si>
    <t>1520</t>
  </si>
  <si>
    <t>Nut M12</t>
  </si>
  <si>
    <t>1521</t>
  </si>
  <si>
    <t>50113240-6502</t>
  </si>
  <si>
    <t>Hexagon Flange Nut</t>
  </si>
  <si>
    <t>1522</t>
  </si>
  <si>
    <t>5507542-49904</t>
  </si>
  <si>
    <t>Instrument C luster</t>
  </si>
  <si>
    <t>1523</t>
  </si>
  <si>
    <t>28630913-7709_192</t>
  </si>
  <si>
    <t>Snorkel</t>
  </si>
  <si>
    <t>1524</t>
  </si>
  <si>
    <t>1525</t>
  </si>
  <si>
    <t>28630913-7709</t>
  </si>
  <si>
    <t>1526</t>
  </si>
  <si>
    <t>1527</t>
  </si>
  <si>
    <t>Bracket Assy Engine Mount Bottom LH</t>
  </si>
  <si>
    <t>1528</t>
  </si>
  <si>
    <t>Cross Member Assy</t>
  </si>
  <si>
    <t>1529</t>
  </si>
  <si>
    <t>1530</t>
  </si>
  <si>
    <t xml:space="preserve">Cap Door Trim </t>
  </si>
  <si>
    <t>1531</t>
  </si>
  <si>
    <t>1532</t>
  </si>
  <si>
    <t>Clip Child Part of Clutch Cable Assy</t>
  </si>
  <si>
    <t>1533</t>
  </si>
  <si>
    <t>Graniy- Black Seat Belt LH Front</t>
  </si>
  <si>
    <t>1534</t>
  </si>
  <si>
    <t>Graniy- Black Seat Belt ELR- Front RH</t>
  </si>
  <si>
    <t>1535</t>
  </si>
  <si>
    <t>Wiring Harness Antenna</t>
  </si>
  <si>
    <t>1536</t>
  </si>
  <si>
    <t>Bal 1</t>
  </si>
  <si>
    <t>1537</t>
  </si>
  <si>
    <t>Assy Frame Compl LH</t>
  </si>
  <si>
    <t>1538</t>
  </si>
  <si>
    <t>Assy Power Socket Cap</t>
  </si>
  <si>
    <t>1539</t>
  </si>
  <si>
    <t>99267383101L</t>
  </si>
  <si>
    <t>Assy Control Barcket and Panel Complt</t>
  </si>
  <si>
    <t>1540</t>
  </si>
  <si>
    <t>Wheel Grease Cap</t>
  </si>
  <si>
    <t>1541</t>
  </si>
  <si>
    <t>DC Converter</t>
  </si>
  <si>
    <t>1542</t>
  </si>
  <si>
    <t>Metal Pipe Assy Adaptor to Air Dryer</t>
  </si>
  <si>
    <t>1543</t>
  </si>
  <si>
    <t>1203EAA05301N</t>
  </si>
  <si>
    <t>Hose Assy Sunction AC</t>
  </si>
  <si>
    <t>1544</t>
  </si>
  <si>
    <t>1545</t>
  </si>
  <si>
    <t>HIACE</t>
  </si>
  <si>
    <t>74615-60020</t>
  </si>
  <si>
    <t>COVER GRIP ASSIST</t>
  </si>
  <si>
    <t>1546</t>
  </si>
  <si>
    <t>62206-26033</t>
  </si>
  <si>
    <t>GLASS SUB ASSYRR SIDE FR LH</t>
  </si>
  <si>
    <t>1547</t>
  </si>
  <si>
    <t>SLEEVE MASTER CYLINDER</t>
  </si>
  <si>
    <t>1548</t>
  </si>
  <si>
    <t>PRESS SCREW</t>
  </si>
  <si>
    <t>KEB02/24</t>
  </si>
  <si>
    <t>1549</t>
  </si>
  <si>
    <t>C lit Out Terminal Cover</t>
  </si>
  <si>
    <t>KEB04/24</t>
  </si>
  <si>
    <t>1550</t>
  </si>
  <si>
    <t>Rear Axle Breather Hose</t>
  </si>
  <si>
    <t>keb04/24</t>
  </si>
  <si>
    <t>1552</t>
  </si>
  <si>
    <t>ECU1142</t>
  </si>
  <si>
    <t>Steering Gear</t>
  </si>
  <si>
    <t>1551</t>
  </si>
  <si>
    <t>2641544-30177</t>
  </si>
  <si>
    <t>Lamp Tail LH</t>
  </si>
  <si>
    <t>1554</t>
  </si>
  <si>
    <t>52023-0k051</t>
  </si>
  <si>
    <t>Reinforcement Bumper</t>
  </si>
  <si>
    <t>HN022</t>
  </si>
  <si>
    <t>1555</t>
  </si>
  <si>
    <t>Front Tyres</t>
  </si>
  <si>
    <t>1556</t>
  </si>
  <si>
    <t>Rear U Bolt</t>
  </si>
  <si>
    <t>1557</t>
  </si>
  <si>
    <t>Axle Assy RR</t>
  </si>
  <si>
    <t>HN023</t>
  </si>
  <si>
    <t>1558</t>
  </si>
  <si>
    <t>48824-KK010</t>
  </si>
  <si>
    <t>Bracket Stabilizer</t>
  </si>
  <si>
    <t>HN020</t>
  </si>
  <si>
    <t>1559</t>
  </si>
  <si>
    <t>FRaxleAssembly-4x4 16 Disc</t>
  </si>
  <si>
    <t>HN0027</t>
  </si>
  <si>
    <t>1560</t>
  </si>
  <si>
    <t>Moulding Assy, Hood,FR</t>
  </si>
  <si>
    <t>HN0017</t>
  </si>
  <si>
    <t>1561</t>
  </si>
  <si>
    <t>Flange Screw</t>
  </si>
  <si>
    <t>KET001/24</t>
  </si>
  <si>
    <t>1562</t>
  </si>
  <si>
    <t>Hex Screw M14 X 50</t>
  </si>
  <si>
    <t>1563</t>
  </si>
  <si>
    <t>LU Tank Filler CAP Diesel</t>
  </si>
  <si>
    <t>1564</t>
  </si>
  <si>
    <t>1565</t>
  </si>
  <si>
    <t>Regulating Glass RH/LH</t>
  </si>
  <si>
    <t>1566</t>
  </si>
  <si>
    <t>58587250-2302</t>
  </si>
  <si>
    <t>Glass Side Door RH</t>
  </si>
  <si>
    <t>1567</t>
  </si>
  <si>
    <t>Vacuum Pipe Air Cleaner Engine Child Part</t>
  </si>
  <si>
    <t>1568</t>
  </si>
  <si>
    <t>Vacuum Pipe Engine Child Part</t>
  </si>
  <si>
    <t>1569</t>
  </si>
  <si>
    <t>289842800-142</t>
  </si>
  <si>
    <t>Assy Clamp</t>
  </si>
  <si>
    <t>1570</t>
  </si>
  <si>
    <t>Pigtail Break, Fluid Bottle</t>
  </si>
  <si>
    <t>1571</t>
  </si>
  <si>
    <t>Bracket Assy Belt RH Side</t>
  </si>
  <si>
    <t>1572</t>
  </si>
  <si>
    <t>Horn and Aux Relays</t>
  </si>
  <si>
    <t>1573</t>
  </si>
  <si>
    <t>Rubber Plug FR  Door</t>
  </si>
  <si>
    <t>1574</t>
  </si>
  <si>
    <t>GRP Wiper Timer Relay</t>
  </si>
  <si>
    <t>1575</t>
  </si>
  <si>
    <t>Exhaust Gasket</t>
  </si>
  <si>
    <t>1576</t>
  </si>
  <si>
    <t>Interior Roof</t>
  </si>
  <si>
    <t>HKB0075</t>
  </si>
  <si>
    <t>1577</t>
  </si>
  <si>
    <t>Weatherstrip Window</t>
  </si>
  <si>
    <t>1578</t>
  </si>
  <si>
    <t>L1021211</t>
  </si>
  <si>
    <t>STD BOLT HEX M12 BY 1.5 SPARE WHEEL CARRIER BOLTS</t>
  </si>
  <si>
    <t>1579</t>
  </si>
  <si>
    <t>CABIN GROMET</t>
  </si>
  <si>
    <t>1580</t>
  </si>
  <si>
    <t>FN200900</t>
  </si>
  <si>
    <t>RELAY</t>
  </si>
  <si>
    <t>1581</t>
  </si>
  <si>
    <t>CABIN LOCK SWITCH BRACKET</t>
  </si>
  <si>
    <t>1582</t>
  </si>
  <si>
    <t>X5083613</t>
  </si>
  <si>
    <t>EXTENSION FLITCH LH</t>
  </si>
  <si>
    <t>1583</t>
  </si>
  <si>
    <t>X5083513</t>
  </si>
  <si>
    <t>EXTENSION FLITCH RH</t>
  </si>
  <si>
    <t>1584</t>
  </si>
  <si>
    <t>B5425576</t>
  </si>
  <si>
    <t>GLOVE BOX SCREWS</t>
  </si>
  <si>
    <t>1585</t>
  </si>
  <si>
    <t>INSTRUMENT CLUSTER</t>
  </si>
  <si>
    <t>1586</t>
  </si>
  <si>
    <t>Boss EIV</t>
  </si>
  <si>
    <t>B0Y52556</t>
  </si>
  <si>
    <t>RVP MIRROR</t>
  </si>
  <si>
    <t>HKB00120</t>
  </si>
  <si>
    <t>1587</t>
  </si>
  <si>
    <t>B0Y10628</t>
  </si>
  <si>
    <t>LHS QUATER WINDOW</t>
  </si>
  <si>
    <t>1588</t>
  </si>
  <si>
    <t>FYC00Y00</t>
  </si>
  <si>
    <t>DOOR LATCH</t>
  </si>
  <si>
    <t>1589</t>
  </si>
  <si>
    <t>FIJ00500</t>
  </si>
  <si>
    <t>AIR TANKS</t>
  </si>
  <si>
    <t>1590</t>
  </si>
  <si>
    <t>FDA02258</t>
  </si>
  <si>
    <t>GEARSHIFT CABLES</t>
  </si>
  <si>
    <t>1591</t>
  </si>
  <si>
    <t>B8F00802</t>
  </si>
  <si>
    <t>WIPER MOTOR TANK</t>
  </si>
  <si>
    <t>1592</t>
  </si>
  <si>
    <t>FLG00114</t>
  </si>
  <si>
    <t>J BOLT</t>
  </si>
  <si>
    <t>1593</t>
  </si>
  <si>
    <t>SELECTOR CABLES,WRONG SUPPLY</t>
  </si>
  <si>
    <t>1594</t>
  </si>
  <si>
    <t>F4N57714</t>
  </si>
  <si>
    <t>ICV BOTOM MOUNTING BRACKET</t>
  </si>
  <si>
    <t>1595</t>
  </si>
  <si>
    <t>FHG00300</t>
  </si>
  <si>
    <t>FRONT TURN INDICATOR</t>
  </si>
  <si>
    <t>1596</t>
  </si>
  <si>
    <t>Childpart</t>
  </si>
  <si>
    <t>GEAR SELECTOR BRACKET</t>
  </si>
  <si>
    <t>1597</t>
  </si>
  <si>
    <t>F5V01260</t>
  </si>
  <si>
    <t>FAULTY AIR VENT MECHANISM</t>
  </si>
  <si>
    <t>1598</t>
  </si>
  <si>
    <t>LHS LOWER QUATER WINDOW</t>
  </si>
  <si>
    <t>1599</t>
  </si>
  <si>
    <t>DUMMY SWITCH</t>
  </si>
  <si>
    <t>1600</t>
  </si>
  <si>
    <t>FM00750</t>
  </si>
  <si>
    <t>DOOR WEATHER STRIP</t>
  </si>
  <si>
    <t>1601</t>
  </si>
  <si>
    <t>GLASS WINDSHIELD</t>
  </si>
  <si>
    <t>1602</t>
  </si>
  <si>
    <t>FRONT AXLE SHACKLE PIN</t>
  </si>
  <si>
    <t>1603</t>
  </si>
  <si>
    <t xml:space="preserve">CLUTCH SERVO DAMAGED THREADS </t>
  </si>
  <si>
    <t>HKB00121</t>
  </si>
  <si>
    <t>1604</t>
  </si>
  <si>
    <t xml:space="preserve">FLANGED SCREW </t>
  </si>
  <si>
    <t>1605</t>
  </si>
  <si>
    <t>MUSIC SYSTEM</t>
  </si>
  <si>
    <t>HKB00120,HKB00121</t>
  </si>
  <si>
    <t>1606</t>
  </si>
  <si>
    <t>MC849540</t>
  </si>
  <si>
    <t>VALVE,MAGNET</t>
  </si>
  <si>
    <t>1607</t>
  </si>
  <si>
    <t>MC856316</t>
  </si>
  <si>
    <t>1608</t>
  </si>
  <si>
    <t>1609</t>
  </si>
  <si>
    <t>1610</t>
  </si>
  <si>
    <t>1611</t>
  </si>
  <si>
    <t>CLIP,HOSE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</si>
  <si>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</si>
  <si>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</si>
  <si>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</si>
  <si>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</si>
  <si>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</si>
  <si>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</si>
  <si>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</si>
  <si>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</si>
  <si>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</si>
  <si>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</si>
  <si>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</si>
  <si>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MF104921</t>
  </si>
  <si>
    <t>BOLT(12X65)</t>
  </si>
  <si>
    <t>1623</t>
  </si>
  <si>
    <t>MF434106</t>
  </si>
  <si>
    <t>NUT,FLANGE (12)</t>
  </si>
  <si>
    <t>1624</t>
  </si>
  <si>
    <t>MC924205</t>
  </si>
  <si>
    <t>CABLE. F/PNL OPENER</t>
  </si>
  <si>
    <t>1625</t>
  </si>
  <si>
    <t>MC938660</t>
  </si>
  <si>
    <t>WINDOW ASSY,SIDE,</t>
  </si>
  <si>
    <t>1626</t>
  </si>
  <si>
    <t>ME632021</t>
  </si>
  <si>
    <t>RETURN SPRING, CLUTCH CABLE( engine child part)</t>
  </si>
  <si>
    <t>1627</t>
  </si>
  <si>
    <t>MC404016</t>
  </si>
  <si>
    <t>BOLT, SET</t>
  </si>
  <si>
    <t>1628</t>
  </si>
  <si>
    <t>MC009349</t>
  </si>
  <si>
    <t>JOINT</t>
  </si>
  <si>
    <t>1629</t>
  </si>
  <si>
    <t>MH038163</t>
  </si>
  <si>
    <t>CONNECTOR</t>
  </si>
  <si>
    <t>1630</t>
  </si>
  <si>
    <t>MC927749</t>
  </si>
  <si>
    <t>HANDLE, DR, I/S  LH</t>
  </si>
  <si>
    <t>1631</t>
  </si>
  <si>
    <t>MC927748</t>
  </si>
  <si>
    <t>HANDLE, DR, I/S  RH</t>
  </si>
  <si>
    <t>1632</t>
  </si>
  <si>
    <t>KET/002/24</t>
  </si>
  <si>
    <t>1633</t>
  </si>
  <si>
    <t>FLANGE SCREW M20 X 80</t>
  </si>
  <si>
    <t>1634</t>
  </si>
  <si>
    <t>KET/001/24</t>
  </si>
  <si>
    <t>1635</t>
  </si>
  <si>
    <t>Glass Assembly Windshield</t>
  </si>
  <si>
    <t>1636</t>
  </si>
  <si>
    <t>Lockstrap FRT Axle end Bolt</t>
  </si>
  <si>
    <t>1638</t>
  </si>
  <si>
    <t>0108EF0380N</t>
  </si>
  <si>
    <t>Air Extractor Outer DC LH</t>
  </si>
  <si>
    <t>1639</t>
  </si>
  <si>
    <t>L9120818</t>
  </si>
  <si>
    <t>AF</t>
  </si>
  <si>
    <t>AKBD004</t>
  </si>
  <si>
    <t>1640</t>
  </si>
  <si>
    <t>B3506201</t>
  </si>
  <si>
    <t>Dummy Plug</t>
  </si>
  <si>
    <t>1641</t>
  </si>
  <si>
    <t>FYJ14911</t>
  </si>
  <si>
    <t>Special Flanged Bolts</t>
  </si>
  <si>
    <t>1642</t>
  </si>
  <si>
    <t>1643</t>
  </si>
  <si>
    <t>PR41908</t>
  </si>
  <si>
    <t>Stud Missing Engine child part</t>
  </si>
  <si>
    <t>1644</t>
  </si>
  <si>
    <t>FYL02111</t>
  </si>
  <si>
    <t>Flanged Screw</t>
  </si>
  <si>
    <t>1645</t>
  </si>
  <si>
    <t>FAN08500</t>
  </si>
  <si>
    <t>Clip Spacer</t>
  </si>
  <si>
    <t>1646</t>
  </si>
  <si>
    <t>L9510803</t>
  </si>
  <si>
    <t>Flanged Bolt Hex</t>
  </si>
  <si>
    <t>1648</t>
  </si>
  <si>
    <t>67751-26220</t>
  </si>
  <si>
    <t>Board Back Door Trim</t>
  </si>
  <si>
    <t>GH0778</t>
  </si>
  <si>
    <t>1649</t>
  </si>
  <si>
    <t>Board back door Trim</t>
  </si>
  <si>
    <t>GH0773</t>
  </si>
  <si>
    <t>1650</t>
  </si>
  <si>
    <t>88450-26150</t>
  </si>
  <si>
    <t>Condenser Assy, W/Receiver</t>
  </si>
  <si>
    <t>HG0795</t>
  </si>
  <si>
    <t>1651</t>
  </si>
  <si>
    <t>62410-26050</t>
  </si>
  <si>
    <t>Garnish Assy</t>
  </si>
  <si>
    <t>GH0795</t>
  </si>
  <si>
    <t>1652</t>
  </si>
  <si>
    <t>75471-90K900</t>
  </si>
  <si>
    <t>Plate RR Body Name NO.1</t>
  </si>
  <si>
    <t>BZ0063</t>
  </si>
  <si>
    <t>Paint Rec</t>
  </si>
  <si>
    <t>1653</t>
  </si>
  <si>
    <t>Label Differential Lock Caution</t>
  </si>
  <si>
    <t>1654</t>
  </si>
  <si>
    <t>Shock Absorber Assy Front</t>
  </si>
  <si>
    <t>PKA24050002</t>
  </si>
  <si>
    <t>1655</t>
  </si>
  <si>
    <t>LHS Tail Lamp</t>
  </si>
  <si>
    <t>1656</t>
  </si>
  <si>
    <t>Pig Tail Break fluid Bottle</t>
  </si>
  <si>
    <t>PKA24050001</t>
  </si>
  <si>
    <t>1657</t>
  </si>
  <si>
    <t>Scania G500</t>
  </si>
  <si>
    <t>Matt Rubber</t>
  </si>
  <si>
    <t>Ket003/24</t>
  </si>
  <si>
    <t>1658</t>
  </si>
  <si>
    <t>Air Valve</t>
  </si>
  <si>
    <t>Ket005/24</t>
  </si>
  <si>
    <t>1659</t>
  </si>
  <si>
    <t>ket002/24</t>
  </si>
  <si>
    <t>1660</t>
  </si>
  <si>
    <t>47323-KK030</t>
  </si>
  <si>
    <t>Tube RR Brake, NO, 3</t>
  </si>
  <si>
    <t>JH001</t>
  </si>
  <si>
    <t>1661</t>
  </si>
  <si>
    <t>73179-KK011 B0</t>
  </si>
  <si>
    <t>CAP SEATBELT ANCHOR COVER LH</t>
  </si>
  <si>
    <t>JK004</t>
  </si>
  <si>
    <t>1662</t>
  </si>
  <si>
    <t>Bezel Assy RH</t>
  </si>
  <si>
    <t>1663</t>
  </si>
  <si>
    <t>Blinker RH</t>
  </si>
  <si>
    <t>1664</t>
  </si>
  <si>
    <t>Headlamp Assy LHS</t>
  </si>
  <si>
    <t>1665</t>
  </si>
  <si>
    <t>1666</t>
  </si>
  <si>
    <t>Set Strap Assy</t>
  </si>
  <si>
    <t>1667</t>
  </si>
  <si>
    <t>44410-26A60</t>
  </si>
  <si>
    <t>Tube Assy, Pressure Feed</t>
  </si>
  <si>
    <t>1668</t>
  </si>
  <si>
    <t>44200-V3030</t>
  </si>
  <si>
    <t>Link Assy, Power Steering</t>
  </si>
  <si>
    <t>1669</t>
  </si>
  <si>
    <t>52023-0K051</t>
  </si>
  <si>
    <t>1670</t>
  </si>
  <si>
    <t>1671</t>
  </si>
  <si>
    <t>81110-0K772</t>
  </si>
  <si>
    <t>Headlamp Assy, RH</t>
  </si>
  <si>
    <t>HN013</t>
  </si>
  <si>
    <t>1672</t>
  </si>
  <si>
    <t>52110-0K580 A0</t>
  </si>
  <si>
    <t>Bumper Assy, FR</t>
  </si>
  <si>
    <t>HN018</t>
  </si>
  <si>
    <t>1673</t>
  </si>
  <si>
    <t>96111-11060</t>
  </si>
  <si>
    <t>BZ063</t>
  </si>
  <si>
    <t>1674</t>
  </si>
  <si>
    <t>Glass Sub Assy, Windshield</t>
  </si>
  <si>
    <t>1675</t>
  </si>
  <si>
    <t>53145-60040</t>
  </si>
  <si>
    <t>Clip Radiator Grille</t>
  </si>
  <si>
    <t>1676</t>
  </si>
  <si>
    <t>F5P04222</t>
  </si>
  <si>
    <t>BRKT- Engine Mounting</t>
  </si>
  <si>
    <t>LK117</t>
  </si>
  <si>
    <t>1677</t>
  </si>
  <si>
    <t>FE705010</t>
  </si>
  <si>
    <t>1678</t>
  </si>
  <si>
    <t>FA974413</t>
  </si>
  <si>
    <t>Bracket Mounting</t>
  </si>
  <si>
    <t>1679</t>
  </si>
  <si>
    <t>FDZ04268/FNN00268</t>
  </si>
  <si>
    <t>Door Trim Lower RH</t>
  </si>
  <si>
    <t>1680</t>
  </si>
  <si>
    <t>Blank Mirror Adjust Switch</t>
  </si>
  <si>
    <t>1681</t>
  </si>
  <si>
    <t>F3502568</t>
  </si>
  <si>
    <t xml:space="preserve">AL NGICV Shroud Switch Bezel LH </t>
  </si>
  <si>
    <t>1682</t>
  </si>
  <si>
    <t>Glass Widshield</t>
  </si>
  <si>
    <t>1683</t>
  </si>
  <si>
    <t>H/L Level GSW (Light Adjust)</t>
  </si>
  <si>
    <t>1684</t>
  </si>
  <si>
    <t>PEEZ421478</t>
  </si>
  <si>
    <t>Engine Child Part(Slated Washer)</t>
  </si>
  <si>
    <t>1685</t>
  </si>
  <si>
    <t>S/A OF Coil Pipe</t>
  </si>
  <si>
    <t>1686</t>
  </si>
  <si>
    <t>X3F01013</t>
  </si>
  <si>
    <t>Fender RH Side</t>
  </si>
  <si>
    <t>1689</t>
  </si>
  <si>
    <t>Silencer Cube</t>
  </si>
  <si>
    <t>Keb005/24</t>
  </si>
  <si>
    <t>1690</t>
  </si>
  <si>
    <t>Bracket Instep Plate</t>
  </si>
  <si>
    <t>Ket004/24</t>
  </si>
  <si>
    <t>1691</t>
  </si>
  <si>
    <t>1693</t>
  </si>
  <si>
    <t>41991-6061</t>
  </si>
  <si>
    <t>BZ0070</t>
  </si>
  <si>
    <t>1694</t>
  </si>
  <si>
    <t>ECU 1211</t>
  </si>
  <si>
    <t>Driver’s Place</t>
  </si>
  <si>
    <t>KEB004/24</t>
  </si>
  <si>
    <t>1695</t>
  </si>
  <si>
    <t>KET005/24​</t>
  </si>
  <si>
    <t>1696</t>
  </si>
  <si>
    <t>Bracket To Instep Plate LH</t>
  </si>
  <si>
    <t>KET005/24</t>
  </si>
  <si>
    <t>1697</t>
  </si>
  <si>
    <t>KEB005/24</t>
  </si>
  <si>
    <t>1698</t>
  </si>
  <si>
    <t>Badge</t>
  </si>
  <si>
    <t>1699</t>
  </si>
  <si>
    <t>Coolant Hose CO-NO</t>
  </si>
  <si>
    <t>KET007/24​</t>
  </si>
  <si>
    <t>1700</t>
  </si>
  <si>
    <t>Oil Level Sensor</t>
  </si>
  <si>
    <t>1701</t>
  </si>
  <si>
    <t>Union</t>
  </si>
  <si>
    <t>KET008/24​</t>
  </si>
  <si>
    <t>1702</t>
  </si>
  <si>
    <t xml:space="preserve">Press Screw </t>
  </si>
  <si>
    <t>KEB007/24</t>
  </si>
  <si>
    <t>1703</t>
  </si>
  <si>
    <t>1704</t>
  </si>
  <si>
    <t>Lock Assy LH</t>
  </si>
  <si>
    <t>1706</t>
  </si>
  <si>
    <t> </t>
  </si>
  <si>
    <t>RD CSKSCR M6X20-4.8-H-JISB1111SS8451S2-S</t>
  </si>
  <si>
    <t>7KB24050002</t>
  </si>
  <si>
    <t>1707</t>
  </si>
  <si>
    <t>G479275</t>
  </si>
  <si>
    <t>TYRE 8.25R20-LUG-TTF-G479275-LRR</t>
  </si>
  <si>
    <t>1708</t>
  </si>
  <si>
    <t>99279700104R</t>
  </si>
  <si>
    <t>ENGINE ASSY PART WITH GEARBOX</t>
  </si>
  <si>
    <t>1709</t>
  </si>
  <si>
    <t>554572700102ZY</t>
  </si>
  <si>
    <t>CLRPRT_ASY_1-DOOR TRIM ASSY,FRT DR MANUA</t>
  </si>
  <si>
    <t>1710</t>
  </si>
  <si>
    <t>Grp PartWIPER TIMER 12V M/S. STAR ENGG.</t>
  </si>
  <si>
    <t>7KB24050001</t>
  </si>
  <si>
    <t>1711</t>
  </si>
  <si>
    <t>NACELLE ASSY;UPPER</t>
  </si>
  <si>
    <t>1712</t>
  </si>
  <si>
    <t>99253400114R</t>
  </si>
  <si>
    <t>ENGINE ASSY W/O CLUTCH</t>
  </si>
  <si>
    <t>1713</t>
  </si>
  <si>
    <t>1714</t>
  </si>
  <si>
    <t>WHEEL RIM ASSY</t>
  </si>
  <si>
    <t>1715</t>
  </si>
  <si>
    <t>AIR PRESSURE SENSOR</t>
  </si>
  <si>
    <t>PKB23120002</t>
  </si>
  <si>
    <t>1716</t>
  </si>
  <si>
    <t>ECU EMS DCM3.3 PLUS 24V 5L-NEW GEN</t>
  </si>
  <si>
    <t>1717</t>
  </si>
  <si>
    <t>BRACKET ASSY ENGINE MTG BOTTOM LH</t>
  </si>
  <si>
    <t>1718</t>
  </si>
  <si>
    <t>286309137709_192</t>
  </si>
  <si>
    <t>WATER RETURN VALVE SNORKEL</t>
  </si>
  <si>
    <t>1719</t>
  </si>
  <si>
    <t>STRIP</t>
  </si>
  <si>
    <t>1720</t>
  </si>
  <si>
    <t>585891500122_107</t>
  </si>
  <si>
    <t>SEAT BELT ASSY WITH ELR RH</t>
  </si>
  <si>
    <t>1721</t>
  </si>
  <si>
    <t>PRESSURE TEST-CONNECTOR</t>
  </si>
  <si>
    <t>1722</t>
  </si>
  <si>
    <t>ASSY TILT CYL MTG BRKT BOTTOM LH</t>
  </si>
  <si>
    <t>1723</t>
  </si>
  <si>
    <t>LINK FRONT DOOR POP UP KNOB LH</t>
  </si>
  <si>
    <t>1725</t>
  </si>
  <si>
    <t>RUBBER PLUG FRONT DOOR - H D 19</t>
  </si>
  <si>
    <t>1726</t>
  </si>
  <si>
    <t>1727</t>
  </si>
  <si>
    <t>TYRE 215/75R16 C</t>
  </si>
  <si>
    <t>1728</t>
  </si>
  <si>
    <t>LINK FRONT DOOR POP UP KNOB RH</t>
  </si>
  <si>
    <t>1729</t>
  </si>
  <si>
    <t>ASSY TAIL LAMP BRACKET LH-RHD</t>
  </si>
  <si>
    <t>1730</t>
  </si>
  <si>
    <t>SEALING WASHER 12X15.5 IS3175 AL</t>
  </si>
  <si>
    <t>1731</t>
  </si>
  <si>
    <t>FAN SHROUD (550 DIA JET RING FAN)</t>
  </si>
  <si>
    <t>1737</t>
  </si>
  <si>
    <t>SHOCK ABSORBER ASSY;FRONT</t>
  </si>
  <si>
    <t>1732</t>
  </si>
  <si>
    <t>TUBELESS TYRE ASSY WITH WHEEL RIM &amp; B/WT</t>
  </si>
  <si>
    <t>1733</t>
  </si>
  <si>
    <t>REVERSE BUZZER UNIT 12V M/S.INDICATION INSTRUMENTS</t>
  </si>
  <si>
    <t>1734</t>
  </si>
  <si>
    <t>ASSY.PRE-CLEANER</t>
  </si>
  <si>
    <t>7KY24060001</t>
  </si>
  <si>
    <t>1735</t>
  </si>
  <si>
    <t>HEADLAMP ASSY WITH CELAR LENS,LH</t>
  </si>
  <si>
    <t>1736</t>
  </si>
  <si>
    <t>T-EMBLEM ASSY</t>
  </si>
  <si>
    <t>1738</t>
  </si>
  <si>
    <t>WIRING HARNESS FLOOR</t>
  </si>
  <si>
    <t>PKD24050001</t>
  </si>
  <si>
    <t>1739</t>
  </si>
  <si>
    <t>Tata Daewoo</t>
  </si>
  <si>
    <t>CLAMP-SIL MTO</t>
  </si>
  <si>
    <t>1740</t>
  </si>
  <si>
    <t>GLASS SUB ASM LH</t>
  </si>
  <si>
    <t>1741</t>
  </si>
  <si>
    <t>P/S OIL PIPE</t>
  </si>
  <si>
    <t>1742</t>
  </si>
  <si>
    <t>WINDSHIELD GLASS BEADING</t>
  </si>
  <si>
    <t>1743</t>
  </si>
  <si>
    <t>CUSHION</t>
  </si>
  <si>
    <t>GH909</t>
  </si>
  <si>
    <t>LINE LOSS</t>
  </si>
  <si>
    <t>1744</t>
  </si>
  <si>
    <t>83800-EW750</t>
  </si>
  <si>
    <t>METER ASSY, COMBINATION</t>
  </si>
  <si>
    <t>GG06</t>
  </si>
  <si>
    <t>Manufacturer error</t>
  </si>
  <si>
    <t>1745</t>
  </si>
  <si>
    <t>77601-E0810</t>
  </si>
  <si>
    <t>BAND SUB ASSY, FUEL</t>
  </si>
  <si>
    <t>1746</t>
  </si>
  <si>
    <t>81110-0KM70</t>
  </si>
  <si>
    <t>HEADLAMP ASSY,RH</t>
  </si>
  <si>
    <t>JH002</t>
  </si>
  <si>
    <t>PACKED DAMAGE</t>
  </si>
  <si>
    <t>1747</t>
  </si>
  <si>
    <t>TOYOTA</t>
  </si>
  <si>
    <t>67888-26020</t>
  </si>
  <si>
    <t>Weather strip,slide door NO.2 LH</t>
  </si>
  <si>
    <t>1748</t>
  </si>
  <si>
    <t>69023-26040</t>
  </si>
  <si>
    <t>HANDLE SUB-ASSY, BACK DOOR OUTSIDE</t>
  </si>
  <si>
    <t>MANUFACTURER ERROR</t>
  </si>
  <si>
    <t>1749</t>
  </si>
  <si>
    <t>58478-26010</t>
  </si>
  <si>
    <t>PACKING ENGINE SUB COVER ,NO.2</t>
  </si>
  <si>
    <t>1750</t>
  </si>
  <si>
    <t>69210-26040</t>
  </si>
  <si>
    <t>HANDLE ASSY, FR DOOR OUTSIDE RH</t>
  </si>
  <si>
    <t>GH0886</t>
  </si>
  <si>
    <t>1751</t>
  </si>
  <si>
    <t>LINK ASSY, FRONT STABILIZER</t>
  </si>
  <si>
    <t>GH0862</t>
  </si>
  <si>
    <t>LINE DAMAGE</t>
  </si>
  <si>
    <t>1752</t>
  </si>
  <si>
    <t>WIRE ,ENGINE ROOM MAIN CHILD PART</t>
  </si>
  <si>
    <t>GH0846</t>
  </si>
  <si>
    <t>1753</t>
  </si>
  <si>
    <t>PLATE,BACK DOOR NAME,NO.1</t>
  </si>
  <si>
    <t>GH857</t>
  </si>
  <si>
    <t>1754</t>
  </si>
  <si>
    <t>HILUX DC</t>
  </si>
  <si>
    <t>69339-0K0800</t>
  </si>
  <si>
    <t>LABEL CHILD LOCK INFORMATION</t>
  </si>
  <si>
    <t>LILE LOSS</t>
  </si>
  <si>
    <t>1755</t>
  </si>
  <si>
    <t>RESERVE  TANK  ASSY</t>
  </si>
  <si>
    <t>HV002</t>
  </si>
  <si>
    <t>1756</t>
  </si>
  <si>
    <t>BZ078</t>
  </si>
  <si>
    <t>1757</t>
  </si>
  <si>
    <t>4072923, 4072926</t>
  </si>
  <si>
    <t>1758</t>
  </si>
  <si>
    <t>MUD LINING-A/CLNR</t>
    <phoneticPr fontId="1" type="noConversion"/>
  </si>
  <si>
    <t>1759</t>
  </si>
  <si>
    <t>HILUX SC</t>
  </si>
  <si>
    <t>90950-01955</t>
  </si>
  <si>
    <t>PLUG,HOLE</t>
  </si>
  <si>
    <t>JF0001</t>
  </si>
  <si>
    <t>SHORT SHIPMENT</t>
  </si>
  <si>
    <t>1760</t>
  </si>
  <si>
    <t>53851-0K09000</t>
  </si>
  <si>
    <t>PAD,FR WHEEL OPENING EXTENTION,NO.1</t>
  </si>
  <si>
    <t>HU003</t>
  </si>
  <si>
    <t>NOT SUPPLIED</t>
  </si>
  <si>
    <t>1761</t>
  </si>
  <si>
    <t>52116-0K120</t>
  </si>
  <si>
    <t>SUPPORT,FR BUMPER SIDE, LH</t>
  </si>
  <si>
    <t>JK002</t>
  </si>
  <si>
    <t>1762</t>
  </si>
  <si>
    <t>FR AXILE ASSEMBLY-2 * 4 DISC KENYA ( BOLT)</t>
  </si>
  <si>
    <t>JF002</t>
  </si>
  <si>
    <t>1763</t>
  </si>
  <si>
    <t>16264-0L11000</t>
  </si>
  <si>
    <t>HOSE WATERBBY-PASS ,NO.2</t>
  </si>
  <si>
    <t>1764</t>
  </si>
  <si>
    <t>55406-KK150C0</t>
  </si>
  <si>
    <t>PANEL SUB- ASSY INSTR FIN,LWR CTR</t>
  </si>
  <si>
    <t>1765</t>
  </si>
  <si>
    <t>90468-04190</t>
  </si>
  <si>
    <t xml:space="preserve">CHILDPART (BRACKET SUB- ASSY TRANS CONT CABLE, NO.3) </t>
  </si>
  <si>
    <t>HG0909</t>
  </si>
  <si>
    <t>1766</t>
  </si>
  <si>
    <t>PLATE, RR BODY NAME, NO.1</t>
  </si>
  <si>
    <t>PAINT REC DAMAGE</t>
  </si>
  <si>
    <t>1767</t>
  </si>
  <si>
    <t>SZ430-14009</t>
  </si>
  <si>
    <t>WASHER ,SOFT</t>
  </si>
  <si>
    <t>GG07</t>
  </si>
  <si>
    <t>1768</t>
  </si>
  <si>
    <t>SZ257-02005</t>
  </si>
  <si>
    <t>PIN</t>
  </si>
  <si>
    <t>1769</t>
  </si>
  <si>
    <t>PKB24050001</t>
  </si>
  <si>
    <t>1770</t>
  </si>
  <si>
    <t>90159-50346</t>
  </si>
  <si>
    <t>WRONG SHIPMENT</t>
  </si>
  <si>
    <t>1771</t>
  </si>
  <si>
    <t xml:space="preserve">HANDLE ASSY, FR DOOR, OUTSIDE RH        </t>
  </si>
  <si>
    <t>1773</t>
  </si>
  <si>
    <t>14/10/2024</t>
  </si>
  <si>
    <t>TATA</t>
  </si>
  <si>
    <t>764115R5R700775</t>
  </si>
  <si>
    <t>PANEL ASSY BERTH STRUCTURE LOWER RH</t>
  </si>
  <si>
    <t>1774</t>
  </si>
  <si>
    <t>764115R5R700776</t>
  </si>
  <si>
    <t>1775</t>
  </si>
  <si>
    <t>DOOR GLASS RHS</t>
  </si>
  <si>
    <t>1776</t>
  </si>
  <si>
    <t>1777</t>
  </si>
  <si>
    <t>SCANIA P410</t>
  </si>
  <si>
    <t xml:space="preserve">LEAF SPRING ASSY </t>
  </si>
  <si>
    <t>KET009/24</t>
  </si>
  <si>
    <t>1778</t>
  </si>
  <si>
    <t>ECU 6960</t>
  </si>
  <si>
    <t>6.SEAT RH</t>
  </si>
  <si>
    <t>KET007/24</t>
  </si>
  <si>
    <t>1779</t>
  </si>
  <si>
    <t>Mahindra Scorpio</t>
  </si>
  <si>
    <t>0304FAM00540N</t>
  </si>
  <si>
    <t>PRIMARY SHROUD</t>
  </si>
  <si>
    <t>PACK DAMAGE</t>
  </si>
  <si>
    <t>1780</t>
  </si>
  <si>
    <t>LINK YOKE</t>
  </si>
  <si>
    <t>1781</t>
  </si>
  <si>
    <t>SCANIA F360C</t>
  </si>
  <si>
    <t>4074896/    4O74895</t>
  </si>
  <si>
    <t>ECU1211</t>
  </si>
  <si>
    <t>DRIVERS PLACE [driver seat] child part</t>
  </si>
  <si>
    <t>1782</t>
  </si>
  <si>
    <t>WINDSCREEN TINTED</t>
  </si>
  <si>
    <t>1783</t>
  </si>
  <si>
    <t>BONNET SWITCH</t>
  </si>
  <si>
    <t>DONE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</si>
  <si>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</si>
  <si>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</si>
  <si>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</si>
  <si>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</si>
  <si>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</si>
  <si>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</si>
  <si>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</si>
  <si>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</si>
  <si>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</si>
  <si>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</si>
  <si>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</si>
  <si>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</si>
  <si>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</si>
  <si>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</si>
  <si>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</si>
  <si>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</si>
  <si>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</si>
  <si>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</si>
  <si>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</si>
  <si>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</si>
  <si>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</si>
  <si>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</si>
  <si>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</si>
  <si>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</si>
  <si>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</si>
  <si>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</si>
  <si>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</si>
  <si>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</si>
  <si>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</si>
  <si>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</si>
  <si>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</si>
  <si>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</si>
  <si>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</si>
  <si>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</si>
  <si>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</si>
  <si>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</si>
  <si>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</si>
  <si>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</si>
  <si>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</si>
  <si>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</si>
  <si>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</si>
  <si>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</si>
  <si>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</si>
  <si>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</si>
  <si>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</si>
  <si>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</si>
  <si>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</si>
  <si>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</si>
  <si>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</si>
  <si>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</si>
  <si>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</si>
  <si>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</si>
  <si>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</si>
  <si>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</si>
  <si>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</si>
  <si>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</si>
  <si>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</si>
  <si>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</si>
  <si>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</si>
  <si>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</si>
  <si>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</si>
  <si>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</si>
  <si>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</si>
  <si>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</si>
  <si>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</si>
  <si>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</si>
  <si>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</si>
  <si>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</si>
  <si>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</si>
  <si>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</si>
  <si>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</si>
  <si>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</si>
  <si>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</si>
  <si>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</si>
  <si>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</si>
  <si>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</si>
  <si>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SNO</t>
  </si>
  <si>
    <t>DATE</t>
  </si>
  <si>
    <t>CUSTOMER</t>
  </si>
  <si>
    <t>MODEL</t>
  </si>
  <si>
    <t>PART NO</t>
  </si>
  <si>
    <t>PART NAME</t>
  </si>
  <si>
    <t>QTY</t>
  </si>
  <si>
    <t>REASON CODE</t>
  </si>
  <si>
    <t>LOT AFFECTED</t>
  </si>
  <si>
    <t>LOT ROBBED</t>
  </si>
  <si>
    <t xml:space="preserve">CLAIM STATUS </t>
  </si>
  <si>
    <t>19/01/2024</t>
  </si>
  <si>
    <t>FUSO</t>
  </si>
  <si>
    <t>FJ2528/ 2523C</t>
  </si>
  <si>
    <t>A4008809714</t>
  </si>
  <si>
    <t>ZB BRACKET/ LOWER ASSY RH</t>
  </si>
  <si>
    <t>NOT CLAIMED</t>
  </si>
  <si>
    <t>LU AIR DRIER</t>
  </si>
  <si>
    <t>LU COUPLING PLUG</t>
  </si>
  <si>
    <t>CAP BOLT M8 X 45</t>
  </si>
  <si>
    <t>ZB SUPPORTING TUBE</t>
  </si>
  <si>
    <t>N0000000003250</t>
  </si>
  <si>
    <t>WASHER ISO</t>
  </si>
  <si>
    <t>ZB ELECTRICAL WIRING HARNESS</t>
  </si>
  <si>
    <t>A400524940</t>
  </si>
  <si>
    <t>ZB BRACKET</t>
  </si>
  <si>
    <t>A4005451907</t>
  </si>
  <si>
    <t>LU ROCKER SWITCH</t>
  </si>
  <si>
    <t>ZB COVER RH</t>
  </si>
  <si>
    <t>A4008172814</t>
  </si>
  <si>
    <t>MODEL IDENTIFICATION FJ</t>
  </si>
  <si>
    <t>A0009906350</t>
  </si>
  <si>
    <t>A0009903978</t>
  </si>
  <si>
    <t>CONNECTION SLEEVE</t>
  </si>
  <si>
    <t>SCREW</t>
  </si>
  <si>
    <t>A4007600759</t>
  </si>
  <si>
    <t>LU DOOR HANDLE/HDT LH</t>
  </si>
  <si>
    <t>A4008100419</t>
  </si>
  <si>
    <t>LU KERB MIRROR/ HDT</t>
  </si>
  <si>
    <t>A4006900150A7</t>
  </si>
  <si>
    <t>HEADLINER RR/S/L</t>
  </si>
  <si>
    <t>A4008201439</t>
  </si>
  <si>
    <t>HEADLAMP RH</t>
  </si>
  <si>
    <t>25...26/03/2024</t>
  </si>
  <si>
    <t>FM 657</t>
  </si>
  <si>
    <t>KEY SET</t>
  </si>
  <si>
    <t>331/332</t>
  </si>
  <si>
    <t>25...26/03/2025</t>
  </si>
  <si>
    <t>MK510347</t>
  </si>
  <si>
    <t>MIRROR ROOM</t>
  </si>
  <si>
    <t>25...26/03/2026</t>
  </si>
  <si>
    <t>25...26/03/2027</t>
  </si>
  <si>
    <t>MC0000056</t>
  </si>
  <si>
    <t>25...26/03/2028</t>
  </si>
  <si>
    <t>25...26/03/2029</t>
  </si>
  <si>
    <t>MH039716</t>
  </si>
  <si>
    <t>25...26/03/2030</t>
  </si>
  <si>
    <t>MA155254</t>
  </si>
  <si>
    <t>25...26/03/2031</t>
  </si>
  <si>
    <t>MC420079</t>
  </si>
  <si>
    <t>PIN SHACKLE</t>
  </si>
  <si>
    <t>25...26/03/2032</t>
  </si>
  <si>
    <t>MC928534</t>
  </si>
  <si>
    <t>25...26/03/2033</t>
  </si>
  <si>
    <t>25...26/03/2034</t>
  </si>
  <si>
    <t>MC932101</t>
  </si>
  <si>
    <t>BLOWER ASSY</t>
  </si>
  <si>
    <t>25...26/03/2035</t>
  </si>
  <si>
    <t>TRIM BACK</t>
  </si>
  <si>
    <t>25...26/03/2036</t>
  </si>
  <si>
    <t>MC645114</t>
  </si>
  <si>
    <t>HOSE AIR INTAKE</t>
  </si>
  <si>
    <t>25...26/03/2037</t>
  </si>
  <si>
    <t>MF140287</t>
  </si>
  <si>
    <t>25...26/03/2038</t>
  </si>
  <si>
    <t>25...26/03/2039</t>
  </si>
  <si>
    <t>MC645513</t>
  </si>
  <si>
    <t>COVER SHAFT FRONT</t>
  </si>
  <si>
    <t>25...26/03/2040</t>
  </si>
  <si>
    <t>TRIM RR SIDE</t>
  </si>
  <si>
    <t>25...26/03/2041</t>
  </si>
  <si>
    <t>LAMP PERSONAL</t>
  </si>
  <si>
    <t>25...26/03/2042</t>
  </si>
  <si>
    <t>MC021036</t>
  </si>
  <si>
    <t>25...26/03/2043</t>
  </si>
  <si>
    <t>ML241750</t>
  </si>
  <si>
    <t>CABLE IDLE CONTROL(CLIP)</t>
  </si>
  <si>
    <t>25...26/03/2044</t>
  </si>
  <si>
    <t>MH00483</t>
  </si>
  <si>
    <t>BOLT REAMER</t>
  </si>
  <si>
    <t>25...26/03/2045</t>
  </si>
  <si>
    <t>MC928127</t>
  </si>
  <si>
    <t>BOLT ASSY</t>
  </si>
  <si>
    <t>25...26/03/2046</t>
  </si>
  <si>
    <t>MC924726</t>
  </si>
  <si>
    <t>SEAT BELT ASSY, SIDE</t>
  </si>
  <si>
    <t>25...26/03/2047</t>
  </si>
  <si>
    <t>MK486070</t>
  </si>
  <si>
    <t>MOULDING DOOR BELT LH</t>
  </si>
  <si>
    <t>18/01/2024</t>
  </si>
  <si>
    <t>REFLECTIVE TAPE CENTER</t>
  </si>
  <si>
    <t>25/01/2024</t>
  </si>
  <si>
    <t>COUPLING BODY</t>
  </si>
  <si>
    <t>24/01/2024</t>
  </si>
  <si>
    <t>AIR DRIER</t>
  </si>
  <si>
    <t>31/01/2024</t>
  </si>
  <si>
    <t>MANUFACTURERS PLATE</t>
  </si>
  <si>
    <t>CFAO</t>
  </si>
  <si>
    <t>WINDSHIELD GLASS</t>
  </si>
  <si>
    <t>BONNET STICKER</t>
  </si>
  <si>
    <t>HANDBRAKE CBALE</t>
  </si>
  <si>
    <t>LOCK ASSY HOOD</t>
  </si>
  <si>
    <t>LINK ASSY FR STABILIZER</t>
  </si>
  <si>
    <t>WEATHERSTRIP</t>
  </si>
  <si>
    <t>GEAR SHIFT CABLE</t>
  </si>
  <si>
    <t>AC PIPE</t>
  </si>
  <si>
    <t>HEADLAMP ASSY LH</t>
  </si>
  <si>
    <t>LOCK( WIRE ENGINE ROOM)</t>
  </si>
  <si>
    <t>PAD SILENCER</t>
  </si>
  <si>
    <t>SUPPORT ASSY HOOD</t>
  </si>
  <si>
    <t>DIESEL STICKER</t>
  </si>
  <si>
    <t>SIMBA</t>
  </si>
  <si>
    <t>7260B349</t>
  </si>
  <si>
    <t>COVER STEERING SHAFT</t>
  </si>
  <si>
    <t>SUNVISOR ASSY</t>
  </si>
  <si>
    <t>CLAIMED</t>
  </si>
  <si>
    <t>4408A239</t>
  </si>
  <si>
    <t>LOCK STEERING HANDLE</t>
  </si>
  <si>
    <t>41000W00P</t>
  </si>
  <si>
    <t>BRAKE ASSY FRONT RH</t>
  </si>
  <si>
    <t>MU481162</t>
  </si>
  <si>
    <t>6958A227V</t>
  </si>
  <si>
    <t>STRIKER FOR CTR</t>
  </si>
  <si>
    <t>TUBE CLUTCH</t>
  </si>
  <si>
    <t>14457W000P</t>
  </si>
  <si>
    <t>SEAL O-RING</t>
  </si>
  <si>
    <t>MR556243</t>
  </si>
  <si>
    <t>CLIP CABLE</t>
  </si>
  <si>
    <t>MR655523</t>
  </si>
  <si>
    <t>CLIP (BLACK)</t>
  </si>
  <si>
    <t>6369A113G</t>
  </si>
  <si>
    <t>4450A269</t>
  </si>
  <si>
    <t>BRKT ASSY</t>
  </si>
  <si>
    <t>1711A027</t>
  </si>
  <si>
    <t>STICKER DIESEL</t>
  </si>
  <si>
    <t>MS440503</t>
  </si>
  <si>
    <t>NUT WASHER ASS</t>
  </si>
  <si>
    <t>MF140002V</t>
  </si>
  <si>
    <t>MF140024V</t>
  </si>
  <si>
    <t>5716A599</t>
  </si>
  <si>
    <t>BAZE ASSY FR DOOR</t>
  </si>
  <si>
    <t>MR315094V</t>
  </si>
  <si>
    <t>STRICKER</t>
  </si>
  <si>
    <t>MB058859V</t>
  </si>
  <si>
    <t>CLIP HOSE</t>
  </si>
  <si>
    <t>MU001282</t>
  </si>
  <si>
    <t>4670B008V</t>
  </si>
  <si>
    <t>SENSOR SPEED R</t>
  </si>
  <si>
    <t>MS632012</t>
  </si>
  <si>
    <t>HOSE VACUUM</t>
  </si>
  <si>
    <t>4457A147</t>
  </si>
  <si>
    <t>BELT V RIBBED</t>
  </si>
  <si>
    <t>BOLT SPECIAL</t>
  </si>
  <si>
    <t>PLUG (20)</t>
  </si>
  <si>
    <t>PLUG(50)</t>
  </si>
  <si>
    <t>8000B122XA</t>
  </si>
  <si>
    <t>PANEL ASSY INSTRUMENT</t>
  </si>
  <si>
    <t>40224A010P</t>
  </si>
  <si>
    <t>WHEEL NUT</t>
  </si>
  <si>
    <t>DUCT ASSY AIR OUTLET</t>
  </si>
  <si>
    <t>PUMP VANE</t>
  </si>
  <si>
    <t>TUBE WHEEL CYLINDER</t>
  </si>
  <si>
    <t>MOULDING ASSY HOOD FR</t>
  </si>
  <si>
    <t>WEATHERSTRIP ASSY</t>
  </si>
  <si>
    <t>GLASS ASSY WINDSHIELD</t>
  </si>
  <si>
    <t>42140-0KT30</t>
  </si>
  <si>
    <t>AXLE ASSY RR</t>
  </si>
  <si>
    <t>FR AXLE ASSEMBLY</t>
  </si>
  <si>
    <t>LEVER SUB ASSY HOOD LOCK CONTROL</t>
  </si>
  <si>
    <t>55330-KK450</t>
  </si>
  <si>
    <t>REINFORCEMENT ASSY INST PANEL</t>
  </si>
  <si>
    <t>16711-0L180</t>
  </si>
  <si>
    <t>SHROUD FAN</t>
  </si>
  <si>
    <t>90467-T0004 B0</t>
  </si>
  <si>
    <t>CLIP (B0)</t>
  </si>
  <si>
    <t>GLASS SUB ASSY RR DOOR RH</t>
  </si>
  <si>
    <t>CABIN MOUNTING</t>
  </si>
  <si>
    <t>CAB MOUNTING RH</t>
  </si>
  <si>
    <t>CAB MOUNTING LH</t>
  </si>
  <si>
    <t>SCM</t>
  </si>
  <si>
    <t>A4006800206</t>
  </si>
  <si>
    <t>TRIM PANEL FEET</t>
  </si>
  <si>
    <t>WINDOW LEFT (SCREWS)</t>
  </si>
  <si>
    <t>A4008600685</t>
  </si>
  <si>
    <t>SEAT BELT LH</t>
  </si>
  <si>
    <t>A4006950725</t>
  </si>
  <si>
    <t>HEADLINER</t>
  </si>
  <si>
    <t>A4005410158</t>
  </si>
  <si>
    <t>CONTROL UNIT DC</t>
  </si>
  <si>
    <t>A4006710021</t>
  </si>
  <si>
    <t>SEALING WINDSHIELD</t>
  </si>
  <si>
    <t>A4007250025</t>
  </si>
  <si>
    <t>WINDOW GUIDE RAIL</t>
  </si>
  <si>
    <t>BLOWER</t>
  </si>
  <si>
    <t>A4008100510A7</t>
  </si>
  <si>
    <t>SUNVISOR RH</t>
  </si>
  <si>
    <t>A4004400210</t>
  </si>
  <si>
    <t>ELECTRICAL WIRING HARNESSS</t>
  </si>
  <si>
    <t>A4007210280</t>
  </si>
  <si>
    <t>DOOR SEAL RH</t>
  </si>
  <si>
    <t>A4007270080</t>
  </si>
  <si>
    <t>GRAB HANDLE LH</t>
  </si>
  <si>
    <t>A4007270180</t>
  </si>
  <si>
    <t>GRAB HANDLE RH</t>
  </si>
  <si>
    <t>A4004620023</t>
  </si>
  <si>
    <t>TRIM PANEL STEERING</t>
  </si>
  <si>
    <t>A4005240281</t>
  </si>
  <si>
    <t>RUBBER BUFFER</t>
  </si>
  <si>
    <t>A4004295309</t>
  </si>
  <si>
    <t>COMPRESSED AIRLINE</t>
  </si>
  <si>
    <t>A4006899214</t>
  </si>
  <si>
    <t>BRK/HVAC</t>
  </si>
  <si>
    <t>A4007270528</t>
  </si>
  <si>
    <t>COVER MOULDING</t>
  </si>
  <si>
    <t>A4007200171</t>
  </si>
  <si>
    <t>DOOR INTERIOR</t>
  </si>
  <si>
    <t>A4006801507</t>
  </si>
  <si>
    <t>IP COVER</t>
  </si>
  <si>
    <t>A4006270109</t>
  </si>
  <si>
    <t>PANELLING FRT</t>
  </si>
  <si>
    <t>A4008110041</t>
  </si>
  <si>
    <t>HOLDER SUNVISOR</t>
  </si>
  <si>
    <t>A4008140001</t>
  </si>
  <si>
    <t>COAT HOOK BLACK</t>
  </si>
  <si>
    <t>A4006920100</t>
  </si>
  <si>
    <t>TRIM PILLAR PANEL</t>
  </si>
  <si>
    <t>A4008600260</t>
  </si>
  <si>
    <t>WASHER FLUID RESEVOIR</t>
  </si>
  <si>
    <t>A4007270028</t>
  </si>
  <si>
    <t>A4008200161</t>
  </si>
  <si>
    <t>A4008172514</t>
  </si>
  <si>
    <t>LATERING FUSO</t>
  </si>
  <si>
    <t>A4008172714</t>
  </si>
  <si>
    <t>MODEL IDENTIFICATION</t>
  </si>
  <si>
    <t>A4008850182</t>
  </si>
  <si>
    <t>FRAME HEADLAMP RH</t>
  </si>
  <si>
    <t>LU LOCK FRT DOOR RH</t>
  </si>
  <si>
    <t>A4006270009</t>
  </si>
  <si>
    <t>PANELLING FRT RH</t>
  </si>
  <si>
    <t>A4005460543</t>
  </si>
  <si>
    <t>SEATBELT RH</t>
  </si>
  <si>
    <t>A4008200801</t>
  </si>
  <si>
    <t>INTERIOR LIGHT</t>
  </si>
  <si>
    <t>HEATER UNIT</t>
  </si>
  <si>
    <t>A4006820601</t>
  </si>
  <si>
    <t>DAMPING PLUG DOOR</t>
  </si>
  <si>
    <t>A4008200712</t>
  </si>
  <si>
    <t>COVER FRONT</t>
  </si>
  <si>
    <t>A4005840021</t>
  </si>
  <si>
    <t>STICKER</t>
  </si>
  <si>
    <t>A400820008</t>
  </si>
  <si>
    <t>A4005450016</t>
  </si>
  <si>
    <t>SWITCH HAZARD</t>
  </si>
  <si>
    <t>A4004310606</t>
  </si>
  <si>
    <t>PRESSURE SENSOR</t>
  </si>
  <si>
    <t>A4009105503</t>
  </si>
  <si>
    <t>CO DRIVER SEAT</t>
  </si>
  <si>
    <t>A4007270228</t>
  </si>
  <si>
    <t>A4007270128</t>
  </si>
  <si>
    <t>WIPER COMPL ARM</t>
  </si>
  <si>
    <t>RADIO</t>
  </si>
  <si>
    <t>A4005456407</t>
  </si>
  <si>
    <t>ROCKER SWITCH</t>
  </si>
  <si>
    <t>A4005440331</t>
  </si>
  <si>
    <t>HEADLAMP ADJUSTER</t>
  </si>
  <si>
    <t>A4008201521</t>
  </si>
  <si>
    <t>DIRECTION INDICATOR</t>
  </si>
  <si>
    <t>COMPUTER ASSY</t>
  </si>
  <si>
    <t>55539-32010</t>
  </si>
  <si>
    <t>COVER SPARE SWITCH HOLE</t>
  </si>
  <si>
    <t>84731-20040</t>
  </si>
  <si>
    <t>KNOB HEATER</t>
  </si>
  <si>
    <t>84731-60060</t>
  </si>
  <si>
    <t>88650-60620</t>
  </si>
  <si>
    <t>AMPLIFIER</t>
  </si>
  <si>
    <t>82143-60350</t>
  </si>
  <si>
    <t>WIRE INSTRUMENT</t>
  </si>
  <si>
    <t>AIR CLEANER</t>
  </si>
  <si>
    <t>90119-06956</t>
  </si>
  <si>
    <t>47939-60620</t>
  </si>
  <si>
    <t>LABEL LSV MARKING</t>
  </si>
  <si>
    <t>90460-99005</t>
  </si>
  <si>
    <t>77207-60292</t>
  </si>
  <si>
    <t>TUBE SUB ASSY</t>
  </si>
  <si>
    <t>ROD ASSY STEERING</t>
  </si>
  <si>
    <t>TUBE LIQUID NO.1</t>
  </si>
  <si>
    <t>90179-12090</t>
  </si>
  <si>
    <t>55452-60400</t>
  </si>
  <si>
    <t>PANEL ASSY</t>
  </si>
  <si>
    <t>COVER SPARE SWITCH</t>
  </si>
  <si>
    <t>63310-6B830</t>
  </si>
  <si>
    <t>HEADLINING ASSY ROOF</t>
  </si>
  <si>
    <t>90159-60371</t>
  </si>
  <si>
    <t>DESCRIPTION</t>
  </si>
  <si>
    <t>DATE RECEIVED</t>
  </si>
  <si>
    <t>QTY ISSUED</t>
  </si>
  <si>
    <t>DATE ISSUED</t>
  </si>
  <si>
    <t>ISSUED TO</t>
  </si>
  <si>
    <t>REMARKS</t>
  </si>
  <si>
    <t>STATUS</t>
  </si>
  <si>
    <t>ASHOK</t>
  </si>
  <si>
    <t>FH300161</t>
  </si>
  <si>
    <t>RECEIVED</t>
  </si>
  <si>
    <t>=VLOOKUP(C2, CLAIMS!A1:K2000, 4, FALSE)</t>
  </si>
  <si>
    <t>ME 445615</t>
  </si>
  <si>
    <t>PUMP GENERAL ASSY SUPPLY</t>
  </si>
  <si>
    <t>ALL ITEMS ISSUED</t>
  </si>
  <si>
    <t>ME 132100Y</t>
  </si>
  <si>
    <t>DISK ASSY DRIVING</t>
  </si>
  <si>
    <t>MC 040495</t>
  </si>
  <si>
    <t>NUT FLANGE</t>
  </si>
  <si>
    <t>NOT ALL ITEMS ISSUED</t>
  </si>
  <si>
    <t>MF 434105</t>
  </si>
  <si>
    <t>MS 146022</t>
  </si>
  <si>
    <t>MS 146006</t>
  </si>
  <si>
    <t>MH 001884</t>
  </si>
  <si>
    <t>BOLT HEX SOCKET</t>
  </si>
  <si>
    <t>ME 306511</t>
  </si>
  <si>
    <t>COVER TIMING GEAR</t>
  </si>
  <si>
    <t>ME 305844</t>
  </si>
  <si>
    <t>BLOCK COUPLING</t>
  </si>
  <si>
    <t>MH 035547</t>
  </si>
  <si>
    <t>O-RING</t>
  </si>
  <si>
    <t>MH 035224</t>
  </si>
  <si>
    <t>ML 258531</t>
  </si>
  <si>
    <t>PAD FLOOR</t>
  </si>
  <si>
    <t>2,36</t>
  </si>
  <si>
    <t xml:space="preserve"> 26 JUL 23,4/8/23 </t>
  </si>
  <si>
    <t>VOPSY,PETER</t>
  </si>
  <si>
    <t>ISSUED</t>
  </si>
  <si>
    <t>A 4308260043</t>
  </si>
  <si>
    <t>DIRECTION INDICTOR</t>
  </si>
  <si>
    <t>A 4308260143</t>
  </si>
  <si>
    <t>BLINK LAMP</t>
  </si>
  <si>
    <t>MB 288654</t>
  </si>
  <si>
    <t>FLANGE NUT SELF LOCK</t>
  </si>
  <si>
    <t>MR 161694</t>
  </si>
  <si>
    <t>MR 569334</t>
  </si>
  <si>
    <t>MU 001912</t>
  </si>
  <si>
    <t>MU 488006</t>
  </si>
  <si>
    <t>MR 510882</t>
  </si>
  <si>
    <t>MF 472086</t>
  </si>
  <si>
    <t>PIN SLIP(4*35)</t>
  </si>
  <si>
    <t>MF 472069</t>
  </si>
  <si>
    <t>PIN SLIP(3*35)</t>
  </si>
  <si>
    <t>MF 472085</t>
  </si>
  <si>
    <t>PIN SLIP(4*30)</t>
  </si>
  <si>
    <t>MB 895413</t>
  </si>
  <si>
    <t>4650B721</t>
  </si>
  <si>
    <t>MR 462285</t>
  </si>
  <si>
    <t>STOPER GLASS</t>
  </si>
  <si>
    <t>ME298716</t>
  </si>
  <si>
    <t>RADIATOR</t>
  </si>
  <si>
    <t xml:space="preserve"> 6/OCT/23 </t>
  </si>
  <si>
    <t>EMANUEL BAYA</t>
  </si>
  <si>
    <t>MK323353</t>
  </si>
  <si>
    <t>GRILLE</t>
  </si>
  <si>
    <t>MC923839</t>
  </si>
  <si>
    <t>COVER LOWER</t>
  </si>
  <si>
    <t>MK513092</t>
  </si>
  <si>
    <t>SUNVISOR</t>
  </si>
  <si>
    <t xml:space="preserve"> 5/OCT/23 </t>
  </si>
  <si>
    <t>BAKARI</t>
  </si>
  <si>
    <t>MK484299</t>
  </si>
  <si>
    <t>INSULATOR</t>
  </si>
  <si>
    <t>BAYA</t>
  </si>
  <si>
    <t xml:space="preserve">MC934640 </t>
  </si>
  <si>
    <t>MC091460</t>
  </si>
  <si>
    <t>INTEGRAL</t>
  </si>
  <si>
    <t>ME290700</t>
  </si>
  <si>
    <t>MUFFLER</t>
  </si>
  <si>
    <t>MC037694</t>
  </si>
  <si>
    <t xml:space="preserve">NUT </t>
  </si>
  <si>
    <t xml:space="preserve"> 6/OCT/23</t>
  </si>
  <si>
    <t>MC092229</t>
  </si>
  <si>
    <t>ARM PITMAN</t>
  </si>
  <si>
    <t>13/9/23</t>
  </si>
  <si>
    <t>KIVUVA</t>
  </si>
  <si>
    <t>MC930317</t>
  </si>
  <si>
    <t>SUPPORT</t>
  </si>
  <si>
    <t xml:space="preserve"> 9/10/23</t>
  </si>
  <si>
    <t>MK384910</t>
  </si>
  <si>
    <t>MASTER ASSY</t>
  </si>
  <si>
    <t>MK396945</t>
  </si>
  <si>
    <t>HOOK FRN</t>
  </si>
  <si>
    <t>MC058278</t>
  </si>
  <si>
    <t>U-BOLT</t>
  </si>
  <si>
    <t xml:space="preserve"> 13/9/23</t>
  </si>
  <si>
    <t>MK399835</t>
  </si>
  <si>
    <t>COVER BATTERY</t>
  </si>
  <si>
    <t xml:space="preserve"> 8/9/23 </t>
  </si>
  <si>
    <t>FRANK</t>
  </si>
  <si>
    <t xml:space="preserve"> 4/OCT/23</t>
  </si>
  <si>
    <t>SABINA</t>
  </si>
  <si>
    <t>ML242446</t>
  </si>
  <si>
    <t>SHAFT CROSS</t>
  </si>
  <si>
    <t xml:space="preserve"> 10/11/23</t>
  </si>
  <si>
    <t>BUNDOTICH</t>
  </si>
  <si>
    <t>4,28</t>
  </si>
  <si>
    <t xml:space="preserve"> 12/9/23, 5/OCT/23 </t>
  </si>
  <si>
    <t>KIVUVA,BAKARI</t>
  </si>
  <si>
    <t>MC092243</t>
  </si>
  <si>
    <t>P/S OIL TANK</t>
  </si>
  <si>
    <t>MC853801</t>
  </si>
  <si>
    <t>LAMP RR</t>
  </si>
  <si>
    <t>MS106225</t>
  </si>
  <si>
    <t xml:space="preserve"> BOLT</t>
  </si>
  <si>
    <t xml:space="preserve">I4/10/23 </t>
  </si>
  <si>
    <t>MK580840</t>
  </si>
  <si>
    <t>LAMP FR &amp; S</t>
  </si>
  <si>
    <t xml:space="preserve"> 8/9/23</t>
  </si>
  <si>
    <t>MC898585</t>
  </si>
  <si>
    <t>SWITCH AI</t>
  </si>
  <si>
    <t>RELAY FLASHER</t>
  </si>
  <si>
    <t>MH038477</t>
  </si>
  <si>
    <t>MH004158</t>
  </si>
  <si>
    <t>KIVUVA,</t>
  </si>
  <si>
    <t>I8/9/23</t>
  </si>
  <si>
    <t>ML250101</t>
  </si>
  <si>
    <t>LAMP ROOM</t>
  </si>
  <si>
    <t>MH000433</t>
  </si>
  <si>
    <t>MCO40476</t>
  </si>
  <si>
    <t>ML308701</t>
  </si>
  <si>
    <t xml:space="preserve"> 21/11/23</t>
  </si>
  <si>
    <t>KEVO</t>
  </si>
  <si>
    <t>MC817015</t>
  </si>
  <si>
    <t>COCK DRAI</t>
  </si>
  <si>
    <t>COVER MAIN</t>
  </si>
  <si>
    <t>ML275685</t>
  </si>
  <si>
    <t>PIPE WATER</t>
  </si>
  <si>
    <t>MH037891</t>
  </si>
  <si>
    <t>BOLT EYE</t>
  </si>
  <si>
    <t xml:space="preserve"> 4/10/23 </t>
  </si>
  <si>
    <t>MC665378</t>
  </si>
  <si>
    <t>RELAY POWER</t>
  </si>
  <si>
    <t>MK545197</t>
  </si>
  <si>
    <t>EMBLEM FUSO</t>
  </si>
  <si>
    <t>MC899349</t>
  </si>
  <si>
    <t>BRKT RADIATOR</t>
  </si>
  <si>
    <t>MK387769</t>
  </si>
  <si>
    <t>CORD ANTENNA</t>
  </si>
  <si>
    <t>MH037392</t>
  </si>
  <si>
    <t>MK518176</t>
  </si>
  <si>
    <t>SUB HARNESS</t>
  </si>
  <si>
    <t>MH021335</t>
  </si>
  <si>
    <t>CLAMP HOSE</t>
  </si>
  <si>
    <t>MH020420</t>
  </si>
  <si>
    <t>VALVE GREASE</t>
  </si>
  <si>
    <t>15/9/23</t>
  </si>
  <si>
    <t>MH039176</t>
  </si>
  <si>
    <t>MS660169</t>
  </si>
  <si>
    <t>MK510350</t>
  </si>
  <si>
    <t>PLUG SUNVISOR</t>
  </si>
  <si>
    <t>MC856072</t>
  </si>
  <si>
    <t>JOINT HOSE</t>
  </si>
  <si>
    <t>MC402879</t>
  </si>
  <si>
    <t xml:space="preserve">STOPPER </t>
  </si>
  <si>
    <t xml:space="preserve">MB060291 </t>
  </si>
  <si>
    <t>CLIP PIPE</t>
  </si>
  <si>
    <t>MK481768</t>
  </si>
  <si>
    <t>NAME PLATE</t>
  </si>
  <si>
    <t>MC927484</t>
  </si>
  <si>
    <t>DAMPER</t>
  </si>
  <si>
    <t>MK405129</t>
  </si>
  <si>
    <t>PLUG TRAY</t>
  </si>
  <si>
    <t>PLATE CAUTION</t>
  </si>
  <si>
    <t>MC455108</t>
  </si>
  <si>
    <t>PIPE AIR</t>
  </si>
  <si>
    <t>MK484099</t>
  </si>
  <si>
    <t>RUNCHANNEL</t>
  </si>
  <si>
    <t>ML325441</t>
  </si>
  <si>
    <t>GLASS ASSY</t>
  </si>
  <si>
    <t>MK378830</t>
  </si>
  <si>
    <t>BRKT PROPELLER SHAFT PROTECTOR</t>
  </si>
  <si>
    <t>PETER</t>
  </si>
  <si>
    <t>BEING CONSUMED</t>
  </si>
  <si>
    <t>MK589420</t>
  </si>
  <si>
    <t>MK589612</t>
  </si>
  <si>
    <t>MF140060</t>
  </si>
  <si>
    <t>MF140025</t>
  </si>
  <si>
    <t>MF434105</t>
  </si>
  <si>
    <t>MK647693</t>
  </si>
  <si>
    <t>BRKT SUPPORT PROPELLER SHAFT</t>
  </si>
  <si>
    <t>ML234017</t>
  </si>
  <si>
    <t>METER CLUSTER</t>
  </si>
  <si>
    <t>14/9/23,26/9/23,28/9/23</t>
  </si>
  <si>
    <t>KIVUVA,KIRUI,KIRUI</t>
  </si>
  <si>
    <t>ML234015</t>
  </si>
  <si>
    <t>24+8</t>
  </si>
  <si>
    <t>5/10/23,13/6/2024</t>
  </si>
  <si>
    <t>YVET,NYAMBURA</t>
  </si>
  <si>
    <t>YVET ,NYAMBURA</t>
  </si>
  <si>
    <t>MB249338</t>
  </si>
  <si>
    <t>CABLE BAND</t>
  </si>
  <si>
    <t>MC063145</t>
  </si>
  <si>
    <t>BRKT ASSY GEAR</t>
  </si>
  <si>
    <t>ML234068</t>
  </si>
  <si>
    <t>ME628807</t>
  </si>
  <si>
    <t>24, 7</t>
  </si>
  <si>
    <t>15-OCT-23,5-OCT-23</t>
  </si>
  <si>
    <t>KATETA,BAKARI,BAYA</t>
  </si>
  <si>
    <t>LOT 324, 325</t>
  </si>
  <si>
    <t>MCO063145</t>
  </si>
  <si>
    <t>MFTBC</t>
  </si>
  <si>
    <t>B122071-1</t>
  </si>
  <si>
    <t>ENGINE HANGER</t>
  </si>
  <si>
    <t>PRG22091/SEW22091</t>
  </si>
  <si>
    <t>DVD</t>
  </si>
  <si>
    <t>PLUG</t>
  </si>
  <si>
    <t xml:space="preserve"> 14/9/23 </t>
  </si>
  <si>
    <t>MC964956</t>
  </si>
  <si>
    <t>PLATE SHIELD</t>
  </si>
  <si>
    <t>14/9/23</t>
  </si>
  <si>
    <t>COVER MAIN HOOK</t>
  </si>
  <si>
    <t>MK403651</t>
  </si>
  <si>
    <t>HANDLE ASSY</t>
  </si>
  <si>
    <t xml:space="preserve"> 31 JUL 23</t>
  </si>
  <si>
    <t>ELKANA</t>
  </si>
  <si>
    <t>SCORPIO</t>
  </si>
  <si>
    <t>SF0103110</t>
  </si>
  <si>
    <t>ZOKA</t>
  </si>
  <si>
    <t>SFO202095</t>
  </si>
  <si>
    <t>HEX NUT</t>
  </si>
  <si>
    <t>1001BAB01300N</t>
  </si>
  <si>
    <t>FUEL FILLER NECK ASSY</t>
  </si>
  <si>
    <t>ONYANGO LINE 1</t>
  </si>
  <si>
    <t>0901AAA04390N</t>
  </si>
  <si>
    <t>FRONT AXLE</t>
  </si>
  <si>
    <t>0309DAC01221N</t>
  </si>
  <si>
    <t>VACCUM MODULATOR</t>
  </si>
  <si>
    <t>1900A3971N</t>
  </si>
  <si>
    <t>0111AAG00310</t>
  </si>
  <si>
    <t>GLASS ASSY WINDSCREEN TINTED</t>
  </si>
  <si>
    <t xml:space="preserve"> 16 JAN 23</t>
  </si>
  <si>
    <t>EMMA</t>
  </si>
  <si>
    <t>0114DN0130N</t>
  </si>
  <si>
    <t>HANDLE ASSY DOOR OUTER RH</t>
  </si>
  <si>
    <t>0114DN0120N</t>
  </si>
  <si>
    <t>HANDLE ASSY DOOR OUTER LH</t>
  </si>
  <si>
    <t>FUEL FLAP</t>
  </si>
  <si>
    <t>MAH505871</t>
  </si>
  <si>
    <t>MAXIMILE ULTRACOOL 1 LTR</t>
  </si>
  <si>
    <t>KARISA</t>
  </si>
  <si>
    <t>0111AAN00010N/1</t>
  </si>
  <si>
    <t>WIND SCREEN BOLERO</t>
  </si>
  <si>
    <t>MANENO</t>
  </si>
  <si>
    <t>SLEVE BRKT GUID CABLE</t>
  </si>
  <si>
    <t>MACHAKA</t>
  </si>
  <si>
    <t>PIN GUAGE</t>
  </si>
  <si>
    <t>0101HAL00010N</t>
  </si>
  <si>
    <t>APPRON FRONT WHEEL</t>
  </si>
  <si>
    <t>SIMBA NRBI</t>
  </si>
  <si>
    <t>1801BAA2021N</t>
  </si>
  <si>
    <t>WH CCB E-4 MID RHD</t>
  </si>
  <si>
    <t>SF0102052</t>
  </si>
  <si>
    <t>HEX BOLT</t>
  </si>
  <si>
    <t>0105EAG02061B</t>
  </si>
  <si>
    <t>TRIM ASSY DOOR FRT LH</t>
  </si>
  <si>
    <t>0401BAA06750N</t>
  </si>
  <si>
    <t>ARM ASSY UPPER LH</t>
  </si>
  <si>
    <t>0205AAK00270N</t>
  </si>
  <si>
    <t>ASSY SPARE WHEEL WINCH SCORP</t>
  </si>
  <si>
    <t>RUN SEAL WINDOW GLASS LH SC</t>
  </si>
  <si>
    <t>0305DAM01151N</t>
  </si>
  <si>
    <t>03040AAM01221N</t>
  </si>
  <si>
    <t>0111JAL00022N</t>
  </si>
  <si>
    <t>SWITCH POWER</t>
  </si>
  <si>
    <t>INTERIOR READING LAMP ASSY</t>
  </si>
  <si>
    <t>0605AAB00500D</t>
  </si>
  <si>
    <t>PARKING BRAKE LEVER</t>
  </si>
  <si>
    <t>0102AAG06020N</t>
  </si>
  <si>
    <t>BRKT ASSY RESERVOIR FRT LH</t>
  </si>
  <si>
    <t>0105AAG01770N</t>
  </si>
  <si>
    <t>SCUFF PLATE DR RR BLACK</t>
  </si>
  <si>
    <t>0313AAM01790N</t>
  </si>
  <si>
    <t>HOSE BREATHER CVV E IV</t>
  </si>
  <si>
    <t>1801CAA23531N</t>
  </si>
  <si>
    <t>WIRING HARNESS CO DRIVER DOOR</t>
  </si>
  <si>
    <t>HEADLAMP</t>
  </si>
  <si>
    <t>AIR EXTRACTOR OUTER DC LH</t>
  </si>
  <si>
    <t>0108FAG01710N</t>
  </si>
  <si>
    <t>SPLASH SHIELD CARGO  RR LH</t>
  </si>
  <si>
    <t>HANDLE ASSY TAIL DOOR CARGO</t>
  </si>
  <si>
    <t>0109AG0051N</t>
  </si>
  <si>
    <t>BIGGER INNER RR VIEW MIRROR</t>
  </si>
  <si>
    <t>0107AG0231N</t>
  </si>
  <si>
    <t>W/S RR DOOR WAIST INNER RH</t>
  </si>
  <si>
    <t>0105DAG00660D</t>
  </si>
  <si>
    <t>SUNVISOR ASSY DRIVER RHD</t>
  </si>
  <si>
    <t>0315DAM01000N</t>
  </si>
  <si>
    <t>HOSE ASSY VACCUM E IV RHD</t>
  </si>
  <si>
    <t>DICIV</t>
  </si>
  <si>
    <t>A4008205056</t>
  </si>
  <si>
    <t>MARKER LAMP LH</t>
  </si>
  <si>
    <t>MH014498</t>
  </si>
  <si>
    <t>FAN BELT</t>
  </si>
  <si>
    <t>GEAR SHIFT LEVER</t>
  </si>
  <si>
    <t>A4005010893</t>
  </si>
  <si>
    <t>CHARGE AIR HOSE</t>
  </si>
  <si>
    <t>MX924255</t>
  </si>
  <si>
    <t>DISC CLUTCH</t>
  </si>
  <si>
    <t>MH014093</t>
  </si>
  <si>
    <t>BELT ALTERNATOR</t>
  </si>
  <si>
    <t xml:space="preserve"> 16 JUN 23</t>
  </si>
  <si>
    <t>KAHINDI</t>
  </si>
  <si>
    <t>MX908399</t>
  </si>
  <si>
    <t>SENSOR,AIR PRESSURE GAUGE</t>
  </si>
  <si>
    <t xml:space="preserve"> 3 JUL 23</t>
  </si>
  <si>
    <t>PROTON</t>
  </si>
  <si>
    <t>PS160190</t>
  </si>
  <si>
    <t>CLIP TRIM{ROSE GREY}</t>
  </si>
  <si>
    <t xml:space="preserve"> 22/11/23</t>
  </si>
  <si>
    <t>MAPENZi</t>
  </si>
  <si>
    <t>PW828278</t>
  </si>
  <si>
    <t>STOPPER ACCEL. PEDAL29</t>
  </si>
  <si>
    <t>O-SEAL RING</t>
  </si>
  <si>
    <t>SEAL RING</t>
  </si>
  <si>
    <t>STUD</t>
  </si>
  <si>
    <t>JQ690E82</t>
  </si>
  <si>
    <t>D-TYPE CLIP</t>
  </si>
  <si>
    <t>NUT CLIP</t>
  </si>
  <si>
    <t>5042040300C15</t>
  </si>
  <si>
    <t>RF SIDE FENDER J</t>
  </si>
  <si>
    <t>CAM SENSOR</t>
  </si>
  <si>
    <t>PIPE BRKT</t>
  </si>
  <si>
    <t>ROLLER LIFTER</t>
  </si>
  <si>
    <t>JQ693E84</t>
  </si>
  <si>
    <t>G-TYPE CLIP</t>
  </si>
  <si>
    <t>PIPE TC WATER</t>
  </si>
  <si>
    <t>WATER PUMP</t>
  </si>
  <si>
    <t>DRAIN PLUG</t>
  </si>
  <si>
    <t>JQ693G69</t>
  </si>
  <si>
    <t>JQ399A85</t>
  </si>
  <si>
    <t>ENCLOSED BUILT</t>
  </si>
  <si>
    <t>JQ2204816F31</t>
  </si>
  <si>
    <t>CROSS HEAD FLANGE</t>
  </si>
  <si>
    <t>HP PIPE PUMP</t>
  </si>
  <si>
    <t>BOLT CYLINDER HEAD</t>
  </si>
  <si>
    <t>GAS SPRING ASSY</t>
  </si>
  <si>
    <t>OIL COOLER GASKET</t>
  </si>
  <si>
    <t>TIMING IDLER</t>
  </si>
  <si>
    <t>PIPE</t>
  </si>
  <si>
    <t>PW935283</t>
  </si>
  <si>
    <t>WINDOW RR DOOR GLASS LH</t>
  </si>
  <si>
    <t>PW944733</t>
  </si>
  <si>
    <t>SIDE MIRROR LH</t>
  </si>
  <si>
    <t>1068001058-724</t>
  </si>
  <si>
    <t>ASSIST GRIP RR RH{GREY}</t>
  </si>
  <si>
    <t>TIMING BELT COVER</t>
  </si>
  <si>
    <t>BELT LOCK ASSY</t>
  </si>
  <si>
    <t>BELT LOCK ASSY RR SEAT</t>
  </si>
  <si>
    <t>HOSE RADIATOR INLET</t>
  </si>
  <si>
    <t>ENGINE OUTLET PIPE</t>
  </si>
  <si>
    <t>THREE WAY PIPE</t>
  </si>
  <si>
    <t>STRIP ASSY</t>
  </si>
  <si>
    <t>NO. 2 VACUUM HOSE</t>
  </si>
  <si>
    <t>PIPE EXPANSION</t>
  </si>
  <si>
    <t>NO. 1 VACUUM HOSE</t>
  </si>
  <si>
    <t>PLASTIC PIPE OUTLET</t>
  </si>
  <si>
    <t>OIL COOLER WATER</t>
  </si>
  <si>
    <t>MS240028</t>
  </si>
  <si>
    <t xml:space="preserve">BOLT WASHER </t>
  </si>
  <si>
    <t>PW952257</t>
  </si>
  <si>
    <t>BRKT</t>
  </si>
  <si>
    <t>PW944550</t>
  </si>
  <si>
    <t>TRIM RR SEAT BELT</t>
  </si>
  <si>
    <t>PS111443</t>
  </si>
  <si>
    <t>SCREW MACHINE</t>
  </si>
  <si>
    <t>PW864428-P0073</t>
  </si>
  <si>
    <t>COVER S?ANCHOR RR RH</t>
  </si>
  <si>
    <t>PW944472</t>
  </si>
  <si>
    <t>PANEL SHIFT LEVER</t>
  </si>
  <si>
    <t>PW820043</t>
  </si>
  <si>
    <t>PS140243</t>
  </si>
  <si>
    <t>SLOTTED NUT</t>
  </si>
  <si>
    <t>MS240055</t>
  </si>
  <si>
    <t>PS120934</t>
  </si>
  <si>
    <t>TAPPING SCREW</t>
  </si>
  <si>
    <t>PW861297</t>
  </si>
  <si>
    <t>PW944382</t>
  </si>
  <si>
    <t>TRIM RR PILLER ASSY</t>
  </si>
  <si>
    <t>PW944485</t>
  </si>
  <si>
    <t>COVER ASSY I/P CENTER LH</t>
  </si>
  <si>
    <t>BUMPER,FR{WHITE}</t>
  </si>
  <si>
    <t>PW953952</t>
  </si>
  <si>
    <t>LAMP ASSY,RR LID RH</t>
  </si>
  <si>
    <t>PW950961</t>
  </si>
  <si>
    <t>LAMP ASSY LICENSE PLATE LH</t>
  </si>
  <si>
    <t>PW954308</t>
  </si>
  <si>
    <t>MB517810</t>
  </si>
  <si>
    <t>HOLDER GLASS</t>
  </si>
  <si>
    <t>PW925247</t>
  </si>
  <si>
    <t>TRIM COVER NUT</t>
  </si>
  <si>
    <t>STOPPER ACCEL. PEDAL</t>
  </si>
  <si>
    <t>12-aper-23</t>
  </si>
  <si>
    <t>PS160017</t>
  </si>
  <si>
    <t>PW865765</t>
  </si>
  <si>
    <t>GROMMET FR</t>
  </si>
  <si>
    <t>MB574963</t>
  </si>
  <si>
    <t>DAMPER RR DOOR</t>
  </si>
  <si>
    <t>PS160179</t>
  </si>
  <si>
    <t>CLIP TRIM</t>
  </si>
  <si>
    <t>PW864425-P0073</t>
  </si>
  <si>
    <t>COVER SEAT ANCHOR FR</t>
  </si>
  <si>
    <t>PW811688</t>
  </si>
  <si>
    <t>PW810729</t>
  </si>
  <si>
    <t>PS120254</t>
  </si>
  <si>
    <t>MS452397</t>
  </si>
  <si>
    <t>SCREW WASHER</t>
  </si>
  <si>
    <t>PW822576</t>
  </si>
  <si>
    <t>MS240145</t>
  </si>
  <si>
    <t>MB133273</t>
  </si>
  <si>
    <t>PW861114</t>
  </si>
  <si>
    <t xml:space="preserve"> 22/9/23 </t>
  </si>
  <si>
    <t>PW933657</t>
  </si>
  <si>
    <t>PAD RR</t>
  </si>
  <si>
    <t>PW826205</t>
  </si>
  <si>
    <t>INSULATOR A</t>
  </si>
  <si>
    <t>PW820245</t>
  </si>
  <si>
    <t>NUT HUB,WITHOUT CAP</t>
  </si>
  <si>
    <t>MS240121</t>
  </si>
  <si>
    <t>PW933656</t>
  </si>
  <si>
    <t>PAD FR</t>
  </si>
  <si>
    <t>PW933659-D0069</t>
  </si>
  <si>
    <t>LEVER HANDLE ASSY{BLACK}</t>
  </si>
  <si>
    <t>PW943419</t>
  </si>
  <si>
    <t>INNER RR VIEW MIRROR</t>
  </si>
  <si>
    <t>SCANIA</t>
  </si>
  <si>
    <t>HEAD LAMP LH</t>
  </si>
  <si>
    <t xml:space="preserve"> 23-OCT-23</t>
  </si>
  <si>
    <t>BILL</t>
  </si>
  <si>
    <t>HOSE ASSY</t>
  </si>
  <si>
    <t xml:space="preserve">HEX NUT </t>
  </si>
  <si>
    <t>SCREW M12X40</t>
  </si>
  <si>
    <t>RETAINING RING</t>
  </si>
  <si>
    <t xml:space="preserve">SPACING SLEEVE </t>
  </si>
  <si>
    <t>MUDGUARD ASSY RH</t>
  </si>
  <si>
    <t>MIRROR FRT VIEW</t>
  </si>
  <si>
    <t>1,2</t>
  </si>
  <si>
    <t xml:space="preserve"> 24/11/23,17/10/23</t>
  </si>
  <si>
    <t>DAVID,BILL</t>
  </si>
  <si>
    <t>SEALING STRIP DOOR</t>
  </si>
  <si>
    <t>LUBRIFICATION NIPPLE</t>
  </si>
  <si>
    <t>RESERVIOR OIL</t>
  </si>
  <si>
    <t>PROTECTIVE PLATE</t>
  </si>
  <si>
    <t xml:space="preserve">COVER </t>
  </si>
  <si>
    <t xml:space="preserve">STEERING </t>
  </si>
  <si>
    <t>SIDE CEILING</t>
  </si>
  <si>
    <t>2 +1</t>
  </si>
  <si>
    <t>19/10/23</t>
  </si>
  <si>
    <t xml:space="preserve"> MAPENZI, BILL</t>
  </si>
  <si>
    <t xml:space="preserve">BRKT </t>
  </si>
  <si>
    <t>PIPE ASSY</t>
  </si>
  <si>
    <t xml:space="preserve">STRAP </t>
  </si>
  <si>
    <t>ECU PDS 1</t>
  </si>
  <si>
    <t>BUSH</t>
  </si>
  <si>
    <t>HOOK</t>
  </si>
  <si>
    <t>UNION</t>
  </si>
  <si>
    <t>CONNECTION</t>
  </si>
  <si>
    <t>FLANGE NUT</t>
  </si>
  <si>
    <t>PIPE/TUBE ASSY</t>
  </si>
  <si>
    <t>THREADFORM. FLANGE SCREW</t>
  </si>
  <si>
    <t>26/8/23</t>
  </si>
  <si>
    <t>REINFORCEMENT</t>
  </si>
  <si>
    <t>26/9/23</t>
  </si>
  <si>
    <t>17/10/23</t>
  </si>
  <si>
    <t>FILTER HOUSING</t>
  </si>
  <si>
    <t>AIR PIPE ROOF</t>
  </si>
  <si>
    <t>PANEL</t>
  </si>
  <si>
    <t>INDICATOR</t>
  </si>
  <si>
    <t>FILLER CAP</t>
  </si>
  <si>
    <t>DIP STICK</t>
  </si>
  <si>
    <t>INSULATION MAT RR</t>
  </si>
  <si>
    <t>SWIVEL PLUG</t>
  </si>
  <si>
    <t xml:space="preserve">PLUGS </t>
  </si>
  <si>
    <t>DUM</t>
  </si>
  <si>
    <t xml:space="preserve">HEX SCREW </t>
  </si>
  <si>
    <t xml:space="preserve">PLUG </t>
  </si>
  <si>
    <t>VALVE</t>
  </si>
  <si>
    <t>HANDLE BAR</t>
  </si>
  <si>
    <t>26/9//23</t>
  </si>
  <si>
    <t>2617860/2617859</t>
  </si>
  <si>
    <t>28/9/23</t>
  </si>
  <si>
    <t>LEVEL SENSOR ACTIVE WA</t>
  </si>
  <si>
    <t xml:space="preserve">HOSE </t>
  </si>
  <si>
    <t>AIR HORN</t>
  </si>
  <si>
    <t>WIPER LINK ASY</t>
  </si>
  <si>
    <t>FUEL TANK STRAP</t>
  </si>
  <si>
    <t>16/10/23</t>
  </si>
  <si>
    <t xml:space="preserve"> 25/8/23</t>
  </si>
  <si>
    <t>SCANIA TECHNICIAN</t>
  </si>
  <si>
    <t xml:space="preserve">19/9/23 </t>
  </si>
  <si>
    <t>CLEVIS PIN</t>
  </si>
  <si>
    <t xml:space="preserve">STRAP PIN </t>
  </si>
  <si>
    <t xml:space="preserve">PROTECTIVE </t>
  </si>
  <si>
    <t>TEST CONNECTOR</t>
  </si>
  <si>
    <t>16/8/23</t>
  </si>
  <si>
    <t xml:space="preserve"> 16/10/23</t>
  </si>
  <si>
    <t>COVER UPPER L</t>
  </si>
  <si>
    <t>FUEL SPLASH PROTECTION</t>
  </si>
  <si>
    <t>16/9/23</t>
  </si>
  <si>
    <t>CENTRE CONSOLE RHD ASSY</t>
  </si>
  <si>
    <t>STRAP</t>
  </si>
  <si>
    <t>CLIPS{SERVICE PARTS}</t>
  </si>
  <si>
    <t>d</t>
  </si>
  <si>
    <t>SEALING</t>
  </si>
  <si>
    <t>MAPENZI</t>
  </si>
  <si>
    <t>RELAY VALVE</t>
  </si>
  <si>
    <t>RELAY VALVE BRKT</t>
  </si>
  <si>
    <t>ELBOW</t>
  </si>
  <si>
    <t>BLANKING PIECE</t>
  </si>
  <si>
    <t>EXHAUST PIPE</t>
  </si>
  <si>
    <t>6/92023</t>
  </si>
  <si>
    <t xml:space="preserve">21/9/23 </t>
  </si>
  <si>
    <t>SEAT</t>
  </si>
  <si>
    <t>NOISE ABSORBENT</t>
  </si>
  <si>
    <t>CEILING PANEL</t>
  </si>
  <si>
    <t>HATCH TOOL BOX</t>
  </si>
  <si>
    <t>SCREW M14X70</t>
  </si>
  <si>
    <t>BALANCE 26PCS</t>
  </si>
  <si>
    <t>BALANCE 20</t>
  </si>
  <si>
    <t xml:space="preserve"> 22/9/23</t>
  </si>
  <si>
    <t>BALANCE 30</t>
  </si>
  <si>
    <t>FLANGE SCREW</t>
  </si>
  <si>
    <t>PROTECTION</t>
  </si>
  <si>
    <t>PLATE</t>
  </si>
  <si>
    <t>WHEEL SPEED SENSOR</t>
  </si>
  <si>
    <t>SWITCH PANEL</t>
  </si>
  <si>
    <t>FAN HAVE</t>
  </si>
  <si>
    <t>DAVID</t>
  </si>
  <si>
    <t>CEILING PANEL RR</t>
  </si>
  <si>
    <t>STORAGE COMP MAT RH</t>
  </si>
  <si>
    <t>RUBBER PROTECTION</t>
  </si>
  <si>
    <t>STORAGE COMP SIDEWALL ASSY RH</t>
  </si>
  <si>
    <t>WIRING HARNESS</t>
  </si>
  <si>
    <t>WIPER MOTOR</t>
  </si>
  <si>
    <t>SIDE MARKER LAMP BRKT</t>
  </si>
  <si>
    <t>SIDE MARKER LAMP 24V</t>
  </si>
  <si>
    <t>INSTRUMENT CLUSTER {faulty}</t>
  </si>
  <si>
    <t>DASHBOARD COVER</t>
  </si>
  <si>
    <t xml:space="preserve"> 17/8/23</t>
  </si>
  <si>
    <t>ASSY PUSH PULL CABLE</t>
  </si>
  <si>
    <t>ANTI COMPOUNDING RELAY VALVE</t>
  </si>
  <si>
    <t>MODULATOR VALVE RELAY INLET</t>
  </si>
  <si>
    <t>CSK SCREW</t>
  </si>
  <si>
    <t>GROMMET{child part of lamp]</t>
  </si>
  <si>
    <t xml:space="preserve">GARNISH </t>
  </si>
  <si>
    <t>GARNISH MIDDLE</t>
  </si>
  <si>
    <t>SLEEVE</t>
  </si>
  <si>
    <t>FOG LAMP 12V</t>
  </si>
  <si>
    <t>LAMP ASSY CABIN</t>
  </si>
  <si>
    <t>SUPPORT BRKT FOR AIR INTAKE</t>
  </si>
  <si>
    <t>WIRING HARNESS ABS</t>
  </si>
  <si>
    <t>BRKT ASSYB HVAC MTNG</t>
  </si>
  <si>
    <t>FRT FOG LAMP 24V SCREWS</t>
  </si>
  <si>
    <t>HOLE PLUG</t>
  </si>
  <si>
    <t>CABLE ANTENNA</t>
  </si>
  <si>
    <t>HANDLE WINDOW WINDING</t>
  </si>
  <si>
    <t>ECU {faulty}</t>
  </si>
  <si>
    <t>CLIP-ONE TOUCH HARNESS {DAEWOO}</t>
  </si>
  <si>
    <t>WIPER ARM ASM RHD</t>
  </si>
  <si>
    <t xml:space="preserve"> 14/11/23</t>
  </si>
  <si>
    <t>BUNDOTICH &amp; MAPENZI</t>
  </si>
  <si>
    <t>INSERT CONNECTION</t>
  </si>
  <si>
    <t>SCCREW</t>
  </si>
  <si>
    <t>STRAP ASSY</t>
  </si>
  <si>
    <t>CABLE DUCT</t>
  </si>
  <si>
    <t>KUTA</t>
  </si>
  <si>
    <t>HILUX</t>
  </si>
  <si>
    <t>REINFORCEMENT SUB ASSY,RR BUMPER</t>
  </si>
  <si>
    <t>77603--KK020</t>
  </si>
  <si>
    <t>68124-0K250</t>
  </si>
  <si>
    <t>GLASS RR DOOR QUARTER WINDOW LH</t>
  </si>
  <si>
    <t>55223-KK040/74603-KK010 BO</t>
  </si>
  <si>
    <t>INSULATOR DASH PANEL OUTER</t>
  </si>
  <si>
    <t>74220-0K0230</t>
  </si>
  <si>
    <t>LHS</t>
  </si>
  <si>
    <t>58742-0K130</t>
  </si>
  <si>
    <t>PROTECTOR QUARTER PANEL RH</t>
  </si>
  <si>
    <t>58741-0K130</t>
  </si>
  <si>
    <t>PROTECTOR QUARTER PANEL LH</t>
  </si>
  <si>
    <t>01999-0K524</t>
  </si>
  <si>
    <t>OWNERS MANUAL</t>
  </si>
  <si>
    <t>52161-0K040</t>
  </si>
  <si>
    <t>MIRROR COVER</t>
  </si>
  <si>
    <t>47110-KK010</t>
  </si>
  <si>
    <t>PEDAL</t>
  </si>
  <si>
    <t>72157-KK010</t>
  </si>
  <si>
    <t>SEAT COVER</t>
  </si>
  <si>
    <t>22/5/23</t>
  </si>
  <si>
    <t>PHELIX</t>
  </si>
  <si>
    <t>88716-0KR20</t>
  </si>
  <si>
    <t>75923-0K090</t>
  </si>
  <si>
    <t>TAPE BLACK OUT NO. 2 RH</t>
  </si>
  <si>
    <t>74210-0K023</t>
  </si>
  <si>
    <t>67217-0K460</t>
  </si>
  <si>
    <t>90105-T0261</t>
  </si>
  <si>
    <t>FLANGE  BOLT</t>
  </si>
  <si>
    <t>90119-08C69</t>
  </si>
  <si>
    <t>52116-0K190</t>
  </si>
  <si>
    <t>65778-0K030</t>
  </si>
  <si>
    <t>89408-0K050</t>
  </si>
  <si>
    <t xml:space="preserve">SENSOR </t>
  </si>
  <si>
    <t>SUPPORT FRT BUMPER SIDE LH</t>
  </si>
  <si>
    <t>55620-KK030</t>
  </si>
  <si>
    <t>phelix</t>
  </si>
  <si>
    <t>55625-KK050</t>
  </si>
  <si>
    <t>58745-0K110</t>
  </si>
  <si>
    <t>58746-0K110</t>
  </si>
  <si>
    <t>75921-0K090</t>
  </si>
  <si>
    <t>75922-0K090</t>
  </si>
  <si>
    <t>75925-0K090</t>
  </si>
  <si>
    <t>55172-KK040</t>
  </si>
  <si>
    <t>90105-T0063</t>
  </si>
  <si>
    <t>90199-T0156</t>
  </si>
  <si>
    <t>55223-KK040</t>
  </si>
  <si>
    <t>90105-T0054</t>
  </si>
  <si>
    <t>FLANGE  SCREW</t>
  </si>
  <si>
    <t>90159-T0034</t>
  </si>
  <si>
    <t>WASHER SCREW</t>
  </si>
  <si>
    <t>90182-T0032</t>
  </si>
  <si>
    <t>90119-T0438</t>
  </si>
  <si>
    <t xml:space="preserve"> 23-10-23</t>
  </si>
  <si>
    <t>balance 230pcs</t>
  </si>
  <si>
    <t>45100-0KE60 C0</t>
  </si>
  <si>
    <t>WHEEL ASSY STEERING</t>
  </si>
  <si>
    <t>WAMBUA</t>
  </si>
  <si>
    <t>48510-0KD40</t>
  </si>
  <si>
    <t>SHOCK ABSORBER</t>
  </si>
  <si>
    <t>48610-0K040</t>
  </si>
  <si>
    <t>ARM ASSY SUSPENSION UP RH</t>
  </si>
  <si>
    <t>44590-0K070</t>
  </si>
  <si>
    <t>BRKT ASSY ACTUATOR BRAKE</t>
  </si>
  <si>
    <t>15677-0E010</t>
  </si>
  <si>
    <t>BRKT OIL FILTER</t>
  </si>
  <si>
    <t>88431-0K160</t>
  </si>
  <si>
    <t>BRKT COMPRESSOR</t>
  </si>
  <si>
    <t>17203-0E030</t>
  </si>
  <si>
    <t>ELBOW  SUB ASSY COMPRESSOR{FAULLTY}</t>
  </si>
  <si>
    <t>17101-11391</t>
  </si>
  <si>
    <t>MANIFOLD SUB ASSY</t>
  </si>
  <si>
    <t>53440-0K020</t>
  </si>
  <si>
    <t>SUPPORT HOOD</t>
  </si>
  <si>
    <t xml:space="preserve"> 29/9/23</t>
  </si>
  <si>
    <t>WANGARE</t>
  </si>
  <si>
    <t>69260-0K040</t>
  </si>
  <si>
    <t>WINDOW  WINDING</t>
  </si>
  <si>
    <t>58387-0K010</t>
  </si>
  <si>
    <t xml:space="preserve">WASHER </t>
  </si>
  <si>
    <t>8219G-KKU80</t>
  </si>
  <si>
    <t>WIRE</t>
  </si>
  <si>
    <t>SUPPORT ASSY  CLUTCH  PEDAL</t>
  </si>
  <si>
    <t>8219-KKT20</t>
  </si>
  <si>
    <t>88710-0KF80</t>
  </si>
  <si>
    <t>TUBE ACCESSORIES</t>
  </si>
  <si>
    <t>80A00 -0KC80</t>
  </si>
  <si>
    <t>METER ASSY COMBINATION</t>
  </si>
  <si>
    <t>88460-0K430</t>
  </si>
  <si>
    <t>CONDENSER</t>
  </si>
  <si>
    <t>TSP-BOLT AND NUUT</t>
  </si>
  <si>
    <t>FAN</t>
  </si>
  <si>
    <t>90949-T1016</t>
  </si>
  <si>
    <t>31483-KK010</t>
  </si>
  <si>
    <t xml:space="preserve">TUBE </t>
  </si>
  <si>
    <t>PROTECTOR QUATOR PANEL LH</t>
  </si>
  <si>
    <t>55339-KK030</t>
  </si>
  <si>
    <t>COVER SPARE SWATCH HOLE</t>
  </si>
  <si>
    <t>COVER TRUCKBRKT</t>
  </si>
  <si>
    <t>90949-T1006</t>
  </si>
  <si>
    <t>82143-KKC00</t>
  </si>
  <si>
    <t>WIRE INSTRUMENT PANEL 3</t>
  </si>
  <si>
    <t>69339-0K080</t>
  </si>
  <si>
    <t>LABEL CHID</t>
  </si>
  <si>
    <t>90950-F1005</t>
  </si>
  <si>
    <t>76923-52021</t>
  </si>
  <si>
    <t>61783-0K180</t>
  </si>
  <si>
    <t>73370-0K190</t>
  </si>
  <si>
    <t>SEAT BELT</t>
  </si>
  <si>
    <t>75581-0K080</t>
  </si>
  <si>
    <t>MOULDING BODY ROCKER  PANEL RH</t>
  </si>
  <si>
    <t>68230-0K010</t>
  </si>
  <si>
    <t>20/9/23</t>
  </si>
  <si>
    <t>65328-KK010</t>
  </si>
  <si>
    <t>PLATE FLOOR BOARD SIDE LH</t>
  </si>
  <si>
    <t>TAPE BLACKOUT</t>
  </si>
  <si>
    <t>74511-05020</t>
  </si>
  <si>
    <t>90480-18006</t>
  </si>
  <si>
    <t>87128-0K200</t>
  </si>
  <si>
    <t>90950-F1004</t>
  </si>
  <si>
    <t>66312-0K010</t>
  </si>
  <si>
    <t>44540-0KC30</t>
  </si>
  <si>
    <t>ACTUATOR ASSY  VSC</t>
  </si>
  <si>
    <t>8219H-KK260</t>
  </si>
  <si>
    <t>WIRE FLOOR</t>
  </si>
  <si>
    <t>53630-0K210</t>
  </si>
  <si>
    <t>85380-0K120</t>
  </si>
  <si>
    <t>52110-0K120</t>
  </si>
  <si>
    <t>23300-0L112</t>
  </si>
  <si>
    <t>FILTER ASSY FUEL</t>
  </si>
  <si>
    <t>01999-0K747</t>
  </si>
  <si>
    <t>MANUAL</t>
  </si>
  <si>
    <t>64810-0K050</t>
  </si>
  <si>
    <t>WINDOW ASSY BACK</t>
  </si>
  <si>
    <t>15/8/23</t>
  </si>
  <si>
    <t>MWAKERA</t>
  </si>
  <si>
    <t>DICV</t>
  </si>
  <si>
    <t>TOW HOOK/RHD</t>
  </si>
  <si>
    <t>16/7/23</t>
  </si>
  <si>
    <t>VICTOR</t>
  </si>
  <si>
    <t>A4004310646</t>
  </si>
  <si>
    <t>BRKT RH</t>
  </si>
  <si>
    <t xml:space="preserve"> 22/8/23 </t>
  </si>
  <si>
    <t>WILSON/CALVIN</t>
  </si>
  <si>
    <t>2528R</t>
  </si>
  <si>
    <t>A4004310746</t>
  </si>
  <si>
    <t>BRKT LH</t>
  </si>
  <si>
    <t xml:space="preserve">22/8/23 </t>
  </si>
  <si>
    <t xml:space="preserve">WILSON </t>
  </si>
  <si>
    <t>N910105008043</t>
  </si>
  <si>
    <t>WILSON</t>
  </si>
  <si>
    <t>N910105010001</t>
  </si>
  <si>
    <t>22/8/23</t>
  </si>
  <si>
    <t>N910105010011</t>
  </si>
  <si>
    <t>N913023008003</t>
  </si>
  <si>
    <t>N913023010002</t>
  </si>
  <si>
    <t>A4004292702</t>
  </si>
  <si>
    <t>FORTUNER</t>
  </si>
  <si>
    <t>58510-SUVMT</t>
  </si>
  <si>
    <t>FLOOR MAT SET</t>
  </si>
  <si>
    <t>21/6/23</t>
  </si>
  <si>
    <t>TAPE BLACK OUT NO. 1 LH</t>
  </si>
  <si>
    <t>WINNIE</t>
  </si>
  <si>
    <t>53257-35030</t>
  </si>
  <si>
    <t>BRKT RADIATOR SUPPORT FRT</t>
  </si>
  <si>
    <t xml:space="preserve"> 26 JUN 2023</t>
  </si>
  <si>
    <t>SCREW W/WASHER</t>
  </si>
  <si>
    <t>90148-T0015</t>
  </si>
  <si>
    <t>90109-06272</t>
  </si>
  <si>
    <t>55905-0K180</t>
  </si>
  <si>
    <t>KNOB SUB ASSY CONTROL</t>
  </si>
  <si>
    <t>90464-08228</t>
  </si>
  <si>
    <t>90333-T0004</t>
  </si>
  <si>
    <t>53147-0K070</t>
  </si>
  <si>
    <t>GARNISH HEADLAMP</t>
  </si>
  <si>
    <t>58804-KK480 C2</t>
  </si>
  <si>
    <t>PANEL SUB ASSY C0NSOLE,UPR</t>
  </si>
  <si>
    <t>18/7/23</t>
  </si>
  <si>
    <t>KITAKA/ATEMBA/MWANGI</t>
  </si>
  <si>
    <t>85535-0K090</t>
  </si>
  <si>
    <t>C0VER POWER OUTLET</t>
  </si>
  <si>
    <t>81510-0K060</t>
  </si>
  <si>
    <t>LAMP ASSY FR,TURN SIGNAL RH,</t>
  </si>
  <si>
    <t>81520-0K060</t>
  </si>
  <si>
    <t>LAMP ASSY FR,TURN SIGNAL LH,</t>
  </si>
  <si>
    <t>65328-kk010</t>
  </si>
  <si>
    <t>26/7/23</t>
  </si>
  <si>
    <t>48190-0K050</t>
  </si>
  <si>
    <t xml:space="preserve">CAM ASY,CAMBER ADJUST </t>
  </si>
  <si>
    <t>17/8/23</t>
  </si>
  <si>
    <t xml:space="preserve"> 12/10/23</t>
  </si>
  <si>
    <t>BARAY</t>
  </si>
  <si>
    <t>18/9/23</t>
  </si>
  <si>
    <t>67914-KK020 CO</t>
  </si>
  <si>
    <t>PLATE DOOR SCUFF,LH</t>
  </si>
  <si>
    <t xml:space="preserve"> 3/OCT/23</t>
  </si>
  <si>
    <t>48810-0K010</t>
  </si>
  <si>
    <t>LINK ASSY,FR STABILIZER LH</t>
  </si>
  <si>
    <t>26/11/23</t>
  </si>
  <si>
    <t>16711-OL180</t>
  </si>
  <si>
    <t xml:space="preserve"> 18/9/23</t>
  </si>
  <si>
    <t>LINER RR,WHEEL HOUSE LH</t>
  </si>
  <si>
    <t xml:space="preserve"> 19/9/23 </t>
  </si>
  <si>
    <t>90950-F1003</t>
  </si>
  <si>
    <t>90080-54035</t>
  </si>
  <si>
    <t>MBUVI</t>
  </si>
  <si>
    <t>90541-09131</t>
  </si>
  <si>
    <t>RUBBER CUSHION FR DOOR  {REFER ALSO 1397}</t>
  </si>
  <si>
    <t>13/6/23</t>
  </si>
  <si>
    <t>67403-KK100</t>
  </si>
  <si>
    <t>FRAME SUB ASSY RR LWR RH</t>
  </si>
  <si>
    <t>FRAME SUB ASSY RR LWR LH</t>
  </si>
  <si>
    <t xml:space="preserve">FUEL TANK </t>
  </si>
  <si>
    <t>CPC</t>
  </si>
  <si>
    <t xml:space="preserve"> 18 AUG 23</t>
  </si>
  <si>
    <t>BUKAMBU</t>
  </si>
  <si>
    <t>A0044311306</t>
  </si>
  <si>
    <t>AIR PRESSURE LIMITER</t>
  </si>
  <si>
    <t>N910105008039</t>
  </si>
  <si>
    <t>N000000005514</t>
  </si>
  <si>
    <t>N000000005662</t>
  </si>
  <si>
    <t>A4004927341</t>
  </si>
  <si>
    <t>BRKT CHASSIS</t>
  </si>
  <si>
    <t>18/8/23</t>
  </si>
  <si>
    <t>LU DOOR HANDLE LH</t>
  </si>
  <si>
    <t>COUPLING PLUG</t>
  </si>
  <si>
    <t>N000000005464</t>
  </si>
  <si>
    <t xml:space="preserve"> 15/11/23</t>
  </si>
  <si>
    <t>8PCS BALANCE</t>
  </si>
  <si>
    <t>A4005402109</t>
  </si>
  <si>
    <t>ELECTRICAL WIRING HARNESS</t>
  </si>
  <si>
    <t>N000000005546</t>
  </si>
  <si>
    <t>A4004601500</t>
  </si>
  <si>
    <t>STEERING GEAR</t>
  </si>
  <si>
    <t>A4007205814</t>
  </si>
  <si>
    <t>HALTER</t>
  </si>
  <si>
    <t>N000000005738</t>
  </si>
  <si>
    <t>MAHINDRA</t>
  </si>
  <si>
    <t>SPEAKER GRILL RH DC RV BLK</t>
  </si>
  <si>
    <t>OBJ-SLOTED NUT</t>
  </si>
  <si>
    <t>LOCK STRAP-FRT AXLE END</t>
  </si>
  <si>
    <t>0108GAL00070C</t>
  </si>
  <si>
    <t>DECAL MAHINDRA RED</t>
  </si>
  <si>
    <t>RUN SEAL RRWINDOW GLASS LH SC</t>
  </si>
  <si>
    <t>1001CAB02510N</t>
  </si>
  <si>
    <t>PIPE FUEL LINEASSY MAIN</t>
  </si>
  <si>
    <t>0107CGOO40N</t>
  </si>
  <si>
    <t>RUN SEAL RR WINDOW GLASS RH SC</t>
  </si>
  <si>
    <t>1203EAA05731N</t>
  </si>
  <si>
    <t>DISCHARGE HOSE ASSY</t>
  </si>
  <si>
    <t>0304AAM01221N</t>
  </si>
  <si>
    <t>RADIATOR ASSY</t>
  </si>
  <si>
    <t>CONDENSER ASSY</t>
  </si>
  <si>
    <t>SF0101241</t>
  </si>
  <si>
    <t>BOLT W/SPRING-CHILD PART</t>
  </si>
  <si>
    <t>0114DAG01710N</t>
  </si>
  <si>
    <t>LATCH RR DOOR RH 2C LHD AJAR</t>
  </si>
  <si>
    <t>0112BAG02970B</t>
  </si>
  <si>
    <t>CNSL ASSY FUR GWDDC RH</t>
  </si>
  <si>
    <t>0501BA0020N</t>
  </si>
  <si>
    <t>174618-D080-B1</t>
  </si>
  <si>
    <t>COVER ASSY GRIP</t>
  </si>
  <si>
    <t>SULE &amp; BARAY</t>
  </si>
  <si>
    <t>174612-D080-B1</t>
  </si>
  <si>
    <t>A0034463502</t>
  </si>
  <si>
    <t>CPU</t>
  </si>
  <si>
    <t xml:space="preserve"> 13/10/23</t>
  </si>
  <si>
    <t>BILL &amp; BUNDOTICH</t>
  </si>
  <si>
    <t>F9E17500</t>
  </si>
  <si>
    <t>RR LAMP LH</t>
  </si>
  <si>
    <t>FP200200</t>
  </si>
  <si>
    <t>FRONT REFLEX REFLECTOR WHITE</t>
  </si>
  <si>
    <t>F7639160</t>
  </si>
  <si>
    <t>RR LAMP RH</t>
  </si>
  <si>
    <t>F0G0460</t>
  </si>
  <si>
    <t>B2C0341</t>
  </si>
  <si>
    <t>DRAG LINK</t>
  </si>
  <si>
    <t>ISADORE</t>
  </si>
  <si>
    <t>FW305200</t>
  </si>
  <si>
    <t>POWER TAKE OFF ROCKER SWITCH</t>
  </si>
  <si>
    <t>B2302401</t>
  </si>
  <si>
    <t>DRAG LINK ASSY 2516H RMC</t>
  </si>
  <si>
    <t>F2316600</t>
  </si>
  <si>
    <t>ROOF MARKER</t>
  </si>
  <si>
    <t>F7617360</t>
  </si>
  <si>
    <t>F8254500</t>
  </si>
  <si>
    <t>WIDE ANGLE MIRROR ECOMET 1109</t>
  </si>
  <si>
    <t>F9E12400</t>
  </si>
  <si>
    <t>MARK LAMP LED-24V</t>
  </si>
  <si>
    <t>FA902368</t>
  </si>
  <si>
    <t>SHROUD INSTRUMENT CLUTCH</t>
  </si>
  <si>
    <t>L3621818</t>
  </si>
  <si>
    <t>24V WINDSHIELD WASHER UNIT</t>
  </si>
  <si>
    <t>WASHER LOCK SPRING</t>
  </si>
  <si>
    <t>75441-578W6</t>
  </si>
  <si>
    <t>PLATE BACK DOOR NAME {2.8} ALSO REFER 1392</t>
  </si>
  <si>
    <t>BARE</t>
  </si>
  <si>
    <t xml:space="preserve">TATA </t>
  </si>
  <si>
    <t>ACCELERATOR CABLE</t>
  </si>
  <si>
    <t>21/9/23</t>
  </si>
  <si>
    <t>DEFROST</t>
  </si>
  <si>
    <t>FOG LAMP</t>
  </si>
  <si>
    <t>AYEKO STEPHEN</t>
  </si>
  <si>
    <t>REWORK</t>
  </si>
  <si>
    <t>BRACKET LH</t>
  </si>
  <si>
    <t>BRACKET RH</t>
  </si>
  <si>
    <t>AYIEKO</t>
  </si>
  <si>
    <t>33550-0K170</t>
  </si>
  <si>
    <t>FLOOR SHIFT ASSY TRANSMISSION</t>
  </si>
  <si>
    <t xml:space="preserve"> 9/OCT/23</t>
  </si>
  <si>
    <t>44360-0K050</t>
  </si>
  <si>
    <t>RESERVOIR ASSY OIL{CAP}</t>
  </si>
  <si>
    <t>KITAKA</t>
  </si>
  <si>
    <t>DOOR CUSHION</t>
  </si>
  <si>
    <t>42140-0KT40</t>
  </si>
  <si>
    <t>AXLE ASSY RR….. ALSO REFER 1350</t>
  </si>
  <si>
    <t xml:space="preserve">  24/11/23</t>
  </si>
  <si>
    <t>KEBARUA &amp; BARAY</t>
  </si>
  <si>
    <t>82715-KK290</t>
  </si>
  <si>
    <t>BRACKET WIRING HARNESS CLAMP</t>
  </si>
  <si>
    <t>HINO</t>
  </si>
  <si>
    <t>27/10/23</t>
  </si>
  <si>
    <t>RODGERS</t>
  </si>
  <si>
    <t>CLAMP WIRING HARNESS</t>
  </si>
  <si>
    <t>SZ467-08005</t>
  </si>
  <si>
    <t>CAP BOLT</t>
  </si>
  <si>
    <t>LABEL EMISSION</t>
  </si>
  <si>
    <t>SH950-39347</t>
  </si>
  <si>
    <t>SH656-20822</t>
  </si>
  <si>
    <t>SCREW TAPPING</t>
  </si>
  <si>
    <t>91552-F1450</t>
  </si>
  <si>
    <t>BOL FLANGE</t>
  </si>
  <si>
    <t>SZ950-43016</t>
  </si>
  <si>
    <t>STOPPER</t>
  </si>
  <si>
    <t>23881-E0490</t>
  </si>
  <si>
    <t>BRACKET FUEL HARNESS</t>
  </si>
  <si>
    <t>LABEL TRANSMISSION</t>
  </si>
  <si>
    <t>01999-E0226</t>
  </si>
  <si>
    <t>MANUAL OWNERS</t>
  </si>
  <si>
    <t>45253-E0031</t>
  </si>
  <si>
    <t>COVER STEERING</t>
  </si>
  <si>
    <t>SZ950-24057</t>
  </si>
  <si>
    <t xml:space="preserve">BRKT SUB ASSY </t>
  </si>
  <si>
    <t>SZ950-41260</t>
  </si>
  <si>
    <t>LABEL BODY CAUTION</t>
  </si>
  <si>
    <t>SZ950-39274</t>
  </si>
  <si>
    <t>S469C-E0040</t>
  </si>
  <si>
    <t>PIPE AIR WHEEL</t>
  </si>
  <si>
    <t>GLASS-OK W/D</t>
  </si>
  <si>
    <t>WIPER ARM SUB ASM,RHD</t>
  </si>
  <si>
    <t>RELAY A-WIPER</t>
  </si>
  <si>
    <t xml:space="preserve">CLAMP </t>
  </si>
  <si>
    <t>SZ950-370434</t>
  </si>
  <si>
    <t>BELT,V-RIBBED</t>
  </si>
  <si>
    <t>IVET &amp; MWINGA</t>
  </si>
  <si>
    <t>MU800022</t>
  </si>
  <si>
    <t>CLIP WIRE HARNESS</t>
  </si>
  <si>
    <t>MU470013V</t>
  </si>
  <si>
    <t>MU800191</t>
  </si>
  <si>
    <t>MN116472</t>
  </si>
  <si>
    <t>CLIP TUBE</t>
  </si>
  <si>
    <t>MU800091</t>
  </si>
  <si>
    <t>MU800118</t>
  </si>
  <si>
    <t>MU000573V</t>
  </si>
  <si>
    <t>MA431825V</t>
  </si>
  <si>
    <t>MU001501</t>
  </si>
  <si>
    <t>5755A313</t>
  </si>
  <si>
    <t>WEATHER STRIP DOOR OPENING LH</t>
  </si>
  <si>
    <t>MB687013V</t>
  </si>
  <si>
    <t>6131A172</t>
  </si>
  <si>
    <t>DAMN RR GLASS</t>
  </si>
  <si>
    <t>6400J287</t>
  </si>
  <si>
    <t>BRKT FR BUMPER SIDDE LH</t>
  </si>
  <si>
    <t>6400J288</t>
  </si>
  <si>
    <t>BRKT FR BUMPER SIDE RH</t>
  </si>
  <si>
    <t>8401A206HB</t>
  </si>
  <si>
    <t>LAMP ASSY ROOM</t>
  </si>
  <si>
    <t>7415A068V</t>
  </si>
  <si>
    <t>MARK DI-D</t>
  </si>
  <si>
    <t>7415A500</t>
  </si>
  <si>
    <t>MARK SPORTERO</t>
  </si>
  <si>
    <t>7410B204XA</t>
  </si>
  <si>
    <t>TAPE BLACKOUT RR DOOR FR RH</t>
  </si>
  <si>
    <t>7410B203XA</t>
  </si>
  <si>
    <t>TAPE BLACKOUT RR DOOR FR LH</t>
  </si>
  <si>
    <t>7410B202XA</t>
  </si>
  <si>
    <t>TAPE BLACK OUT</t>
  </si>
  <si>
    <t>7410B201XA</t>
  </si>
  <si>
    <t>TAPE BLACKOUT FR DOOR RR LH</t>
  </si>
  <si>
    <t>MU800181</t>
  </si>
  <si>
    <t>MU800026</t>
  </si>
  <si>
    <t>24225W020P</t>
  </si>
  <si>
    <t>MU001935</t>
  </si>
  <si>
    <t>CLIP RELAY BLOCK</t>
  </si>
  <si>
    <t>MU800197</t>
  </si>
  <si>
    <t>MU800200</t>
  </si>
  <si>
    <t>CONNECTOR CLIP</t>
  </si>
  <si>
    <t>MU001148</t>
  </si>
  <si>
    <t>1505B206</t>
  </si>
  <si>
    <t>MU800108</t>
  </si>
  <si>
    <t>MB153448V</t>
  </si>
  <si>
    <t>7415A136</t>
  </si>
  <si>
    <t>MARK COMMON RAIL</t>
  </si>
  <si>
    <t>MS100233V</t>
  </si>
  <si>
    <t>MF913193V</t>
  </si>
  <si>
    <t>BOLT W/WSHER</t>
  </si>
  <si>
    <t>MU800183</t>
  </si>
  <si>
    <t>MU800002</t>
  </si>
  <si>
    <t>MU800003</t>
  </si>
  <si>
    <t>MU800004</t>
  </si>
  <si>
    <t>MN116613</t>
  </si>
  <si>
    <t>MU800198</t>
  </si>
  <si>
    <t>CLIP BAND</t>
  </si>
  <si>
    <t>MN116802</t>
  </si>
  <si>
    <t>MU800194</t>
  </si>
  <si>
    <t>MU802682</t>
  </si>
  <si>
    <t>MU800184</t>
  </si>
  <si>
    <t>66916W040P</t>
  </si>
  <si>
    <t>MU000504V</t>
  </si>
  <si>
    <t>MR328202V</t>
  </si>
  <si>
    <t>MU800088</t>
  </si>
  <si>
    <t>PUMP ASSY VANE</t>
  </si>
  <si>
    <t>73178-KK020 B0</t>
  </si>
  <si>
    <t>CAP SEAT BELT ANCHOR COVER</t>
  </si>
  <si>
    <t>67916-KK010 C0</t>
  </si>
  <si>
    <t xml:space="preserve"> PLATE RR DOOR SCUFF OUTSIDE LH</t>
  </si>
  <si>
    <t>REHEMA</t>
  </si>
  <si>
    <t>52110-0K58000 B1</t>
  </si>
  <si>
    <t>90109-06390</t>
  </si>
  <si>
    <t xml:space="preserve">BOLT </t>
  </si>
  <si>
    <t>INTERCOOLER</t>
  </si>
  <si>
    <t>90178-06024</t>
  </si>
  <si>
    <t>89661-FA480</t>
  </si>
  <si>
    <t>COMPUTER ENGINE CONTROL</t>
  </si>
  <si>
    <t>rework</t>
  </si>
  <si>
    <t xml:space="preserve">VOKSY </t>
  </si>
  <si>
    <t>KATETA/MATANO</t>
  </si>
  <si>
    <t>for keb 004</t>
  </si>
  <si>
    <t xml:space="preserve"> KATETA/MATANO</t>
  </si>
  <si>
    <t>HEX LOCK NUT</t>
  </si>
  <si>
    <t xml:space="preserve">KATETA/MATANO </t>
  </si>
  <si>
    <t>BRACKET ASSY</t>
  </si>
  <si>
    <t>RETAINING STRAP</t>
  </si>
  <si>
    <t>SILENCER BRKT RR</t>
  </si>
  <si>
    <t xml:space="preserve"> KATETA/MATANO </t>
  </si>
  <si>
    <t>YOKE ASSY</t>
  </si>
  <si>
    <t>keb 004</t>
  </si>
  <si>
    <t>30/5/23</t>
  </si>
  <si>
    <t>BARISA BY RASHID</t>
  </si>
  <si>
    <t>for keb 003</t>
  </si>
  <si>
    <t>HOOK ROPE INNER</t>
  </si>
  <si>
    <t>19/4/23</t>
  </si>
  <si>
    <t>67861-0K151</t>
  </si>
  <si>
    <t>52110-F0G10 B1</t>
  </si>
  <si>
    <t>BUMPER ASSY FRT</t>
  </si>
  <si>
    <t>16/3/23</t>
  </si>
  <si>
    <t>24/3/23</t>
  </si>
  <si>
    <t xml:space="preserve">SHIVEKA &amp; BAKARI </t>
  </si>
  <si>
    <t>FRONT DOOR BUMBER CUSHION {SERVICE PART}</t>
  </si>
  <si>
    <t xml:space="preserve">MBUVI </t>
  </si>
  <si>
    <t>53301-KK011</t>
  </si>
  <si>
    <t>HOOD SUB ASSY</t>
  </si>
  <si>
    <t>22/9/23</t>
  </si>
  <si>
    <t xml:space="preserve">ELKANA </t>
  </si>
  <si>
    <t>69810-0K250</t>
  </si>
  <si>
    <t>REGULATOR FR DOOR POWER WINDOW</t>
  </si>
  <si>
    <t>52150-YP310 G0</t>
  </si>
  <si>
    <t>BUMPER ASSY RR</t>
  </si>
  <si>
    <t>803122VE0A</t>
  </si>
  <si>
    <t>GLASS FR DOOR,RH</t>
  </si>
  <si>
    <t>SHOCK  ABSORBER</t>
  </si>
  <si>
    <t>552472VE0B</t>
  </si>
  <si>
    <t>954802VE0A</t>
  </si>
  <si>
    <t>SHOULDER ASSY,RUB</t>
  </si>
  <si>
    <t>462102VE0A</t>
  </si>
  <si>
    <t>HOSE ASSY BRAKE</t>
  </si>
  <si>
    <t>AYEKO</t>
  </si>
  <si>
    <t>164002VE2A</t>
  </si>
  <si>
    <t>BALANCE 1PC</t>
  </si>
  <si>
    <t>253822VE0A</t>
  </si>
  <si>
    <t>SWITCH ASSY BRAKE</t>
  </si>
  <si>
    <t>PRAMOTH</t>
  </si>
  <si>
    <t>FAN05600</t>
  </si>
  <si>
    <t>CLIP MOUNTING ROD</t>
  </si>
  <si>
    <t>FUEL FEED PUMP</t>
  </si>
  <si>
    <t>CHEGUGU</t>
  </si>
  <si>
    <t>14-1300091</t>
  </si>
  <si>
    <t>89-15144-1A</t>
  </si>
  <si>
    <t>89-11344-1A</t>
  </si>
  <si>
    <t>STEERING WHEEL NUT</t>
  </si>
  <si>
    <t>89-11108-1A</t>
  </si>
  <si>
    <t>81-A0835-1A</t>
  </si>
  <si>
    <t>FLANGE BOLT</t>
  </si>
  <si>
    <t>FYL01711</t>
  </si>
  <si>
    <t>81-B4030-1A</t>
  </si>
  <si>
    <t>89-11246-1A</t>
  </si>
  <si>
    <t>85-33516-2A</t>
  </si>
  <si>
    <t>89-151398-1A</t>
  </si>
  <si>
    <t>SPRING WASHER</t>
  </si>
  <si>
    <t>15-32000-22</t>
  </si>
  <si>
    <t>PIN SNAP</t>
  </si>
  <si>
    <t>89-15538-1A</t>
  </si>
  <si>
    <t>PLAIN WASHER</t>
  </si>
  <si>
    <t>81-A0825</t>
  </si>
  <si>
    <t xml:space="preserve">FLANGE SCREW </t>
  </si>
  <si>
    <t>89-18340-1A</t>
  </si>
  <si>
    <t>89-18308-1A</t>
  </si>
  <si>
    <t>81-A0825-1A</t>
  </si>
  <si>
    <t>81-A4025-1A</t>
  </si>
  <si>
    <t>462862VE3B</t>
  </si>
  <si>
    <t>TUBE ASSY BRAKE</t>
  </si>
  <si>
    <t>BRAKE FLUID TANK{small}</t>
  </si>
  <si>
    <t>FJ600568</t>
  </si>
  <si>
    <t>AUTOMATIVE TRANSMISSION FLUID {ATF}</t>
  </si>
  <si>
    <t>L3010618</t>
  </si>
  <si>
    <t>F3522811</t>
  </si>
  <si>
    <t>F3574715</t>
  </si>
  <si>
    <t>B1E1Y501</t>
  </si>
  <si>
    <t>CABLE KIT CLIP</t>
  </si>
  <si>
    <t>F3521511</t>
  </si>
  <si>
    <t xml:space="preserve">DOOR LOCK </t>
  </si>
  <si>
    <t>GEAR LEVER COVER</t>
  </si>
  <si>
    <t>F1B04111</t>
  </si>
  <si>
    <t>F3507511</t>
  </si>
  <si>
    <t>NYLOC NUT</t>
  </si>
  <si>
    <t>F3521911</t>
  </si>
  <si>
    <t>F35C7511</t>
  </si>
  <si>
    <t>F3149815</t>
  </si>
  <si>
    <t>BANJO</t>
  </si>
  <si>
    <t>FPV00400</t>
  </si>
  <si>
    <t>FR000911</t>
  </si>
  <si>
    <t>X7815300</t>
  </si>
  <si>
    <t>TAIL LAMP LH</t>
  </si>
  <si>
    <t>TAIL LAMP RH</t>
  </si>
  <si>
    <t>B5402921</t>
  </si>
  <si>
    <t>FE705410</t>
  </si>
  <si>
    <t>F9002415</t>
  </si>
  <si>
    <t>F8404013</t>
  </si>
  <si>
    <t>L6310616</t>
  </si>
  <si>
    <t>F7872040</t>
  </si>
  <si>
    <t>ADAPTOR NOZZLE RH</t>
  </si>
  <si>
    <t>F0484310</t>
  </si>
  <si>
    <t>B1127203</t>
  </si>
  <si>
    <t>L1010820</t>
  </si>
  <si>
    <t>FLEX SCREW</t>
  </si>
  <si>
    <t>SWITCH</t>
  </si>
  <si>
    <t>L3010818</t>
  </si>
  <si>
    <t>L4110800</t>
  </si>
  <si>
    <t>F3562810</t>
  </si>
  <si>
    <t>HARNESS</t>
  </si>
  <si>
    <t>F4100268</t>
  </si>
  <si>
    <t>LLOGO</t>
  </si>
  <si>
    <t>X8004700</t>
  </si>
  <si>
    <t> FUEL GAUGE</t>
  </si>
  <si>
    <t>F2322500</t>
  </si>
  <si>
    <t>B5425555</t>
  </si>
  <si>
    <t>SA BRKT RVM RH</t>
  </si>
  <si>
    <t>F3A17700</t>
  </si>
  <si>
    <t>BATTERY CABLE -VE</t>
  </si>
  <si>
    <t>XFW02000</t>
  </si>
  <si>
    <t>CHASSIS WIRING HARNESS</t>
  </si>
  <si>
    <t>FE703410</t>
  </si>
  <si>
    <t>L2010615</t>
  </si>
  <si>
    <t>7200836/F1Z01314</t>
  </si>
  <si>
    <t>ENGINE LIFTING HOOK</t>
  </si>
  <si>
    <t>F1927050</t>
  </si>
  <si>
    <t>SEAL</t>
  </si>
  <si>
    <t>L4010500</t>
  </si>
  <si>
    <t>F0415214</t>
  </si>
  <si>
    <t>B5412586</t>
  </si>
  <si>
    <t>F8602215</t>
  </si>
  <si>
    <t>REACTION TUBE</t>
  </si>
  <si>
    <t>F7872440</t>
  </si>
  <si>
    <t>F9E00284</t>
  </si>
  <si>
    <t>MJALA</t>
  </si>
  <si>
    <t>TO FIT HKH 073</t>
  </si>
  <si>
    <t>X3110415</t>
  </si>
  <si>
    <t>BANJO BODY</t>
  </si>
  <si>
    <t>F7427600</t>
  </si>
  <si>
    <t>PRESSURE PAD TORSION</t>
  </si>
  <si>
    <t>F4100460</t>
  </si>
  <si>
    <t>L3650611</t>
  </si>
  <si>
    <t>L9110818</t>
  </si>
  <si>
    <t xml:space="preserve">         -</t>
  </si>
  <si>
    <t>X1500500</t>
  </si>
  <si>
    <t>MIRROR</t>
  </si>
  <si>
    <t>B7W46607</t>
  </si>
  <si>
    <t>METER CLUSTER{faulty}</t>
  </si>
  <si>
    <t>MIRROR ASSY OUTSIDE LH</t>
  </si>
  <si>
    <t>147472VE0C</t>
  </si>
  <si>
    <t>FL802210</t>
  </si>
  <si>
    <t>SPCIAL WASHER</t>
  </si>
  <si>
    <t>12,24</t>
  </si>
  <si>
    <t>11/9/2023,9/12/23</t>
  </si>
  <si>
    <t>ALI ,CHEGUGU</t>
  </si>
  <si>
    <t>F3575711</t>
  </si>
  <si>
    <t>802172VE0A</t>
  </si>
  <si>
    <t>SASH ASSY FR DOOR LWR RR LH</t>
  </si>
  <si>
    <t>BATTERY CLAMP</t>
  </si>
  <si>
    <t>12,12</t>
  </si>
  <si>
    <t>9/9/23,12/19/2023</t>
  </si>
  <si>
    <t>ALI,CHEGUGU</t>
  </si>
  <si>
    <t>BALANCE 24</t>
  </si>
  <si>
    <t>B5433204</t>
  </si>
  <si>
    <t>SA OF PEDAL BRKT</t>
  </si>
  <si>
    <t>BILL&amp;MAPENZI</t>
  </si>
  <si>
    <t>BALANCE 14PCS</t>
  </si>
  <si>
    <t>F7206160</t>
  </si>
  <si>
    <t>HEADER DOOR</t>
  </si>
  <si>
    <t>BALANCE 2PCS</t>
  </si>
  <si>
    <t>FK005100</t>
  </si>
  <si>
    <t>HEAD LAMP</t>
  </si>
  <si>
    <t>B5425537</t>
  </si>
  <si>
    <t>DOOR LOCK   ASSY LH</t>
  </si>
  <si>
    <t>24/11/23</t>
  </si>
  <si>
    <t>DOOR LOCK ASSY RH</t>
  </si>
  <si>
    <t>FS900368/F5900368</t>
  </si>
  <si>
    <t>GEAR KNOB</t>
  </si>
  <si>
    <t>X3517010</t>
  </si>
  <si>
    <t>4PCS</t>
  </si>
  <si>
    <t>BALANCE 18</t>
  </si>
  <si>
    <t>B5545131/B5S45131</t>
  </si>
  <si>
    <t>B8408501</t>
  </si>
  <si>
    <t>DOOR HINGE BRKT END RH</t>
  </si>
  <si>
    <t>MAPENZI/BILL</t>
  </si>
  <si>
    <t>21/8/23</t>
  </si>
  <si>
    <t xml:space="preserve">MIRROR </t>
  </si>
  <si>
    <t>19/12/23</t>
  </si>
  <si>
    <t>MK548522</t>
  </si>
  <si>
    <t>APRON LWR LH</t>
  </si>
  <si>
    <t>MK405365</t>
  </si>
  <si>
    <t>PLUG HEADLINING</t>
  </si>
  <si>
    <t>MC925275</t>
  </si>
  <si>
    <t>MK12644</t>
  </si>
  <si>
    <t>CLIP FRT PILLAR</t>
  </si>
  <si>
    <t>MK547803</t>
  </si>
  <si>
    <t>LABEL CAUTION  TILT</t>
  </si>
  <si>
    <t>MK402562</t>
  </si>
  <si>
    <t>MK421813</t>
  </si>
  <si>
    <t>TACHOGRAPH</t>
  </si>
  <si>
    <t>MK554013</t>
  </si>
  <si>
    <t>HOSE ASSY VACUUM</t>
  </si>
  <si>
    <t>MK386151</t>
  </si>
  <si>
    <t>SWITCH PUSH DOOR</t>
  </si>
  <si>
    <t>MK581083</t>
  </si>
  <si>
    <t>COVER MIRROR STAY</t>
  </si>
  <si>
    <t>MC935217</t>
  </si>
  <si>
    <t>REAR COMBINATION LAMP</t>
  </si>
  <si>
    <t>MX913382</t>
  </si>
  <si>
    <t xml:space="preserve">EXHAUST </t>
  </si>
  <si>
    <t>EMBLEM FUSO{without letter "s"}</t>
  </si>
  <si>
    <t>E. BAYA</t>
  </si>
  <si>
    <t>LETTER "U"  ISSUED</t>
  </si>
  <si>
    <t>MK480758</t>
  </si>
  <si>
    <t>CABLE THROTTLE</t>
  </si>
  <si>
    <t>MC308411</t>
  </si>
  <si>
    <t>MF140016</t>
  </si>
  <si>
    <t>MC096727</t>
  </si>
  <si>
    <t>HORN ASSY AIR</t>
  </si>
  <si>
    <t>MC430312</t>
  </si>
  <si>
    <t>SEAL SHROUD</t>
  </si>
  <si>
    <t>MK581103</t>
  </si>
  <si>
    <t>MIRROR ASSY OUTSIDE RR VIEW</t>
  </si>
  <si>
    <t>MIRROR ASSY OUOTSIDE HOLDER</t>
  </si>
  <si>
    <t>FELIX</t>
  </si>
  <si>
    <t>MK581105</t>
  </si>
  <si>
    <t>MC923858</t>
  </si>
  <si>
    <t>PAD ASSY CRUSH</t>
  </si>
  <si>
    <t>COVER LWR</t>
  </si>
  <si>
    <t>ML232700</t>
  </si>
  <si>
    <t>PANEL,IPNL CENTER LWR</t>
  </si>
  <si>
    <t>A4307200154</t>
  </si>
  <si>
    <t>DOOR SEAL/OTR-RH WEATHER STRIP</t>
  </si>
  <si>
    <t>MK618871</t>
  </si>
  <si>
    <t>COVER ASSY SIDE RH</t>
  </si>
  <si>
    <t>A4304600015</t>
  </si>
  <si>
    <t>COVER HORN PAD</t>
  </si>
  <si>
    <t>A4307200046</t>
  </si>
  <si>
    <t>WINDOW LIFT FRT</t>
  </si>
  <si>
    <t>MK4305365</t>
  </si>
  <si>
    <t>ME035309</t>
  </si>
  <si>
    <t xml:space="preserve">FAN </t>
  </si>
  <si>
    <t>MH030048</t>
  </si>
  <si>
    <t>HOSE FUEL</t>
  </si>
  <si>
    <t>MC858712</t>
  </si>
  <si>
    <t>RELAY POWER{N.C}</t>
  </si>
  <si>
    <t>MC817028</t>
  </si>
  <si>
    <t>COCK DRAIN</t>
  </si>
  <si>
    <t>MH037769</t>
  </si>
  <si>
    <t>MK300814</t>
  </si>
  <si>
    <t>PLATE STOPPER</t>
  </si>
  <si>
    <t>ME295455</t>
  </si>
  <si>
    <t>AIR CLEANER ASSY</t>
  </si>
  <si>
    <t>MS476420</t>
  </si>
  <si>
    <t>ME012429</t>
  </si>
  <si>
    <t>MH020914</t>
  </si>
  <si>
    <t>MK510310</t>
  </si>
  <si>
    <t>HANGER COAT</t>
  </si>
  <si>
    <t>MK321264</t>
  </si>
  <si>
    <t>AIR MASTER</t>
  </si>
  <si>
    <t xml:space="preserve">          -</t>
  </si>
  <si>
    <t>DRIVER DOOR LOCK SET</t>
  </si>
  <si>
    <t>ME222251</t>
  </si>
  <si>
    <t>WATER SEPERATOR</t>
  </si>
  <si>
    <t>MK600923</t>
  </si>
  <si>
    <t>BATTERY TERMINAL ASSY LH</t>
  </si>
  <si>
    <t>MF453033</t>
  </si>
  <si>
    <t xml:space="preserve">     </t>
  </si>
  <si>
    <t>CABLE,F/PNL OPENER</t>
  </si>
  <si>
    <t>SUNVISOR ASY RH</t>
  </si>
  <si>
    <t>PLATE BACK DOOR NAME 2.8</t>
  </si>
  <si>
    <t>VDJ/CRUISER</t>
  </si>
  <si>
    <t>44360-60101</t>
  </si>
  <si>
    <t>RESERVIOR OIL ASSY</t>
  </si>
  <si>
    <t>CABLE BATTERY</t>
  </si>
  <si>
    <t>69810-60330</t>
  </si>
  <si>
    <t>REGULATOR ASSY FR DOOR WINDOW RH</t>
  </si>
  <si>
    <t>51961-60131</t>
  </si>
  <si>
    <t>HOOK TRACTION</t>
  </si>
  <si>
    <t>66241-60010</t>
  </si>
  <si>
    <t>BUFFLE RUBBER</t>
  </si>
  <si>
    <t>90611-10880</t>
  </si>
  <si>
    <t>CLAMP  HOSE</t>
  </si>
  <si>
    <t>61585-90K00</t>
  </si>
  <si>
    <t xml:space="preserve">LID QUARTERRRR HOLE   NO. 1                                                                                                                                                                         </t>
  </si>
  <si>
    <t>LABEL PASSENGER AIRBAG CAUTION</t>
  </si>
  <si>
    <t>1PC+8PCS</t>
  </si>
  <si>
    <t>5/7/2020,11/11/22</t>
  </si>
  <si>
    <t>BALANCE 46</t>
  </si>
  <si>
    <t>2 PC ISSUED TO MAPENZI 4/01/2024 -1 PC ISSUED TO BUNDOTICH 15/1/2024</t>
  </si>
  <si>
    <t>RODGERS &amp; MWAKISHA, 5 PCS 01/07/24</t>
  </si>
  <si>
    <t>WIRE SUB ASSY HORN BUTTON</t>
  </si>
  <si>
    <t>75596-95J00</t>
  </si>
  <si>
    <t>COVER ROOF DRIP SIDE MLDNG FR LH</t>
  </si>
  <si>
    <t>55330-26331</t>
  </si>
  <si>
    <t>REINFORCEMENT ASSY,INSTRUMENT PANEL</t>
  </si>
  <si>
    <t>90109-08244</t>
  </si>
  <si>
    <t>11/3/19,5/12/19</t>
  </si>
  <si>
    <t>PLATE RR BODY NAME NO.1</t>
  </si>
  <si>
    <t>2+1</t>
  </si>
  <si>
    <t>MAPENZI, ISADORE</t>
  </si>
  <si>
    <t>75441-60240</t>
  </si>
  <si>
    <t>PLATE BACK DOOR NAME NO. 1</t>
  </si>
  <si>
    <t>TO REPLACE ROBBED STICKER</t>
  </si>
  <si>
    <t>M258531</t>
  </si>
  <si>
    <t>24,6</t>
  </si>
  <si>
    <t>A4308260043</t>
  </si>
  <si>
    <t>14/12/23</t>
  </si>
  <si>
    <t>A4308260143</t>
  </si>
  <si>
    <t>BLINK/LAMP</t>
  </si>
  <si>
    <t>1+5</t>
  </si>
  <si>
    <t>CABLE HARNESS ASSY</t>
  </si>
  <si>
    <t>BRACKET AIR</t>
  </si>
  <si>
    <t>SPRING BRACKET</t>
  </si>
  <si>
    <t>F0G00460</t>
  </si>
  <si>
    <t>F1136150</t>
  </si>
  <si>
    <t>bundotich</t>
  </si>
  <si>
    <t>B2C03401</t>
  </si>
  <si>
    <t>DRAGLINK</t>
  </si>
  <si>
    <t>PACKED WITH CKD</t>
  </si>
  <si>
    <t>X7807300</t>
  </si>
  <si>
    <t>FB512910</t>
  </si>
  <si>
    <t>F3811218</t>
  </si>
  <si>
    <t>F3552011</t>
  </si>
  <si>
    <t>MWANYOLO</t>
  </si>
  <si>
    <t>F787418</t>
  </si>
  <si>
    <t>L3011218</t>
  </si>
  <si>
    <t>FUEL SENSOR UNIT REED SWITCH</t>
  </si>
  <si>
    <t>3 + 1</t>
  </si>
  <si>
    <t>12/19/2023, 25/09/24</t>
  </si>
  <si>
    <t>WINNIE, BUNDOTICH</t>
  </si>
  <si>
    <t>F3V04100</t>
  </si>
  <si>
    <t>HANDBRAKE</t>
  </si>
  <si>
    <t>L1021218</t>
  </si>
  <si>
    <t>L2011235</t>
  </si>
  <si>
    <t>L2010825</t>
  </si>
  <si>
    <t>L3021218</t>
  </si>
  <si>
    <t>L7E03811</t>
  </si>
  <si>
    <t>SCREWS</t>
  </si>
  <si>
    <t>L1050622</t>
  </si>
  <si>
    <t>AIR TANK</t>
  </si>
  <si>
    <t>F7611760</t>
  </si>
  <si>
    <t>M</t>
  </si>
  <si>
    <t>BIE17501</t>
  </si>
  <si>
    <t>CSO CABLE KIT CLIP</t>
  </si>
  <si>
    <t>FN305700</t>
  </si>
  <si>
    <t>L1021209</t>
  </si>
  <si>
    <t>HEX  SCREW</t>
  </si>
  <si>
    <t>X1200260</t>
  </si>
  <si>
    <t>FM878500</t>
  </si>
  <si>
    <t>L1021210</t>
  </si>
  <si>
    <t>B0Y04720</t>
  </si>
  <si>
    <t>X7820800</t>
  </si>
  <si>
    <t>F8001250</t>
  </si>
  <si>
    <t>WEATHER STRIP DOOR INNER</t>
  </si>
  <si>
    <t>B5431078</t>
  </si>
  <si>
    <t>HANDLE CUM ARM REST DOOR RH</t>
  </si>
  <si>
    <t>B5431077</t>
  </si>
  <si>
    <t>HANDLE CUM ARM REST DOOR  LH</t>
  </si>
  <si>
    <t>WIPER BLADE</t>
  </si>
  <si>
    <t>F7956614</t>
  </si>
  <si>
    <t>BRACKETS</t>
  </si>
  <si>
    <t>ELBOW JOINT</t>
  </si>
  <si>
    <t>SPEED SENSOR</t>
  </si>
  <si>
    <t>F7625360</t>
  </si>
  <si>
    <t>FXA00860</t>
  </si>
  <si>
    <t>IE703410</t>
  </si>
  <si>
    <t>7383102L</t>
  </si>
  <si>
    <t>P. STG SEAL</t>
  </si>
  <si>
    <t>F0T0400</t>
  </si>
  <si>
    <t>89-15138-1A</t>
  </si>
  <si>
    <t>A4009970434</t>
  </si>
  <si>
    <t>SOCKET UNION/CYLINDER HEAD</t>
  </si>
  <si>
    <t>N000000001068</t>
  </si>
  <si>
    <t>SEAL RING DIN</t>
  </si>
  <si>
    <t>A9260700733</t>
  </si>
  <si>
    <t>CONSTANT THROTTLE LINE</t>
  </si>
  <si>
    <t>A4003100025</t>
  </si>
  <si>
    <t>CAB SUSPENSION FRT</t>
  </si>
  <si>
    <t>DOOR HANDLE/OUTER LH{CHILD PART}</t>
  </si>
  <si>
    <t>KATETA &amp; MWANYIGHA</t>
  </si>
  <si>
    <t>BALANCE 3PCS</t>
  </si>
  <si>
    <t>LOCK FRT LH DOOR</t>
  </si>
  <si>
    <t>LPT 810</t>
  </si>
  <si>
    <t>SENSOR</t>
  </si>
  <si>
    <t>LPT 1216</t>
  </si>
  <si>
    <t>ASSY CONTROL &amp; PANEL COMPLETE</t>
  </si>
  <si>
    <t>SUPPORT C.M</t>
  </si>
  <si>
    <t>CLUTCH SERVOR</t>
  </si>
  <si>
    <t>EDDY KATANA</t>
  </si>
  <si>
    <t>ASSR FRAME COMPL. LH SIDE MIRROR</t>
  </si>
  <si>
    <t>ULTRA T.9</t>
  </si>
  <si>
    <t>ASSY BRACKET CARRIER PLATE DOOR</t>
  </si>
  <si>
    <t>AYIEKO/VOPHSY</t>
  </si>
  <si>
    <t>KIT LOCK WITH KEY</t>
  </si>
  <si>
    <t>ULTRA T. 9</t>
  </si>
  <si>
    <t>585872506320/21</t>
  </si>
  <si>
    <t>WEATHER STRIP</t>
  </si>
  <si>
    <t>ALI/mapenzi</t>
  </si>
  <si>
    <t>MODULATOR VALVE-INLET</t>
  </si>
  <si>
    <t>BRACKET ASSY RH</t>
  </si>
  <si>
    <t>BRACKET ASSY LH</t>
  </si>
  <si>
    <t>REINF. MIDDLE</t>
  </si>
  <si>
    <t>H/L SEAL</t>
  </si>
  <si>
    <t>TEE SOCKET</t>
  </si>
  <si>
    <t>F0403222</t>
  </si>
  <si>
    <t>SPRING BRKT HANGER</t>
  </si>
  <si>
    <t>DAEWOO</t>
  </si>
  <si>
    <t>3752100390/3752100380</t>
  </si>
  <si>
    <t>WIPER ARM</t>
  </si>
  <si>
    <t>ASSY HEAD LAMP RH</t>
  </si>
  <si>
    <t>16/11/23</t>
  </si>
  <si>
    <t>ASSY HEAD LAMP LH</t>
  </si>
  <si>
    <t>LABEL-AIR FILTER</t>
  </si>
  <si>
    <t>CORNER VANE A,LH</t>
  </si>
  <si>
    <t>CONT UNIT-DUAL ONE TOUCH</t>
  </si>
  <si>
    <t>ASSY REAR VIEW MIRROR OUTER RH</t>
  </si>
  <si>
    <t>ASSY REAR VIEW MIRROR  OUTER LH</t>
  </si>
  <si>
    <t>FRAME REAR  VIEW MIRROR</t>
  </si>
  <si>
    <t>BKT ORVM TOP MTG</t>
  </si>
  <si>
    <t>BKT ORVM BOTTOM MTG</t>
  </si>
  <si>
    <t>BAND BRAKE TUBE</t>
  </si>
  <si>
    <t>BAND CLAMP</t>
  </si>
  <si>
    <t>BRACKET WIRING</t>
  </si>
  <si>
    <t>BRACKET SUB ASSY</t>
  </si>
  <si>
    <t>LABEL TRANSIMISSION</t>
  </si>
  <si>
    <t>LABEL,WARNING</t>
  </si>
  <si>
    <t>SZ105-06009</t>
  </si>
  <si>
    <t>PLATE CHASSIS</t>
  </si>
  <si>
    <t>S47W0-E0D23</t>
  </si>
  <si>
    <t>TUBE ASSY AIR</t>
  </si>
  <si>
    <t>47307-E0840</t>
  </si>
  <si>
    <t>CONNECTOR SUB ASSY</t>
  </si>
  <si>
    <t>16503-E0082</t>
  </si>
  <si>
    <t xml:space="preserve">HOSE SUB ASSY </t>
  </si>
  <si>
    <t>S4716-03311</t>
  </si>
  <si>
    <t>VALVE ASSY AIR</t>
  </si>
  <si>
    <t>CLIP SUB-ASSY</t>
  </si>
  <si>
    <t>WASHER PLAIN</t>
  </si>
  <si>
    <t>HIACE/LCRUISER</t>
  </si>
  <si>
    <t>LABEL DIFFERENTIAL LOCK CAUTION</t>
  </si>
  <si>
    <t>BALA. 4PCS</t>
  </si>
  <si>
    <t>PLATE,RR BODY NAME NO. 1</t>
  </si>
  <si>
    <t>5 + 1 + 1</t>
  </si>
  <si>
    <t>16/07..06/08</t>
  </si>
  <si>
    <t>RODGERS, OMANYA</t>
  </si>
  <si>
    <t>CLEANER ASSY,AIR W/ELEMENT</t>
  </si>
  <si>
    <t>BRKT RR BODY MOUNTING NO. 4</t>
  </si>
  <si>
    <t>FELIX OSEKO</t>
  </si>
  <si>
    <t>BRKT BODY SUPPORT NO. 6</t>
  </si>
  <si>
    <t>BRKT SUB ASSY,CAB FR MTNG RH</t>
  </si>
  <si>
    <t>BRKT RR BODY MOUNTING NO.1</t>
  </si>
  <si>
    <t>GLASS SUB ASSY, RR SIDE WINDOW FR RH</t>
  </si>
  <si>
    <t>62489-26010</t>
  </si>
  <si>
    <t>CLIP,ROOF SIDE INNER GARNISH</t>
  </si>
  <si>
    <t>CROSS MEMBER SUB ASSY FRAME RR</t>
  </si>
  <si>
    <t>GLASS ASSY  WINDSHIELD</t>
  </si>
  <si>
    <t>63310-26A63 B1</t>
  </si>
  <si>
    <t>HEADLINING ASSY ROOF FR</t>
  </si>
  <si>
    <t>ONLY CLIP ISSUED</t>
  </si>
  <si>
    <t>MAIN WIRING HARNESS</t>
  </si>
  <si>
    <t>20/12/23</t>
  </si>
  <si>
    <t>PLENUM CHAMBER</t>
  </si>
  <si>
    <t>264188500101/02</t>
  </si>
  <si>
    <t>BUMPER BRKT</t>
  </si>
  <si>
    <t>ALI&amp;MAPENZI</t>
  </si>
  <si>
    <t>GARNISH SIDE DEFROST</t>
  </si>
  <si>
    <t>ACC. CABLE</t>
  </si>
  <si>
    <t>ASSY SEALING RH</t>
  </si>
  <si>
    <t>GRILL SIDE RH</t>
  </si>
  <si>
    <t>264191500173/63</t>
  </si>
  <si>
    <t>SEAT BELT RH/LH</t>
  </si>
  <si>
    <t>ASSY HOOD LATCH</t>
  </si>
  <si>
    <t>HORN,LOW TONE</t>
  </si>
  <si>
    <t>GUIDE PLATE CAST</t>
  </si>
  <si>
    <t>MNJALA</t>
  </si>
  <si>
    <t>LINING SIDE FR</t>
  </si>
  <si>
    <t>LINING SIDE RR</t>
  </si>
  <si>
    <t>KEA  042&amp;043</t>
  </si>
  <si>
    <t>LED</t>
  </si>
  <si>
    <t>DAVID&amp;MAPENZI</t>
  </si>
  <si>
    <t>EMERGENCY KIT</t>
  </si>
  <si>
    <t>ONLY TORCH ISSUED   KEA 042&amp;043</t>
  </si>
  <si>
    <t>7027301/2676189</t>
  </si>
  <si>
    <t>B2G01407</t>
  </si>
  <si>
    <t>CHEGUGU&amp;PRAMOTH</t>
  </si>
  <si>
    <t>L9010630</t>
  </si>
  <si>
    <t>L3811618</t>
  </si>
  <si>
    <t>F8900203</t>
  </si>
  <si>
    <t>F7874330</t>
  </si>
  <si>
    <t>F2409414</t>
  </si>
  <si>
    <t>X7144310</t>
  </si>
  <si>
    <t>X3563615</t>
  </si>
  <si>
    <t>MARCOPOLO</t>
  </si>
  <si>
    <t>WINDSHIELS GLASS</t>
  </si>
  <si>
    <t>KEB004-23</t>
  </si>
  <si>
    <t>CAP</t>
  </si>
  <si>
    <t>SCR TANK</t>
  </si>
  <si>
    <t>KEA32-23</t>
  </si>
  <si>
    <t>KEA0044</t>
  </si>
  <si>
    <t>KEA0045</t>
  </si>
  <si>
    <t>HOLDER CON</t>
  </si>
  <si>
    <t>KEA0048</t>
  </si>
  <si>
    <t>SWITCH PANIC ALARM</t>
  </si>
  <si>
    <t>BLANKING PIECE SWITCH</t>
  </si>
  <si>
    <t>USB PORT CHARGE ASSY</t>
  </si>
  <si>
    <t>BRACKET AI</t>
  </si>
  <si>
    <t>WHEEL SPEED SENSOR ASSY</t>
  </si>
  <si>
    <t>KEA0046</t>
  </si>
  <si>
    <t>SCREW PLATE ASSY</t>
  </si>
  <si>
    <t>CABLE HARNESS AUS DOOR PA</t>
  </si>
  <si>
    <t>FRONT PANEL UP</t>
  </si>
  <si>
    <t>KEA0050</t>
  </si>
  <si>
    <t>STRUCTURE ASSY</t>
  </si>
  <si>
    <t>KEA0053</t>
  </si>
  <si>
    <t>ELBOW UNIO</t>
  </si>
  <si>
    <t>HOSE CLIP</t>
  </si>
  <si>
    <t>STRAP ASY</t>
  </si>
  <si>
    <t>LOCK NUT</t>
  </si>
  <si>
    <t>FUEL TANK</t>
  </si>
  <si>
    <t>VENTILATING VALVE</t>
  </si>
  <si>
    <t>EXHAUST PI</t>
  </si>
  <si>
    <t>DAVID &amp;</t>
  </si>
  <si>
    <t>MANIFOLD FITTING</t>
  </si>
  <si>
    <t>KEA0052</t>
  </si>
  <si>
    <t>90119-08686</t>
  </si>
  <si>
    <t>CAREN AND RODGERS</t>
  </si>
  <si>
    <t>buffer for cruiser pilot ( 1 pc per unit)</t>
  </si>
  <si>
    <t>FJ &amp; FI</t>
  </si>
  <si>
    <t>ZB SUPPORTING TUBE LH</t>
  </si>
  <si>
    <t>FJ</t>
  </si>
  <si>
    <t>LU COMPRESSED AIRLINE/NYLON</t>
  </si>
  <si>
    <t>KOMBO L3</t>
  </si>
  <si>
    <t>ZB ELECTRICAL WIRING HARNESS/ENGINE</t>
  </si>
  <si>
    <t>KATETA</t>
  </si>
  <si>
    <t xml:space="preserve"> MH014098</t>
  </si>
  <si>
    <t>LU SEAT BELT LH</t>
  </si>
  <si>
    <t>ZB COVERE RH</t>
  </si>
  <si>
    <t>CHEBET</t>
  </si>
  <si>
    <t>LU GEARSHIFT LEVER COMPL12 TON</t>
  </si>
  <si>
    <t>SZ918-01331</t>
  </si>
  <si>
    <t>LOCK ASSY LID</t>
  </si>
  <si>
    <t>PRE - FILTER ASSY</t>
  </si>
  <si>
    <t>PLATE, CHASSIS 1</t>
  </si>
  <si>
    <t>COVER, DOOR ASS</t>
  </si>
  <si>
    <t>S7918-21010</t>
  </si>
  <si>
    <t>COVER, LID LOCK</t>
  </si>
  <si>
    <t>COVER, STEREO OP</t>
  </si>
  <si>
    <t>BRACKET FR BUMPER</t>
  </si>
  <si>
    <t>SZ940-22014</t>
  </si>
  <si>
    <t>REFLECTOR ASSY</t>
  </si>
  <si>
    <t>RESERVE TANK AS</t>
  </si>
  <si>
    <t>62110-E0030</t>
  </si>
  <si>
    <t>GARNISH ASSY FR</t>
  </si>
  <si>
    <t>62220-E0040</t>
  </si>
  <si>
    <t>BOARD SPLASH</t>
  </si>
  <si>
    <t>53320-E0080</t>
  </si>
  <si>
    <t>PANEL ASSY INST</t>
  </si>
  <si>
    <t>S4733-29600</t>
  </si>
  <si>
    <t>PIPE OIL</t>
  </si>
  <si>
    <t>HORN ASSY, LOW PITCHED</t>
  </si>
  <si>
    <t>LU DOOR HANDLE /HDT LH</t>
  </si>
  <si>
    <t>IVET</t>
  </si>
  <si>
    <t>SPRING CHAMBER</t>
  </si>
  <si>
    <t>04200-6026B</t>
  </si>
  <si>
    <t>ARM ASSY ROCKER</t>
  </si>
  <si>
    <t>C40087910113001P02</t>
  </si>
  <si>
    <t>CABIN HDT EXPORT-DAY RHD-TB/FL-PAINT AW</t>
  </si>
  <si>
    <t>A4004750083</t>
  </si>
  <si>
    <t>RUBBER BUFFER FUEL-TANK/PACKING</t>
  </si>
  <si>
    <t>A4004006239</t>
  </si>
  <si>
    <t>ZB SPARE WHEEL BRACKET</t>
  </si>
  <si>
    <t>A4001540302</t>
  </si>
  <si>
    <t>A4005001372</t>
  </si>
  <si>
    <t>ZB COOLANT PIPE</t>
  </si>
  <si>
    <t>A4002541847</t>
  </si>
  <si>
    <t>LU CLUTCH BOOSTER / D70/ SAE3</t>
  </si>
  <si>
    <t>A4004602505</t>
  </si>
  <si>
    <t>LU DRAG LINK / 12T RHD</t>
  </si>
  <si>
    <t>EURO RETAINED ????</t>
  </si>
  <si>
    <t>A4003100185</t>
  </si>
  <si>
    <t>ZB SUPPORT / CAB STAY</t>
  </si>
  <si>
    <t>A4008600269</t>
  </si>
  <si>
    <t>LU SEAT BELT BUCKLE/ LAP AND PASSENGER</t>
  </si>
  <si>
    <t>A4003201729</t>
  </si>
  <si>
    <t>ZB BUFFER STOP / 1214R &amp;1217C</t>
  </si>
  <si>
    <t>ZB KEY / FUSO/ HUF</t>
  </si>
  <si>
    <t>A4002602833</t>
  </si>
  <si>
    <t>ZB SHIFT TUBE /G85SAE2 /BS4 /F04</t>
  </si>
  <si>
    <t>LU SEAT BELT /LH</t>
  </si>
  <si>
    <t>A4005203145</t>
  </si>
  <si>
    <t>ZB BRACKET /FOG LAMP MDT LH</t>
  </si>
  <si>
    <t>A4005010693</t>
  </si>
  <si>
    <t>COOLANT HOSE /VENT /RADIATOR</t>
  </si>
  <si>
    <t>A4005406814</t>
  </si>
  <si>
    <t>ZB BATTERY BOX/ 75 AH /9T /12T</t>
  </si>
  <si>
    <t>ISSUED BY WYCLIFFE</t>
  </si>
  <si>
    <t>LU SEAT BELT/ RH</t>
  </si>
  <si>
    <t>A4003221525</t>
  </si>
  <si>
    <t>U-BOLT / 12 TON/200MM</t>
  </si>
  <si>
    <t>A4005410058</t>
  </si>
  <si>
    <t>LU DC CONVERTER</t>
  </si>
  <si>
    <t>A4006660102</t>
  </si>
  <si>
    <t>ENTRANCE RH/ SUPPORT FOR FOOT STEP</t>
  </si>
  <si>
    <t>LU GEARSHIFT LEVER COMPL /12TON</t>
  </si>
  <si>
    <t>A4004310506</t>
  </si>
  <si>
    <t>LU PARKING BRAKE VALVE /GHCV/ KBI</t>
  </si>
  <si>
    <t>A4002900601</t>
  </si>
  <si>
    <t>LU PEDAL SWITCH</t>
  </si>
  <si>
    <t>A4004600400</t>
  </si>
  <si>
    <t>LU POWER STEERING /12TON</t>
  </si>
  <si>
    <t>A4005012382</t>
  </si>
  <si>
    <t>CHARGE AIR HOSE /CAC OUTLET</t>
  </si>
  <si>
    <t>CHARGE AIR HOSE /CAC INLET</t>
  </si>
  <si>
    <t>A4003230121</t>
  </si>
  <si>
    <t>BEARING BUSH</t>
  </si>
  <si>
    <t>A4005000372</t>
  </si>
  <si>
    <t>ZB COOLANT PIPE OUTLET /IC TO ENGINE</t>
  </si>
  <si>
    <t>A4005203241</t>
  </si>
  <si>
    <t>ZB BRACKET FRT BUMPER LH</t>
  </si>
  <si>
    <t>A4003251517</t>
  </si>
  <si>
    <t>HELPER SPRING BRACKET RR</t>
  </si>
  <si>
    <t>A4003251417</t>
  </si>
  <si>
    <t>HELPER SPRING BRACKET FRT</t>
  </si>
  <si>
    <t>N910005014056</t>
  </si>
  <si>
    <t>RIVT N 10005-14 X 45-QC 15 DBL8457.00</t>
  </si>
  <si>
    <t>A4009950210</t>
  </si>
  <si>
    <t>RUBBER BUFFER AIR INTAKE</t>
  </si>
  <si>
    <t>A4009950710</t>
  </si>
  <si>
    <t>LU HOSE CLAMP WITH WORM DRIVE</t>
  </si>
  <si>
    <t>BRACKET /HVAC CONTRO; BRKT RH</t>
  </si>
  <si>
    <t>A4004320053</t>
  </si>
  <si>
    <t>SPACER TUBE /AIR TANK</t>
  </si>
  <si>
    <t>A4004900701</t>
  </si>
  <si>
    <t>LU CSCHALLDAEMPFER /30L</t>
  </si>
  <si>
    <t>A4005000472</t>
  </si>
  <si>
    <t>ZB COOLANT PIPE INLET /TURBO TO IC</t>
  </si>
  <si>
    <t>N000000005518</t>
  </si>
  <si>
    <t>HEX SCREW MBN 10105-M14X1,5X30- 10.9</t>
  </si>
  <si>
    <t>MODEL PLATE /INDIA /TRUCK 7BUS</t>
  </si>
  <si>
    <t>A4039950175</t>
  </si>
  <si>
    <t>A4005840147</t>
  </si>
  <si>
    <t>WARNING LABEL / DO NOT STEP ON BATTERY</t>
  </si>
  <si>
    <t>TOWBAR OPENING</t>
  </si>
  <si>
    <t>A9797230469</t>
  </si>
  <si>
    <t>TOWBAR SECURING</t>
  </si>
  <si>
    <t>N000000005718</t>
  </si>
  <si>
    <t>HEX SCREW MBN10105-M14 X1,5X45- 10.9</t>
  </si>
  <si>
    <t>52 OR 22</t>
  </si>
  <si>
    <t>CONFIRM QTY ISSUED</t>
  </si>
  <si>
    <t>N000000005516</t>
  </si>
  <si>
    <t>HEX SCREW MBN10105-M14 X1,5X55- 10.9</t>
  </si>
  <si>
    <t>A4007200816</t>
  </si>
  <si>
    <t>ZB DOOR CHECK RH /90 DEG</t>
  </si>
  <si>
    <t>A4006920043</t>
  </si>
  <si>
    <t>LOCKING HOOK / CLOTHES</t>
  </si>
  <si>
    <t>HEX SCREW MBN10105-M 8X 25-8.8</t>
  </si>
  <si>
    <t>A0075421318</t>
  </si>
  <si>
    <t>LU TEMPERATURE SENSOR</t>
  </si>
  <si>
    <t>A4003170020</t>
  </si>
  <si>
    <t>SECURING CLIP / PLASTIC</t>
  </si>
  <si>
    <t>N007337006108</t>
  </si>
  <si>
    <t>BLND RVT DIN 7337-A6,4X25-ST   -ST-A1P</t>
  </si>
  <si>
    <t>NUT N 13023-M 14X1,5    -10 DBL9440</t>
  </si>
  <si>
    <t>N000000001799</t>
  </si>
  <si>
    <t>HXRD SCREW MBN 10228-M 8X 16- 8.8</t>
  </si>
  <si>
    <t>A4008850026</t>
  </si>
  <si>
    <t>CAP / PLASTIC</t>
  </si>
  <si>
    <t>WASHER ISO 7093-1-8-200HV DBL9440.40</t>
  </si>
  <si>
    <t>NUT N 13023-M 8         -8 DBL9440</t>
  </si>
  <si>
    <t>A9705450124</t>
  </si>
  <si>
    <t>LEVEL SWITCH NUT N 13023-M 8      -8DBL9440.4</t>
  </si>
  <si>
    <t>RELEASE VALVE /PRESSURE SENSOR</t>
  </si>
  <si>
    <t>MODEL IDENTIFICATION /FI</t>
  </si>
  <si>
    <t>MK412987</t>
  </si>
  <si>
    <t>HEXAGON HEAD BOLT /M14X15X64</t>
  </si>
  <si>
    <t>A4004296840</t>
  </si>
  <si>
    <t>BRKT /NYLON HOSE CABIN PARTITION</t>
  </si>
  <si>
    <t>A4008200130</t>
  </si>
  <si>
    <t>ZB BRACKET / SUB ASSY LOWER</t>
  </si>
  <si>
    <t>BRACKET PROTECTOR C</t>
  </si>
  <si>
    <t>LU SWITCH UNIT /HAZARD</t>
  </si>
  <si>
    <t>A4009980401</t>
  </si>
  <si>
    <t>LU GUIDE GROMMET</t>
  </si>
  <si>
    <t>A4004291440</t>
  </si>
  <si>
    <t>BRACKET AIRLINE COMPR TO AIR DRYER</t>
  </si>
  <si>
    <t>LU ROCKER SWITCH /PTO /RPM</t>
  </si>
  <si>
    <t>HEADLAMP RANGE ADJUSTER</t>
  </si>
  <si>
    <t>DAMPING /PLUG /DOOR</t>
  </si>
  <si>
    <t>N913023012002</t>
  </si>
  <si>
    <t>NUT    N  13023-M 12X1, 5-10 DBL9440</t>
  </si>
  <si>
    <t>A4005040065</t>
  </si>
  <si>
    <t>RUBBER BUFFER CUSHION</t>
  </si>
  <si>
    <t>2 OR 1</t>
  </si>
  <si>
    <t>N000000001149</t>
  </si>
  <si>
    <t>GRAB HANDLE NOT FITTED</t>
  </si>
  <si>
    <t>A4005200213</t>
  </si>
  <si>
    <t>ZB COVER / DUST GUARD / CONSTRUCTION</t>
  </si>
  <si>
    <t>3+6</t>
  </si>
  <si>
    <t>SABINA + CHEBET</t>
  </si>
  <si>
    <t>ISSUED BY WYCLIFFE, SULE</t>
  </si>
  <si>
    <t>LU END OUTLINE MARKER LAMP /LH SIDE IND</t>
  </si>
  <si>
    <t>A4008202656</t>
  </si>
  <si>
    <t>LU FOG LAMP</t>
  </si>
  <si>
    <t>4 OR 2</t>
  </si>
  <si>
    <t>LU HEADLAMP / DUAL CHAMBER RH-HDT RHD</t>
  </si>
  <si>
    <t>TAIL LAMP LH /LED W/O RESISTOR</t>
  </si>
  <si>
    <t>GRAB HANDLE LH / TUBE TYPE</t>
  </si>
  <si>
    <t>A4005441403</t>
  </si>
  <si>
    <t>TAIL LAMP RH /LED W/O RESISTOR</t>
  </si>
  <si>
    <t>A4008842922</t>
  </si>
  <si>
    <t>COVER LH /BEZEL -BLACK</t>
  </si>
  <si>
    <t>ZB ELECTRICAL WIRING HARNESS/ FLOOR HAR</t>
  </si>
  <si>
    <t>LU WINDOW LIFT FRT RH / DOOR REGULATOR(SCREWS)</t>
  </si>
  <si>
    <t>A400</t>
  </si>
  <si>
    <t>LU DOOR SEAL INR RH /TRIM FRONT DOOR OP</t>
  </si>
  <si>
    <t>A4005440147</t>
  </si>
  <si>
    <t>FLOODLIGHT</t>
  </si>
  <si>
    <t>A4002052206</t>
  </si>
  <si>
    <t>LU FAN / VISCOUS 475MM DIA; BALANCED FAN</t>
  </si>
  <si>
    <t>LU SEALING WINDSHIELD</t>
  </si>
  <si>
    <t>A4005530082</t>
  </si>
  <si>
    <t>LU HIGH PRESSURE HOSE/ CABIN TILTING /PU</t>
  </si>
  <si>
    <t>A4008102716</t>
  </si>
  <si>
    <t>LU MIRROR LH /NON GCC</t>
  </si>
  <si>
    <t>LU WASHER FLUID RESEVOIR</t>
  </si>
  <si>
    <t>LU HEADLAMP UNIT RH</t>
  </si>
  <si>
    <t>LU WINDOW GUIDE RAIL FRT LH / DOOR WDO G</t>
  </si>
  <si>
    <t>A4005202102</t>
  </si>
  <si>
    <t>AIR INTAKE NOT FITTED DUE TO LACK OF BRACKET</t>
  </si>
  <si>
    <t>A4000740247</t>
  </si>
  <si>
    <t>LU COVER / FUSO</t>
  </si>
  <si>
    <t>A4005410033</t>
  </si>
  <si>
    <t>COVER BATTERY BOX</t>
  </si>
  <si>
    <t>A4005281130</t>
  </si>
  <si>
    <t>mounting bracket sunction line top</t>
  </si>
  <si>
    <t>A4005280382</t>
  </si>
  <si>
    <t xml:space="preserve">INTAKE HOSE / ELBOW 90 DEGREE </t>
  </si>
  <si>
    <t>TRIM PANEL STEERING COLUMN FRT</t>
  </si>
  <si>
    <t>A4006840021</t>
  </si>
  <si>
    <t>STEP RAIL</t>
  </si>
  <si>
    <t>A4006702380</t>
  </si>
  <si>
    <t>LU REAR WINDOW / FIXED / HDT / ASSY/3.5MM</t>
  </si>
  <si>
    <t>LU BLOWER /HVAC</t>
  </si>
  <si>
    <t>LU CABLE /GEAR SHIFT/12T/RHD/LOCAL</t>
  </si>
  <si>
    <t>A4007201270A6</t>
  </si>
  <si>
    <t>ZB TRIM DRIVERS DOOR FRT RH /W SEALS</t>
  </si>
  <si>
    <t>LU COMPRESSED AIR LINE / ACCESSORIES//12T</t>
  </si>
  <si>
    <t>A0009918840A3</t>
  </si>
  <si>
    <t>SPREADER RIVET - IRON GREY MEDIUM</t>
  </si>
  <si>
    <t>A4004296809</t>
  </si>
  <si>
    <t>LU COMPRESSED AIRLINE /12T /NON ABS/4800</t>
  </si>
  <si>
    <t>A4004010202</t>
  </si>
  <si>
    <t>DISK WHEEL /9.00X22.5-165-WIL</t>
  </si>
  <si>
    <t>A4004320801</t>
  </si>
  <si>
    <t>LU AIR RESEVOIR/ 35L</t>
  </si>
  <si>
    <t>A4006660301A8</t>
  </si>
  <si>
    <t>ENTRANCE FRT RH /STEP _DARK GREY</t>
  </si>
  <si>
    <t>A4002900801</t>
  </si>
  <si>
    <t>LU PEDAL SYSTEM / PENDANT/ MDT-RHD-KNOB</t>
  </si>
  <si>
    <t>A4006801507A6</t>
  </si>
  <si>
    <t>ZB IP COVER /ASY LWR CT _BROWN</t>
  </si>
  <si>
    <t>A4006660201A8</t>
  </si>
  <si>
    <t>ENTRANCE FRT LH STEP DARK GREY</t>
  </si>
  <si>
    <t>A4007270028A6</t>
  </si>
  <si>
    <t>COVER MOULDING / CAB DOOR HANDLE FRT LH</t>
  </si>
  <si>
    <t>A4007270528A6</t>
  </si>
  <si>
    <t>A4007200171A6</t>
  </si>
  <si>
    <t xml:space="preserve">ZB DOOR INTERIOR TRIM RH _Brown </t>
  </si>
  <si>
    <t>COAT HANGERS</t>
  </si>
  <si>
    <t>A0155422417</t>
  </si>
  <si>
    <t>SPEEDO SENSOR</t>
  </si>
  <si>
    <t>A4008110041A0</t>
  </si>
  <si>
    <t>SUPPORT BEARING SUN-VISOR BLACK</t>
  </si>
  <si>
    <t>A4001510801</t>
  </si>
  <si>
    <t>STARTER MOTOR</t>
  </si>
  <si>
    <t>ZB BRACKET FRT BUMPER RH</t>
  </si>
  <si>
    <t xml:space="preserve">ZB SUN VISOR RH_Beige </t>
  </si>
  <si>
    <t>A9405420134</t>
  </si>
  <si>
    <t>ZB BRZCKET RHD</t>
  </si>
  <si>
    <t>A4006920100A0</t>
  </si>
  <si>
    <t>PILLAR TRIM PANEL FRT RH BLACK</t>
  </si>
  <si>
    <t>A4004296909</t>
  </si>
  <si>
    <t>LU COMPRESSED AIRLINE /KITLINE/NONABS</t>
  </si>
  <si>
    <t>A4003250247</t>
  </si>
  <si>
    <t>U-BOLT SPRING-RR /12T</t>
  </si>
  <si>
    <t>A4001440013</t>
  </si>
  <si>
    <t>THROTTLE VALVE</t>
  </si>
  <si>
    <t>A4003200405</t>
  </si>
  <si>
    <t>LU LEAF SPRING RA /13 TON</t>
  </si>
  <si>
    <t>A4006950725A7</t>
  </si>
  <si>
    <t>HEADLINER / MDT RHD_Beige</t>
  </si>
  <si>
    <t>A4004708401</t>
  </si>
  <si>
    <t>ZB KRAFTSTOFFBEHAELTER / RECTANGULAR</t>
  </si>
  <si>
    <t>A4008801006A8</t>
  </si>
  <si>
    <t>ZB FENDER LH_Darkgrey</t>
  </si>
  <si>
    <t>A4006603301A8</t>
  </si>
  <si>
    <t>ZB ENTRANCE /LH_Darkgrey</t>
  </si>
  <si>
    <t>FRAME HEADLAMP PANELLING LH</t>
  </si>
  <si>
    <t>PANELLING FRT RH /CORNER</t>
  </si>
  <si>
    <t>A4008811423</t>
  </si>
  <si>
    <t>STARTER</t>
  </si>
  <si>
    <t>A4003201802</t>
  </si>
  <si>
    <t>SPRINGS</t>
  </si>
  <si>
    <t>BRACKET, ENGINE CONTROL COMPUTER NO.1</t>
  </si>
  <si>
    <t>1 + 1</t>
  </si>
  <si>
    <t>MAPENZI, AKINYI</t>
  </si>
  <si>
    <t>BRACKET, ENGINE CONTROL COMPUTER NO.2</t>
  </si>
  <si>
    <t>BRIAN/RODGERS</t>
  </si>
  <si>
    <t>TO FIT FORTUNER AJ0010</t>
  </si>
  <si>
    <t>ERICK MUGENI</t>
  </si>
  <si>
    <t>DUCT ASSY QUATERVENT, LH</t>
  </si>
  <si>
    <t>RETRO/RODGERS</t>
  </si>
  <si>
    <t>TO FIT FG002</t>
  </si>
  <si>
    <t>TUBE, WHEEL CYLINDER FR RH</t>
  </si>
  <si>
    <t>MWARO/RODGERS</t>
  </si>
  <si>
    <t>INSULATOR HOOD</t>
  </si>
  <si>
    <t>SENSOR SPEED, FR LH</t>
  </si>
  <si>
    <t>MATUNDA</t>
  </si>
  <si>
    <t>SPRIIGNG ASSY, FUEL FILLER OPEINING LID</t>
  </si>
  <si>
    <t xml:space="preserve">ALEX </t>
  </si>
  <si>
    <t>PIPE SUB ASSY, FUEL FILLER OPENING LID</t>
  </si>
  <si>
    <t>KORIR/TINGA</t>
  </si>
  <si>
    <t>2/5/2024, 27/2/24</t>
  </si>
  <si>
    <t>MAPENZI, VICTOR</t>
  </si>
  <si>
    <t>42620-0KF40</t>
  </si>
  <si>
    <t>3/5/2024, 15/5/2024</t>
  </si>
  <si>
    <t>KORIR, REHEMA</t>
  </si>
  <si>
    <t>COVER, SHIFT LOCK RELEAE BUTTON</t>
  </si>
  <si>
    <t>71849-KK010 C0</t>
  </si>
  <si>
    <t>SPEAKER ASSY, W/BRACKET</t>
  </si>
  <si>
    <t>71001-F0742 C1</t>
  </si>
  <si>
    <t>1 PC</t>
  </si>
  <si>
    <t>KITURI</t>
  </si>
  <si>
    <t>BUMPER SUB ASSY, FR SPRING</t>
  </si>
  <si>
    <t>RODGERS/KITAKA</t>
  </si>
  <si>
    <t>COMPRSSOR ASS, W/MAGNET CLUTCH</t>
  </si>
  <si>
    <t>WERE</t>
  </si>
  <si>
    <t>CHECK ASSY RR DOOR, RH</t>
  </si>
  <si>
    <t>MWARO</t>
  </si>
  <si>
    <t>43502-KK020</t>
  </si>
  <si>
    <t>HUB SUB ASSY, FR AXLE 2X4</t>
  </si>
  <si>
    <t>53393-0K020</t>
  </si>
  <si>
    <t>PROTECTOR, HOOD, FR</t>
  </si>
  <si>
    <t>RODGERS/MWARO</t>
  </si>
  <si>
    <t>71003-0K820 C5</t>
  </si>
  <si>
    <t>GLASS SUB ASY, WINDSHIELD</t>
  </si>
  <si>
    <t>ASHOCK</t>
  </si>
  <si>
    <t>S/A PRESSURE LINE</t>
  </si>
  <si>
    <t>POWER STARING RESEVOIR COVER</t>
  </si>
  <si>
    <t>BRKT A-DOOR HAND GRIP FRT</t>
  </si>
  <si>
    <t>HOSE ASSY FEED PUMP</t>
  </si>
  <si>
    <t>F8900714</t>
  </si>
  <si>
    <t>AIR TANK MTG BRKT</t>
  </si>
  <si>
    <t>BRACKET RADIATOR GRILLE OUTER</t>
  </si>
  <si>
    <t>X7901314</t>
  </si>
  <si>
    <t>BRKT GRILL SUPP LH</t>
  </si>
  <si>
    <t>X7901414</t>
  </si>
  <si>
    <t>BRKT GRILL SUPP RH</t>
  </si>
  <si>
    <t>P4g^48d3</t>
  </si>
  <si>
    <t>ECOMET 1012</t>
  </si>
  <si>
    <t>MAIN FUEL FILTER</t>
  </si>
  <si>
    <t>PHOENIX</t>
  </si>
  <si>
    <t>BFZ06503</t>
  </si>
  <si>
    <t>F0C00668</t>
  </si>
  <si>
    <t>SPECIAL WASHER</t>
  </si>
  <si>
    <t>SPECIAL NUT SLOCK</t>
  </si>
  <si>
    <t>SPECIAL FLANGE NUT</t>
  </si>
  <si>
    <t>MIRROR REAR VIEW OUTER RH</t>
  </si>
  <si>
    <t>DOOR LOCK ASSY</t>
  </si>
  <si>
    <t>ELBOW M10 X M22 120</t>
  </si>
  <si>
    <t>SPECIAL FLANGED BOLT HEX</t>
  </si>
  <si>
    <t>FW503811</t>
  </si>
  <si>
    <t>ROD DOOR LATCH OS KEY LH</t>
  </si>
  <si>
    <t>FMG02700</t>
  </si>
  <si>
    <t>LOGO EXTERIOR TRIM i4 LX</t>
  </si>
  <si>
    <t>FW503711</t>
  </si>
  <si>
    <t>ROD DOOR LATCH RELEASE LH</t>
  </si>
  <si>
    <t>X7K00600</t>
  </si>
  <si>
    <t>DOOR LOCK ASSY LH</t>
  </si>
  <si>
    <t>FW503511</t>
  </si>
  <si>
    <t>ROD DOOR LATCH OS RELEASE RH</t>
  </si>
  <si>
    <t>FW503611</t>
  </si>
  <si>
    <t>ROD DOOR LATCH KEY RH</t>
  </si>
  <si>
    <t>COLAR</t>
  </si>
  <si>
    <t>BRAKE BOOSTER</t>
  </si>
  <si>
    <t>16000-0E450</t>
  </si>
  <si>
    <t>ENGINE ASSY L/CLUTCH</t>
  </si>
  <si>
    <t>KOMBO</t>
  </si>
  <si>
    <t>ISSUED FOR SHIPPING TO TSAM</t>
  </si>
  <si>
    <t>WIRE SUBASSY HORN BUTTON</t>
  </si>
  <si>
    <t>CABLE SUB ASSY SPIRAL</t>
  </si>
  <si>
    <t>EMBLEM ASSY, QUATER PANEL</t>
  </si>
  <si>
    <t>WIRE FLOOR NO.6</t>
  </si>
  <si>
    <t>PLATE RR BODY NAME NO1</t>
  </si>
  <si>
    <t>LABEL TRANSFER CAUTION</t>
  </si>
  <si>
    <t>PLATE HEATER CONTROL NAME</t>
  </si>
  <si>
    <t>C0593</t>
  </si>
  <si>
    <t>69820-60320</t>
  </si>
  <si>
    <t>REGULATOR ASSY, FR DOOR POWER WINDOW</t>
  </si>
  <si>
    <t>WEATHERSTRIP FR DOOR LH</t>
  </si>
  <si>
    <t>f</t>
  </si>
  <si>
    <t>INSERT ASSY</t>
  </si>
  <si>
    <t>WHEEL SPEED SENSOR T14</t>
  </si>
  <si>
    <t>in s/store</t>
  </si>
  <si>
    <t>HEADLAMP H4 LH</t>
  </si>
  <si>
    <t>KUTA AND DAVID</t>
  </si>
  <si>
    <t>GROMMET LAMP GUARD</t>
  </si>
  <si>
    <t>TRIM PANEL 12/24V</t>
  </si>
  <si>
    <t>SUNVISOR WITH NET ASSY</t>
  </si>
  <si>
    <t>SUNVISOR SIDE ASSY RH</t>
  </si>
  <si>
    <t>CEILING SIDE PANEL RH</t>
  </si>
  <si>
    <t>DAVID AND BILL</t>
  </si>
  <si>
    <t>TOP ROOF CEILING</t>
  </si>
  <si>
    <t>PANEL OVER DOOR RH</t>
  </si>
  <si>
    <t>PANEL OVER DOOR LH</t>
  </si>
  <si>
    <t>BELLOWS GUD ASSY</t>
  </si>
  <si>
    <t>BLANKING PIECE CP LH</t>
  </si>
  <si>
    <t>ELECTRIC MOTOR BASIC RIGHT</t>
  </si>
  <si>
    <t>CLOCK SPRING</t>
  </si>
  <si>
    <t>SCREW M18 X 130</t>
  </si>
  <si>
    <t>GROMMET LAMP GUIDE</t>
  </si>
  <si>
    <t>NOISE ABSORBENT LH</t>
  </si>
  <si>
    <t>AIR COMPRESSOR HOSE</t>
  </si>
  <si>
    <t>PIPE ASSEMBLY</t>
  </si>
  <si>
    <t>17792-E0211</t>
  </si>
  <si>
    <t>LABEL, EMISSION</t>
  </si>
  <si>
    <t>S51LC-E0030</t>
  </si>
  <si>
    <t>PLATE ENGINE R</t>
  </si>
  <si>
    <t xml:space="preserve">BRACKET, FUEL </t>
  </si>
  <si>
    <t>47307-E0540</t>
  </si>
  <si>
    <t>CONNECTOR SUB ASSEMBLY</t>
  </si>
  <si>
    <t>BUMPER GAP COVER SIDE MTG BRKT LH</t>
  </si>
  <si>
    <t>BUMPER GAP COVER SIDE MTG BRKT RH</t>
  </si>
  <si>
    <t>BUMPER GAP COVER MTG BRACKET CENTER</t>
  </si>
  <si>
    <t>ASSY OIL FILTER</t>
  </si>
  <si>
    <t>BATTERY CABLE</t>
  </si>
  <si>
    <t>HEX FL NUT</t>
  </si>
  <si>
    <t>H/ FL SCR M6 X 20</t>
  </si>
  <si>
    <t>HEX FL SCREW M8 X 25</t>
  </si>
  <si>
    <t>PIN SPRING FRONT</t>
  </si>
  <si>
    <t>CR PAN HD SCREW M6 X 20</t>
  </si>
  <si>
    <t>FL SCR M10 X 25</t>
  </si>
  <si>
    <t>HEADLAMP ASSY RH</t>
  </si>
  <si>
    <t>LAMP ASSY RR COMBINATION, LH</t>
  </si>
  <si>
    <t>LAMP ASSY RR COMBINATION, RH</t>
  </si>
  <si>
    <t>CLEANER ASSY AIR WITH ELEMENT</t>
  </si>
  <si>
    <t>62315-60050 B0</t>
  </si>
  <si>
    <t>WEATHERSTRIP FR DOOR OPENING TRIM RR RH</t>
  </si>
  <si>
    <t>RUN FR DOOR GLASS N0.1</t>
  </si>
  <si>
    <t>MOULDING SUB ASSY FR LH</t>
  </si>
  <si>
    <t>5,7,8</t>
  </si>
  <si>
    <t>5-mar-24,16-jul-24</t>
  </si>
  <si>
    <t>BAY 1, MWAKERA,RODGES/HURRY</t>
  </si>
  <si>
    <t>MOULDING SUB ASSY FR RH</t>
  </si>
  <si>
    <t>5,5,10</t>
  </si>
  <si>
    <t>5-mar-2024,16-jul-24</t>
  </si>
  <si>
    <t>BAY 1, MWAKERA,RODGERS/HURRY</t>
  </si>
  <si>
    <t>CLAMP HOOD SUPPORT ROD</t>
  </si>
  <si>
    <t>NOZZLE FR WASHER</t>
  </si>
  <si>
    <t>PLATE E.C.E APPROVED NUMBER</t>
  </si>
  <si>
    <t xml:space="preserve">2/13/2024, </t>
  </si>
  <si>
    <t>5 +5+1+1</t>
  </si>
  <si>
    <t>2/26/2024, 02/MAY/2024,16/jul/24</t>
  </si>
  <si>
    <t>MJALA, BARAY, RODGERS,RODGERS</t>
  </si>
  <si>
    <t>BOLT STEERING LOCK</t>
  </si>
  <si>
    <t>OMANYA</t>
  </si>
  <si>
    <t>WEATHERSTRIP WINDSHIELD</t>
  </si>
  <si>
    <t>WEATHERSTRIP,FR DOOR RH</t>
  </si>
  <si>
    <t>FIR TREE UNION FEMALE 12</t>
  </si>
  <si>
    <t>O - RING</t>
  </si>
  <si>
    <t>4 + 1</t>
  </si>
  <si>
    <t>KUTA, KUTA</t>
  </si>
  <si>
    <t>BLOCK CIRCUIT COUPLING</t>
  </si>
  <si>
    <t>WINDOW WIN</t>
  </si>
  <si>
    <t>CLOCK SPRING CON 8 WIRES</t>
  </si>
  <si>
    <t>CEILING PA</t>
  </si>
  <si>
    <t>CEILING PANEL FABRIC</t>
  </si>
  <si>
    <t>BRKT ASSY, ENGINE MTG, FRONT - RH</t>
  </si>
  <si>
    <t>REINFORCEMENT RH (FRONT)</t>
  </si>
  <si>
    <t>REINFORCEMENT RH (REAR)</t>
  </si>
  <si>
    <t>ASSY MALE ADAPTOR</t>
  </si>
  <si>
    <t>ASSY HIGH PRESSURE HOSE BI</t>
  </si>
  <si>
    <t>CHILD PART OF ASSY</t>
  </si>
  <si>
    <t>ASSY SEAT BELT</t>
  </si>
  <si>
    <t>WINDSHIELD GLASS SUPPORT CENTER</t>
  </si>
  <si>
    <t>WINDSHIELD GLASS SUPPORT</t>
  </si>
  <si>
    <t>SPEAKER GRILLE LH DC</t>
  </si>
  <si>
    <t>BOLT COMBI M10 X 1.5</t>
  </si>
  <si>
    <t>BOLT T BAR M14</t>
  </si>
  <si>
    <t>SF103152</t>
  </si>
  <si>
    <t>BOLT COMBI M8 X 1.25 X 30</t>
  </si>
  <si>
    <t>0001AF0040N</t>
  </si>
  <si>
    <t>VIN CODE PLATE</t>
  </si>
  <si>
    <t>0605BB0050N</t>
  </si>
  <si>
    <t>ASSY PARKING BRAKE CABLE</t>
  </si>
  <si>
    <t>RUN SEAL RR WINDOW GLASS</t>
  </si>
  <si>
    <t>1801CAA29221N</t>
  </si>
  <si>
    <t xml:space="preserve">FLOOR WIRING HARNESS </t>
  </si>
  <si>
    <t>SF0216013</t>
  </si>
  <si>
    <t xml:space="preserve">SCREW TPPA CR ST </t>
  </si>
  <si>
    <t>SF0228018</t>
  </si>
  <si>
    <t>SCREW TPRF CR ST</t>
  </si>
  <si>
    <t>HANDBRAKE LIVER BACK CAP</t>
  </si>
  <si>
    <t>EXLE PART</t>
  </si>
  <si>
    <t>BAR  STABILIZER FR</t>
  </si>
  <si>
    <t>TUBE DISCHARGE</t>
  </si>
  <si>
    <t>BOLT BATTERY CLAMP</t>
  </si>
  <si>
    <t>FUEL TANK SP</t>
  </si>
  <si>
    <t>REFLECTOR ASSY REFLEX SIDE</t>
  </si>
  <si>
    <t>SWITCH, HAZARD WARNING SIGNAL</t>
  </si>
  <si>
    <t>PLATE, FUEL CAUTION</t>
  </si>
  <si>
    <t>WEATHERSTRIP FR DOOR GLASS OUTER RH</t>
  </si>
  <si>
    <t>BRACKET HEADLAMP LH</t>
  </si>
  <si>
    <t>EMBLEM SYMBOL</t>
  </si>
  <si>
    <t>CLAMP SUB ASSY BATTERY HOLD DOWN</t>
  </si>
  <si>
    <t>58448-26010-B0</t>
  </si>
  <si>
    <t>HOOK, ENGINE SERVICE HOLE COVE, NO 2</t>
  </si>
  <si>
    <t>90466-13003</t>
  </si>
  <si>
    <t>84802-V3020-B0</t>
  </si>
  <si>
    <t>SWITCH SET POWER WINDOW MASTER</t>
  </si>
  <si>
    <t>73240-26182-C0</t>
  </si>
  <si>
    <t>BELT ASSY FR SEAT, INNER LH</t>
  </si>
  <si>
    <t>WIRE INSTRUMENT PANEL</t>
  </si>
  <si>
    <t>COVER RR BUMPER</t>
  </si>
  <si>
    <t>GLASS SUB ASSY, BACKDOOR</t>
  </si>
  <si>
    <t>COVER, STEP PLATE, LH</t>
  </si>
  <si>
    <t>71420-26A30-B0</t>
  </si>
  <si>
    <t>CUSHION ASSY, FR SEAT, LH</t>
  </si>
  <si>
    <t>67610-26671-B0</t>
  </si>
  <si>
    <t>58510-26G10-B0</t>
  </si>
  <si>
    <t>MAT ASSY, FLOOR, FR</t>
  </si>
  <si>
    <t>PLATE, BACKDOOR NAME NO.1</t>
  </si>
  <si>
    <t>GLASS SUB ASSY, RR SIDE WINDOW, FR RH</t>
  </si>
  <si>
    <t>HANDLE ASSY TAIL DOOR</t>
  </si>
  <si>
    <t>PIPE FUEL LINE ASSY MAIN</t>
  </si>
  <si>
    <t>SPEAKER GRILLE RH</t>
  </si>
  <si>
    <t>9 + 1</t>
  </si>
  <si>
    <t>0111CG0170N</t>
  </si>
  <si>
    <t>GLASS TINTED REAR DOOR</t>
  </si>
  <si>
    <t>RUN SEAL RR WINDOW</t>
  </si>
  <si>
    <t>BOLT COMBI LP M10 X 1.5</t>
  </si>
  <si>
    <t>0307CAM00321N</t>
  </si>
  <si>
    <t>51100A0050N</t>
  </si>
  <si>
    <t>BOLT HEX HD</t>
  </si>
  <si>
    <t>GROMMET EHCU BRACKET</t>
  </si>
  <si>
    <t>HEADLAMP ASSEMBLY LH</t>
  </si>
  <si>
    <t xml:space="preserve">ASSY PARKING BRAKE </t>
  </si>
  <si>
    <t>3+1</t>
  </si>
  <si>
    <t>4/2/2024, 19/04/24</t>
  </si>
  <si>
    <t>1801CAA26771N</t>
  </si>
  <si>
    <t>SPEAKER GRILLE LH</t>
  </si>
  <si>
    <t xml:space="preserve">BOLT COMBI </t>
  </si>
  <si>
    <t>OBJ SLOTTED NUT</t>
  </si>
  <si>
    <t>ARM WIPER FRONT</t>
  </si>
  <si>
    <t>BOLT T-BAR</t>
  </si>
  <si>
    <t>16+2</t>
  </si>
  <si>
    <t>4,22/04/2024</t>
  </si>
  <si>
    <t>0111HAG00101N</t>
  </si>
  <si>
    <t>WINDOW/ DOOR REGULATOR</t>
  </si>
  <si>
    <t>VINCODE PLATE</t>
  </si>
  <si>
    <t>INST PANEL ASSY RHD</t>
  </si>
  <si>
    <t>0401EBB00371N</t>
  </si>
  <si>
    <t>STABILIZER BAR ASSY</t>
  </si>
  <si>
    <t>PLENUM APPLIQUE ASSR</t>
  </si>
  <si>
    <t>GEARBOX</t>
  </si>
  <si>
    <t>FN/FM</t>
  </si>
  <si>
    <t>FM</t>
  </si>
  <si>
    <t>VALVE SUPPLY</t>
  </si>
  <si>
    <t>RIVET SCREW</t>
  </si>
  <si>
    <t>MC847723</t>
  </si>
  <si>
    <t>D.OWINO</t>
  </si>
  <si>
    <t>NYAMBURA</t>
  </si>
  <si>
    <t>5+8</t>
  </si>
  <si>
    <t>(YVETTE + EDDA), MWANGOVI</t>
  </si>
  <si>
    <t>82715-26G01</t>
  </si>
  <si>
    <t>11285-75011</t>
  </si>
  <si>
    <t>LABEL, COOLANT SYSTEM INFO</t>
  </si>
  <si>
    <t>57423-26010</t>
  </si>
  <si>
    <t>CLAMP, FR FLOOR</t>
  </si>
  <si>
    <t>LAMP ASSY STOP CTR</t>
  </si>
  <si>
    <t>48066-26190</t>
  </si>
  <si>
    <t>ARM SUB-ASSY SUSPENSION UPR RH</t>
  </si>
  <si>
    <t>MAT ASSY FLOOR, FR</t>
  </si>
  <si>
    <t>CABLE ASSY HOOD LOCK CONTROL</t>
  </si>
  <si>
    <t>SCREW , W/WASHER TAPPING</t>
  </si>
  <si>
    <t>90468-07027</t>
  </si>
  <si>
    <t>93560-55025</t>
  </si>
  <si>
    <t>90950-01808</t>
  </si>
  <si>
    <t>91553-A0625</t>
  </si>
  <si>
    <t>SCREW W/WASHER TAPPING</t>
  </si>
  <si>
    <t>91553-A1018</t>
  </si>
  <si>
    <t>69290-06050-B0</t>
  </si>
  <si>
    <t>HANDLE ASSY BACKDOOR INSIDE</t>
  </si>
  <si>
    <t>75055-60010</t>
  </si>
  <si>
    <t>MOUULDING, SUB-ASSY RF RR RH</t>
  </si>
  <si>
    <t>75056-60010</t>
  </si>
  <si>
    <t>MOUULDING, SUB-ASSY RF RR LH</t>
  </si>
  <si>
    <t>KATANA</t>
  </si>
  <si>
    <t>75445-60010</t>
  </si>
  <si>
    <t>PLATE, BACKDOOR NAME, NO.5</t>
  </si>
  <si>
    <t>PLATE, BACKDOOR NAME, NO.1</t>
  </si>
  <si>
    <t>31380-60550</t>
  </si>
  <si>
    <t>84222-12010</t>
  </si>
  <si>
    <t>SWITCH, TRANSFER INDICATOR, NO 1</t>
  </si>
  <si>
    <t>WEATHERSTRIP, FR DOOR TRIM, RR RH</t>
  </si>
  <si>
    <t>PLATE RR BODY NAME, NO 1</t>
  </si>
  <si>
    <t>87208-60401</t>
  </si>
  <si>
    <t>PIPE SUBASSY WATER</t>
  </si>
  <si>
    <t>TUBE ASSY, RR BRAKE NO.1</t>
  </si>
  <si>
    <t>82131-60M23</t>
  </si>
  <si>
    <t>WIRE COWL</t>
  </si>
  <si>
    <t>88712-6A390</t>
  </si>
  <si>
    <t>HOSE SUCTION</t>
  </si>
  <si>
    <t>89170-60660</t>
  </si>
  <si>
    <t>SENSOR ASSY AIRBAG</t>
  </si>
  <si>
    <t>82111-6AE02</t>
  </si>
  <si>
    <t>WIRE ENGINE ROOM MAIN</t>
  </si>
  <si>
    <t>5 , 5</t>
  </si>
  <si>
    <t>4/16/2024, 3/MAY/2024</t>
  </si>
  <si>
    <t>MWAKERA, CHEBET</t>
  </si>
  <si>
    <t>82823-22050</t>
  </si>
  <si>
    <t>CAP, ALTERNATOR TERMINAL</t>
  </si>
  <si>
    <t>52159-0K301</t>
  </si>
  <si>
    <t>PLATE RR BUMPER</t>
  </si>
  <si>
    <t>86510-0K010</t>
  </si>
  <si>
    <t>HORN ASSY HIGH PITCHED</t>
  </si>
  <si>
    <t>TUBE, FR BRAKE, NO5</t>
  </si>
  <si>
    <t>47322-KK020</t>
  </si>
  <si>
    <t>TUBE, RR BRAKE, NO2</t>
  </si>
  <si>
    <t>47323-KK040</t>
  </si>
  <si>
    <t>TUBE, RR BRAKE, NO3</t>
  </si>
  <si>
    <t>COVER, SEAT TRACK BRACKET, INNER RR RH</t>
  </si>
  <si>
    <t>HEADLAMP ASSY, RH</t>
  </si>
  <si>
    <t>52205-0K110</t>
  </si>
  <si>
    <t>CUSHION SUBASSY, CAB MOUNTING, NO.3 UPR</t>
  </si>
  <si>
    <t>55550-KK040 C0</t>
  </si>
  <si>
    <t>DOOR ASSY GLOVE COMPARTMENT</t>
  </si>
  <si>
    <t>CAMERA ASSY TELEVISION</t>
  </si>
  <si>
    <t>75770-0K401</t>
  </si>
  <si>
    <t>NOZZLE &amp; HOSE ASSY, FR WASHER</t>
  </si>
  <si>
    <t>31481-KK030</t>
  </si>
  <si>
    <t>TUBE, MASTER CYLINDER TO TUBE CONNECTOR</t>
  </si>
  <si>
    <t>71002-0KV81 C2</t>
  </si>
  <si>
    <t>1PC</t>
  </si>
  <si>
    <t>LH SEAT TO FIT FORTUNER AJ0010</t>
  </si>
  <si>
    <t>67918-KK040 C0</t>
  </si>
  <si>
    <t>PLATE, RR DOOR SCUFF, INSIDE LH</t>
  </si>
  <si>
    <t>RETROFIT</t>
  </si>
  <si>
    <t>43220-0KB11</t>
  </si>
  <si>
    <t>2 X 4 KNUCK ASSY 16 645, LH W/ABS</t>
  </si>
  <si>
    <t>KORIR/MATUNDA</t>
  </si>
  <si>
    <t>BATTERY</t>
  </si>
  <si>
    <t>MC412817</t>
  </si>
  <si>
    <t>SPRIG CLUTCH PEDAL RETURN</t>
  </si>
  <si>
    <t>NDEGWA</t>
  </si>
  <si>
    <t>ASSY TAIL LAMP</t>
  </si>
  <si>
    <t>SPRING PIN</t>
  </si>
  <si>
    <t>48210-0K500</t>
  </si>
  <si>
    <t>SPRING ASSY RR</t>
  </si>
  <si>
    <t>LINE 2 AXLE</t>
  </si>
  <si>
    <t>76626-0K320</t>
  </si>
  <si>
    <t>MUDGUARD RR BODY LH</t>
  </si>
  <si>
    <t>69201-0K070</t>
  </si>
  <si>
    <t>FRAME SUB ASSY, FR DOOR OUTSIDE HANDLE, RH</t>
  </si>
  <si>
    <t>FRAME SUB ASSY, FR DOOR OUTSIDE HANDLE, LH</t>
  </si>
  <si>
    <t>86160-0K500</t>
  </si>
  <si>
    <t>90119-T0255</t>
  </si>
  <si>
    <t>90178-T0018</t>
  </si>
  <si>
    <t>TO FIT JE02, JD02</t>
  </si>
  <si>
    <t>PLUG, HOLE</t>
  </si>
  <si>
    <t>PETER MWASGIGADI</t>
  </si>
  <si>
    <t>41171-0K030</t>
  </si>
  <si>
    <t>PROTECTROR, DIFFERENTIAL</t>
  </si>
  <si>
    <t>KITAKA &amp; MWAKERA</t>
  </si>
  <si>
    <t>NUT CASTLE</t>
  </si>
  <si>
    <t>45020-0K120</t>
  </si>
  <si>
    <t>BRKT ASSY STEERING COLUMN UPR</t>
  </si>
  <si>
    <t>FRHS CORNER LIGHT</t>
  </si>
  <si>
    <t>REHEMA/RETROFIT</t>
  </si>
  <si>
    <t>S879151633</t>
  </si>
  <si>
    <t>S879151643</t>
  </si>
  <si>
    <t>JAR &amp; PUMP ASSY, FR</t>
  </si>
  <si>
    <t>VICTOR OTILA</t>
  </si>
  <si>
    <t>SPEAKER ASSY, RADIO</t>
  </si>
  <si>
    <t>45024-0K070 C0</t>
  </si>
  <si>
    <t>COVER SUB ASSY STEERING COLUMN, LWR</t>
  </si>
  <si>
    <t>10,5</t>
  </si>
  <si>
    <t>----,30/07/24</t>
  </si>
  <si>
    <t>ZUMA,MVOI</t>
  </si>
  <si>
    <t>73200-0D051 B2</t>
  </si>
  <si>
    <t>ADJUSTER ASSY, FR SHOULDER BELT ANCHOR</t>
  </si>
  <si>
    <t>0816102</t>
  </si>
  <si>
    <t>PRESS SCREW M12 X 30</t>
  </si>
  <si>
    <t>2532014</t>
  </si>
  <si>
    <t>SPRING BRAKE CHAMBER</t>
  </si>
  <si>
    <t>DAVID SCANIA</t>
  </si>
  <si>
    <t>2908433</t>
  </si>
  <si>
    <t>ECU HARDWARE RTC ASSY</t>
  </si>
  <si>
    <t>1456761</t>
  </si>
  <si>
    <t>BUFFER</t>
  </si>
  <si>
    <t>2564513</t>
  </si>
  <si>
    <t>90467-9</t>
  </si>
  <si>
    <t>0116AG0080</t>
  </si>
  <si>
    <t>1102EA0200N</t>
  </si>
  <si>
    <t>STEERING RESEVOIR</t>
  </si>
  <si>
    <t>ASSY SPARE WHEEL WRINCH</t>
  </si>
  <si>
    <t>SCREW M6 X 15</t>
  </si>
  <si>
    <t>EMMA &amp; C0638</t>
  </si>
  <si>
    <t>L2010625</t>
  </si>
  <si>
    <t>STANDARD SCREW HEX</t>
  </si>
  <si>
    <t>L2010830</t>
  </si>
  <si>
    <t>L2011020</t>
  </si>
  <si>
    <t>L2011025</t>
  </si>
  <si>
    <t>SCREW M10 X 25 X 1.5</t>
  </si>
  <si>
    <t>STANDARD NUT HEX</t>
  </si>
  <si>
    <t>NUT M8 X PC8 X 1.25</t>
  </si>
  <si>
    <t>L3011018</t>
  </si>
  <si>
    <t>NUT M10 X PC8 X 1.5</t>
  </si>
  <si>
    <t>L3810818</t>
  </si>
  <si>
    <t>STANDARD NUT CLEVELOC</t>
  </si>
  <si>
    <t>L3811018</t>
  </si>
  <si>
    <t>L4110600</t>
  </si>
  <si>
    <t>SC WASHER 6 DIA PLATED</t>
  </si>
  <si>
    <t>SC WASHER 8 DIA PLATED</t>
  </si>
  <si>
    <t>L4111000</t>
  </si>
  <si>
    <t>SC WASHER 10 DIA PLATED</t>
  </si>
  <si>
    <t>X0416810</t>
  </si>
  <si>
    <t>F0831614</t>
  </si>
  <si>
    <t>FP000124</t>
  </si>
  <si>
    <t>X6C03114</t>
  </si>
  <si>
    <t>FAA02668</t>
  </si>
  <si>
    <t>B1E23301</t>
  </si>
  <si>
    <t>F3400960</t>
  </si>
  <si>
    <t>B2Y04408</t>
  </si>
  <si>
    <t>F5B01814</t>
  </si>
  <si>
    <t>F5B00222</t>
  </si>
  <si>
    <t>B1E20503</t>
  </si>
  <si>
    <t>B1E20504</t>
  </si>
  <si>
    <t>F0H00215</t>
  </si>
  <si>
    <t>F0H00315</t>
  </si>
  <si>
    <t>FC200122</t>
  </si>
  <si>
    <t>FPZ00211</t>
  </si>
  <si>
    <t>F8821500</t>
  </si>
  <si>
    <t>F6M00800</t>
  </si>
  <si>
    <t>2058214</t>
  </si>
  <si>
    <t>INSERT UNION THREAD</t>
  </si>
  <si>
    <t>2116023</t>
  </si>
  <si>
    <t>CLOSE PROX MIRROR MAN W/O HEAT</t>
  </si>
  <si>
    <t>2334728</t>
  </si>
  <si>
    <t>LED CAT 6 DI RHS</t>
  </si>
  <si>
    <t>2294241</t>
  </si>
  <si>
    <t>BRACKET T UNION</t>
  </si>
  <si>
    <t>2568460</t>
  </si>
  <si>
    <t>CABLE H BMS EBS LWS COMPONENT</t>
  </si>
  <si>
    <t>3100042</t>
  </si>
  <si>
    <t>ICL HARDWARE ASSY</t>
  </si>
  <si>
    <t>DAIMLER</t>
  </si>
  <si>
    <t>A4009950202</t>
  </si>
  <si>
    <t>A4009880164</t>
  </si>
  <si>
    <t>N0000001590</t>
  </si>
  <si>
    <t>RETROFITMENT - ROMEO</t>
  </si>
  <si>
    <t>STARTER CABLE</t>
  </si>
  <si>
    <t>LU RADIO/ PILLAR ANTENNAE</t>
  </si>
  <si>
    <t>A4007500951</t>
  </si>
  <si>
    <t>HINGE LH</t>
  </si>
  <si>
    <t>LU BLOWER HVAC</t>
  </si>
  <si>
    <t>A4007500851</t>
  </si>
  <si>
    <t>HINGE RH</t>
  </si>
  <si>
    <t>MC933808V2</t>
  </si>
  <si>
    <t>TRIM FR DOOR RH</t>
  </si>
  <si>
    <t>MC933814VS</t>
  </si>
  <si>
    <t>TRIM FR DOOR LH</t>
  </si>
  <si>
    <t>11491406137</t>
  </si>
  <si>
    <t>TAPPING SCEW</t>
  </si>
  <si>
    <t>269881900102</t>
  </si>
  <si>
    <t>DOOR CLIP</t>
  </si>
  <si>
    <t>HOSE CLAMP 65</t>
  </si>
  <si>
    <t>BRACKET COOLING PIPE</t>
  </si>
  <si>
    <t>264247600104</t>
  </si>
  <si>
    <t>SUNCTION LINE</t>
  </si>
  <si>
    <t>SPRING BAND CLAMP</t>
  </si>
  <si>
    <t>553029303304</t>
  </si>
  <si>
    <t>BRACKET CLUTCH PIPE</t>
  </si>
  <si>
    <t>570950408224</t>
  </si>
  <si>
    <t>14280599272</t>
  </si>
  <si>
    <t>570914604208</t>
  </si>
  <si>
    <t>P-TYPE CLAMP</t>
  </si>
  <si>
    <t>14280598292</t>
  </si>
  <si>
    <t>HOSE CLAMP 70P TYPE CLAMP</t>
  </si>
  <si>
    <t>FUEL SUNCTION LINE</t>
  </si>
  <si>
    <t>254714604215</t>
  </si>
  <si>
    <t>YODHA</t>
  </si>
  <si>
    <t>55129100129</t>
  </si>
  <si>
    <t>CLUTCH HOSE</t>
  </si>
  <si>
    <t>289481106501</t>
  </si>
  <si>
    <t>SPRING CLIP</t>
  </si>
  <si>
    <t>288331200102</t>
  </si>
  <si>
    <t>SUPPORT ASSY</t>
  </si>
  <si>
    <t>289467807701</t>
  </si>
  <si>
    <t>269842700165</t>
  </si>
  <si>
    <t>PARKING BRAKE CABLE</t>
  </si>
  <si>
    <t>289472300183</t>
  </si>
  <si>
    <t>LINK ASSY</t>
  </si>
  <si>
    <t>265442809201</t>
  </si>
  <si>
    <t>GASKET BI NO</t>
  </si>
  <si>
    <t>570950108228</t>
  </si>
  <si>
    <t>11492498337</t>
  </si>
  <si>
    <t>ASSY CLIP</t>
  </si>
  <si>
    <t>585868916311</t>
  </si>
  <si>
    <t>DUMMY CAP</t>
  </si>
  <si>
    <t>CIGARRETE LIGHTER</t>
  </si>
  <si>
    <t>CONTROL UNIT HOLDER</t>
  </si>
  <si>
    <t>BOY18229</t>
  </si>
  <si>
    <t>S/A OF STRICKER A FRONT</t>
  </si>
  <si>
    <t>BOY18258</t>
  </si>
  <si>
    <t>CHECK ARM</t>
  </si>
  <si>
    <t>BOY18275</t>
  </si>
  <si>
    <t>S/A OF FUSEBOX HOLDER</t>
  </si>
  <si>
    <t>BOY18630</t>
  </si>
  <si>
    <t>S/A OF SUPPORT REINT BRACKET</t>
  </si>
  <si>
    <t>BOY18745</t>
  </si>
  <si>
    <t>S/A OF MTG BRACKET- CANTRAIL</t>
  </si>
  <si>
    <t>HAND BRAKE VALVE</t>
  </si>
  <si>
    <t>HOUSING HANDLE</t>
  </si>
  <si>
    <t>HANDLE A GRAB EXT FRT LH</t>
  </si>
  <si>
    <t>COVER ROCKER PANEL FRT- LH</t>
  </si>
  <si>
    <t>COVER ROCKER PANEL RR RH</t>
  </si>
  <si>
    <t>BRACKET FRONT BUMPER</t>
  </si>
  <si>
    <t>BRACKET - FUPD LH</t>
  </si>
  <si>
    <t>BRACKET FRONT SPRING REAR RH</t>
  </si>
  <si>
    <t>L6010525</t>
  </si>
  <si>
    <t>STANDARD SCREW</t>
  </si>
  <si>
    <t>CAP FUEL TANK</t>
  </si>
  <si>
    <t>NACILLE INTERIOR TRIM UPPER</t>
  </si>
  <si>
    <t>POCKET</t>
  </si>
  <si>
    <t>OUTER DOOR HANDLE RH</t>
  </si>
  <si>
    <t>ARM ASSIST</t>
  </si>
  <si>
    <t>ARM A WIPER RHD</t>
  </si>
  <si>
    <t>DOOR HARNESS</t>
  </si>
  <si>
    <t>NOZZLE SCREEN DEFROST RH</t>
  </si>
  <si>
    <t>TRIM PILLAR UPPER RH</t>
  </si>
  <si>
    <t>TRIM PILLAR UPPER LH</t>
  </si>
  <si>
    <t>BLANK MIRROR ADJUST SWITCHLATCH A FRONT DOOR - LH</t>
  </si>
  <si>
    <t>ELBOW ADAPTOR 90 DEGREES</t>
  </si>
  <si>
    <t>BLACK COVER</t>
  </si>
  <si>
    <t>BOY18255</t>
  </si>
  <si>
    <t>HANDLE A INSIDE DR LH</t>
  </si>
  <si>
    <t>BOY18256</t>
  </si>
  <si>
    <t>HANDLE A INSIDE DR RH</t>
  </si>
  <si>
    <t>BOY18257</t>
  </si>
  <si>
    <t>S/A OF HANDLE COMP</t>
  </si>
  <si>
    <t>COVER IP CTR LWR</t>
  </si>
  <si>
    <t>PANEL IP PASSENGER</t>
  </si>
  <si>
    <t>X1T01500</t>
  </si>
  <si>
    <t>2417889</t>
  </si>
  <si>
    <t>LATERAL PROTECTION ASSEMBLY</t>
  </si>
  <si>
    <t>2918086</t>
  </si>
  <si>
    <t>HOLDER ASSY INSTRUMENT PANEL CUP</t>
  </si>
  <si>
    <t>18-06-2024</t>
  </si>
  <si>
    <t>KANGESA</t>
  </si>
  <si>
    <t>TRAY INSTRUMENT PANEL CUP HOLDER</t>
  </si>
  <si>
    <t>SCREWS FOR FOLDERS</t>
  </si>
  <si>
    <t xml:space="preserve"> M14 HEXAGON LOCK NUT</t>
  </si>
  <si>
    <t>HEXAGON SCREW</t>
  </si>
  <si>
    <t>1350362</t>
  </si>
  <si>
    <t>1385209</t>
  </si>
  <si>
    <t>1399129</t>
  </si>
  <si>
    <t>1409605</t>
  </si>
  <si>
    <t>1548500</t>
  </si>
  <si>
    <t>1878229</t>
  </si>
  <si>
    <t>HOLDER ASSY</t>
  </si>
  <si>
    <t xml:space="preserve">  </t>
  </si>
  <si>
    <t>BRACKET COMP AI</t>
  </si>
  <si>
    <t>2083742</t>
  </si>
  <si>
    <t>STABILIZER BAR</t>
  </si>
  <si>
    <t>2096136</t>
  </si>
  <si>
    <t>2118477</t>
  </si>
  <si>
    <t>COVER FOR MIRROR</t>
  </si>
  <si>
    <t>2282097</t>
  </si>
  <si>
    <t>2388675</t>
  </si>
  <si>
    <t>2431292</t>
  </si>
  <si>
    <t>AIR OUTLET PIPE</t>
  </si>
  <si>
    <t>2520544</t>
  </si>
  <si>
    <t>BRACKET FOR SIDE MAKER</t>
  </si>
  <si>
    <t>GUIDE RAIL</t>
  </si>
  <si>
    <t>2585604</t>
  </si>
  <si>
    <t>2632298</t>
  </si>
  <si>
    <t>CAB TILT HOSE</t>
  </si>
  <si>
    <t>2642476</t>
  </si>
  <si>
    <t>2649555</t>
  </si>
  <si>
    <t>LAMP BRACKET LH</t>
  </si>
  <si>
    <t>2668247</t>
  </si>
  <si>
    <t>MUDGUARD</t>
  </si>
  <si>
    <t>2673171</t>
  </si>
  <si>
    <t>GROMMET HEADLAMP</t>
  </si>
  <si>
    <t>2703970</t>
  </si>
  <si>
    <t>STRAP PIN THREAD</t>
  </si>
  <si>
    <t>2707337</t>
  </si>
  <si>
    <t>HEADLAMP COVER</t>
  </si>
  <si>
    <t>2755754</t>
  </si>
  <si>
    <t>2756665</t>
  </si>
  <si>
    <t>2759784</t>
  </si>
  <si>
    <t>LAMP GUARD ASSY LH</t>
  </si>
  <si>
    <t>2766342</t>
  </si>
  <si>
    <t>2882882</t>
  </si>
  <si>
    <t>COVER</t>
  </si>
  <si>
    <t>2920296</t>
  </si>
  <si>
    <t>UPPER TANK STRAP</t>
  </si>
  <si>
    <t>2920297</t>
  </si>
  <si>
    <t>LOWER FUEL TANK STRAP</t>
  </si>
  <si>
    <t>2053166</t>
  </si>
  <si>
    <t>WINDOW WINDER</t>
  </si>
  <si>
    <t>2053176</t>
  </si>
  <si>
    <t>WINDOW GUIDE RAIL RH</t>
  </si>
  <si>
    <t>2053564</t>
  </si>
  <si>
    <t>WINDOW GUIDE RAIL LH</t>
  </si>
  <si>
    <t>2652329</t>
  </si>
  <si>
    <t>1404619</t>
  </si>
  <si>
    <t>LOCK WASHER</t>
  </si>
  <si>
    <t>2246504</t>
  </si>
  <si>
    <t>2773708</t>
  </si>
  <si>
    <t>2265357</t>
  </si>
  <si>
    <t>2727074</t>
  </si>
  <si>
    <t>WINDOW GLASS RH</t>
  </si>
  <si>
    <t>2727073</t>
  </si>
  <si>
    <t>WINDOW GLASS LH</t>
  </si>
  <si>
    <t>2642209</t>
  </si>
  <si>
    <t>DOOR HANDLE RH</t>
  </si>
  <si>
    <t>2561571</t>
  </si>
  <si>
    <t>WIND SCREEN WIPER</t>
  </si>
  <si>
    <t>2569029</t>
  </si>
  <si>
    <t>CONTROL PANEL</t>
  </si>
  <si>
    <t>2076265</t>
  </si>
  <si>
    <t>ELECTRIC MOTOR RH</t>
  </si>
  <si>
    <t>2265358</t>
  </si>
  <si>
    <t>2642201</t>
  </si>
  <si>
    <t>DOOR HANDLE</t>
  </si>
  <si>
    <t>2076264</t>
  </si>
  <si>
    <t>ELECTRIC MOTOR LH</t>
  </si>
  <si>
    <t>BAR, STABILIZER, FR</t>
  </si>
  <si>
    <t>31470-60201</t>
  </si>
  <si>
    <t>CYLINDER ASSY CLUTCH RELEASE</t>
  </si>
  <si>
    <t>74611-20030-B8</t>
  </si>
  <si>
    <t>GRIP ASSIST</t>
  </si>
  <si>
    <t>53866-26011</t>
  </si>
  <si>
    <t>SEAL, FR FENDER TO COWL SIDE, RH</t>
  </si>
  <si>
    <t>53687-26011</t>
  </si>
  <si>
    <t>SEAL, FR FENDER TO COWL SIDE, LH</t>
  </si>
  <si>
    <t>75776-26010</t>
  </si>
  <si>
    <t>COVER, HOOD FR MOULDING END, LH</t>
  </si>
  <si>
    <t>75775-26010</t>
  </si>
  <si>
    <t>COVER, HOOD FR MOULDING END , RH</t>
  </si>
  <si>
    <t>74615-26010-B0</t>
  </si>
  <si>
    <t>PLUG FR ASSIST GRIP, NO.1 RH</t>
  </si>
  <si>
    <t>SUPPORT ASSY HOOD, LH</t>
  </si>
  <si>
    <t>47310-V3040</t>
  </si>
  <si>
    <t>TUBE ASSY, BRAKE, N0.1</t>
  </si>
  <si>
    <t>TUBE MASTER CYLINDER TO TUBE CONNECTOR</t>
  </si>
  <si>
    <t>44750-26201</t>
  </si>
  <si>
    <t>HOSE, VACUUM</t>
  </si>
  <si>
    <t>LABEL, COOLER SERVICE CAUTION</t>
  </si>
  <si>
    <t>TUBE AND ACCESSORIES ASSY AIR CONDITIONER</t>
  </si>
  <si>
    <t>MWAKERA, MWAKERA &amp; JEREMIAH</t>
  </si>
  <si>
    <t>72249-26030</t>
  </si>
  <si>
    <t>GUIDE, SEAT TRACK LOCKING</t>
  </si>
  <si>
    <t>68101-26084</t>
  </si>
  <si>
    <t>GLASS SUB ASSY, FR DOOR, RH</t>
  </si>
  <si>
    <t>58840-26050-B0</t>
  </si>
  <si>
    <t>COVER ASSY SHIFTING HOLE</t>
  </si>
  <si>
    <t>BOARD, BACK DOOR TRIM</t>
  </si>
  <si>
    <t>PLATE, BACK DOOR NAME, NO.A</t>
  </si>
  <si>
    <t>2 + 6</t>
  </si>
  <si>
    <t>HOSE, OIL RETURN</t>
  </si>
  <si>
    <t>LAMP ASSY, STOP CTR</t>
  </si>
  <si>
    <t>90947-02D90</t>
  </si>
  <si>
    <t>HOSE, FLEXIBLE</t>
  </si>
  <si>
    <t>62740-26B74</t>
  </si>
  <si>
    <t>WINDOW ASSY, SIDE, RR LH</t>
  </si>
  <si>
    <t>52119-26671</t>
  </si>
  <si>
    <t>COVER, FR BUMPER</t>
  </si>
  <si>
    <t>GLASS SUB ASSY, FR DOOR, LH</t>
  </si>
  <si>
    <t>CABLE ASSY , HOOD LOCK CONTROL</t>
  </si>
  <si>
    <t>HANDLE ASSY, PARKING BRAKE CONTROL</t>
  </si>
  <si>
    <t>16400-30163</t>
  </si>
  <si>
    <t>LABEL, NAME</t>
  </si>
  <si>
    <t>ABSORBER, SHOCK, RR</t>
  </si>
  <si>
    <t>GLASS SUB ASSY, RR SIDE WINDOW, FR, RH</t>
  </si>
  <si>
    <t>P9096708040</t>
  </si>
  <si>
    <t>NYLON TUBE</t>
  </si>
  <si>
    <t>P9096708120</t>
  </si>
  <si>
    <t>P9096710400</t>
  </si>
  <si>
    <t>P9096715240</t>
  </si>
  <si>
    <t>P3474662482</t>
  </si>
  <si>
    <t>N/TUBE A-A/T, FRT:B/VLV</t>
  </si>
  <si>
    <t>P3655003250MI</t>
  </si>
  <si>
    <t>CVR ASM CO-DASH DRVSD LH RHD</t>
  </si>
  <si>
    <t>P3655200830NB</t>
  </si>
  <si>
    <t>COVER - BOTTOM DRIVER CTR RHD</t>
  </si>
  <si>
    <t>P3819100370</t>
  </si>
  <si>
    <t>GROMMET - AJAR LAMP</t>
  </si>
  <si>
    <t>L3443100640</t>
  </si>
  <si>
    <t>WHEEL NUT M22 X 1.5</t>
  </si>
  <si>
    <t>P3899301280</t>
  </si>
  <si>
    <t>PIPE STAY ASM, NO.1</t>
  </si>
  <si>
    <t>P3655002100OB</t>
  </si>
  <si>
    <t>PACKING LH FOR DUCT DEF DOOR</t>
  </si>
  <si>
    <t>P3102007480(04)</t>
  </si>
  <si>
    <t>PLUG COVER</t>
  </si>
  <si>
    <t>P3371138480(04)</t>
  </si>
  <si>
    <t>BREATHER</t>
  </si>
  <si>
    <t>P3081001130</t>
  </si>
  <si>
    <t>FLANGE BOLT M8 X 1.25</t>
  </si>
  <si>
    <t>P3081001460</t>
  </si>
  <si>
    <t>P9020510308</t>
  </si>
  <si>
    <t>HEX BOLT M10 X 1.25</t>
  </si>
  <si>
    <t>P9051210358</t>
  </si>
  <si>
    <t>FLANGE BOLT M10 X 1.25</t>
  </si>
  <si>
    <t>P9920614458</t>
  </si>
  <si>
    <t>HEX BOLT M14 X 1.5</t>
  </si>
  <si>
    <t>P9920512358</t>
  </si>
  <si>
    <t>HEX BOLT M12 X 1.25</t>
  </si>
  <si>
    <t>P9051206308</t>
  </si>
  <si>
    <t>FLANGE BOLT M6 X 1.0</t>
  </si>
  <si>
    <t>P3082000210</t>
  </si>
  <si>
    <t>SPRING NUT</t>
  </si>
  <si>
    <t>P9020408458</t>
  </si>
  <si>
    <t>HEX BOLT M8 X 1.25</t>
  </si>
  <si>
    <t>P9091509080</t>
  </si>
  <si>
    <t>P9972065160</t>
  </si>
  <si>
    <t>T/SCREW- P/HD, FLANGE</t>
  </si>
  <si>
    <t>P9019708358</t>
  </si>
  <si>
    <t>BOLT - WASHER M8 X 1.25</t>
  </si>
  <si>
    <t>BOLERO</t>
  </si>
  <si>
    <t>1805AAA04251N</t>
  </si>
  <si>
    <t>MAHINDRA BODY FUNC MODULE ASSY</t>
  </si>
  <si>
    <t>BOLT COMBI M10</t>
  </si>
  <si>
    <t>01114G0020N</t>
  </si>
  <si>
    <t>REG ELECT FRT DOOR WINDOW RH</t>
  </si>
  <si>
    <t>OCHIENG RETRO</t>
  </si>
  <si>
    <t>TRIM ASSY DR FRT LH WO PUDDLE</t>
  </si>
  <si>
    <t>0111H60020N</t>
  </si>
  <si>
    <t>0112AG4680</t>
  </si>
  <si>
    <t>2211860</t>
  </si>
  <si>
    <t>2362833</t>
  </si>
  <si>
    <t>2037651</t>
  </si>
  <si>
    <t>3053439</t>
  </si>
  <si>
    <t>ADAPTOR</t>
  </si>
  <si>
    <t>STICKER ACE</t>
  </si>
  <si>
    <t>FL SCR M16 X 1.5 X 40</t>
  </si>
  <si>
    <t>END CAP ROOF BEADING</t>
  </si>
  <si>
    <t>MANUFACTURER'S PLATE</t>
  </si>
  <si>
    <t>DOOR KNOB</t>
  </si>
  <si>
    <t>DEVICE INDICATOR ADAPTOR</t>
  </si>
  <si>
    <t>SCREW GROMMET</t>
  </si>
  <si>
    <t>RUBBER WASHER</t>
  </si>
  <si>
    <t>USB DUMMY CAP</t>
  </si>
  <si>
    <t>289469506305 / 269881126323</t>
  </si>
  <si>
    <t>BONDED FOAM / SEALING DASH</t>
  </si>
  <si>
    <t>2166792</t>
  </si>
  <si>
    <t>2058024</t>
  </si>
  <si>
    <t>45024-0K070</t>
  </si>
  <si>
    <t>COVER SUB ASSY, STEERING COLUMN LOWER</t>
  </si>
  <si>
    <t>FRAME SUB ASSY, FR DOOR OUTS HANDLE LH</t>
  </si>
  <si>
    <t>86160-05500</t>
  </si>
  <si>
    <t>90167-T0007</t>
  </si>
  <si>
    <t>SCREW, PAN TAPPING</t>
  </si>
  <si>
    <t>NUT, CASTLE</t>
  </si>
  <si>
    <t>90430-18008</t>
  </si>
  <si>
    <t>CLIP 1</t>
  </si>
  <si>
    <t>CLIP 2</t>
  </si>
  <si>
    <t>AKINYI</t>
  </si>
  <si>
    <t>B5412588</t>
  </si>
  <si>
    <t>WIPER ARM AND BLADE LH &amp; RH</t>
  </si>
  <si>
    <t>B0Y02357</t>
  </si>
  <si>
    <t>ASSY FRONT DOOR OPENING LHR</t>
  </si>
  <si>
    <t>B5412225</t>
  </si>
  <si>
    <t>HINGE ASSY HOOD RH</t>
  </si>
  <si>
    <t>B5412226</t>
  </si>
  <si>
    <t>HINGE ASSY HOOD LH</t>
  </si>
  <si>
    <t>B5412274</t>
  </si>
  <si>
    <t>CHNL ASSY LONG LH</t>
  </si>
  <si>
    <t>B5412275</t>
  </si>
  <si>
    <t>CHNL ASSY LONG RH</t>
  </si>
  <si>
    <t>B5425568</t>
  </si>
  <si>
    <t>SA OF ROD RH</t>
  </si>
  <si>
    <t>B5438617</t>
  </si>
  <si>
    <t>ASSY OF STEELE GRILLE</t>
  </si>
  <si>
    <t>F4950460</t>
  </si>
  <si>
    <t>FIBRE WASHER</t>
  </si>
  <si>
    <t>WSTRIP ASSY DOOR</t>
  </si>
  <si>
    <t>F7600113</t>
  </si>
  <si>
    <t>BAR FRONT BUMPER</t>
  </si>
  <si>
    <t>F7600215</t>
  </si>
  <si>
    <t>PAD STRIP</t>
  </si>
  <si>
    <t>F7600315</t>
  </si>
  <si>
    <t>LINK ASSY OUT DOOR CODE</t>
  </si>
  <si>
    <t>F7722110</t>
  </si>
  <si>
    <t>SUPPORT BODY SIDE LO</t>
  </si>
  <si>
    <t>F7860600</t>
  </si>
  <si>
    <t>LATCH ASSY HOOD</t>
  </si>
  <si>
    <t>GLASS DOOR FIXED</t>
  </si>
  <si>
    <t>ASSY REAR VIEW MIRROR</t>
  </si>
  <si>
    <t>SENSOR - REED SWITCH</t>
  </si>
  <si>
    <t>X7468600</t>
  </si>
  <si>
    <t>Q/V WINDOW</t>
  </si>
  <si>
    <t>PLUG SWITCH HOLE BLA</t>
  </si>
  <si>
    <t>WAHOME</t>
  </si>
  <si>
    <t>HOOD GRILLE</t>
  </si>
  <si>
    <t>SUNVISOR LH</t>
  </si>
  <si>
    <t>U BOLT</t>
  </si>
  <si>
    <t>69036-02040</t>
  </si>
  <si>
    <t>COVER SUB-ASSY FR DOOR LOCK LH</t>
  </si>
  <si>
    <t>7/12/2024, 24/07/24</t>
  </si>
  <si>
    <t>OTILA, KANGESA</t>
  </si>
  <si>
    <t>FIRE EXTINGUISHERS</t>
  </si>
  <si>
    <t>DAVID{SCANIA TECHN}</t>
  </si>
  <si>
    <t>LABEL IDENTIFICATION NUMBER</t>
  </si>
  <si>
    <t>58000-KK902 AO</t>
  </si>
  <si>
    <t>SHELL ASSY BODY{DOOR CUSHION}</t>
  </si>
  <si>
    <t>2+4</t>
  </si>
  <si>
    <t>-----,29/07/24</t>
  </si>
  <si>
    <t>C0386, KIZITO</t>
  </si>
  <si>
    <t>FRAME SUB ASSY FRT DR OTR HANDLE RH</t>
  </si>
  <si>
    <t>69283-0K060</t>
  </si>
  <si>
    <t>PLUG DOOR INSIDE HANDLE BEZEL RH</t>
  </si>
  <si>
    <t>PLUG DOOR INSIDE HANDLE BEZEL LH</t>
  </si>
  <si>
    <t>COVER SUB ASSY, STEERING COLUMN LWR</t>
  </si>
  <si>
    <t>FRAME SUB ASSY, FR DOOE OUTSIDE HANDLE, LH</t>
  </si>
  <si>
    <t>90468-05171</t>
  </si>
  <si>
    <t>VDJ/HIACE</t>
  </si>
  <si>
    <t>FLAT WASHER</t>
  </si>
  <si>
    <t>F5J00413</t>
  </si>
  <si>
    <t>COIN HOLDER</t>
  </si>
  <si>
    <t>SUNVISOR ASSY LH</t>
  </si>
  <si>
    <t>7/18/2024,22/7/24</t>
  </si>
  <si>
    <t>BUNDOTICH/KEVIN,BUNDOTICH</t>
  </si>
  <si>
    <t>X7820900</t>
  </si>
  <si>
    <t>2+1+1+1+1</t>
  </si>
  <si>
    <t>18/7/24,17/7/24,7/16/2024,</t>
  </si>
  <si>
    <t>BUNDOTICH,BUNDOTICH,BUNDOTICH</t>
  </si>
  <si>
    <t>,BUNDOTICH, BUNDOTICH</t>
  </si>
  <si>
    <t>FL803400</t>
  </si>
  <si>
    <t>CAB ASSY INTERIOR LAMP</t>
  </si>
  <si>
    <t>1+2</t>
  </si>
  <si>
    <t>BUNDOTICH, MAPENZI</t>
  </si>
  <si>
    <t>BOY27605</t>
  </si>
  <si>
    <t>ECOMET DOOR TRIM RH</t>
  </si>
  <si>
    <t>BUNDOTICH/KAINDI</t>
  </si>
  <si>
    <t>B7W02590</t>
  </si>
  <si>
    <t>FFZ00288</t>
  </si>
  <si>
    <t>FENDER BODY RH</t>
  </si>
  <si>
    <t>1 + 2</t>
  </si>
  <si>
    <t>22/7/24</t>
  </si>
  <si>
    <t>FFZ00388</t>
  </si>
  <si>
    <t>FENDER BODY LH</t>
  </si>
  <si>
    <t>1 + 2+1</t>
  </si>
  <si>
    <t>BUNDOTICH/KAINDI,BUNDOTICH</t>
  </si>
  <si>
    <t>FJ601068</t>
  </si>
  <si>
    <t>STEERING RESERVIOR</t>
  </si>
  <si>
    <t>F6W00200</t>
  </si>
  <si>
    <t>7/15/2024,14/8/24</t>
  </si>
  <si>
    <t>MAPENZI,MAPENZI</t>
  </si>
  <si>
    <t>ALL RETROFIT</t>
  </si>
  <si>
    <t>CAB LATCH SWITCH BRKT</t>
  </si>
  <si>
    <t>X0N08899</t>
  </si>
  <si>
    <t>INLATION STICKER</t>
  </si>
  <si>
    <t>PARTNER LABEL</t>
  </si>
  <si>
    <t>B5435429</t>
  </si>
  <si>
    <t>1+4+2</t>
  </si>
  <si>
    <t>7/17/2024.,18/7/24,22/7/24</t>
  </si>
  <si>
    <t>MAPENZI,KEVIN,BUNDOTICH</t>
  </si>
  <si>
    <t>B5435428/30</t>
  </si>
  <si>
    <t>X7819000</t>
  </si>
  <si>
    <t>SA QTR VENT WINDOW LH</t>
  </si>
  <si>
    <t xml:space="preserve">Q/V WINDOW </t>
  </si>
  <si>
    <t>2+2+2</t>
  </si>
  <si>
    <t>7/17/2024,18/7/24,22/7/24</t>
  </si>
  <si>
    <t>BUNDOTICH,BUNDOTICH</t>
  </si>
  <si>
    <t>F1111960</t>
  </si>
  <si>
    <t>BATTERY COVER</t>
  </si>
  <si>
    <t>F7963014</t>
  </si>
  <si>
    <t>STAY HOOD</t>
  </si>
  <si>
    <t>B5425268</t>
  </si>
  <si>
    <t>SA OF CAB CAT</t>
  </si>
  <si>
    <t>LINK ASSY OUTER DOOR</t>
  </si>
  <si>
    <t>1+1+2</t>
  </si>
  <si>
    <t>17/7/24,7/18/2024</t>
  </si>
  <si>
    <t>BOY04720</t>
  </si>
  <si>
    <t>MOUNTING BRKT</t>
  </si>
  <si>
    <t>F7874570</t>
  </si>
  <si>
    <t>F5J00660</t>
  </si>
  <si>
    <t>HINGE COVER</t>
  </si>
  <si>
    <t>F7872240</t>
  </si>
  <si>
    <t xml:space="preserve">BLIND RIVET </t>
  </si>
  <si>
    <t>X3021913</t>
  </si>
  <si>
    <t>MIRROR BRACE REINF. BRKT RH</t>
  </si>
  <si>
    <t>7/17/2024,18/7/24</t>
  </si>
  <si>
    <t>SC WASHER</t>
  </si>
  <si>
    <t>L6010630</t>
  </si>
  <si>
    <t>PHILPS SCREW</t>
  </si>
  <si>
    <t>B5431567</t>
  </si>
  <si>
    <t>IGNITION SWITCH STG</t>
  </si>
  <si>
    <t>F3545410</t>
  </si>
  <si>
    <t>AIRTANK MTNG BRKT</t>
  </si>
  <si>
    <t>FLANGED BOLT HEX 12X1.75</t>
  </si>
  <si>
    <t xml:space="preserve">SEAL </t>
  </si>
  <si>
    <t>F7873560</t>
  </si>
  <si>
    <t>NU AND CAGE ASSY</t>
  </si>
  <si>
    <t>F7874660</t>
  </si>
  <si>
    <t>RIVET BLD DOMED ALUM</t>
  </si>
  <si>
    <t>PLUG SWITCH HOLE BLAN</t>
  </si>
  <si>
    <t>PIN DOOR LATCH STRIKE CARGO</t>
  </si>
  <si>
    <t>F7872180</t>
  </si>
  <si>
    <t>B5580817</t>
  </si>
  <si>
    <t>1+1+2+1+1</t>
  </si>
  <si>
    <t>16/7/24,7/18/2024</t>
  </si>
  <si>
    <t>BUNDOTICH,BUNDOTICH, KAINDI, STEVE,BUNDOTICH</t>
  </si>
  <si>
    <t>ASSY FRT DOOR OPENING LHR</t>
  </si>
  <si>
    <t>CHANNEL ASSY LONG RH</t>
  </si>
  <si>
    <t>2+2</t>
  </si>
  <si>
    <t>KAINDI,BUNDOTICH</t>
  </si>
  <si>
    <t>CHANNEL ASSY LONG LH</t>
  </si>
  <si>
    <t>B5545131</t>
  </si>
  <si>
    <t>S/A KICK VENT BISON</t>
  </si>
  <si>
    <t>B5580816</t>
  </si>
  <si>
    <t>S/A BRKT RVM LH</t>
  </si>
  <si>
    <t>1 + 2 + 1 +1</t>
  </si>
  <si>
    <t>BUNDOTIC, KAINDI, STEVE,BUNDOTICH</t>
  </si>
  <si>
    <t>ASHOK-PARTNER</t>
  </si>
  <si>
    <t>727122VE0A</t>
  </si>
  <si>
    <t>PACKED WITH PHOENIX CKD</t>
  </si>
  <si>
    <t>501132406502</t>
  </si>
  <si>
    <t>HEX FLANGE NUT M14</t>
  </si>
  <si>
    <t>263243700169</t>
  </si>
  <si>
    <t>263242909901</t>
  </si>
  <si>
    <t>550754449916</t>
  </si>
  <si>
    <t>TAIL LAMP</t>
  </si>
  <si>
    <t>DOOR LOCK ASSY KIT</t>
  </si>
  <si>
    <t>0110AAG04421N</t>
  </si>
  <si>
    <t>HEADREST</t>
  </si>
  <si>
    <t>76626-OK320</t>
  </si>
  <si>
    <t>LABEL, COOLANT SYSTEM INFORMATION</t>
  </si>
  <si>
    <t>90105-11053</t>
  </si>
  <si>
    <t>SEAL, FR FENDER APRON, LH</t>
  </si>
  <si>
    <t>RESEVOIR ASSY, VACUUM</t>
  </si>
  <si>
    <t>53301-60909</t>
  </si>
  <si>
    <t>HOOD SUB-ASSY, W/ED</t>
  </si>
  <si>
    <t>53911-60902</t>
  </si>
  <si>
    <t>PANEL FR VALENCE W/ED</t>
  </si>
  <si>
    <t>BOLT U</t>
  </si>
  <si>
    <t>LABEL, SYSTEM COOLANT NOTICE</t>
  </si>
  <si>
    <t>45466-36020</t>
  </si>
  <si>
    <t>CLAMP, STEERING RELAY ROD END</t>
  </si>
  <si>
    <t>90182-10006</t>
  </si>
  <si>
    <t>NUT, W/WASHER</t>
  </si>
  <si>
    <t>74559-89101</t>
  </si>
  <si>
    <t>TUBE ASSY, RR BRAKE, N0.1</t>
  </si>
  <si>
    <t>58510-60S82-B0</t>
  </si>
  <si>
    <t>WEATHERSTRIP, WINDSHIELD</t>
  </si>
  <si>
    <t>89516-60530</t>
  </si>
  <si>
    <t>WIRE, SKID CONTROL SENSOR</t>
  </si>
  <si>
    <t>KANGESA , RODGERS</t>
  </si>
  <si>
    <t>PROECTOR, INTERCOOLER</t>
  </si>
  <si>
    <t>52205-60040</t>
  </si>
  <si>
    <t>CUSHION SUB-ASSY, CAB MPUNTING, N0.3 UPR</t>
  </si>
  <si>
    <t>55539-33170-C1</t>
  </si>
  <si>
    <t>CABLE ASSY, HOOD LOCK CONTROL</t>
  </si>
  <si>
    <t>45220-60310</t>
  </si>
  <si>
    <t>SHAFT ASSY, STEERING INTERMEDIATE</t>
  </si>
  <si>
    <t>1 + 3</t>
  </si>
  <si>
    <t>8/5/2024, 16/08/24</t>
  </si>
  <si>
    <t>MWAKERA, OMANYA</t>
  </si>
  <si>
    <t>BELT</t>
  </si>
  <si>
    <t>LUDENYO</t>
  </si>
  <si>
    <t>STEP</t>
  </si>
  <si>
    <t>TO FIT</t>
  </si>
  <si>
    <t>BOLT HEX</t>
  </si>
  <si>
    <t>FB00122</t>
  </si>
  <si>
    <t>B1T05401</t>
  </si>
  <si>
    <t>THROTTLE CABLE ASSY</t>
  </si>
  <si>
    <t>XDA00400</t>
  </si>
  <si>
    <t>HOSE BREATHER</t>
  </si>
  <si>
    <t>13,20</t>
  </si>
  <si>
    <t>( PRAMOTH AND MAPENZI), CHEGUGU</t>
  </si>
  <si>
    <t>XDA00300</t>
  </si>
  <si>
    <t>990812VE0A</t>
  </si>
  <si>
    <t>POWER SOCKET</t>
  </si>
  <si>
    <t>BRKT ENGINE MTNG</t>
  </si>
  <si>
    <t>TUBE ASSY WITH VALVE</t>
  </si>
  <si>
    <t>GRILLE ASSY FRONT MID</t>
  </si>
  <si>
    <t>BUMPER STUD W/WASHER</t>
  </si>
  <si>
    <t>AXLE SUB PART</t>
  </si>
  <si>
    <t>1203BA1470</t>
  </si>
  <si>
    <t>WHEEL WINCH</t>
  </si>
  <si>
    <t>CAP SCREW</t>
  </si>
  <si>
    <t>WINDSHIELD HDT</t>
  </si>
  <si>
    <t>YVETE</t>
  </si>
  <si>
    <t>LU CABLE GEAR SHIFT</t>
  </si>
  <si>
    <t>2058720</t>
  </si>
  <si>
    <t>THREE WAY ELBOW JOINT UNION</t>
  </si>
  <si>
    <t>1521535</t>
  </si>
  <si>
    <t>NUT CAP</t>
  </si>
  <si>
    <t>1760607</t>
  </si>
  <si>
    <t>BLEED PIPE</t>
  </si>
  <si>
    <t>554683600110</t>
  </si>
  <si>
    <t>DISCHARGE PIPE ASSY, REAR</t>
  </si>
  <si>
    <t>554555106305</t>
  </si>
  <si>
    <t>MASCOT</t>
  </si>
  <si>
    <t>279701130114</t>
  </si>
  <si>
    <t>OIL SUMP ASSY WITH DRAIN PLUG</t>
  </si>
  <si>
    <t>F5B00122</t>
  </si>
  <si>
    <t>THROTTLE CABLE ASSY FOR 1218</t>
  </si>
  <si>
    <t xml:space="preserve">HOSE ASSY FEED TO PUMP FUEL FILTER </t>
  </si>
  <si>
    <t>CHEGUGU / PRAMOTH</t>
  </si>
  <si>
    <t>SENT TO NRB</t>
  </si>
  <si>
    <t>GLASS SUB ASSY, RR DOOR, RH</t>
  </si>
  <si>
    <t>53601-0K120-C0</t>
  </si>
  <si>
    <t>LEVER SUB ASSY, HOOD LOCK CONTROL</t>
  </si>
  <si>
    <t>GLASS SUB ASSY, WINDSHIELD</t>
  </si>
  <si>
    <t>SHROUD, FAN</t>
  </si>
  <si>
    <t>BRACKET, STABILIZER</t>
  </si>
  <si>
    <t>REINFORCEMENT ASSY, INSTRUMENT PANEL</t>
  </si>
  <si>
    <t>MOULDING ASSY, HOOD, FR</t>
  </si>
  <si>
    <t>REINFORCEMENT SUB-ASSY, RR BUMPER</t>
  </si>
  <si>
    <t>RECEIVED BUT 1 PC BROKEN</t>
  </si>
  <si>
    <t>DOOR UPPER GLASS</t>
  </si>
  <si>
    <t>ADAPTOR M12 SOLENOID VALVES</t>
  </si>
  <si>
    <t>X4801460</t>
  </si>
  <si>
    <t>GEAR SHIFT KNOB</t>
  </si>
  <si>
    <t>F4955510</t>
  </si>
  <si>
    <t>SWITCH ASSY, ENG STARTING</t>
  </si>
  <si>
    <t>CYLINDER AND KEY SET, LOCK</t>
  </si>
  <si>
    <t>4670B008</t>
  </si>
  <si>
    <t>SENSOR, RR, ABS RH</t>
  </si>
  <si>
    <t>7835A001</t>
  </si>
  <si>
    <t>DUCT, RR VENTILATOR</t>
  </si>
  <si>
    <t>STRICKER, FR, DOOR LATCH</t>
  </si>
  <si>
    <t>PAD, FR SUSP SPRING, UPR</t>
  </si>
  <si>
    <t>BASE, R/DR OUTSIDE HANDLE, LH</t>
  </si>
  <si>
    <t>SUNVISOR, RH</t>
  </si>
  <si>
    <t>SCREW, ROOF LID</t>
  </si>
  <si>
    <t>TUBE RR BRAKE, NO.5</t>
  </si>
  <si>
    <t>TUBE WHEEL CYLINDER, FR RH</t>
  </si>
  <si>
    <t>WEATHERSTRIP ASSY FR DOOR LH</t>
  </si>
  <si>
    <t>CLAMP PAD ASSY</t>
  </si>
  <si>
    <t>AIR VALVE</t>
  </si>
  <si>
    <t>HOOK LIGHT</t>
  </si>
  <si>
    <t>ASSY OF STEEL GRILLE</t>
  </si>
  <si>
    <t>ASSY WIDE ANGLE MIRROR RH</t>
  </si>
  <si>
    <t>W/STRIP ASSY DOOR</t>
  </si>
  <si>
    <t>F7425000</t>
  </si>
  <si>
    <t>SWITCH ASSY</t>
  </si>
  <si>
    <t>DOOR LOCK KIT</t>
  </si>
  <si>
    <t>INTERIOR LAMP ASSY</t>
  </si>
  <si>
    <t>L - LOGO</t>
  </si>
  <si>
    <t>CAB LOCK ASSY</t>
  </si>
  <si>
    <t>B5425536</t>
  </si>
  <si>
    <t>X5X01100</t>
  </si>
  <si>
    <t>STALLION RHD</t>
  </si>
  <si>
    <t>F7608760</t>
  </si>
  <si>
    <t>PAD REAR VIEW</t>
  </si>
  <si>
    <t>HEX SCREW M12 X 1.5 X 30</t>
  </si>
  <si>
    <t>INSULATION CLIP</t>
  </si>
  <si>
    <t>FLANGE SCREW M12 X 1.5 X 30</t>
  </si>
  <si>
    <t>ASSY TAIL LAMP BRACKET</t>
  </si>
  <si>
    <t>RD CSK SCR M6 X 20</t>
  </si>
  <si>
    <t>PIGTAIL BRAKE FLUID</t>
  </si>
  <si>
    <t>SCALING WASHER</t>
  </si>
  <si>
    <t>U CLAMP</t>
  </si>
  <si>
    <t>0313BAB00700N</t>
  </si>
  <si>
    <t>HOSE AIR MANIFOLD</t>
  </si>
  <si>
    <t>BLOCK FRT BUMPER SIDE</t>
  </si>
  <si>
    <t>U BOLT PROPELLER SHAFT</t>
  </si>
  <si>
    <t>0119AAG01841</t>
  </si>
  <si>
    <t>LAMP ASSY REAR COMBINATION</t>
  </si>
  <si>
    <t>10/7/2024, 17-OCT-2024</t>
  </si>
  <si>
    <t>CAP FUEL FILLER NECK</t>
  </si>
  <si>
    <t>DECAL FRT</t>
  </si>
  <si>
    <t>WEATHERSTRIP REAR WINDOW</t>
  </si>
  <si>
    <t>FIXED GLASS SEAL LH</t>
  </si>
  <si>
    <t>DECALS RR RH</t>
  </si>
  <si>
    <t>CHAENZA</t>
  </si>
  <si>
    <t>DECALS FRT</t>
  </si>
  <si>
    <t>LEVER ASSEMBLY GEAR</t>
  </si>
  <si>
    <t>0703CD1490N</t>
  </si>
  <si>
    <t>SHIFT FORK ALUMINIUM</t>
  </si>
  <si>
    <t>DISPATCH TO SIMBA</t>
  </si>
  <si>
    <t>0703CD1480N</t>
  </si>
  <si>
    <t>0000AAAF01440N</t>
  </si>
  <si>
    <t>HEADLAMP ASEMBLY RH</t>
  </si>
  <si>
    <t>0105CAG00370N</t>
  </si>
  <si>
    <t>BRKT ROOF CONSOLE MTG</t>
  </si>
  <si>
    <t>0108BAG01610N</t>
  </si>
  <si>
    <t>CLADDING ASSY FENDER</t>
  </si>
  <si>
    <t>0105DAG00630D</t>
  </si>
  <si>
    <t>SUNVISOR ASSY CODRV LHD</t>
  </si>
  <si>
    <t>111AAN00010N</t>
  </si>
  <si>
    <t>WINDSCREEN</t>
  </si>
  <si>
    <t>CONNECTOR SUB A</t>
  </si>
  <si>
    <t>0114AAL00211N</t>
  </si>
  <si>
    <t>LOCK SET WITH IMMOBILIZER</t>
  </si>
  <si>
    <t>AIR EXTRACTIOR OUTER DC LH</t>
  </si>
  <si>
    <t>0001AG0130N</t>
  </si>
  <si>
    <t>VIN PLATE ALL EUROPE</t>
  </si>
  <si>
    <t>LOCK STRAP FRT AXLE END BOLTS</t>
  </si>
  <si>
    <t>SEAT BELT RH TCS BLACK THEME</t>
  </si>
  <si>
    <t>0120AAF00291N</t>
  </si>
  <si>
    <t>KIT ROOF AND SIDE TRIM REXINE</t>
  </si>
  <si>
    <t>0202 0D0080N</t>
  </si>
  <si>
    <t>CLIPS WALNUT</t>
  </si>
  <si>
    <t>0808054</t>
  </si>
  <si>
    <t>RIVET 13 X 48</t>
  </si>
  <si>
    <t>0815132</t>
  </si>
  <si>
    <t>HEXAGON NUT WITH FLANGE M8</t>
  </si>
  <si>
    <t>0815149</t>
  </si>
  <si>
    <t>HEXAGON LOCK NUT M14</t>
  </si>
  <si>
    <t>0815363</t>
  </si>
  <si>
    <t>STRAP 380 X 7</t>
  </si>
  <si>
    <t>1365522</t>
  </si>
  <si>
    <t>1526004</t>
  </si>
  <si>
    <t>FLANGE SCREW M20 X 100</t>
  </si>
  <si>
    <t>2127468</t>
  </si>
  <si>
    <t>SPACING SLEEVE</t>
  </si>
  <si>
    <t>2409703</t>
  </si>
  <si>
    <t>FLANGE SCREW M16 X 50</t>
  </si>
  <si>
    <t>2921165</t>
  </si>
  <si>
    <t>1425970</t>
  </si>
  <si>
    <t>FIRE EXTINGUISHER</t>
  </si>
  <si>
    <t>2486548</t>
  </si>
  <si>
    <t>SPACER 20 MM</t>
  </si>
  <si>
    <t>2534319</t>
  </si>
  <si>
    <t>SUPPORT ACC PEDAL</t>
  </si>
  <si>
    <t>0813869</t>
  </si>
  <si>
    <t>1723843</t>
  </si>
  <si>
    <t>2508290</t>
  </si>
  <si>
    <t>HYDRAULIC PIPE</t>
  </si>
  <si>
    <t>0223649</t>
  </si>
  <si>
    <t>0814841</t>
  </si>
  <si>
    <t>0816122</t>
  </si>
  <si>
    <t>0816132</t>
  </si>
  <si>
    <t>1885303</t>
  </si>
  <si>
    <t>1934505</t>
  </si>
  <si>
    <t>COMPUTER ASSY, ENGINE CONTROL</t>
  </si>
  <si>
    <t>DENGU</t>
  </si>
  <si>
    <t>MWAKISHA</t>
  </si>
  <si>
    <t>WAWERU</t>
  </si>
  <si>
    <t>88650-60G20</t>
  </si>
  <si>
    <t>WIRE INSTRUMENT PANEL, NO.3</t>
  </si>
  <si>
    <t>52711-60150</t>
  </si>
  <si>
    <t>TUBE SUB-ASSY FUEL MAIN, NO.3</t>
  </si>
  <si>
    <t>GLASS ASSY, WINDSHIELD</t>
  </si>
  <si>
    <t>PAD, ROOF SILENCER, NO.3</t>
  </si>
  <si>
    <t>VICTOR / MNJALA</t>
  </si>
  <si>
    <t>74615-60020-B3</t>
  </si>
  <si>
    <t>PLUG, FR ASSIST GRIP, NO.1 RH</t>
  </si>
  <si>
    <t>LINK ASSY, FR STABILIZER</t>
  </si>
  <si>
    <t>PROTECTOR, FR FENDER SIDE PANEL, RH</t>
  </si>
  <si>
    <t>CABLE ASSY, TRANSMISSION CONTROL</t>
  </si>
  <si>
    <t>TUBE &amp; ACCESORY, AIR CONDITIONER</t>
  </si>
  <si>
    <t>HEADLAMP ASSY, LH</t>
  </si>
  <si>
    <t>WIRE, ENGINE ROOM MAIN</t>
  </si>
  <si>
    <t>BOLT, HEXAGON</t>
  </si>
  <si>
    <t>252750506318</t>
  </si>
  <si>
    <t>FAN SHROUD</t>
  </si>
  <si>
    <t>81110-KK030</t>
  </si>
  <si>
    <t>73179-KK011</t>
  </si>
  <si>
    <t>CAP, SEATBELT ANCHOR COVER, LH</t>
  </si>
  <si>
    <t>47322-KK010</t>
  </si>
  <si>
    <t>TUBE, RR BRAKE, NO.2</t>
  </si>
  <si>
    <t>TUBE, RR BRAKE, NO.3</t>
  </si>
  <si>
    <t>BLOWER ASSY, HEATER</t>
  </si>
  <si>
    <t>HOSE, ENG AIR INTAKE</t>
  </si>
  <si>
    <t>SEAT BELT, FR SEATT, LH</t>
  </si>
  <si>
    <t>MF240051</t>
  </si>
  <si>
    <t>BOLT, ROCKER COVER</t>
  </si>
  <si>
    <t>MF430005</t>
  </si>
  <si>
    <t>NUT, ROCKER COVER</t>
  </si>
  <si>
    <t>MC924677</t>
  </si>
  <si>
    <t>BUMPER, FR CORNER, RH</t>
  </si>
  <si>
    <t>MH020383</t>
  </si>
  <si>
    <t>CLIP, RADIATOR PIPING</t>
  </si>
  <si>
    <t>MC040539</t>
  </si>
  <si>
    <t>VALVE, SPARE FUEL TANK STOP</t>
  </si>
  <si>
    <t>CABLE, ANTENNA</t>
  </si>
  <si>
    <t>VALVE, 3-WAY SOLENOID</t>
  </si>
  <si>
    <t>BOLT, RR SUSP SPRING</t>
  </si>
  <si>
    <t>ANTENNA</t>
  </si>
  <si>
    <t>ML241254</t>
  </si>
  <si>
    <t>CABLE, GEARSHIFT</t>
  </si>
  <si>
    <t>GEAR SELECTOR</t>
  </si>
  <si>
    <t>AIR TANK CONNECTORS</t>
  </si>
  <si>
    <t>STEP BOLTS</t>
  </si>
  <si>
    <t>STEERING COLUMN COVER</t>
  </si>
  <si>
    <t>BOLT 8 X 20</t>
  </si>
  <si>
    <t>NUT, ENG RR MOUNTING</t>
  </si>
  <si>
    <t>L-BOLT, BATTERY</t>
  </si>
  <si>
    <t>JOINT, BRAKE AIR LINE, NO.5</t>
  </si>
  <si>
    <t>HANDLE, FR DOOR INSIDE, RH</t>
  </si>
  <si>
    <t>CHAIN, CAB HOLD-DOWN LEVER KEY</t>
  </si>
  <si>
    <t>BOLT, WASHER</t>
  </si>
  <si>
    <t>0028415</t>
  </si>
  <si>
    <t>CHAIN, CAB HOLD DOWN LEVER KEY</t>
  </si>
  <si>
    <t>CLIP, HOOD LOCKING</t>
  </si>
  <si>
    <t>BOLT, ENG FR MOUNTING</t>
  </si>
  <si>
    <t>PW954650</t>
  </si>
  <si>
    <t>LAMP ASSY HEAD RH</t>
  </si>
  <si>
    <t>PW953790</t>
  </si>
  <si>
    <t>REVERSE CAMERA ASSY</t>
  </si>
  <si>
    <t>PW935260V1</t>
  </si>
  <si>
    <t>W/STRIP ASSY FR DOOR OPNG OTR RH</t>
  </si>
  <si>
    <t>PW944380-P0073</t>
  </si>
  <si>
    <t>TRIM, CTR PLR LWR RH</t>
  </si>
  <si>
    <t>PW944379-P0073</t>
  </si>
  <si>
    <t>TRIM, CTR PLR LWR LH</t>
  </si>
  <si>
    <t>PW935884</t>
  </si>
  <si>
    <t>GARNISH ASSY, FRT DECK</t>
  </si>
  <si>
    <t>PW944481-P0073</t>
  </si>
  <si>
    <t>PANEL ASSY, LWR D/S</t>
  </si>
  <si>
    <t>106801056P0068</t>
  </si>
  <si>
    <t>HANDLE ASSIST ASSY FRONT</t>
  </si>
  <si>
    <t>PW936666</t>
  </si>
  <si>
    <t>LATCH ASSY, FR/DR RH(RHD)</t>
  </si>
  <si>
    <t>PW952960</t>
  </si>
  <si>
    <t>LAMP ASSY, HIGH MOUNTED STOP</t>
  </si>
  <si>
    <t>PW936667</t>
  </si>
  <si>
    <t>LATCH ASSY, RR/DR LH</t>
  </si>
  <si>
    <t>PW836080</t>
  </si>
  <si>
    <t>SPLASH SHIELD, RR RH</t>
  </si>
  <si>
    <t>PW865757</t>
  </si>
  <si>
    <t>LINK &amp; MOTOR ASSY, WIPER</t>
  </si>
  <si>
    <t>PW897353</t>
  </si>
  <si>
    <t>BLADE SET W/SHIELD WIPER</t>
  </si>
  <si>
    <t>PW933659</t>
  </si>
  <si>
    <t>LEVER HANDLE (W/O LF ANTENNA)</t>
  </si>
  <si>
    <t>PW922139</t>
  </si>
  <si>
    <t>SHAFT COMPL, STRG</t>
  </si>
  <si>
    <t>PW836079</t>
  </si>
  <si>
    <t>SPLASH SHIELD, RR LH</t>
  </si>
  <si>
    <t>PW944471-P0073</t>
  </si>
  <si>
    <t>PANEL ASSY SHIFT LEVER A/T</t>
  </si>
  <si>
    <t>PW944371-P0021</t>
  </si>
  <si>
    <t>ASSY DELTA COVER INNER FR LH</t>
  </si>
  <si>
    <t>PW913367</t>
  </si>
  <si>
    <t>GASKET MANIFOLD EXHAUST</t>
  </si>
  <si>
    <t>106801058P0068</t>
  </si>
  <si>
    <t>ASSIST GRIP REAR RH</t>
  </si>
  <si>
    <t>PW944435-P0073</t>
  </si>
  <si>
    <t>TRIM SCUFF PLATE RR LH</t>
  </si>
  <si>
    <t>PW845529-P0073</t>
  </si>
  <si>
    <t>TRIM SCUFF PLATE FR LH</t>
  </si>
  <si>
    <t>106801057P0068</t>
  </si>
  <si>
    <t>ASSIST GRIP REAR LH</t>
  </si>
  <si>
    <t>PW951834-P0021</t>
  </si>
  <si>
    <t>PULL CUP HANDLE FR, LH SUB</t>
  </si>
  <si>
    <t>PW845543-P0073</t>
  </si>
  <si>
    <t>PLUG, CUP HOLDER</t>
  </si>
  <si>
    <t>PW935392</t>
  </si>
  <si>
    <t>COVER HOOD HINGE RH</t>
  </si>
  <si>
    <t>PW811283</t>
  </si>
  <si>
    <t>BOLT FLANGE M8 X 1.25 X 25</t>
  </si>
  <si>
    <t>BRKT, HOSE SUCTION</t>
  </si>
  <si>
    <t>PW811177</t>
  </si>
  <si>
    <t>NUT M8 X 1.25 - SPECIAL</t>
  </si>
  <si>
    <t>PW865589</t>
  </si>
  <si>
    <t>MB889049</t>
  </si>
  <si>
    <t>CLIP HOOD</t>
  </si>
  <si>
    <t>PW865756</t>
  </si>
  <si>
    <t>COVER SHAFT</t>
  </si>
  <si>
    <t>PW936150</t>
  </si>
  <si>
    <t>CAP DRIVER O/S HANDLE ASSY</t>
  </si>
  <si>
    <t>PW953853</t>
  </si>
  <si>
    <t>PLUG SCREW</t>
  </si>
  <si>
    <t>PW945405 - X2020</t>
  </si>
  <si>
    <t>TRIM, RR DOOR ASSY LH</t>
  </si>
  <si>
    <t>PW945404 - X2020</t>
  </si>
  <si>
    <t>TRIM FR DOOR ASSY RH</t>
  </si>
  <si>
    <t>PW936509</t>
  </si>
  <si>
    <t>FASCIA RR BMPR</t>
  </si>
  <si>
    <t>PW936051</t>
  </si>
  <si>
    <t>FASCIA FRT BMPR</t>
  </si>
  <si>
    <t>Late Order</t>
  </si>
  <si>
    <t>STORE</t>
  </si>
  <si>
    <t>SIMBA DELUX</t>
  </si>
  <si>
    <t>Incorrect Data</t>
  </si>
  <si>
    <t>Rejected</t>
  </si>
  <si>
    <t>Lack of Evidence</t>
  </si>
  <si>
    <t>NOT DONE</t>
  </si>
  <si>
    <t>NELION</t>
  </si>
  <si>
    <t>FEA51</t>
  </si>
  <si>
    <t>Nelion</t>
  </si>
  <si>
    <t>Auto Industries</t>
  </si>
  <si>
    <t>ISM</t>
  </si>
  <si>
    <t>CAG</t>
  </si>
  <si>
    <t>TVS</t>
  </si>
  <si>
    <t>Piaggio</t>
  </si>
  <si>
    <t>OPEN</t>
  </si>
  <si>
    <t>CLOSED</t>
  </si>
  <si>
    <t>FRONT BUMPER BRKT RH</t>
  </si>
  <si>
    <t>F1104300</t>
  </si>
  <si>
    <t>FRONT WIND SHIELD GLASS</t>
  </si>
  <si>
    <t>LK107</t>
  </si>
  <si>
    <t>F2203000</t>
  </si>
  <si>
    <t>EXH BR SWITCH (X2206000)</t>
  </si>
  <si>
    <t>LK109</t>
  </si>
  <si>
    <t>AK0025</t>
  </si>
  <si>
    <t>FHT00190</t>
  </si>
  <si>
    <t>220L FUEL TANK CAP</t>
  </si>
  <si>
    <t>LK111</t>
  </si>
  <si>
    <t>AK0020</t>
  </si>
  <si>
    <t>FLITCH</t>
  </si>
  <si>
    <t>U-BOLT FOR UPRATED SPRINGS</t>
  </si>
  <si>
    <t>B0Y27604</t>
  </si>
  <si>
    <t>RECTANGULAR H/L  RHD LH WITH FDI 24V</t>
  </si>
  <si>
    <t>Hino FM8</t>
  </si>
  <si>
    <t>Tata Intra V20</t>
  </si>
  <si>
    <t>Scorpio 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</si>
</sst>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43" formatCode="_(* #,##0.00_);_(* \(#,##0.00\);_(* &quot;-&quot;??_);_(@_)"/>
    <numFmt numFmtId="164" formatCode="[$-409]d\-mmm\-yy;@"/>
    <numFmt numFmtId="165" formatCode="[$-409]d\-mmm;@"/>
    <numFmt numFmtId="166" formatCode="[$-409]d\-mmm\-yyyy;@"/>
    <numFmt numFmtId="167" formatCode="[$-409]dd\-mmm\-yy;@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Arial"/>
      <family val="2"/>
    </font>
    <font>
      <sz val="10"/>
      <color theme="1"/>
      <name val="Cambria"/>
      <family val="2"/>
    </font>
    <font>
      <sz val="8"/>
      <color rgb="FF000000"/>
      <name val="Calibri Light"/>
      <family val="2"/>
    </font>
    <font>
      <sz val="8"/>
      <color rgb="FF000000"/>
      <name val="Calibri Light"/>
      <family val="2"/>
      <scheme val="major"/>
    </font>
    <font>
      <sz val="8"/>
      <color rgb="FF242424"/>
      <name val="Calibri Light"/>
      <family val="2"/>
      <scheme val="maj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theme="8" tint="-0.249977111117893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 Light"/>
      <family val="2"/>
      <scheme val="major"/>
    </font>
    <font>
      <sz val="8"/>
      <color theme="8" tint="-0.249977111117893"/>
      <name val="Calibri Light"/>
      <family val="2"/>
      <scheme val="major"/>
    </font>
    <font>
      <sz val="8"/>
      <color rgb="FF0070C0"/>
      <name val="Calibri Light"/>
      <family val="2"/>
      <scheme val="major"/>
    </font>
    <font>
      <sz val="8"/>
      <color rgb="FF002060"/>
      <name val="Calibri Light"/>
      <family val="2"/>
      <scheme val="major"/>
    </font>
    <font>
      <b/>
      <sz val="8"/>
      <color rgb="FF000000"/>
      <name val="Calibri Light"/>
      <family val="2"/>
      <scheme val="major"/>
    </font>
    <font>
      <sz val="8"/>
      <color rgb="FF00B0F0"/>
      <name val="Calibri"/>
      <family val="2"/>
      <scheme val="minor"/>
    </font>
    <font>
      <sz val="8"/>
      <color rgb="FF00B0F0"/>
      <name val="Calibri Light"/>
      <family val="2"/>
      <scheme val="major"/>
    </font>
    <font>
      <sz val="8"/>
      <color rgb="FFFF0000"/>
      <name val="Calibri Light"/>
      <family val="2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CC00CC"/>
      <name val="Calibri"/>
      <family val="2"/>
      <scheme val="minor"/>
    </font>
    <font>
      <sz val="8"/>
      <color rgb="FFCC00CC"/>
      <name val="Calibri Light"/>
      <family val="2"/>
      <scheme val="major"/>
    </font>
    <font>
      <sz val="8"/>
      <color rgb="FF000000"/>
      <name val="Calibri"/>
      <family val="2"/>
    </font>
    <font>
      <sz val="8"/>
      <color rgb="FF7030A0"/>
      <name val="Calibri"/>
      <family val="2"/>
      <scheme val="minor"/>
    </font>
    <font>
      <sz val="8"/>
      <color rgb="FF7030A0"/>
      <name val="Calibri Light"/>
      <family val="2"/>
      <scheme val="major"/>
    </font>
    <font>
      <sz val="8"/>
      <color rgb="FF7030A0"/>
      <name val="Calibri Light"/>
      <family val="2"/>
    </font>
    <font>
      <sz val="12"/>
      <color rgb="FF000000"/>
      <name val="Arial"/>
    </font>
    <font>
      <sz val="8"/>
      <color rgb="FF242424"/>
      <name val="Calibri"/>
      <scheme val="minor"/>
    </font>
    <font>
      <sz val="8"/>
      <color rgb="FFFF0000"/>
      <name val="Calibri"/>
      <scheme val="minor"/>
    </font>
    <font>
      <b/>
      <sz val="8"/>
      <color theme="1"/>
      <name val="Calibri"/>
      <scheme val="minor"/>
    </font>
    <font>
      <sz val="8"/>
      <color rgb="FF000000"/>
      <name val="Calibri"/>
      <scheme val="minor"/>
    </font>
    <font>
      <sz val="8"/>
      <color theme="1"/>
      <name val="Calibri"/>
      <scheme val="minor"/>
    </font>
    <font>
      <sz val="8"/>
      <color rgb="FF00B050"/>
      <name val="Calibri"/>
      <scheme val="minor"/>
    </font>
    <font>
      <sz val="8"/>
      <name val="Calibri"/>
      <scheme val="minor"/>
    </font>
    <font>
      <sz val="8"/>
      <color rgb="FF444444"/>
      <name val="Calibri"/>
      <scheme val="minor"/>
    </font>
    <font>
      <sz val="9"/>
      <color rgb="FF000000"/>
      <name val="Calibri"/>
      <scheme val="minor"/>
    </font>
    <font>
      <b/>
      <sz val="8"/>
      <color rgb="FF000000"/>
      <name val="Calibri"/>
      <scheme val="minor"/>
    </font>
    <font>
      <sz val="8"/>
      <color rgb="FF0070C0"/>
      <name val="Calibri"/>
      <scheme val="minor"/>
    </font>
    <font>
      <sz val="8"/>
      <color rgb="FFC00000"/>
      <name val="Calibri"/>
      <scheme val="minor"/>
    </font>
    <font>
      <sz val="8"/>
      <name val="Arial"/>
      <family val="2"/>
    </font>
    <font>
      <sz val="9"/>
      <color rgb="FF000000"/>
      <name val="Aptos Narrow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D597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667">
    <xf numFmtId="0" fontId="0" fillId="0" borderId="0" xfId="0"/>
    <xf numFmtId="0" fontId="4" fillId="3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3" fillId="4" borderId="3" xfId="0" quotePrefix="1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center"/>
    </xf>
    <xf numFmtId="0" fontId="4" fillId="4" borderId="3" xfId="0" applyFont="1" applyFill="1" applyBorder="1"/>
    <xf numFmtId="0" fontId="4" fillId="4" borderId="3" xfId="0" applyFont="1" applyFill="1" applyBorder="1" applyAlignment="1">
      <alignment horizontal="center"/>
    </xf>
    <xf numFmtId="12" fontId="8" fillId="4" borderId="3" xfId="0" applyNumberFormat="1" applyFont="1" applyFill="1" applyBorder="1" applyAlignment="1">
      <alignment horizontal="left" vertical="center"/>
    </xf>
    <xf numFmtId="12" fontId="21" fillId="4" borderId="3" xfId="0" applyNumberFormat="1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1" fontId="17" fillId="0" borderId="3" xfId="0" applyNumberFormat="1" applyFont="1" applyBorder="1" applyAlignment="1">
      <alignment horizontal="left" vertical="center"/>
    </xf>
    <xf numFmtId="164" fontId="17" fillId="0" borderId="3" xfId="0" applyNumberFormat="1" applyFont="1" applyBorder="1" applyAlignment="1">
      <alignment horizontal="left" vertical="center"/>
    </xf>
    <xf numFmtId="1" fontId="4" fillId="0" borderId="3" xfId="0" applyNumberFormat="1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left" vertical="center"/>
    </xf>
    <xf numFmtId="164" fontId="18" fillId="0" borderId="3" xfId="0" applyNumberFormat="1" applyFont="1" applyBorder="1" applyAlignment="1">
      <alignment horizontal="left" vertical="center"/>
    </xf>
    <xf numFmtId="1" fontId="19" fillId="0" borderId="3" xfId="0" applyNumberFormat="1" applyFont="1" applyBorder="1" applyAlignment="1">
      <alignment horizontal="left" vertical="center"/>
    </xf>
    <xf numFmtId="164" fontId="19" fillId="0" borderId="3" xfId="0" applyNumberFormat="1" applyFont="1" applyBorder="1" applyAlignment="1">
      <alignment horizontal="left" vertical="center"/>
    </xf>
    <xf numFmtId="1" fontId="8" fillId="0" borderId="3" xfId="0" applyNumberFormat="1" applyFont="1" applyBorder="1" applyAlignment="1">
      <alignment horizontal="left" vertical="center"/>
    </xf>
    <xf numFmtId="164" fontId="8" fillId="0" borderId="3" xfId="0" applyNumberFormat="1" applyFont="1" applyBorder="1" applyAlignment="1">
      <alignment horizontal="left" vertical="center"/>
    </xf>
    <xf numFmtId="1" fontId="10" fillId="0" borderId="3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left" vertical="center"/>
    </xf>
    <xf numFmtId="1" fontId="22" fillId="0" borderId="3" xfId="0" applyNumberFormat="1" applyFont="1" applyBorder="1" applyAlignment="1">
      <alignment horizontal="left" vertical="center"/>
    </xf>
    <xf numFmtId="164" fontId="22" fillId="0" borderId="3" xfId="0" applyNumberFormat="1" applyFont="1" applyBorder="1" applyAlignment="1">
      <alignment horizontal="left" vertical="center"/>
    </xf>
    <xf numFmtId="1" fontId="11" fillId="0" borderId="3" xfId="0" applyNumberFormat="1" applyFont="1" applyBorder="1" applyAlignment="1">
      <alignment horizontal="left" vertical="center"/>
    </xf>
    <xf numFmtId="164" fontId="11" fillId="0" borderId="3" xfId="0" applyNumberFormat="1" applyFont="1" applyBorder="1" applyAlignment="1">
      <alignment horizontal="left" vertical="center"/>
    </xf>
    <xf numFmtId="1" fontId="11" fillId="4" borderId="3" xfId="0" applyNumberFormat="1" applyFont="1" applyFill="1" applyBorder="1" applyAlignment="1">
      <alignment horizontal="left" vertical="center"/>
    </xf>
    <xf numFmtId="164" fontId="11" fillId="4" borderId="3" xfId="0" applyNumberFormat="1" applyFont="1" applyFill="1" applyBorder="1" applyAlignment="1">
      <alignment horizontal="left" vertical="center"/>
    </xf>
    <xf numFmtId="1" fontId="16" fillId="0" borderId="3" xfId="0" applyNumberFormat="1" applyFont="1" applyBorder="1" applyAlignment="1">
      <alignment horizontal="left" vertical="center"/>
    </xf>
    <xf numFmtId="164" fontId="16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6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164" fontId="15" fillId="0" borderId="3" xfId="0" applyNumberFormat="1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16" fillId="9" borderId="3" xfId="0" applyFont="1" applyFill="1" applyBorder="1" applyAlignment="1">
      <alignment vertical="center"/>
    </xf>
    <xf numFmtId="0" fontId="12" fillId="0" borderId="3" xfId="0" applyFont="1" applyBorder="1" applyAlignment="1">
      <alignment horizontal="left" vertical="center"/>
    </xf>
    <xf numFmtId="164" fontId="12" fillId="0" borderId="3" xfId="0" applyNumberFormat="1" applyFont="1" applyBorder="1" applyAlignment="1">
      <alignment horizontal="left" vertical="center"/>
    </xf>
    <xf numFmtId="0" fontId="16" fillId="8" borderId="3" xfId="0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164" fontId="20" fillId="0" borderId="3" xfId="0" applyNumberFormat="1" applyFont="1" applyBorder="1" applyAlignment="1">
      <alignment horizontal="left" vertical="center"/>
    </xf>
    <xf numFmtId="0" fontId="11" fillId="3" borderId="3" xfId="0" applyFont="1" applyFill="1" applyBorder="1" applyAlignment="1">
      <alignment vertical="center"/>
    </xf>
    <xf numFmtId="0" fontId="12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17" fillId="3" borderId="3" xfId="0" applyFont="1" applyFill="1" applyBorder="1" applyAlignment="1">
      <alignment horizontal="left" vertical="center"/>
    </xf>
    <xf numFmtId="0" fontId="16" fillId="4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7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164" fontId="8" fillId="4" borderId="3" xfId="0" applyNumberFormat="1" applyFont="1" applyFill="1" applyBorder="1" applyAlignment="1">
      <alignment horizontal="left" vertical="center"/>
    </xf>
    <xf numFmtId="0" fontId="12" fillId="4" borderId="3" xfId="0" applyFont="1" applyFill="1" applyBorder="1" applyAlignment="1">
      <alignment vertical="center"/>
    </xf>
    <xf numFmtId="0" fontId="17" fillId="4" borderId="3" xfId="0" applyFont="1" applyFill="1" applyBorder="1" applyAlignment="1">
      <alignment horizontal="left" vertical="center"/>
    </xf>
    <xf numFmtId="0" fontId="17" fillId="4" borderId="3" xfId="0" applyFont="1" applyFill="1" applyBorder="1" applyAlignment="1">
      <alignment horizontal="left" vertical="center" wrapText="1"/>
    </xf>
    <xf numFmtId="164" fontId="17" fillId="4" borderId="3" xfId="0" applyNumberFormat="1" applyFont="1" applyFill="1" applyBorder="1" applyAlignment="1">
      <alignment horizontal="left" vertical="center"/>
    </xf>
    <xf numFmtId="0" fontId="13" fillId="4" borderId="3" xfId="0" applyFont="1" applyFill="1" applyBorder="1" applyAlignment="1">
      <alignment vertical="center"/>
    </xf>
    <xf numFmtId="0" fontId="19" fillId="4" borderId="3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left" vertical="center" wrapText="1"/>
    </xf>
    <xf numFmtId="164" fontId="18" fillId="4" borderId="3" xfId="0" applyNumberFormat="1" applyFont="1" applyFill="1" applyBorder="1" applyAlignment="1">
      <alignment horizontal="left" vertical="center"/>
    </xf>
    <xf numFmtId="0" fontId="19" fillId="0" borderId="3" xfId="0" applyFont="1" applyBorder="1" applyAlignment="1">
      <alignment horizontal="left" vertical="center" wrapText="1"/>
    </xf>
    <xf numFmtId="15" fontId="17" fillId="0" borderId="3" xfId="0" applyNumberFormat="1" applyFont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 wrapText="1"/>
    </xf>
    <xf numFmtId="0" fontId="23" fillId="4" borderId="3" xfId="0" applyFont="1" applyFill="1" applyBorder="1" applyAlignment="1">
      <alignment horizontal="left" vertical="center"/>
    </xf>
    <xf numFmtId="0" fontId="22" fillId="0" borderId="3" xfId="0" applyFont="1" applyBorder="1" applyAlignment="1">
      <alignment vertical="center"/>
    </xf>
    <xf numFmtId="0" fontId="11" fillId="4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 wrapText="1"/>
    </xf>
    <xf numFmtId="164" fontId="23" fillId="0" borderId="3" xfId="0" applyNumberFormat="1" applyFont="1" applyBorder="1" applyAlignment="1">
      <alignment horizontal="left" vertical="center"/>
    </xf>
    <xf numFmtId="0" fontId="24" fillId="0" borderId="0" xfId="0" applyFont="1"/>
    <xf numFmtId="0" fontId="8" fillId="11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left" vertical="center" wrapText="1"/>
    </xf>
    <xf numFmtId="164" fontId="8" fillId="11" borderId="3" xfId="0" applyNumberFormat="1" applyFont="1" applyFill="1" applyBorder="1" applyAlignment="1">
      <alignment horizontal="left" vertical="center"/>
    </xf>
    <xf numFmtId="0" fontId="12" fillId="11" borderId="3" xfId="0" applyFont="1" applyFill="1" applyBorder="1" applyAlignment="1">
      <alignment vertical="center"/>
    </xf>
    <xf numFmtId="0" fontId="10" fillId="11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horizontal="left" vertical="center"/>
    </xf>
    <xf numFmtId="0" fontId="10" fillId="3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horizontal="left" vertical="center"/>
    </xf>
    <xf numFmtId="1" fontId="11" fillId="3" borderId="3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 wrapText="1"/>
    </xf>
    <xf numFmtId="164" fontId="11" fillId="3" borderId="3" xfId="0" applyNumberFormat="1" applyFont="1" applyFill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15" fontId="17" fillId="4" borderId="3" xfId="0" applyNumberFormat="1" applyFont="1" applyFill="1" applyBorder="1" applyAlignment="1">
      <alignment horizontal="left" vertical="center"/>
    </xf>
    <xf numFmtId="0" fontId="17" fillId="4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left"/>
    </xf>
    <xf numFmtId="12" fontId="8" fillId="3" borderId="3" xfId="0" applyNumberFormat="1" applyFont="1" applyFill="1" applyBorder="1" applyAlignment="1">
      <alignment horizontal="left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22" fillId="4" borderId="3" xfId="0" applyFont="1" applyFill="1" applyBorder="1" applyAlignment="1">
      <alignment vertical="center"/>
    </xf>
    <xf numFmtId="0" fontId="15" fillId="0" borderId="3" xfId="0" applyFont="1" applyBorder="1" applyAlignment="1">
      <alignment horizontal="left" vertical="center" wrapText="1"/>
    </xf>
    <xf numFmtId="49" fontId="11" fillId="0" borderId="3" xfId="0" applyNumberFormat="1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2" fontId="11" fillId="0" borderId="3" xfId="0" applyNumberFormat="1" applyFont="1" applyBorder="1" applyAlignment="1">
      <alignment horizontal="left" vertical="center" wrapText="1"/>
    </xf>
    <xf numFmtId="14" fontId="3" fillId="3" borderId="3" xfId="0" applyNumberFormat="1" applyFont="1" applyFill="1" applyBorder="1" applyAlignment="1">
      <alignment horizontal="left"/>
    </xf>
    <xf numFmtId="14" fontId="3" fillId="4" borderId="3" xfId="0" applyNumberFormat="1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166" fontId="25" fillId="4" borderId="0" xfId="0" applyNumberFormat="1" applyFont="1" applyFill="1" applyAlignment="1">
      <alignment horizontal="center"/>
    </xf>
    <xf numFmtId="0" fontId="2" fillId="4" borderId="0" xfId="0" applyFont="1" applyFill="1"/>
    <xf numFmtId="0" fontId="0" fillId="4" borderId="0" xfId="0" applyFill="1"/>
    <xf numFmtId="0" fontId="26" fillId="4" borderId="1" xfId="0" applyFont="1" applyFill="1" applyBorder="1" applyAlignment="1">
      <alignment horizontal="left" wrapText="1" readingOrder="1"/>
    </xf>
    <xf numFmtId="166" fontId="10" fillId="4" borderId="0" xfId="0" applyNumberFormat="1" applyFont="1" applyFill="1" applyAlignment="1">
      <alignment horizontal="center"/>
    </xf>
    <xf numFmtId="0" fontId="26" fillId="4" borderId="6" xfId="0" applyFont="1" applyFill="1" applyBorder="1" applyAlignment="1">
      <alignment horizontal="left" wrapText="1" readingOrder="1"/>
    </xf>
    <xf numFmtId="0" fontId="27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2" fillId="4" borderId="3" xfId="0" applyFont="1" applyFill="1" applyBorder="1" applyAlignment="1">
      <alignment horizontal="left" vertical="center"/>
    </xf>
    <xf numFmtId="0" fontId="22" fillId="4" borderId="3" xfId="0" applyFont="1" applyFill="1" applyBorder="1" applyAlignment="1">
      <alignment horizontal="left" vertical="center" wrapText="1"/>
    </xf>
    <xf numFmtId="164" fontId="22" fillId="4" borderId="3" xfId="0" applyNumberFormat="1" applyFont="1" applyFill="1" applyBorder="1" applyAlignment="1">
      <alignment horizontal="left" vertical="center"/>
    </xf>
    <xf numFmtId="1" fontId="22" fillId="4" borderId="3" xfId="0" applyNumberFormat="1" applyFont="1" applyFill="1" applyBorder="1" applyAlignment="1">
      <alignment horizontal="left" vertical="center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" fillId="4" borderId="3" xfId="0" applyFont="1" applyFill="1" applyBorder="1"/>
    <xf numFmtId="12" fontId="8" fillId="5" borderId="3" xfId="0" applyNumberFormat="1" applyFont="1" applyFill="1" applyBorder="1" applyAlignment="1">
      <alignment horizontal="left" vertical="center"/>
    </xf>
    <xf numFmtId="0" fontId="4" fillId="5" borderId="3" xfId="0" applyFont="1" applyFill="1" applyBorder="1"/>
    <xf numFmtId="12" fontId="8" fillId="12" borderId="3" xfId="0" applyNumberFormat="1" applyFont="1" applyFill="1" applyBorder="1" applyAlignment="1">
      <alignment horizontal="left" vertical="center"/>
    </xf>
    <xf numFmtId="0" fontId="7" fillId="0" borderId="0" xfId="0" applyFont="1"/>
    <xf numFmtId="0" fontId="10" fillId="4" borderId="3" xfId="0" applyFont="1" applyFill="1" applyBorder="1" applyAlignment="1">
      <alignment horizontal="left"/>
    </xf>
    <xf numFmtId="0" fontId="23" fillId="3" borderId="3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left" vertical="center" wrapText="1"/>
    </xf>
    <xf numFmtId="164" fontId="23" fillId="3" borderId="3" xfId="0" applyNumberFormat="1" applyFont="1" applyFill="1" applyBorder="1" applyAlignment="1">
      <alignment horizontal="left" vertical="center"/>
    </xf>
    <xf numFmtId="0" fontId="22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 wrapText="1"/>
    </xf>
    <xf numFmtId="164" fontId="28" fillId="0" borderId="3" xfId="0" applyNumberFormat="1" applyFont="1" applyBorder="1" applyAlignment="1">
      <alignment horizontal="left" vertical="center"/>
    </xf>
    <xf numFmtId="1" fontId="28" fillId="0" borderId="3" xfId="0" applyNumberFormat="1" applyFont="1" applyBorder="1" applyAlignment="1">
      <alignment horizontal="left" vertical="center"/>
    </xf>
    <xf numFmtId="0" fontId="28" fillId="0" borderId="3" xfId="0" applyFont="1" applyBorder="1" applyAlignment="1">
      <alignment vertical="center"/>
    </xf>
    <xf numFmtId="0" fontId="29" fillId="4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164" fontId="10" fillId="3" borderId="3" xfId="0" applyNumberFormat="1" applyFont="1" applyFill="1" applyBorder="1" applyAlignment="1">
      <alignment horizontal="left" vertical="center"/>
    </xf>
    <xf numFmtId="1" fontId="10" fillId="3" borderId="3" xfId="0" applyNumberFormat="1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17" fillId="4" borderId="3" xfId="0" applyNumberFormat="1" applyFont="1" applyFill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164" fontId="23" fillId="3" borderId="3" xfId="0" applyNumberFormat="1" applyFont="1" applyFill="1" applyBorder="1" applyAlignment="1">
      <alignment horizontal="center" vertical="center"/>
    </xf>
    <xf numFmtId="164" fontId="19" fillId="0" borderId="3" xfId="0" applyNumberFormat="1" applyFont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11" borderId="3" xfId="0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164" fontId="18" fillId="4" borderId="3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164" fontId="22" fillId="4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center" vertical="center"/>
    </xf>
    <xf numFmtId="164" fontId="28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left" vertical="center" wrapText="1"/>
    </xf>
    <xf numFmtId="167" fontId="10" fillId="13" borderId="3" xfId="0" applyNumberFormat="1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left" vertical="center"/>
    </xf>
    <xf numFmtId="164" fontId="10" fillId="13" borderId="3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17" fillId="4" borderId="3" xfId="0" applyFont="1" applyFill="1" applyBorder="1"/>
    <xf numFmtId="0" fontId="3" fillId="14" borderId="3" xfId="0" applyFont="1" applyFill="1" applyBorder="1" applyAlignment="1">
      <alignment horizontal="left"/>
    </xf>
    <xf numFmtId="14" fontId="3" fillId="14" borderId="3" xfId="0" applyNumberFormat="1" applyFont="1" applyFill="1" applyBorder="1" applyAlignment="1">
      <alignment horizontal="left"/>
    </xf>
    <xf numFmtId="0" fontId="4" fillId="14" borderId="3" xfId="0" applyFont="1" applyFill="1" applyBorder="1"/>
    <xf numFmtId="12" fontId="8" fillId="14" borderId="3" xfId="0" applyNumberFormat="1" applyFont="1" applyFill="1" applyBorder="1" applyAlignment="1">
      <alignment horizontal="left" vertical="center"/>
    </xf>
    <xf numFmtId="0" fontId="4" fillId="1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7" fontId="10" fillId="4" borderId="3" xfId="0" applyNumberFormat="1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 wrapText="1"/>
    </xf>
    <xf numFmtId="1" fontId="10" fillId="4" borderId="3" xfId="0" applyNumberFormat="1" applyFont="1" applyFill="1" applyBorder="1" applyAlignment="1">
      <alignment horizontal="left" vertical="center"/>
    </xf>
    <xf numFmtId="164" fontId="10" fillId="4" borderId="3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left" vertical="center"/>
    </xf>
    <xf numFmtId="0" fontId="3" fillId="15" borderId="3" xfId="0" applyFont="1" applyFill="1" applyBorder="1" applyAlignment="1">
      <alignment horizontal="left"/>
    </xf>
    <xf numFmtId="164" fontId="3" fillId="15" borderId="3" xfId="0" applyNumberFormat="1" applyFont="1" applyFill="1" applyBorder="1" applyAlignment="1">
      <alignment horizontal="left"/>
    </xf>
    <xf numFmtId="0" fontId="4" fillId="15" borderId="3" xfId="0" applyFont="1" applyFill="1" applyBorder="1" applyAlignment="1">
      <alignment horizontal="left"/>
    </xf>
    <xf numFmtId="12" fontId="8" fillId="15" borderId="3" xfId="0" applyNumberFormat="1" applyFont="1" applyFill="1" applyBorder="1" applyAlignment="1">
      <alignment horizontal="left" vertical="center"/>
    </xf>
    <xf numFmtId="0" fontId="4" fillId="15" borderId="3" xfId="0" applyFont="1" applyFill="1" applyBorder="1"/>
    <xf numFmtId="0" fontId="4" fillId="15" borderId="3" xfId="0" applyFont="1" applyFill="1" applyBorder="1" applyAlignment="1">
      <alignment horizontal="center"/>
    </xf>
    <xf numFmtId="0" fontId="4" fillId="15" borderId="12" xfId="0" applyFont="1" applyFill="1" applyBorder="1"/>
    <xf numFmtId="12" fontId="8" fillId="6" borderId="3" xfId="0" applyNumberFormat="1" applyFont="1" applyFill="1" applyBorder="1" applyAlignment="1">
      <alignment horizontal="left" vertical="center"/>
    </xf>
    <xf numFmtId="0" fontId="28" fillId="4" borderId="3" xfId="0" applyFont="1" applyFill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 wrapText="1"/>
    </xf>
    <xf numFmtId="164" fontId="31" fillId="0" borderId="3" xfId="0" applyNumberFormat="1" applyFont="1" applyBorder="1" applyAlignment="1">
      <alignment horizontal="left" vertical="center"/>
    </xf>
    <xf numFmtId="164" fontId="31" fillId="0" borderId="3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 wrapText="1"/>
    </xf>
    <xf numFmtId="164" fontId="32" fillId="0" borderId="3" xfId="0" applyNumberFormat="1" applyFont="1" applyBorder="1" applyAlignment="1">
      <alignment horizontal="left" vertical="center"/>
    </xf>
    <xf numFmtId="164" fontId="32" fillId="0" borderId="3" xfId="0" applyNumberFormat="1" applyFont="1" applyBorder="1" applyAlignment="1">
      <alignment horizontal="center" vertical="center"/>
    </xf>
    <xf numFmtId="0" fontId="33" fillId="0" borderId="0" xfId="0" applyFont="1"/>
    <xf numFmtId="1" fontId="32" fillId="0" borderId="3" xfId="0" applyNumberFormat="1" applyFont="1" applyBorder="1" applyAlignment="1">
      <alignment horizontal="left" vertical="center"/>
    </xf>
    <xf numFmtId="0" fontId="10" fillId="3" borderId="12" xfId="0" applyFont="1" applyFill="1" applyBorder="1" applyAlignment="1">
      <alignment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 wrapText="1"/>
    </xf>
    <xf numFmtId="167" fontId="10" fillId="4" borderId="12" xfId="0" applyNumberFormat="1" applyFont="1" applyFill="1" applyBorder="1" applyAlignment="1">
      <alignment horizontal="left" vertical="center"/>
    </xf>
    <xf numFmtId="1" fontId="10" fillId="4" borderId="12" xfId="0" applyNumberFormat="1" applyFont="1" applyFill="1" applyBorder="1" applyAlignment="1">
      <alignment horizontal="left" vertical="center"/>
    </xf>
    <xf numFmtId="164" fontId="10" fillId="4" borderId="12" xfId="0" applyNumberFormat="1" applyFont="1" applyFill="1" applyBorder="1" applyAlignment="1">
      <alignment horizontal="center" vertical="center"/>
    </xf>
    <xf numFmtId="167" fontId="11" fillId="4" borderId="3" xfId="0" applyNumberFormat="1" applyFont="1" applyFill="1" applyBorder="1" applyAlignment="1">
      <alignment horizontal="left" vertical="center"/>
    </xf>
    <xf numFmtId="0" fontId="16" fillId="4" borderId="3" xfId="0" applyFont="1" applyFill="1" applyBorder="1" applyAlignment="1">
      <alignment horizontal="left" vertical="center"/>
    </xf>
    <xf numFmtId="167" fontId="16" fillId="4" borderId="3" xfId="0" applyNumberFormat="1" applyFont="1" applyFill="1" applyBorder="1" applyAlignment="1">
      <alignment horizontal="left" vertical="center"/>
    </xf>
    <xf numFmtId="1" fontId="16" fillId="4" borderId="3" xfId="0" applyNumberFormat="1" applyFont="1" applyFill="1" applyBorder="1" applyAlignment="1">
      <alignment horizontal="left" vertical="center"/>
    </xf>
    <xf numFmtId="164" fontId="16" fillId="4" borderId="3" xfId="0" applyNumberFormat="1" applyFont="1" applyFill="1" applyBorder="1" applyAlignment="1">
      <alignment horizontal="center" vertical="center"/>
    </xf>
    <xf numFmtId="164" fontId="16" fillId="4" borderId="3" xfId="0" applyNumberFormat="1" applyFont="1" applyFill="1" applyBorder="1" applyAlignment="1">
      <alignment horizontal="left" vertical="center"/>
    </xf>
    <xf numFmtId="166" fontId="12" fillId="0" borderId="3" xfId="0" applyNumberFormat="1" applyFont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166" fontId="12" fillId="4" borderId="3" xfId="0" applyNumberFormat="1" applyFont="1" applyFill="1" applyBorder="1" applyAlignment="1">
      <alignment horizontal="left" vertical="center"/>
    </xf>
    <xf numFmtId="0" fontId="10" fillId="16" borderId="3" xfId="0" applyFont="1" applyFill="1" applyBorder="1" applyAlignment="1">
      <alignment horizontal="left" vertical="center"/>
    </xf>
    <xf numFmtId="0" fontId="10" fillId="16" borderId="3" xfId="0" applyFont="1" applyFill="1" applyBorder="1" applyAlignment="1">
      <alignment horizontal="left" vertical="center" wrapText="1"/>
    </xf>
    <xf numFmtId="164" fontId="10" fillId="16" borderId="3" xfId="0" applyNumberFormat="1" applyFont="1" applyFill="1" applyBorder="1" applyAlignment="1">
      <alignment horizontal="left" vertical="center"/>
    </xf>
    <xf numFmtId="164" fontId="10" fillId="16" borderId="3" xfId="0" applyNumberFormat="1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vertical="center"/>
    </xf>
    <xf numFmtId="0" fontId="11" fillId="16" borderId="3" xfId="0" applyFont="1" applyFill="1" applyBorder="1" applyAlignment="1">
      <alignment horizontal="left" vertical="center"/>
    </xf>
    <xf numFmtId="0" fontId="11" fillId="16" borderId="3" xfId="0" applyFont="1" applyFill="1" applyBorder="1" applyAlignment="1">
      <alignment horizontal="left" vertical="center" wrapText="1"/>
    </xf>
    <xf numFmtId="164" fontId="11" fillId="16" borderId="3" xfId="0" applyNumberFormat="1" applyFont="1" applyFill="1" applyBorder="1" applyAlignment="1">
      <alignment horizontal="left" vertical="center"/>
    </xf>
    <xf numFmtId="164" fontId="11" fillId="16" borderId="3" xfId="0" applyNumberFormat="1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vertical="center"/>
    </xf>
    <xf numFmtId="164" fontId="10" fillId="4" borderId="3" xfId="0" applyNumberFormat="1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167" fontId="10" fillId="0" borderId="3" xfId="0" applyNumberFormat="1" applyFont="1" applyBorder="1" applyAlignment="1">
      <alignment horizontal="left" vertical="center"/>
    </xf>
    <xf numFmtId="167" fontId="11" fillId="0" borderId="3" xfId="0" applyNumberFormat="1" applyFont="1" applyBorder="1" applyAlignment="1">
      <alignment horizontal="left" vertical="center"/>
    </xf>
    <xf numFmtId="15" fontId="11" fillId="0" borderId="3" xfId="0" applyNumberFormat="1" applyFont="1" applyBorder="1" applyAlignment="1">
      <alignment horizontal="left" vertical="center"/>
    </xf>
    <xf numFmtId="0" fontId="11" fillId="4" borderId="3" xfId="0" applyFont="1" applyFill="1" applyBorder="1" applyAlignment="1">
      <alignment horizontal="left"/>
    </xf>
    <xf numFmtId="1" fontId="11" fillId="4" borderId="3" xfId="0" applyNumberFormat="1" applyFont="1" applyFill="1" applyBorder="1" applyAlignment="1">
      <alignment horizontal="left"/>
    </xf>
    <xf numFmtId="0" fontId="11" fillId="4" borderId="3" xfId="0" applyFont="1" applyFill="1" applyBorder="1" applyAlignment="1">
      <alignment horizontal="left" wrapText="1"/>
    </xf>
    <xf numFmtId="167" fontId="11" fillId="4" borderId="3" xfId="0" applyNumberFormat="1" applyFont="1" applyFill="1" applyBorder="1" applyAlignment="1">
      <alignment horizontal="left"/>
    </xf>
    <xf numFmtId="164" fontId="11" fillId="4" borderId="3" xfId="0" applyNumberFormat="1" applyFont="1" applyFill="1" applyBorder="1" applyAlignment="1">
      <alignment horizontal="center"/>
    </xf>
    <xf numFmtId="0" fontId="11" fillId="3" borderId="3" xfId="0" applyFont="1" applyFill="1" applyBorder="1"/>
    <xf numFmtId="0" fontId="11" fillId="0" borderId="3" xfId="0" applyFont="1" applyBorder="1" applyAlignment="1">
      <alignment horizontal="left"/>
    </xf>
    <xf numFmtId="0" fontId="34" fillId="0" borderId="17" xfId="0" applyFont="1" applyBorder="1"/>
    <xf numFmtId="0" fontId="34" fillId="0" borderId="7" xfId="0" applyFont="1" applyBorder="1"/>
    <xf numFmtId="0" fontId="34" fillId="0" borderId="0" xfId="0" applyFont="1"/>
    <xf numFmtId="0" fontId="34" fillId="18" borderId="0" xfId="0" applyFont="1" applyFill="1"/>
    <xf numFmtId="0" fontId="34" fillId="0" borderId="16" xfId="0" applyFont="1" applyBorder="1"/>
    <xf numFmtId="0" fontId="35" fillId="0" borderId="0" xfId="0" applyFont="1"/>
    <xf numFmtId="0" fontId="36" fillId="0" borderId="0" xfId="0" applyFont="1"/>
    <xf numFmtId="49" fontId="10" fillId="0" borderId="3" xfId="0" applyNumberFormat="1" applyFont="1" applyBorder="1" applyAlignment="1">
      <alignment horizontal="left" vertical="center"/>
    </xf>
    <xf numFmtId="49" fontId="15" fillId="0" borderId="3" xfId="0" applyNumberFormat="1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left" vertical="center"/>
    </xf>
    <xf numFmtId="49" fontId="16" fillId="0" borderId="3" xfId="0" applyNumberFormat="1" applyFont="1" applyBorder="1" applyAlignment="1">
      <alignment horizontal="left" vertical="center"/>
    </xf>
    <xf numFmtId="49" fontId="31" fillId="0" borderId="3" xfId="0" applyNumberFormat="1" applyFont="1" applyBorder="1" applyAlignment="1">
      <alignment horizontal="left" vertical="center"/>
    </xf>
    <xf numFmtId="49" fontId="16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vertical="center"/>
    </xf>
    <xf numFmtId="49" fontId="11" fillId="4" borderId="3" xfId="0" applyNumberFormat="1" applyFont="1" applyFill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17" fillId="4" borderId="3" xfId="0" applyNumberFormat="1" applyFont="1" applyFill="1" applyBorder="1" applyAlignment="1">
      <alignment horizontal="left" vertical="center"/>
    </xf>
    <xf numFmtId="49" fontId="17" fillId="0" borderId="3" xfId="0" applyNumberFormat="1" applyFont="1" applyBorder="1" applyAlignment="1">
      <alignment horizontal="left" vertical="center"/>
    </xf>
    <xf numFmtId="49" fontId="18" fillId="0" borderId="3" xfId="0" applyNumberFormat="1" applyFont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left" vertical="center"/>
    </xf>
    <xf numFmtId="49" fontId="23" fillId="0" borderId="3" xfId="0" applyNumberFormat="1" applyFont="1" applyBorder="1" applyAlignment="1">
      <alignment horizontal="left" vertical="center"/>
    </xf>
    <xf numFmtId="49" fontId="23" fillId="3" borderId="3" xfId="0" applyNumberFormat="1" applyFont="1" applyFill="1" applyBorder="1" applyAlignment="1">
      <alignment horizontal="left" vertical="center"/>
    </xf>
    <xf numFmtId="49" fontId="19" fillId="0" borderId="3" xfId="0" applyNumberFormat="1" applyFont="1" applyBorder="1" applyAlignment="1">
      <alignment horizontal="left" vertical="center"/>
    </xf>
    <xf numFmtId="49" fontId="20" fillId="0" borderId="3" xfId="0" applyNumberFormat="1" applyFont="1" applyBorder="1" applyAlignment="1">
      <alignment horizontal="left" vertical="center"/>
    </xf>
    <xf numFmtId="49" fontId="32" fillId="0" borderId="3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8" fillId="11" borderId="3" xfId="0" applyNumberFormat="1" applyFont="1" applyFill="1" applyBorder="1" applyAlignment="1">
      <alignment horizontal="left" vertical="center"/>
    </xf>
    <xf numFmtId="49" fontId="8" fillId="4" borderId="3" xfId="0" applyNumberFormat="1" applyFont="1" applyFill="1" applyBorder="1" applyAlignment="1">
      <alignment horizontal="left" vertical="center"/>
    </xf>
    <xf numFmtId="49" fontId="18" fillId="4" borderId="3" xfId="0" applyNumberFormat="1" applyFont="1" applyFill="1" applyBorder="1" applyAlignment="1">
      <alignment horizontal="left" vertical="center"/>
    </xf>
    <xf numFmtId="49" fontId="9" fillId="0" borderId="3" xfId="0" applyNumberFormat="1" applyFont="1" applyBorder="1" applyAlignment="1">
      <alignment horizontal="left" vertical="center"/>
    </xf>
    <xf numFmtId="49" fontId="22" fillId="0" borderId="3" xfId="0" applyNumberFormat="1" applyFont="1" applyBorder="1" applyAlignment="1">
      <alignment horizontal="left" vertical="center"/>
    </xf>
    <xf numFmtId="49" fontId="11" fillId="3" borderId="3" xfId="0" applyNumberFormat="1" applyFont="1" applyFill="1" applyBorder="1" applyAlignment="1">
      <alignment horizontal="left" vertical="center"/>
    </xf>
    <xf numFmtId="49" fontId="22" fillId="4" borderId="3" xfId="0" applyNumberFormat="1" applyFont="1" applyFill="1" applyBorder="1" applyAlignment="1">
      <alignment horizontal="left" vertical="center"/>
    </xf>
    <xf numFmtId="49" fontId="11" fillId="0" borderId="0" xfId="0" applyNumberFormat="1" applyFont="1" applyAlignment="1">
      <alignment horizontal="left"/>
    </xf>
    <xf numFmtId="49" fontId="16" fillId="4" borderId="3" xfId="0" applyNumberFormat="1" applyFont="1" applyFill="1" applyBorder="1" applyAlignment="1">
      <alignment horizontal="left" vertical="center"/>
    </xf>
    <xf numFmtId="49" fontId="10" fillId="4" borderId="3" xfId="0" applyNumberFormat="1" applyFont="1" applyFill="1" applyBorder="1" applyAlignment="1">
      <alignment horizontal="left" vertical="center"/>
    </xf>
    <xf numFmtId="49" fontId="12" fillId="4" borderId="0" xfId="0" applyNumberFormat="1" applyFont="1" applyFill="1"/>
    <xf numFmtId="49" fontId="10" fillId="13" borderId="3" xfId="0" applyNumberFormat="1" applyFont="1" applyFill="1" applyBorder="1" applyAlignment="1">
      <alignment horizontal="left" vertical="center"/>
    </xf>
    <xf numFmtId="49" fontId="10" fillId="16" borderId="3" xfId="0" applyNumberFormat="1" applyFont="1" applyFill="1" applyBorder="1" applyAlignment="1">
      <alignment horizontal="left" vertical="center"/>
    </xf>
    <xf numFmtId="49" fontId="11" fillId="16" borderId="3" xfId="0" applyNumberFormat="1" applyFont="1" applyFill="1" applyBorder="1" applyAlignment="1">
      <alignment horizontal="left" vertical="center"/>
    </xf>
    <xf numFmtId="49" fontId="10" fillId="3" borderId="3" xfId="0" applyNumberFormat="1" applyFont="1" applyFill="1" applyBorder="1" applyAlignment="1">
      <alignment horizontal="left" vertical="center"/>
    </xf>
    <xf numFmtId="49" fontId="12" fillId="4" borderId="3" xfId="0" applyNumberFormat="1" applyFont="1" applyFill="1" applyBorder="1" applyAlignment="1">
      <alignment horizontal="left" vertical="center"/>
    </xf>
    <xf numFmtId="49" fontId="28" fillId="0" borderId="3" xfId="0" applyNumberFormat="1" applyFont="1" applyBorder="1" applyAlignment="1">
      <alignment horizontal="left" vertical="center"/>
    </xf>
    <xf numFmtId="49" fontId="10" fillId="0" borderId="5" xfId="0" applyNumberFormat="1" applyFont="1" applyBorder="1" applyAlignment="1">
      <alignment horizontal="left" vertical="center"/>
    </xf>
    <xf numFmtId="49" fontId="10" fillId="4" borderId="12" xfId="0" applyNumberFormat="1" applyFont="1" applyFill="1" applyBorder="1" applyAlignment="1">
      <alignment horizontal="left" vertical="center"/>
    </xf>
    <xf numFmtId="49" fontId="11" fillId="4" borderId="3" xfId="0" applyNumberFormat="1" applyFont="1" applyFill="1" applyBorder="1" applyAlignment="1">
      <alignment horizontal="left"/>
    </xf>
    <xf numFmtId="49" fontId="35" fillId="0" borderId="0" xfId="0" applyNumberFormat="1" applyFont="1"/>
    <xf numFmtId="164" fontId="16" fillId="0" borderId="3" xfId="0" applyNumberFormat="1" applyFont="1" applyBorder="1" applyAlignment="1">
      <alignment horizontal="center" vertical="center" wrapText="1" indent="1"/>
    </xf>
    <xf numFmtId="0" fontId="37" fillId="2" borderId="1" xfId="0" applyFont="1" applyFill="1" applyBorder="1" applyAlignment="1">
      <alignment horizontal="left"/>
    </xf>
    <xf numFmtId="164" fontId="37" fillId="2" borderId="2" xfId="0" applyNumberFormat="1" applyFont="1" applyFill="1" applyBorder="1" applyAlignment="1">
      <alignment horizontal="left"/>
    </xf>
    <xf numFmtId="0" fontId="37" fillId="2" borderId="0" xfId="0" applyFont="1" applyFill="1" applyAlignment="1">
      <alignment horizontal="left"/>
    </xf>
    <xf numFmtId="0" fontId="37" fillId="2" borderId="15" xfId="0" applyFont="1" applyFill="1" applyBorder="1" applyAlignment="1">
      <alignment horizontal="left"/>
    </xf>
    <xf numFmtId="1" fontId="37" fillId="2" borderId="1" xfId="0" applyNumberFormat="1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7" fillId="2" borderId="6" xfId="0" applyFont="1" applyFill="1" applyBorder="1" applyAlignment="1">
      <alignment horizontal="left"/>
    </xf>
    <xf numFmtId="43" fontId="37" fillId="2" borderId="6" xfId="0" applyNumberFormat="1" applyFont="1" applyFill="1" applyBorder="1" applyAlignment="1">
      <alignment horizontal="left"/>
    </xf>
    <xf numFmtId="165" fontId="37" fillId="2" borderId="1" xfId="0" applyNumberFormat="1" applyFont="1" applyFill="1" applyBorder="1" applyAlignment="1">
      <alignment horizontal="left"/>
    </xf>
    <xf numFmtId="0" fontId="37" fillId="2" borderId="1" xfId="0" applyFont="1" applyFill="1" applyBorder="1" applyAlignment="1" applyProtection="1">
      <alignment horizontal="left"/>
      <protection locked="0"/>
    </xf>
    <xf numFmtId="167" fontId="38" fillId="2" borderId="1" xfId="0" applyNumberFormat="1" applyFont="1" applyFill="1" applyBorder="1" applyAlignment="1" applyProtection="1">
      <alignment horizontal="left"/>
      <protection locked="0"/>
    </xf>
    <xf numFmtId="0" fontId="37" fillId="0" borderId="0" xfId="0" applyFont="1" applyAlignment="1" applyProtection="1">
      <alignment horizontal="left"/>
      <protection locked="0"/>
    </xf>
    <xf numFmtId="0" fontId="38" fillId="0" borderId="3" xfId="0" applyFont="1" applyBorder="1" applyAlignment="1">
      <alignment horizontal="left"/>
    </xf>
    <xf numFmtId="15" fontId="38" fillId="0" borderId="7" xfId="0" applyNumberFormat="1" applyFont="1" applyBorder="1" applyAlignment="1">
      <alignment horizontal="left"/>
    </xf>
    <xf numFmtId="0" fontId="38" fillId="0" borderId="17" xfId="0" applyFont="1" applyBorder="1" applyAlignment="1">
      <alignment horizontal="left"/>
    </xf>
    <xf numFmtId="0" fontId="38" fillId="0" borderId="7" xfId="0" applyFont="1" applyBorder="1" applyAlignment="1">
      <alignment horizontal="left"/>
    </xf>
    <xf numFmtId="0" fontId="39" fillId="0" borderId="18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39" fillId="0" borderId="4" xfId="0" applyFont="1" applyBorder="1" applyAlignment="1">
      <alignment horizontal="left"/>
    </xf>
    <xf numFmtId="0" fontId="39" fillId="0" borderId="3" xfId="0" applyFont="1" applyBorder="1" applyAlignment="1">
      <alignment horizontal="left"/>
    </xf>
    <xf numFmtId="164" fontId="39" fillId="0" borderId="7" xfId="0" applyNumberFormat="1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1" xfId="0" applyFont="1" applyBorder="1" applyAlignment="1" applyProtection="1">
      <alignment horizontal="left"/>
      <protection locked="0"/>
    </xf>
    <xf numFmtId="167" fontId="39" fillId="0" borderId="0" xfId="0" applyNumberFormat="1" applyFont="1" applyAlignment="1">
      <alignment horizontal="left"/>
    </xf>
    <xf numFmtId="0" fontId="39" fillId="0" borderId="0" xfId="0" applyFont="1" applyAlignment="1" applyProtection="1">
      <alignment horizontal="left"/>
      <protection locked="0"/>
    </xf>
    <xf numFmtId="0" fontId="38" fillId="0" borderId="12" xfId="0" applyFont="1" applyBorder="1" applyAlignment="1">
      <alignment horizontal="left"/>
    </xf>
    <xf numFmtId="15" fontId="38" fillId="0" borderId="17" xfId="0" applyNumberFormat="1" applyFont="1" applyBorder="1" applyAlignment="1">
      <alignment horizontal="left"/>
    </xf>
    <xf numFmtId="167" fontId="38" fillId="0" borderId="1" xfId="0" applyNumberFormat="1" applyFont="1" applyBorder="1" applyAlignment="1" applyProtection="1">
      <alignment horizontal="left"/>
      <protection locked="0"/>
    </xf>
    <xf numFmtId="167" fontId="38" fillId="0" borderId="3" xfId="0" applyNumberFormat="1" applyFont="1" applyBorder="1" applyAlignment="1">
      <alignment horizontal="left" vertical="center"/>
    </xf>
    <xf numFmtId="165" fontId="39" fillId="0" borderId="7" xfId="0" applyNumberFormat="1" applyFont="1" applyBorder="1" applyAlignment="1">
      <alignment horizontal="left"/>
    </xf>
    <xf numFmtId="15" fontId="39" fillId="0" borderId="15" xfId="0" applyNumberFormat="1" applyFont="1" applyBorder="1" applyAlignment="1">
      <alignment horizontal="left"/>
    </xf>
    <xf numFmtId="165" fontId="39" fillId="0" borderId="15" xfId="0" applyNumberFormat="1" applyFont="1" applyBorder="1" applyAlignment="1">
      <alignment horizontal="left"/>
    </xf>
    <xf numFmtId="167" fontId="38" fillId="0" borderId="3" xfId="0" applyNumberFormat="1" applyFont="1" applyBorder="1" applyAlignment="1" applyProtection="1">
      <alignment horizontal="left"/>
      <protection locked="0"/>
    </xf>
    <xf numFmtId="0" fontId="39" fillId="0" borderId="1" xfId="0" quotePrefix="1" applyFont="1" applyBorder="1" applyAlignment="1">
      <alignment horizontal="left"/>
    </xf>
    <xf numFmtId="164" fontId="39" fillId="0" borderId="1" xfId="0" quotePrefix="1" applyNumberFormat="1" applyFont="1" applyBorder="1" applyAlignment="1">
      <alignment horizontal="left"/>
    </xf>
    <xf numFmtId="1" fontId="39" fillId="4" borderId="1" xfId="0" applyNumberFormat="1" applyFont="1" applyFill="1" applyBorder="1" applyAlignment="1">
      <alignment horizontal="left"/>
    </xf>
    <xf numFmtId="0" fontId="39" fillId="4" borderId="1" xfId="0" applyFont="1" applyFill="1" applyBorder="1" applyAlignment="1">
      <alignment horizontal="left"/>
    </xf>
    <xf numFmtId="8" fontId="39" fillId="0" borderId="3" xfId="0" applyNumberFormat="1" applyFont="1" applyBorder="1" applyAlignment="1">
      <alignment horizontal="left"/>
    </xf>
    <xf numFmtId="164" fontId="40" fillId="0" borderId="1" xfId="0" quotePrefix="1" applyNumberFormat="1" applyFont="1" applyBorder="1" applyAlignment="1">
      <alignment horizontal="left"/>
    </xf>
    <xf numFmtId="0" fontId="40" fillId="0" borderId="1" xfId="0" quotePrefix="1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1" fontId="40" fillId="4" borderId="1" xfId="0" applyNumberFormat="1" applyFont="1" applyFill="1" applyBorder="1" applyAlignment="1">
      <alignment horizontal="left"/>
    </xf>
    <xf numFmtId="0" fontId="40" fillId="4" borderId="1" xfId="0" applyFont="1" applyFill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0" fillId="0" borderId="4" xfId="0" applyFont="1" applyBorder="1" applyAlignment="1">
      <alignment horizontal="left"/>
    </xf>
    <xf numFmtId="0" fontId="40" fillId="0" borderId="3" xfId="0" applyFont="1" applyBorder="1" applyAlignment="1">
      <alignment horizontal="left"/>
    </xf>
    <xf numFmtId="15" fontId="40" fillId="0" borderId="15" xfId="0" applyNumberFormat="1" applyFont="1" applyBorder="1" applyAlignment="1">
      <alignment horizontal="left"/>
    </xf>
    <xf numFmtId="0" fontId="40" fillId="0" borderId="1" xfId="0" applyFont="1" applyBorder="1" applyAlignment="1" applyProtection="1">
      <alignment horizontal="left"/>
      <protection locked="0"/>
    </xf>
    <xf numFmtId="3" fontId="39" fillId="0" borderId="1" xfId="0" applyNumberFormat="1" applyFont="1" applyBorder="1" applyAlignment="1">
      <alignment horizontal="left"/>
    </xf>
    <xf numFmtId="164" fontId="39" fillId="0" borderId="5" xfId="0" applyNumberFormat="1" applyFont="1" applyBorder="1" applyAlignment="1">
      <alignment horizontal="left"/>
    </xf>
    <xf numFmtId="0" fontId="39" fillId="0" borderId="5" xfId="0" applyFont="1" applyBorder="1" applyAlignment="1">
      <alignment horizontal="left"/>
    </xf>
    <xf numFmtId="1" fontId="39" fillId="4" borderId="5" xfId="0" applyNumberFormat="1" applyFont="1" applyFill="1" applyBorder="1" applyAlignment="1">
      <alignment horizontal="left"/>
    </xf>
    <xf numFmtId="0" fontId="39" fillId="4" borderId="5" xfId="0" applyFont="1" applyFill="1" applyBorder="1" applyAlignment="1">
      <alignment horizontal="left"/>
    </xf>
    <xf numFmtId="0" fontId="39" fillId="0" borderId="6" xfId="0" applyFont="1" applyBorder="1" applyAlignment="1">
      <alignment horizontal="left"/>
    </xf>
    <xf numFmtId="0" fontId="39" fillId="0" borderId="10" xfId="0" applyFont="1" applyBorder="1" applyAlignment="1">
      <alignment horizontal="left"/>
    </xf>
    <xf numFmtId="0" fontId="39" fillId="0" borderId="5" xfId="0" applyFont="1" applyBorder="1" applyAlignment="1" applyProtection="1">
      <alignment horizontal="left"/>
      <protection locked="0"/>
    </xf>
    <xf numFmtId="167" fontId="38" fillId="0" borderId="5" xfId="0" applyNumberFormat="1" applyFont="1" applyBorder="1" applyAlignment="1" applyProtection="1">
      <alignment horizontal="left"/>
      <protection locked="0"/>
    </xf>
    <xf numFmtId="1" fontId="41" fillId="4" borderId="1" xfId="0" applyNumberFormat="1" applyFont="1" applyFill="1" applyBorder="1" applyAlignment="1">
      <alignment horizontal="left" vertical="center"/>
    </xf>
    <xf numFmtId="0" fontId="39" fillId="4" borderId="3" xfId="0" applyFont="1" applyFill="1" applyBorder="1" applyAlignment="1">
      <alignment horizontal="left"/>
    </xf>
    <xf numFmtId="0" fontId="39" fillId="0" borderId="3" xfId="0" applyFont="1" applyBorder="1" applyAlignment="1" applyProtection="1">
      <alignment horizontal="left"/>
      <protection locked="0"/>
    </xf>
    <xf numFmtId="1" fontId="39" fillId="4" borderId="3" xfId="0" applyNumberFormat="1" applyFont="1" applyFill="1" applyBorder="1" applyAlignment="1">
      <alignment horizontal="left"/>
    </xf>
    <xf numFmtId="15" fontId="39" fillId="0" borderId="7" xfId="0" applyNumberFormat="1" applyFont="1" applyBorder="1" applyAlignment="1">
      <alignment horizontal="left"/>
    </xf>
    <xf numFmtId="164" fontId="39" fillId="0" borderId="3" xfId="0" applyNumberFormat="1" applyFont="1" applyBorder="1" applyAlignment="1">
      <alignment horizontal="left"/>
    </xf>
    <xf numFmtId="164" fontId="36" fillId="0" borderId="3" xfId="0" applyNumberFormat="1" applyFont="1" applyBorder="1" applyAlignment="1">
      <alignment horizontal="left"/>
    </xf>
    <xf numFmtId="0" fontId="36" fillId="0" borderId="1" xfId="0" quotePrefix="1" applyFont="1" applyBorder="1" applyAlignment="1">
      <alignment horizontal="left"/>
    </xf>
    <xf numFmtId="0" fontId="36" fillId="0" borderId="3" xfId="0" applyFont="1" applyBorder="1" applyAlignment="1">
      <alignment horizontal="left"/>
    </xf>
    <xf numFmtId="1" fontId="36" fillId="4" borderId="3" xfId="0" applyNumberFormat="1" applyFont="1" applyFill="1" applyBorder="1" applyAlignment="1">
      <alignment horizontal="left"/>
    </xf>
    <xf numFmtId="0" fontId="36" fillId="4" borderId="3" xfId="0" applyFont="1" applyFill="1" applyBorder="1" applyAlignment="1">
      <alignment horizontal="left"/>
    </xf>
    <xf numFmtId="0" fontId="36" fillId="0" borderId="4" xfId="0" applyFont="1" applyBorder="1" applyAlignment="1">
      <alignment horizontal="left"/>
    </xf>
    <xf numFmtId="15" fontId="36" fillId="0" borderId="15" xfId="0" applyNumberFormat="1" applyFont="1" applyBorder="1" applyAlignment="1">
      <alignment horizontal="left"/>
    </xf>
    <xf numFmtId="167" fontId="38" fillId="0" borderId="3" xfId="0" applyNumberFormat="1" applyFont="1" applyBorder="1" applyAlignment="1">
      <alignment horizontal="left"/>
    </xf>
    <xf numFmtId="0" fontId="36" fillId="0" borderId="3" xfId="0" applyFont="1" applyBorder="1" applyAlignment="1" applyProtection="1">
      <alignment horizontal="left"/>
      <protection locked="0"/>
    </xf>
    <xf numFmtId="0" fontId="36" fillId="0" borderId="1" xfId="0" applyFont="1" applyBorder="1" applyAlignment="1" applyProtection="1">
      <alignment horizontal="left"/>
      <protection locked="0"/>
    </xf>
    <xf numFmtId="0" fontId="38" fillId="0" borderId="1" xfId="0" quotePrefix="1" applyFont="1" applyBorder="1" applyAlignment="1">
      <alignment horizontal="left"/>
    </xf>
    <xf numFmtId="164" fontId="38" fillId="0" borderId="3" xfId="0" applyNumberFormat="1" applyFont="1" applyBorder="1" applyAlignment="1">
      <alignment horizontal="left"/>
    </xf>
    <xf numFmtId="1" fontId="38" fillId="4" borderId="3" xfId="0" applyNumberFormat="1" applyFont="1" applyFill="1" applyBorder="1" applyAlignment="1">
      <alignment horizontal="left"/>
    </xf>
    <xf numFmtId="0" fontId="38" fillId="4" borderId="3" xfId="0" applyFont="1" applyFill="1" applyBorder="1" applyAlignment="1">
      <alignment horizontal="left"/>
    </xf>
    <xf numFmtId="0" fontId="38" fillId="0" borderId="1" xfId="0" applyFont="1" applyBorder="1" applyAlignment="1">
      <alignment horizontal="left"/>
    </xf>
    <xf numFmtId="167" fontId="38" fillId="4" borderId="3" xfId="0" applyNumberFormat="1" applyFont="1" applyFill="1" applyBorder="1" applyAlignment="1">
      <alignment horizontal="left" vertical="center"/>
    </xf>
    <xf numFmtId="0" fontId="38" fillId="0" borderId="3" xfId="0" applyFont="1" applyBorder="1" applyAlignment="1" applyProtection="1">
      <alignment horizontal="left"/>
      <protection locked="0"/>
    </xf>
    <xf numFmtId="0" fontId="38" fillId="0" borderId="1" xfId="0" applyFont="1" applyBorder="1" applyAlignment="1" applyProtection="1">
      <alignment horizontal="left"/>
      <protection locked="0"/>
    </xf>
    <xf numFmtId="0" fontId="38" fillId="0" borderId="0" xfId="0" applyFont="1" applyAlignment="1" applyProtection="1">
      <alignment horizontal="left"/>
      <protection locked="0"/>
    </xf>
    <xf numFmtId="0" fontId="39" fillId="0" borderId="7" xfId="0" applyFont="1" applyBorder="1" applyAlignment="1">
      <alignment horizontal="left"/>
    </xf>
    <xf numFmtId="167" fontId="38" fillId="0" borderId="0" xfId="0" applyNumberFormat="1" applyFont="1" applyAlignment="1">
      <alignment horizontal="left"/>
    </xf>
    <xf numFmtId="3" fontId="39" fillId="0" borderId="3" xfId="0" applyNumberFormat="1" applyFont="1" applyBorder="1" applyAlignment="1">
      <alignment horizontal="left"/>
    </xf>
    <xf numFmtId="0" fontId="39" fillId="4" borderId="4" xfId="0" applyFont="1" applyFill="1" applyBorder="1" applyAlignment="1">
      <alignment horizontal="left"/>
    </xf>
    <xf numFmtId="15" fontId="39" fillId="4" borderId="7" xfId="0" applyNumberFormat="1" applyFont="1" applyFill="1" applyBorder="1" applyAlignment="1">
      <alignment horizontal="left"/>
    </xf>
    <xf numFmtId="0" fontId="39" fillId="4" borderId="3" xfId="0" applyFont="1" applyFill="1" applyBorder="1" applyAlignment="1" applyProtection="1">
      <alignment horizontal="left"/>
      <protection locked="0"/>
    </xf>
    <xf numFmtId="167" fontId="38" fillId="4" borderId="3" xfId="0" applyNumberFormat="1" applyFont="1" applyFill="1" applyBorder="1" applyAlignment="1" applyProtection="1">
      <alignment horizontal="left"/>
      <protection locked="0"/>
    </xf>
    <xf numFmtId="0" fontId="39" fillId="4" borderId="6" xfId="0" applyFont="1" applyFill="1" applyBorder="1" applyAlignment="1">
      <alignment horizontal="left"/>
    </xf>
    <xf numFmtId="0" fontId="39" fillId="4" borderId="5" xfId="0" applyFont="1" applyFill="1" applyBorder="1" applyAlignment="1" applyProtection="1">
      <alignment horizontal="left"/>
      <protection locked="0"/>
    </xf>
    <xf numFmtId="167" fontId="38" fillId="4" borderId="5" xfId="0" applyNumberFormat="1" applyFont="1" applyFill="1" applyBorder="1" applyAlignment="1" applyProtection="1">
      <alignment horizontal="left"/>
      <protection locked="0"/>
    </xf>
    <xf numFmtId="0" fontId="39" fillId="4" borderId="9" xfId="0" applyFont="1" applyFill="1" applyBorder="1" applyAlignment="1">
      <alignment horizontal="left"/>
    </xf>
    <xf numFmtId="164" fontId="39" fillId="4" borderId="3" xfId="0" applyNumberFormat="1" applyFont="1" applyFill="1" applyBorder="1" applyAlignment="1">
      <alignment horizontal="left"/>
    </xf>
    <xf numFmtId="0" fontId="39" fillId="4" borderId="1" xfId="0" quotePrefix="1" applyFont="1" applyFill="1" applyBorder="1" applyAlignment="1">
      <alignment horizontal="left"/>
    </xf>
    <xf numFmtId="0" fontId="39" fillId="4" borderId="1" xfId="0" applyFont="1" applyFill="1" applyBorder="1" applyAlignment="1" applyProtection="1">
      <alignment horizontal="left"/>
      <protection locked="0"/>
    </xf>
    <xf numFmtId="0" fontId="39" fillId="4" borderId="0" xfId="0" applyFont="1" applyFill="1" applyAlignment="1" applyProtection="1">
      <alignment horizontal="left"/>
      <protection locked="0"/>
    </xf>
    <xf numFmtId="0" fontId="39" fillId="0" borderId="6" xfId="0" quotePrefix="1" applyFont="1" applyBorder="1" applyAlignment="1">
      <alignment horizontal="left"/>
    </xf>
    <xf numFmtId="0" fontId="39" fillId="4" borderId="11" xfId="0" applyFont="1" applyFill="1" applyBorder="1" applyAlignment="1">
      <alignment horizontal="left"/>
    </xf>
    <xf numFmtId="15" fontId="39" fillId="0" borderId="9" xfId="0" applyNumberFormat="1" applyFont="1" applyBorder="1" applyAlignment="1">
      <alignment horizontal="left"/>
    </xf>
    <xf numFmtId="0" fontId="39" fillId="0" borderId="13" xfId="0" applyFont="1" applyBorder="1" applyAlignment="1" applyProtection="1">
      <alignment horizontal="left"/>
      <protection locked="0"/>
    </xf>
    <xf numFmtId="0" fontId="39" fillId="0" borderId="12" xfId="0" applyFont="1" applyBorder="1" applyAlignment="1">
      <alignment horizontal="left"/>
    </xf>
    <xf numFmtId="0" fontId="39" fillId="0" borderId="7" xfId="0" applyFont="1" applyBorder="1" applyAlignment="1" applyProtection="1">
      <alignment horizontal="left"/>
      <protection locked="0"/>
    </xf>
    <xf numFmtId="43" fontId="39" fillId="0" borderId="3" xfId="0" applyNumberFormat="1" applyFont="1" applyBorder="1" applyAlignment="1">
      <alignment horizontal="left"/>
    </xf>
    <xf numFmtId="14" fontId="39" fillId="0" borderId="0" xfId="0" applyNumberFormat="1" applyFont="1" applyAlignment="1" applyProtection="1">
      <alignment horizontal="left"/>
      <protection locked="0"/>
    </xf>
    <xf numFmtId="1" fontId="40" fillId="4" borderId="3" xfId="0" applyNumberFormat="1" applyFont="1" applyFill="1" applyBorder="1" applyAlignment="1">
      <alignment horizontal="left"/>
    </xf>
    <xf numFmtId="0" fontId="40" fillId="4" borderId="3" xfId="0" applyFont="1" applyFill="1" applyBorder="1" applyAlignment="1">
      <alignment horizontal="left"/>
    </xf>
    <xf numFmtId="0" fontId="40" fillId="0" borderId="10" xfId="0" applyFont="1" applyBorder="1" applyAlignment="1">
      <alignment horizontal="left"/>
    </xf>
    <xf numFmtId="0" fontId="40" fillId="0" borderId="3" xfId="0" applyFont="1" applyBorder="1" applyAlignment="1" applyProtection="1">
      <alignment horizontal="left"/>
      <protection locked="0"/>
    </xf>
    <xf numFmtId="14" fontId="39" fillId="0" borderId="3" xfId="0" applyNumberFormat="1" applyFont="1" applyBorder="1" applyAlignment="1" applyProtection="1">
      <alignment horizontal="left"/>
      <protection locked="0"/>
    </xf>
    <xf numFmtId="0" fontId="39" fillId="0" borderId="12" xfId="0" applyFont="1" applyBorder="1" applyAlignment="1" applyProtection="1">
      <alignment horizontal="left"/>
      <protection locked="0"/>
    </xf>
    <xf numFmtId="0" fontId="39" fillId="0" borderId="3" xfId="0" quotePrefix="1" applyFont="1" applyBorder="1" applyAlignment="1">
      <alignment horizontal="left"/>
    </xf>
    <xf numFmtId="0" fontId="39" fillId="0" borderId="5" xfId="0" quotePrefix="1" applyFont="1" applyBorder="1" applyAlignment="1">
      <alignment horizontal="left"/>
    </xf>
    <xf numFmtId="1" fontId="39" fillId="4" borderId="12" xfId="0" applyNumberFormat="1" applyFont="1" applyFill="1" applyBorder="1" applyAlignment="1">
      <alignment horizontal="left"/>
    </xf>
    <xf numFmtId="0" fontId="39" fillId="4" borderId="12" xfId="0" applyFont="1" applyFill="1" applyBorder="1" applyAlignment="1">
      <alignment horizontal="left"/>
    </xf>
    <xf numFmtId="0" fontId="39" fillId="0" borderId="0" xfId="0" applyFont="1" applyAlignment="1">
      <alignment horizontal="left"/>
    </xf>
    <xf numFmtId="167" fontId="38" fillId="0" borderId="12" xfId="0" applyNumberFormat="1" applyFont="1" applyBorder="1" applyAlignment="1" applyProtection="1">
      <alignment horizontal="left"/>
      <protection locked="0"/>
    </xf>
    <xf numFmtId="0" fontId="36" fillId="0" borderId="5" xfId="0" quotePrefix="1" applyFont="1" applyBorder="1" applyAlignment="1">
      <alignment horizontal="left"/>
    </xf>
    <xf numFmtId="15" fontId="36" fillId="0" borderId="7" xfId="0" applyNumberFormat="1" applyFont="1" applyBorder="1" applyAlignment="1">
      <alignment horizontal="left"/>
    </xf>
    <xf numFmtId="0" fontId="36" fillId="0" borderId="0" xfId="0" applyFont="1" applyAlignment="1">
      <alignment horizontal="left"/>
    </xf>
    <xf numFmtId="0" fontId="39" fillId="0" borderId="2" xfId="0" applyFont="1" applyBorder="1" applyAlignment="1" applyProtection="1">
      <alignment horizontal="left"/>
      <protection locked="0"/>
    </xf>
    <xf numFmtId="15" fontId="39" fillId="0" borderId="13" xfId="0" applyNumberFormat="1" applyFont="1" applyBorder="1" applyAlignment="1">
      <alignment horizontal="left"/>
    </xf>
    <xf numFmtId="0" fontId="39" fillId="0" borderId="12" xfId="0" quotePrefix="1" applyFont="1" applyBorder="1" applyAlignment="1">
      <alignment horizontal="left"/>
    </xf>
    <xf numFmtId="0" fontId="39" fillId="0" borderId="14" xfId="0" applyFont="1" applyBorder="1" applyAlignment="1">
      <alignment horizontal="left"/>
    </xf>
    <xf numFmtId="164" fontId="38" fillId="4" borderId="3" xfId="0" applyNumberFormat="1" applyFont="1" applyFill="1" applyBorder="1" applyAlignment="1">
      <alignment horizontal="left"/>
    </xf>
    <xf numFmtId="0" fontId="38" fillId="4" borderId="3" xfId="0" quotePrefix="1" applyFont="1" applyFill="1" applyBorder="1" applyAlignment="1">
      <alignment horizontal="left"/>
    </xf>
    <xf numFmtId="0" fontId="38" fillId="3" borderId="3" xfId="0" applyFont="1" applyFill="1" applyBorder="1" applyAlignment="1">
      <alignment horizontal="left"/>
    </xf>
    <xf numFmtId="0" fontId="38" fillId="4" borderId="4" xfId="0" applyFont="1" applyFill="1" applyBorder="1" applyAlignment="1">
      <alignment horizontal="left"/>
    </xf>
    <xf numFmtId="0" fontId="38" fillId="3" borderId="4" xfId="0" applyFont="1" applyFill="1" applyBorder="1" applyAlignment="1">
      <alignment horizontal="left"/>
    </xf>
    <xf numFmtId="15" fontId="38" fillId="4" borderId="7" xfId="0" applyNumberFormat="1" applyFont="1" applyFill="1" applyBorder="1" applyAlignment="1">
      <alignment horizontal="left"/>
    </xf>
    <xf numFmtId="0" fontId="38" fillId="3" borderId="3" xfId="0" applyFont="1" applyFill="1" applyBorder="1" applyAlignment="1" applyProtection="1">
      <alignment horizontal="left"/>
      <protection locked="0"/>
    </xf>
    <xf numFmtId="0" fontId="38" fillId="4" borderId="3" xfId="0" applyFont="1" applyFill="1" applyBorder="1" applyAlignment="1" applyProtection="1">
      <alignment horizontal="left"/>
      <protection locked="0"/>
    </xf>
    <xf numFmtId="0" fontId="38" fillId="4" borderId="1" xfId="0" applyFont="1" applyFill="1" applyBorder="1" applyAlignment="1" applyProtection="1">
      <alignment horizontal="left"/>
      <protection locked="0"/>
    </xf>
    <xf numFmtId="0" fontId="38" fillId="4" borderId="0" xfId="0" applyFont="1" applyFill="1" applyAlignment="1" applyProtection="1">
      <alignment horizontal="left"/>
      <protection locked="0"/>
    </xf>
    <xf numFmtId="0" fontId="39" fillId="4" borderId="3" xfId="0" quotePrefix="1" applyFont="1" applyFill="1" applyBorder="1" applyAlignment="1">
      <alignment horizontal="left"/>
    </xf>
    <xf numFmtId="43" fontId="39" fillId="4" borderId="3" xfId="0" applyNumberFormat="1" applyFont="1" applyFill="1" applyBorder="1" applyAlignment="1">
      <alignment horizontal="left"/>
    </xf>
    <xf numFmtId="165" fontId="39" fillId="4" borderId="7" xfId="0" applyNumberFormat="1" applyFont="1" applyFill="1" applyBorder="1" applyAlignment="1">
      <alignment horizontal="left"/>
    </xf>
    <xf numFmtId="0" fontId="39" fillId="4" borderId="0" xfId="0" applyFont="1" applyFill="1" applyAlignment="1">
      <alignment horizontal="left"/>
    </xf>
    <xf numFmtId="0" fontId="39" fillId="3" borderId="3" xfId="0" applyFont="1" applyFill="1" applyBorder="1" applyAlignment="1">
      <alignment horizontal="left"/>
    </xf>
    <xf numFmtId="0" fontId="39" fillId="3" borderId="4" xfId="0" applyFont="1" applyFill="1" applyBorder="1" applyAlignment="1">
      <alignment horizontal="left"/>
    </xf>
    <xf numFmtId="0" fontId="39" fillId="3" borderId="0" xfId="0" applyFont="1" applyFill="1" applyAlignment="1">
      <alignment horizontal="left"/>
    </xf>
    <xf numFmtId="0" fontId="39" fillId="3" borderId="3" xfId="0" applyFont="1" applyFill="1" applyBorder="1" applyAlignment="1" applyProtection="1">
      <alignment horizontal="left"/>
      <protection locked="0"/>
    </xf>
    <xf numFmtId="164" fontId="39" fillId="0" borderId="3" xfId="0" quotePrefix="1" applyNumberFormat="1" applyFont="1" applyBorder="1" applyAlignment="1">
      <alignment horizontal="left"/>
    </xf>
    <xf numFmtId="164" fontId="40" fillId="0" borderId="3" xfId="0" applyNumberFormat="1" applyFont="1" applyBorder="1" applyAlignment="1">
      <alignment horizontal="left"/>
    </xf>
    <xf numFmtId="0" fontId="40" fillId="0" borderId="3" xfId="0" quotePrefix="1" applyFont="1" applyBorder="1" applyAlignment="1">
      <alignment horizontal="left"/>
    </xf>
    <xf numFmtId="15" fontId="40" fillId="0" borderId="7" xfId="0" applyNumberFormat="1" applyFont="1" applyBorder="1" applyAlignment="1">
      <alignment horizontal="left"/>
    </xf>
    <xf numFmtId="0" fontId="40" fillId="0" borderId="0" xfId="0" applyFont="1" applyAlignment="1">
      <alignment horizontal="left"/>
    </xf>
    <xf numFmtId="15" fontId="39" fillId="0" borderId="3" xfId="0" applyNumberFormat="1" applyFont="1" applyBorder="1" applyAlignment="1">
      <alignment horizontal="left"/>
    </xf>
    <xf numFmtId="165" fontId="39" fillId="0" borderId="3" xfId="0" applyNumberFormat="1" applyFont="1" applyBorder="1" applyAlignment="1">
      <alignment horizontal="left"/>
    </xf>
    <xf numFmtId="165" fontId="39" fillId="0" borderId="4" xfId="0" applyNumberFormat="1" applyFont="1" applyBorder="1" applyAlignment="1">
      <alignment horizontal="left"/>
    </xf>
    <xf numFmtId="164" fontId="39" fillId="3" borderId="3" xfId="0" applyNumberFormat="1" applyFont="1" applyFill="1" applyBorder="1" applyAlignment="1">
      <alignment horizontal="left"/>
    </xf>
    <xf numFmtId="0" fontId="39" fillId="3" borderId="3" xfId="0" quotePrefix="1" applyFont="1" applyFill="1" applyBorder="1" applyAlignment="1">
      <alignment horizontal="left"/>
    </xf>
    <xf numFmtId="165" fontId="39" fillId="3" borderId="3" xfId="0" applyNumberFormat="1" applyFont="1" applyFill="1" applyBorder="1" applyAlignment="1">
      <alignment horizontal="left"/>
    </xf>
    <xf numFmtId="0" fontId="39" fillId="3" borderId="0" xfId="0" applyFont="1" applyFill="1" applyAlignment="1" applyProtection="1">
      <alignment horizontal="left"/>
      <protection locked="0"/>
    </xf>
    <xf numFmtId="167" fontId="38" fillId="3" borderId="3" xfId="0" applyNumberFormat="1" applyFont="1" applyFill="1" applyBorder="1" applyAlignment="1" applyProtection="1">
      <alignment horizontal="left"/>
      <protection locked="0"/>
    </xf>
    <xf numFmtId="0" fontId="39" fillId="3" borderId="1" xfId="0" applyFont="1" applyFill="1" applyBorder="1" applyAlignment="1" applyProtection="1">
      <alignment horizontal="left"/>
      <protection locked="0"/>
    </xf>
    <xf numFmtId="15" fontId="40" fillId="0" borderId="3" xfId="0" applyNumberFormat="1" applyFont="1" applyBorder="1" applyAlignment="1">
      <alignment horizontal="left"/>
    </xf>
    <xf numFmtId="167" fontId="38" fillId="5" borderId="3" xfId="0" applyNumberFormat="1" applyFont="1" applyFill="1" applyBorder="1" applyAlignment="1" applyProtection="1">
      <alignment horizontal="left"/>
      <protection locked="0"/>
    </xf>
    <xf numFmtId="167" fontId="38" fillId="0" borderId="7" xfId="0" applyNumberFormat="1" applyFont="1" applyBorder="1" applyAlignment="1" applyProtection="1">
      <alignment horizontal="left"/>
      <protection locked="0"/>
    </xf>
    <xf numFmtId="165" fontId="40" fillId="0" borderId="3" xfId="0" applyNumberFormat="1" applyFont="1" applyBorder="1" applyAlignment="1">
      <alignment horizontal="left"/>
    </xf>
    <xf numFmtId="0" fontId="39" fillId="0" borderId="4" xfId="0" applyFont="1" applyBorder="1" applyAlignment="1" applyProtection="1">
      <alignment horizontal="left"/>
      <protection locked="0"/>
    </xf>
    <xf numFmtId="167" fontId="38" fillId="0" borderId="16" xfId="0" applyNumberFormat="1" applyFont="1" applyBorder="1" applyAlignment="1" applyProtection="1">
      <alignment horizontal="left"/>
      <protection locked="0"/>
    </xf>
    <xf numFmtId="167" fontId="38" fillId="0" borderId="17" xfId="0" applyNumberFormat="1" applyFont="1" applyBorder="1" applyAlignment="1" applyProtection="1">
      <alignment horizontal="left"/>
      <protection locked="0"/>
    </xf>
    <xf numFmtId="167" fontId="38" fillId="0" borderId="13" xfId="0" applyNumberFormat="1" applyFont="1" applyBorder="1" applyAlignment="1" applyProtection="1">
      <alignment horizontal="left"/>
      <protection locked="0"/>
    </xf>
    <xf numFmtId="0" fontId="42" fillId="0" borderId="0" xfId="0" applyFont="1" applyAlignment="1">
      <alignment horizontal="left"/>
    </xf>
    <xf numFmtId="0" fontId="39" fillId="0" borderId="10" xfId="0" applyFont="1" applyBorder="1" applyAlignment="1" applyProtection="1">
      <alignment horizontal="left"/>
      <protection locked="0"/>
    </xf>
    <xf numFmtId="167" fontId="38" fillId="4" borderId="7" xfId="0" applyNumberFormat="1" applyFont="1" applyFill="1" applyBorder="1" applyAlignment="1" applyProtection="1">
      <alignment horizontal="left"/>
      <protection locked="0"/>
    </xf>
    <xf numFmtId="167" fontId="39" fillId="17" borderId="3" xfId="0" applyNumberFormat="1" applyFont="1" applyFill="1" applyBorder="1" applyAlignment="1">
      <alignment horizontal="left" vertical="center"/>
    </xf>
    <xf numFmtId="0" fontId="39" fillId="10" borderId="3" xfId="0" applyFont="1" applyFill="1" applyBorder="1" applyAlignment="1" applyProtection="1">
      <alignment horizontal="left"/>
      <protection locked="0"/>
    </xf>
    <xf numFmtId="0" fontId="38" fillId="4" borderId="1" xfId="0" applyFont="1" applyFill="1" applyBorder="1" applyAlignment="1">
      <alignment horizontal="left"/>
    </xf>
    <xf numFmtId="0" fontId="38" fillId="4" borderId="18" xfId="0" applyFont="1" applyFill="1" applyBorder="1" applyAlignment="1">
      <alignment horizontal="left"/>
    </xf>
    <xf numFmtId="43" fontId="39" fillId="0" borderId="5" xfId="0" applyNumberFormat="1" applyFont="1" applyBorder="1" applyAlignment="1">
      <alignment horizontal="left"/>
    </xf>
    <xf numFmtId="0" fontId="38" fillId="4" borderId="12" xfId="0" applyFont="1" applyFill="1" applyBorder="1" applyAlignment="1">
      <alignment horizontal="left"/>
    </xf>
    <xf numFmtId="0" fontId="39" fillId="0" borderId="8" xfId="0" applyFont="1" applyBorder="1" applyAlignment="1" applyProtection="1">
      <alignment horizontal="left"/>
      <protection locked="0"/>
    </xf>
    <xf numFmtId="0" fontId="38" fillId="4" borderId="19" xfId="0" applyFont="1" applyFill="1" applyBorder="1" applyAlignment="1">
      <alignment horizontal="left"/>
    </xf>
    <xf numFmtId="0" fontId="38" fillId="4" borderId="5" xfId="0" applyFont="1" applyFill="1" applyBorder="1" applyAlignment="1">
      <alignment horizontal="left"/>
    </xf>
    <xf numFmtId="0" fontId="41" fillId="4" borderId="18" xfId="0" applyFont="1" applyFill="1" applyBorder="1" applyAlignment="1">
      <alignment horizontal="left"/>
    </xf>
    <xf numFmtId="165" fontId="39" fillId="0" borderId="5" xfId="0" applyNumberFormat="1" applyFont="1" applyBorder="1" applyAlignment="1">
      <alignment horizontal="left"/>
    </xf>
    <xf numFmtId="0" fontId="38" fillId="4" borderId="7" xfId="0" applyFont="1" applyFill="1" applyBorder="1" applyAlignment="1">
      <alignment horizontal="left"/>
    </xf>
    <xf numFmtId="1" fontId="38" fillId="4" borderId="12" xfId="0" applyNumberFormat="1" applyFont="1" applyFill="1" applyBorder="1" applyAlignment="1">
      <alignment horizontal="left"/>
    </xf>
    <xf numFmtId="0" fontId="38" fillId="4" borderId="17" xfId="0" applyFont="1" applyFill="1" applyBorder="1" applyAlignment="1">
      <alignment horizontal="left"/>
    </xf>
    <xf numFmtId="165" fontId="39" fillId="4" borderId="3" xfId="0" applyNumberFormat="1" applyFont="1" applyFill="1" applyBorder="1" applyAlignment="1">
      <alignment horizontal="left"/>
    </xf>
    <xf numFmtId="0" fontId="43" fillId="0" borderId="3" xfId="0" applyFont="1" applyBorder="1" applyAlignment="1">
      <alignment horizontal="left"/>
    </xf>
    <xf numFmtId="0" fontId="43" fillId="0" borderId="12" xfId="0" applyFont="1" applyBorder="1" applyAlignment="1">
      <alignment horizontal="left"/>
    </xf>
    <xf numFmtId="167" fontId="39" fillId="0" borderId="3" xfId="0" applyNumberFormat="1" applyFont="1" applyBorder="1" applyAlignment="1">
      <alignment horizontal="left" vertical="center"/>
    </xf>
    <xf numFmtId="0" fontId="39" fillId="0" borderId="9" xfId="0" applyFont="1" applyBorder="1" applyAlignment="1">
      <alignment horizontal="left"/>
    </xf>
    <xf numFmtId="0" fontId="39" fillId="0" borderId="18" xfId="0" quotePrefix="1" applyFont="1" applyBorder="1" applyAlignment="1">
      <alignment horizontal="left"/>
    </xf>
    <xf numFmtId="164" fontId="39" fillId="0" borderId="12" xfId="0" applyNumberFormat="1" applyFont="1" applyBorder="1" applyAlignment="1">
      <alignment horizontal="left"/>
    </xf>
    <xf numFmtId="165" fontId="39" fillId="0" borderId="12" xfId="0" applyNumberFormat="1" applyFont="1" applyBorder="1" applyAlignment="1">
      <alignment horizontal="left"/>
    </xf>
    <xf numFmtId="0" fontId="38" fillId="0" borderId="3" xfId="0" quotePrefix="1" applyFont="1" applyBorder="1" applyAlignment="1">
      <alignment horizontal="left"/>
    </xf>
    <xf numFmtId="165" fontId="38" fillId="0" borderId="3" xfId="0" applyNumberFormat="1" applyFont="1" applyBorder="1" applyAlignment="1">
      <alignment horizontal="left"/>
    </xf>
    <xf numFmtId="0" fontId="43" fillId="0" borderId="5" xfId="0" applyFont="1" applyBorder="1" applyAlignment="1">
      <alignment horizontal="left"/>
    </xf>
    <xf numFmtId="43" fontId="39" fillId="4" borderId="5" xfId="0" applyNumberFormat="1" applyFont="1" applyFill="1" applyBorder="1" applyAlignment="1">
      <alignment horizontal="left"/>
    </xf>
    <xf numFmtId="165" fontId="39" fillId="4" borderId="5" xfId="0" applyNumberFormat="1" applyFont="1" applyFill="1" applyBorder="1" applyAlignment="1">
      <alignment horizontal="left"/>
    </xf>
    <xf numFmtId="0" fontId="39" fillId="4" borderId="7" xfId="0" applyFont="1" applyFill="1" applyBorder="1" applyAlignment="1">
      <alignment horizontal="left"/>
    </xf>
    <xf numFmtId="0" fontId="43" fillId="4" borderId="12" xfId="0" applyFont="1" applyFill="1" applyBorder="1" applyAlignment="1">
      <alignment horizontal="left"/>
    </xf>
    <xf numFmtId="43" fontId="39" fillId="4" borderId="12" xfId="0" applyNumberFormat="1" applyFont="1" applyFill="1" applyBorder="1" applyAlignment="1">
      <alignment horizontal="left"/>
    </xf>
    <xf numFmtId="165" fontId="39" fillId="4" borderId="12" xfId="0" applyNumberFormat="1" applyFont="1" applyFill="1" applyBorder="1" applyAlignment="1">
      <alignment horizontal="left"/>
    </xf>
    <xf numFmtId="0" fontId="43" fillId="4" borderId="3" xfId="0" applyFont="1" applyFill="1" applyBorder="1" applyAlignment="1">
      <alignment horizontal="left"/>
    </xf>
    <xf numFmtId="15" fontId="39" fillId="4" borderId="3" xfId="0" applyNumberFormat="1" applyFont="1" applyFill="1" applyBorder="1" applyAlignment="1">
      <alignment horizontal="left"/>
    </xf>
    <xf numFmtId="0" fontId="38" fillId="4" borderId="0" xfId="0" applyFont="1" applyFill="1" applyAlignment="1">
      <alignment horizontal="left"/>
    </xf>
    <xf numFmtId="1" fontId="38" fillId="4" borderId="0" xfId="0" applyNumberFormat="1" applyFont="1" applyFill="1" applyAlignment="1">
      <alignment horizontal="left" readingOrder="1"/>
    </xf>
    <xf numFmtId="43" fontId="38" fillId="4" borderId="3" xfId="0" applyNumberFormat="1" applyFont="1" applyFill="1" applyBorder="1" applyAlignment="1">
      <alignment horizontal="left"/>
    </xf>
    <xf numFmtId="165" fontId="38" fillId="4" borderId="3" xfId="0" applyNumberFormat="1" applyFont="1" applyFill="1" applyBorder="1" applyAlignment="1">
      <alignment horizontal="left"/>
    </xf>
    <xf numFmtId="1" fontId="39" fillId="4" borderId="0" xfId="0" applyNumberFormat="1" applyFont="1" applyFill="1" applyAlignment="1">
      <alignment horizontal="left"/>
    </xf>
    <xf numFmtId="0" fontId="37" fillId="0" borderId="3" xfId="0" applyFont="1" applyBorder="1" applyAlignment="1">
      <alignment horizontal="left"/>
    </xf>
    <xf numFmtId="43" fontId="37" fillId="0" borderId="3" xfId="0" applyNumberFormat="1" applyFont="1" applyBorder="1" applyAlignment="1">
      <alignment horizontal="left"/>
    </xf>
    <xf numFmtId="0" fontId="37" fillId="0" borderId="3" xfId="0" applyFont="1" applyBorder="1" applyAlignment="1" applyProtection="1">
      <alignment horizontal="left"/>
      <protection locked="0"/>
    </xf>
    <xf numFmtId="167" fontId="44" fillId="0" borderId="3" xfId="0" applyNumberFormat="1" applyFont="1" applyBorder="1" applyAlignment="1" applyProtection="1">
      <alignment horizontal="left"/>
      <protection locked="0"/>
    </xf>
    <xf numFmtId="1" fontId="39" fillId="4" borderId="13" xfId="0" applyNumberFormat="1" applyFont="1" applyFill="1" applyBorder="1" applyAlignment="1">
      <alignment horizontal="left"/>
    </xf>
    <xf numFmtId="1" fontId="39" fillId="4" borderId="7" xfId="0" applyNumberFormat="1" applyFont="1" applyFill="1" applyBorder="1" applyAlignment="1">
      <alignment horizontal="left"/>
    </xf>
    <xf numFmtId="0" fontId="39" fillId="0" borderId="3" xfId="0" applyFont="1" applyBorder="1" applyAlignment="1">
      <alignment horizontal="left" wrapText="1"/>
    </xf>
    <xf numFmtId="0" fontId="39" fillId="4" borderId="3" xfId="0" applyFont="1" applyFill="1" applyBorder="1" applyAlignment="1">
      <alignment horizontal="left" wrapText="1"/>
    </xf>
    <xf numFmtId="167" fontId="38" fillId="13" borderId="3" xfId="0" applyNumberFormat="1" applyFont="1" applyFill="1" applyBorder="1" applyAlignment="1" applyProtection="1">
      <alignment horizontal="left"/>
      <protection locked="0"/>
    </xf>
    <xf numFmtId="0" fontId="39" fillId="16" borderId="1" xfId="0" quotePrefix="1" applyFont="1" applyFill="1" applyBorder="1" applyAlignment="1">
      <alignment horizontal="left"/>
    </xf>
    <xf numFmtId="164" fontId="39" fillId="16" borderId="3" xfId="0" applyNumberFormat="1" applyFont="1" applyFill="1" applyBorder="1" applyAlignment="1">
      <alignment horizontal="left"/>
    </xf>
    <xf numFmtId="0" fontId="39" fillId="16" borderId="7" xfId="0" applyFont="1" applyFill="1" applyBorder="1" applyAlignment="1">
      <alignment horizontal="left"/>
    </xf>
    <xf numFmtId="0" fontId="39" fillId="16" borderId="4" xfId="0" applyFont="1" applyFill="1" applyBorder="1" applyAlignment="1">
      <alignment horizontal="left"/>
    </xf>
    <xf numFmtId="1" fontId="39" fillId="16" borderId="7" xfId="0" applyNumberFormat="1" applyFont="1" applyFill="1" applyBorder="1" applyAlignment="1">
      <alignment horizontal="left"/>
    </xf>
    <xf numFmtId="0" fontId="39" fillId="16" borderId="3" xfId="0" applyFont="1" applyFill="1" applyBorder="1" applyAlignment="1">
      <alignment horizontal="left"/>
    </xf>
    <xf numFmtId="165" fontId="39" fillId="16" borderId="3" xfId="0" applyNumberFormat="1" applyFont="1" applyFill="1" applyBorder="1" applyAlignment="1">
      <alignment horizontal="left"/>
    </xf>
    <xf numFmtId="0" fontId="39" fillId="16" borderId="3" xfId="0" applyFont="1" applyFill="1" applyBorder="1" applyAlignment="1" applyProtection="1">
      <alignment horizontal="left"/>
      <protection locked="0"/>
    </xf>
    <xf numFmtId="167" fontId="38" fillId="16" borderId="3" xfId="0" applyNumberFormat="1" applyFont="1" applyFill="1" applyBorder="1" applyAlignment="1" applyProtection="1">
      <alignment horizontal="left"/>
      <protection locked="0"/>
    </xf>
    <xf numFmtId="0" fontId="39" fillId="16" borderId="1" xfId="0" applyFont="1" applyFill="1" applyBorder="1" applyAlignment="1" applyProtection="1">
      <alignment horizontal="left"/>
      <protection locked="0"/>
    </xf>
    <xf numFmtId="0" fontId="39" fillId="16" borderId="0" xfId="0" applyFont="1" applyFill="1" applyAlignment="1" applyProtection="1">
      <alignment horizontal="left"/>
      <protection locked="0"/>
    </xf>
    <xf numFmtId="43" fontId="39" fillId="0" borderId="0" xfId="0" applyNumberFormat="1" applyFont="1" applyAlignment="1">
      <alignment horizontal="left"/>
    </xf>
    <xf numFmtId="0" fontId="39" fillId="0" borderId="17" xfId="0" applyFont="1" applyBorder="1" applyAlignment="1">
      <alignment horizontal="left"/>
    </xf>
    <xf numFmtId="43" fontId="39" fillId="0" borderId="12" xfId="0" applyNumberFormat="1" applyFont="1" applyBorder="1" applyAlignment="1">
      <alignment horizontal="left"/>
    </xf>
    <xf numFmtId="0" fontId="39" fillId="0" borderId="13" xfId="0" applyFont="1" applyBorder="1" applyAlignment="1">
      <alignment horizontal="left"/>
    </xf>
    <xf numFmtId="164" fontId="39" fillId="4" borderId="3" xfId="0" applyNumberFormat="1" applyFont="1" applyFill="1" applyBorder="1" applyAlignment="1">
      <alignment horizontal="left" vertical="center"/>
    </xf>
    <xf numFmtId="164" fontId="45" fillId="3" borderId="3" xfId="0" applyNumberFormat="1" applyFont="1" applyFill="1" applyBorder="1" applyAlignment="1">
      <alignment horizontal="left" vertical="center"/>
    </xf>
    <xf numFmtId="12" fontId="39" fillId="4" borderId="3" xfId="0" applyNumberFormat="1" applyFont="1" applyFill="1" applyBorder="1" applyAlignment="1">
      <alignment horizontal="left"/>
    </xf>
    <xf numFmtId="0" fontId="39" fillId="5" borderId="3" xfId="0" applyFont="1" applyFill="1" applyBorder="1" applyAlignment="1">
      <alignment horizontal="left"/>
    </xf>
    <xf numFmtId="12" fontId="39" fillId="5" borderId="3" xfId="0" applyNumberFormat="1" applyFont="1" applyFill="1" applyBorder="1" applyAlignment="1">
      <alignment horizontal="left"/>
    </xf>
    <xf numFmtId="165" fontId="39" fillId="0" borderId="13" xfId="0" applyNumberFormat="1" applyFont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1" fillId="0" borderId="12" xfId="0" applyFont="1" applyBorder="1" applyAlignment="1">
      <alignment horizontal="left"/>
    </xf>
    <xf numFmtId="0" fontId="41" fillId="0" borderId="14" xfId="0" applyFont="1" applyBorder="1" applyAlignment="1">
      <alignment horizontal="left"/>
    </xf>
    <xf numFmtId="0" fontId="41" fillId="0" borderId="20" xfId="0" applyFont="1" applyBorder="1" applyAlignment="1">
      <alignment horizontal="left"/>
    </xf>
    <xf numFmtId="0" fontId="41" fillId="0" borderId="5" xfId="0" applyFont="1" applyBorder="1" applyAlignment="1">
      <alignment horizontal="left"/>
    </xf>
    <xf numFmtId="0" fontId="41" fillId="0" borderId="19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18" xfId="0" applyFont="1" applyBorder="1" applyAlignment="1">
      <alignment horizontal="left"/>
    </xf>
    <xf numFmtId="0" fontId="39" fillId="3" borderId="10" xfId="0" applyFont="1" applyFill="1" applyBorder="1" applyAlignment="1">
      <alignment horizontal="left"/>
    </xf>
    <xf numFmtId="0" fontId="39" fillId="0" borderId="2" xfId="0" quotePrefix="1" applyFont="1" applyBorder="1" applyAlignment="1">
      <alignment horizontal="left"/>
    </xf>
    <xf numFmtId="1" fontId="39" fillId="4" borderId="17" xfId="0" applyNumberFormat="1" applyFont="1" applyFill="1" applyBorder="1" applyAlignment="1">
      <alignment horizontal="left"/>
    </xf>
    <xf numFmtId="0" fontId="39" fillId="3" borderId="14" xfId="0" applyFont="1" applyFill="1" applyBorder="1" applyAlignment="1">
      <alignment horizontal="left"/>
    </xf>
    <xf numFmtId="0" fontId="46" fillId="12" borderId="2" xfId="0" quotePrefix="1" applyFont="1" applyFill="1" applyBorder="1" applyAlignment="1">
      <alignment horizontal="left"/>
    </xf>
    <xf numFmtId="164" fontId="46" fillId="12" borderId="3" xfId="0" applyNumberFormat="1" applyFont="1" applyFill="1" applyBorder="1" applyAlignment="1">
      <alignment horizontal="left"/>
    </xf>
    <xf numFmtId="0" fontId="46" fillId="12" borderId="3" xfId="0" applyFont="1" applyFill="1" applyBorder="1" applyAlignment="1">
      <alignment horizontal="left"/>
    </xf>
    <xf numFmtId="1" fontId="46" fillId="12" borderId="3" xfId="0" applyNumberFormat="1" applyFont="1" applyFill="1" applyBorder="1" applyAlignment="1">
      <alignment horizontal="left"/>
    </xf>
    <xf numFmtId="43" fontId="46" fillId="12" borderId="3" xfId="0" applyNumberFormat="1" applyFont="1" applyFill="1" applyBorder="1" applyAlignment="1">
      <alignment horizontal="left"/>
    </xf>
    <xf numFmtId="165" fontId="46" fillId="12" borderId="3" xfId="0" applyNumberFormat="1" applyFont="1" applyFill="1" applyBorder="1" applyAlignment="1">
      <alignment horizontal="left"/>
    </xf>
    <xf numFmtId="0" fontId="46" fillId="12" borderId="7" xfId="0" applyFont="1" applyFill="1" applyBorder="1" applyAlignment="1">
      <alignment horizontal="left"/>
    </xf>
    <xf numFmtId="0" fontId="46" fillId="12" borderId="3" xfId="0" applyFont="1" applyFill="1" applyBorder="1" applyAlignment="1" applyProtection="1">
      <alignment horizontal="left"/>
      <protection locked="0"/>
    </xf>
    <xf numFmtId="167" fontId="46" fillId="12" borderId="3" xfId="0" applyNumberFormat="1" applyFont="1" applyFill="1" applyBorder="1" applyAlignment="1" applyProtection="1">
      <alignment horizontal="left"/>
      <protection locked="0"/>
    </xf>
    <xf numFmtId="0" fontId="46" fillId="12" borderId="1" xfId="0" applyFont="1" applyFill="1" applyBorder="1" applyAlignment="1" applyProtection="1">
      <alignment horizontal="left"/>
      <protection locked="0"/>
    </xf>
    <xf numFmtId="0" fontId="46" fillId="12" borderId="0" xfId="0" applyFont="1" applyFill="1" applyAlignment="1" applyProtection="1">
      <alignment horizontal="left"/>
      <protection locked="0"/>
    </xf>
    <xf numFmtId="14" fontId="46" fillId="12" borderId="0" xfId="0" applyNumberFormat="1" applyFont="1" applyFill="1" applyAlignment="1" applyProtection="1">
      <alignment horizontal="left"/>
      <protection locked="0"/>
    </xf>
    <xf numFmtId="0" fontId="39" fillId="0" borderId="8" xfId="0" quotePrefix="1" applyFont="1" applyBorder="1" applyAlignment="1">
      <alignment horizontal="left"/>
    </xf>
    <xf numFmtId="164" fontId="39" fillId="0" borderId="3" xfId="0" applyNumberFormat="1" applyFont="1" applyBorder="1" applyAlignment="1">
      <alignment horizontal="left" vertical="center"/>
    </xf>
    <xf numFmtId="1" fontId="39" fillId="3" borderId="7" xfId="0" applyNumberFormat="1" applyFont="1" applyFill="1" applyBorder="1" applyAlignment="1">
      <alignment horizontal="left"/>
    </xf>
    <xf numFmtId="1" fontId="38" fillId="4" borderId="7" xfId="0" applyNumberFormat="1" applyFont="1" applyFill="1" applyBorder="1" applyAlignment="1">
      <alignment horizontal="left" vertical="center"/>
    </xf>
    <xf numFmtId="0" fontId="38" fillId="4" borderId="3" xfId="0" applyFont="1" applyFill="1" applyBorder="1" applyAlignment="1">
      <alignment horizontal="left" vertical="center"/>
    </xf>
    <xf numFmtId="43" fontId="38" fillId="0" borderId="3" xfId="0" applyNumberFormat="1" applyFont="1" applyBorder="1" applyAlignment="1">
      <alignment horizontal="left"/>
    </xf>
    <xf numFmtId="14" fontId="38" fillId="0" borderId="0" xfId="0" applyNumberFormat="1" applyFont="1" applyAlignment="1" applyProtection="1">
      <alignment horizontal="left"/>
      <protection locked="0"/>
    </xf>
    <xf numFmtId="1" fontId="38" fillId="12" borderId="7" xfId="0" applyNumberFormat="1" applyFont="1" applyFill="1" applyBorder="1" applyAlignment="1">
      <alignment horizontal="left" vertical="center"/>
    </xf>
    <xf numFmtId="164" fontId="39" fillId="0" borderId="10" xfId="0" applyNumberFormat="1" applyFont="1" applyBorder="1" applyAlignment="1">
      <alignment horizontal="left"/>
    </xf>
    <xf numFmtId="43" fontId="39" fillId="0" borderId="10" xfId="0" applyNumberFormat="1" applyFont="1" applyBorder="1" applyAlignment="1">
      <alignment horizontal="left"/>
    </xf>
    <xf numFmtId="0" fontId="39" fillId="0" borderId="4" xfId="0" quotePrefix="1" applyFont="1" applyBorder="1" applyAlignment="1">
      <alignment horizontal="left"/>
    </xf>
    <xf numFmtId="164" fontId="39" fillId="0" borderId="14" xfId="0" applyNumberFormat="1" applyFont="1" applyBorder="1" applyAlignment="1">
      <alignment horizontal="left"/>
    </xf>
    <xf numFmtId="43" fontId="39" fillId="0" borderId="14" xfId="0" applyNumberFormat="1" applyFont="1" applyBorder="1" applyAlignment="1">
      <alignment horizontal="left"/>
    </xf>
    <xf numFmtId="0" fontId="39" fillId="0" borderId="19" xfId="0" applyFont="1" applyBorder="1" applyAlignment="1">
      <alignment horizontal="left"/>
    </xf>
    <xf numFmtId="0" fontId="39" fillId="0" borderId="20" xfId="0" applyFont="1" applyBorder="1" applyAlignment="1">
      <alignment horizontal="left"/>
    </xf>
    <xf numFmtId="1" fontId="39" fillId="4" borderId="16" xfId="0" applyNumberFormat="1" applyFont="1" applyFill="1" applyBorder="1" applyAlignment="1">
      <alignment horizontal="left"/>
    </xf>
    <xf numFmtId="0" fontId="39" fillId="4" borderId="19" xfId="0" applyFont="1" applyFill="1" applyBorder="1" applyAlignment="1">
      <alignment horizontal="left"/>
    </xf>
    <xf numFmtId="165" fontId="39" fillId="0" borderId="19" xfId="0" applyNumberFormat="1" applyFont="1" applyBorder="1" applyAlignment="1">
      <alignment horizontal="left"/>
    </xf>
    <xf numFmtId="1" fontId="39" fillId="5" borderId="7" xfId="0" applyNumberFormat="1" applyFont="1" applyFill="1" applyBorder="1" applyAlignment="1">
      <alignment horizontal="left"/>
    </xf>
    <xf numFmtId="164" fontId="39" fillId="0" borderId="4" xfId="0" applyNumberFormat="1" applyFont="1" applyBorder="1" applyAlignment="1">
      <alignment horizontal="left"/>
    </xf>
    <xf numFmtId="0" fontId="39" fillId="4" borderId="17" xfId="0" applyFont="1" applyFill="1" applyBorder="1" applyAlignment="1">
      <alignment horizontal="left"/>
    </xf>
    <xf numFmtId="0" fontId="39" fillId="4" borderId="13" xfId="0" applyFont="1" applyFill="1" applyBorder="1" applyAlignment="1">
      <alignment horizontal="left"/>
    </xf>
    <xf numFmtId="0" fontId="39" fillId="4" borderId="10" xfId="0" applyFont="1" applyFill="1" applyBorder="1" applyAlignment="1">
      <alignment horizontal="left"/>
    </xf>
    <xf numFmtId="0" fontId="39" fillId="4" borderId="14" xfId="0" applyFont="1" applyFill="1" applyBorder="1" applyAlignment="1">
      <alignment horizontal="left"/>
    </xf>
    <xf numFmtId="0" fontId="39" fillId="0" borderId="6" xfId="0" applyFont="1" applyBorder="1" applyAlignment="1" applyProtection="1">
      <alignment horizontal="left"/>
      <protection locked="0"/>
    </xf>
    <xf numFmtId="0" fontId="39" fillId="0" borderId="18" xfId="0" applyFont="1" applyBorder="1" applyAlignment="1" applyProtection="1">
      <alignment horizontal="left"/>
      <protection locked="0"/>
    </xf>
    <xf numFmtId="1" fontId="39" fillId="0" borderId="3" xfId="0" applyNumberFormat="1" applyFont="1" applyBorder="1" applyAlignment="1">
      <alignment horizontal="left"/>
    </xf>
    <xf numFmtId="0" fontId="39" fillId="0" borderId="21" xfId="0" quotePrefix="1" applyFont="1" applyBorder="1" applyAlignment="1">
      <alignment horizontal="left"/>
    </xf>
    <xf numFmtId="0" fontId="39" fillId="0" borderId="14" xfId="0" applyFont="1" applyBorder="1" applyAlignment="1" applyProtection="1">
      <alignment horizontal="left"/>
      <protection locked="0"/>
    </xf>
    <xf numFmtId="1" fontId="39" fillId="0" borderId="12" xfId="0" applyNumberFormat="1" applyFont="1" applyBorder="1" applyAlignment="1">
      <alignment horizontal="left"/>
    </xf>
    <xf numFmtId="15" fontId="38" fillId="0" borderId="1" xfId="0" applyNumberFormat="1" applyFont="1" applyBorder="1" applyAlignment="1">
      <alignment horizontal="left"/>
    </xf>
    <xf numFmtId="15" fontId="38" fillId="0" borderId="18" xfId="0" applyNumberFormat="1" applyFont="1" applyBorder="1" applyAlignment="1">
      <alignment horizontal="left"/>
    </xf>
    <xf numFmtId="0" fontId="39" fillId="0" borderId="3" xfId="0" applyFont="1" applyBorder="1" applyAlignment="1">
      <alignment horizontal="left" vertical="center"/>
    </xf>
    <xf numFmtId="1" fontId="39" fillId="0" borderId="3" xfId="0" applyNumberFormat="1" applyFont="1" applyBorder="1" applyAlignment="1">
      <alignment horizontal="left" vertical="center"/>
    </xf>
    <xf numFmtId="0" fontId="39" fillId="0" borderId="3" xfId="0" applyFont="1" applyBorder="1" applyAlignment="1">
      <alignment horizontal="left" vertical="center" wrapText="1"/>
    </xf>
    <xf numFmtId="14" fontId="39" fillId="0" borderId="5" xfId="0" applyNumberFormat="1" applyFont="1" applyBorder="1" applyAlignment="1" applyProtection="1">
      <alignment horizontal="left"/>
      <protection locked="0"/>
    </xf>
    <xf numFmtId="43" fontId="39" fillId="0" borderId="19" xfId="0" applyNumberFormat="1" applyFont="1" applyBorder="1" applyAlignment="1">
      <alignment horizontal="left"/>
    </xf>
    <xf numFmtId="164" fontId="39" fillId="0" borderId="0" xfId="0" applyNumberFormat="1" applyFont="1" applyAlignment="1">
      <alignment horizontal="left"/>
    </xf>
    <xf numFmtId="165" fontId="39" fillId="0" borderId="0" xfId="0" applyNumberFormat="1" applyFont="1" applyAlignment="1">
      <alignment horizontal="left"/>
    </xf>
    <xf numFmtId="167" fontId="38" fillId="0" borderId="0" xfId="0" applyNumberFormat="1" applyFont="1" applyAlignment="1" applyProtection="1">
      <alignment horizontal="left"/>
      <protection locked="0"/>
    </xf>
    <xf numFmtId="164" fontId="39" fillId="0" borderId="13" xfId="0" applyNumberFormat="1" applyFont="1" applyBorder="1" applyAlignment="1">
      <alignment horizontal="left"/>
    </xf>
    <xf numFmtId="1" fontId="41" fillId="0" borderId="22" xfId="1" applyNumberFormat="1" applyFont="1" applyBorder="1" applyAlignment="1">
      <alignment horizontal="left" vertical="center"/>
    </xf>
    <xf numFmtId="1" fontId="39" fillId="4" borderId="3" xfId="0" applyNumberFormat="1" applyFont="1" applyFill="1" applyBorder="1" applyAlignment="1">
      <alignment horizontal="left" wrapText="1"/>
    </xf>
    <xf numFmtId="1" fontId="38" fillId="0" borderId="7" xfId="0" applyNumberFormat="1" applyFont="1" applyBorder="1" applyAlignment="1">
      <alignment horizontal="left"/>
    </xf>
    <xf numFmtId="1" fontId="38" fillId="0" borderId="17" xfId="0" applyNumberFormat="1" applyFont="1" applyBorder="1" applyAlignment="1">
      <alignment horizontal="left"/>
    </xf>
    <xf numFmtId="0" fontId="35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41" fillId="0" borderId="8" xfId="1" applyFont="1" applyBorder="1" applyAlignment="1">
      <alignment horizontal="left" vertical="center"/>
    </xf>
    <xf numFmtId="0" fontId="39" fillId="4" borderId="5" xfId="0" applyFont="1" applyFill="1" applyBorder="1" applyAlignment="1">
      <alignment horizontal="left" wrapText="1"/>
    </xf>
    <xf numFmtId="0" fontId="36" fillId="4" borderId="3" xfId="0" applyFont="1" applyFill="1" applyBorder="1" applyAlignment="1">
      <alignment horizontal="left" vertical="center"/>
    </xf>
    <xf numFmtId="0" fontId="48" fillId="19" borderId="3" xfId="0" applyFont="1" applyFill="1" applyBorder="1" applyAlignment="1">
      <alignment wrapText="1"/>
    </xf>
    <xf numFmtId="1" fontId="47" fillId="0" borderId="15" xfId="0" applyNumberFormat="1" applyFont="1" applyBorder="1" applyAlignment="1" applyProtection="1">
      <alignment horizontal="left" vertical="center" wrapText="1"/>
      <protection locked="0"/>
    </xf>
    <xf numFmtId="0" fontId="48" fillId="19" borderId="5" xfId="0" applyFont="1" applyFill="1" applyBorder="1" applyAlignment="1">
      <alignment wrapText="1"/>
    </xf>
    <xf numFmtId="0" fontId="39" fillId="0" borderId="11" xfId="0" applyFont="1" applyBorder="1" applyAlignment="1">
      <alignment horizontal="left"/>
    </xf>
    <xf numFmtId="0" fontId="39" fillId="0" borderId="23" xfId="0" applyFont="1" applyBorder="1" applyAlignment="1">
      <alignment horizontal="left"/>
    </xf>
    <xf numFmtId="164" fontId="39" fillId="0" borderId="19" xfId="0" applyNumberFormat="1" applyFont="1" applyBorder="1" applyAlignment="1">
      <alignment horizontal="left" vertical="center"/>
    </xf>
    <xf numFmtId="0" fontId="39" fillId="0" borderId="19" xfId="0" applyFont="1" applyBorder="1" applyAlignment="1">
      <alignment horizontal="left" vertical="center"/>
    </xf>
    <xf numFmtId="1" fontId="39" fillId="0" borderId="19" xfId="0" applyNumberFormat="1" applyFont="1" applyBorder="1" applyAlignment="1">
      <alignment horizontal="left" vertical="center"/>
    </xf>
    <xf numFmtId="0" fontId="39" fillId="0" borderId="19" xfId="0" applyFont="1" applyBorder="1" applyAlignment="1">
      <alignment horizontal="left" vertical="center" wrapText="1"/>
    </xf>
    <xf numFmtId="0" fontId="39" fillId="4" borderId="12" xfId="0" applyFont="1" applyFill="1" applyBorder="1" applyAlignment="1">
      <alignment horizontal="left" wrapText="1"/>
    </xf>
    <xf numFmtId="164" fontId="39" fillId="0" borderId="19" xfId="0" applyNumberFormat="1" applyFont="1" applyBorder="1" applyAlignment="1">
      <alignment horizontal="left"/>
    </xf>
    <xf numFmtId="1" fontId="39" fillId="4" borderId="19" xfId="0" applyNumberFormat="1" applyFont="1" applyFill="1" applyBorder="1" applyAlignment="1">
      <alignment horizontal="left"/>
    </xf>
    <xf numFmtId="0" fontId="39" fillId="4" borderId="19" xfId="0" applyFont="1" applyFill="1" applyBorder="1" applyAlignment="1">
      <alignment horizontal="left" wrapText="1"/>
    </xf>
    <xf numFmtId="0" fontId="15" fillId="0" borderId="3" xfId="0" applyFont="1" applyBorder="1" applyAlignment="1">
      <alignment vertical="center"/>
    </xf>
    <xf numFmtId="0" fontId="31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23" fillId="3" borderId="3" xfId="0" applyFont="1" applyFill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32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/>
    </xf>
    <xf numFmtId="1" fontId="17" fillId="4" borderId="3" xfId="0" applyNumberFormat="1" applyFont="1" applyFill="1" applyBorder="1" applyAlignment="1">
      <alignment vertical="center"/>
    </xf>
    <xf numFmtId="1" fontId="8" fillId="4" borderId="3" xfId="0" applyNumberFormat="1" applyFont="1" applyFill="1" applyBorder="1" applyAlignment="1">
      <alignment vertical="center"/>
    </xf>
    <xf numFmtId="0" fontId="10" fillId="13" borderId="3" xfId="0" applyFont="1" applyFill="1" applyBorder="1" applyAlignment="1">
      <alignment vertical="center"/>
    </xf>
    <xf numFmtId="49" fontId="11" fillId="0" borderId="3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30" fillId="4" borderId="3" xfId="0" applyFont="1" applyFill="1" applyBorder="1"/>
    <xf numFmtId="0" fontId="10" fillId="4" borderId="12" xfId="0" applyFont="1" applyFill="1" applyBorder="1" applyAlignment="1">
      <alignment vertical="center"/>
    </xf>
    <xf numFmtId="0" fontId="11" fillId="4" borderId="3" xfId="0" applyFont="1" applyFill="1" applyBorder="1"/>
    <xf numFmtId="1" fontId="16" fillId="0" borderId="3" xfId="0" applyNumberFormat="1" applyFont="1" applyBorder="1" applyAlignment="1">
      <alignment vertical="center"/>
    </xf>
    <xf numFmtId="1" fontId="11" fillId="0" borderId="3" xfId="0" applyNumberFormat="1" applyFont="1" applyBorder="1" applyAlignment="1">
      <alignment vertical="center"/>
    </xf>
    <xf numFmtId="1" fontId="10" fillId="0" borderId="3" xfId="0" applyNumberFormat="1" applyFont="1" applyBorder="1" applyAlignment="1">
      <alignment vertical="center"/>
    </xf>
    <xf numFmtId="0" fontId="19" fillId="4" borderId="3" xfId="0" applyFont="1" applyFill="1" applyBorder="1"/>
    <xf numFmtId="0" fontId="23" fillId="4" borderId="3" xfId="0" applyFont="1" applyFill="1" applyBorder="1"/>
    <xf numFmtId="0" fontId="8" fillId="4" borderId="3" xfId="0" applyFont="1" applyFill="1" applyBorder="1"/>
    <xf numFmtId="164" fontId="10" fillId="0" borderId="3" xfId="0" applyNumberFormat="1" applyFont="1" applyBorder="1" applyAlignment="1">
      <alignment vertical="center"/>
    </xf>
    <xf numFmtId="0" fontId="39" fillId="0" borderId="3" xfId="0" applyFont="1" applyBorder="1" applyAlignment="1" applyProtection="1">
      <alignment horizontal="left"/>
      <protection locked="0"/>
    </xf>
    <xf numFmtId="0" fontId="39" fillId="0" borderId="5" xfId="0" applyFont="1" applyBorder="1" applyAlignment="1" applyProtection="1">
      <alignment horizontal="left" vertical="center"/>
      <protection locked="0"/>
    </xf>
    <xf numFmtId="0" fontId="39" fillId="0" borderId="12" xfId="0" applyFont="1" applyBorder="1" applyAlignment="1" applyProtection="1">
      <alignment horizontal="left" vertical="center"/>
      <protection locked="0"/>
    </xf>
  </cellXfs>
  <cellStyles count="3">
    <cellStyle name="Normal" xfId="0" builtinId="0"/>
    <cellStyle name="Normal 2" xfId="1" xr:uid="{5FEC371F-ACA4-4F20-9B66-D540710A87BC}"/>
    <cellStyle name="Normal 3 3" xfId="2" xr:uid="{BA7CEFFD-3666-4F44-973E-88F196724E26}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  <fill>
        <patternFill patternType="solid">
          <bgColor rgb="FFBD92D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  <fill>
        <patternFill patternType="solid">
          <bgColor rgb="FFBD92D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</dxf>
  </dxfs>
  <tableStyles count="1" defaultTableStyle="TableStyleMedium2" defaultPivotStyle="PivotStyleLight16">
    <tableStyle name="Table Style 1" pivot="0" count="0" xr9:uid="{4E1AB3F3-95AB-44E4-80EE-75AC6BEB8862}"/>
  </tableStyles>
  <colors>
    <mruColors>
      <color rgb="FFCC00CC"/>
      <color rgb="FF000000"/>
      <color rgb="FFD597FF"/>
      <color rgb="FFBD92DE"/>
      <color rgb="FFE5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0866090A-F9BA-43F8-BA2A-2696BC1BB62E}">
    <Anchor>
      <Comment id="{BD6D63E5-6C91-4F23-9C9A-B202320ADA0D}"/>
    </Anchor>
    <History>
      <Event time="2024-04-12T02:10:40.44" id="{A9A39F55-A338-4C7A-A2B6-013E5AE79EBF}">
        <Attribution userId="S::rodgers.oloo@ava.co.ke::09679cb2-e734-4dca-b9bf-978230c33aed" userName="Rodgers Oloo" userProvider="AD"/>
        <Anchor>
          <Comment id="{BD6D63E5-6C91-4F23-9C9A-B202320ADA0D}"/>
        </Anchor>
        <Create/>
      </Event>
      <Event time="2024-04-12T02:10:40.44" id="{A6F46C44-069E-4A06-B6A5-CF2D86710F0F}">
        <Attribution userId="S::rodgers.oloo@ava.co.ke::09679cb2-e734-4dca-b9bf-978230c33aed" userName="Rodgers Oloo" userProvider="AD"/>
        <Anchor>
          <Comment id="{BD6D63E5-6C91-4F23-9C9A-B202320ADA0D}"/>
        </Anchor>
        <Assign userId="S::rehema.karisa@ava.co.ke::493fad08-01fe-46f5-9564-f3b6a56c992f" userName="Rehema Karisa" userProvider="AD"/>
      </Event>
      <Event time="2024-04-12T02:10:40.44" id="{902843E2-D0FF-4578-9406-8D3E31841258}">
        <Attribution userId="S::rodgers.oloo@ava.co.ke::09679cb2-e734-4dca-b9bf-978230c33aed" userName="Rodgers Oloo" userProvider="AD"/>
        <Anchor>
          <Comment id="{BD6D63E5-6C91-4F23-9C9A-B202320ADA0D}"/>
        </Anchor>
        <SetTitle title="@Rehema Karisa &amp; @Winnie Ikaal not filed"/>
      </Event>
      <Event time="2024-04-12T02:10:44.86" id="{C5C60780-2571-4AA4-ABD9-B4399BA456D7}">
        <Attribution userId="S::rodgers.oloo@ava.co.ke::09679cb2-e734-4dca-b9bf-978230c33aed" userName="Rodgers Oloo" userProvider="AD"/>
        <Progress percentComplete="100"/>
      </Event>
      <Event time="2024-04-12T02:10:49.62" id="{55F3ACE6-717E-45AD-9203-047392C0FF4F}">
        <Attribution userId="S::rodgers.oloo@ava.co.ke::09679cb2-e734-4dca-b9bf-978230c33aed" userName="Rodgers Oloo" userProvider="AD"/>
        <Progress percentComplete="0"/>
      </Event>
    </History>
  </Task>
  <Task id="{DDCC8B1D-7A8C-48D9-83E2-7C19326061BF}">
    <Anchor>
      <Comment id="{83D6B1E7-F8F0-4342-8B24-EE1DA83FB3A4}"/>
    </Anchor>
    <History>
      <Event time="2024-05-13T07:42:39.26" id="{E4652DF2-24EE-440F-AA00-FCE112A19101}">
        <Attribution userId="S::rodgers.oloo@ava.co.ke::09679cb2-e734-4dca-b9bf-978230c33aed" userName="Rodgers Oloo" userProvider="AD"/>
        <Anchor>
          <Comment id="{83D6B1E7-F8F0-4342-8B24-EE1DA83FB3A4}"/>
        </Anchor>
        <Create/>
      </Event>
      <Event time="2024-05-13T07:42:39.26" id="{D1FB5706-B0CE-42F3-9AB4-DC0FA49EB7BF}">
        <Attribution userId="S::rodgers.oloo@ava.co.ke::09679cb2-e734-4dca-b9bf-978230c33aed" userName="Rodgers Oloo" userProvider="AD"/>
        <Anchor>
          <Comment id="{83D6B1E7-F8F0-4342-8B24-EE1DA83FB3A4}"/>
        </Anchor>
        <Assign userId="S::rehema.karisa@ava.co.ke::493fad08-01fe-46f5-9564-f3b6a56c992f" userName="Rehema Karisa" userProvider="AD"/>
      </Event>
      <Event time="2024-05-13T07:42:39.26" id="{2B2CCD1D-4399-4CD1-AC8A-191453F21035}">
        <Attribution userId="S::rodgers.oloo@ava.co.ke::09679cb2-e734-4dca-b9bf-978230c33aed" userName="Rodgers Oloo" userProvider="AD"/>
        <Anchor>
          <Comment id="{83D6B1E7-F8F0-4342-8B24-EE1DA83FB3A4}"/>
        </Anchor>
        <SetTitle title="@Winnie Ikaal @Rehema Karisa I don't believe this is accurate, (54 back glasss, 11 lh &amp; 21 rh) if im not mistaken. kindly clarify"/>
      </Event>
    </History>
  </Task>
  <Task id="{96DB0E2C-939A-406D-9743-F8F85ED7C0BF}">
    <Anchor>
      <Comment id="{6DAE788E-D56E-48C8-8086-D5A9BAAB5A07}"/>
    </Anchor>
    <History>
      <Event time="2024-04-12T02:16:07.25" id="{93B53BD0-A31F-4061-83BA-557A2A1E2904}">
        <Attribution userId="S::rodgers.oloo@ava.co.ke::09679cb2-e734-4dca-b9bf-978230c33aed" userName="Rodgers Oloo" userProvider="AD"/>
        <Anchor>
          <Comment id="{6DAE788E-D56E-48C8-8086-D5A9BAAB5A07}"/>
        </Anchor>
        <Create/>
      </Event>
      <Event time="2024-04-12T02:16:07.25" id="{F15BE603-4989-493A-AD5F-196CB4FB852E}">
        <Attribution userId="S::rodgers.oloo@ava.co.ke::09679cb2-e734-4dca-b9bf-978230c33aed" userName="Rodgers Oloo" userProvider="AD"/>
        <Anchor>
          <Comment id="{6DAE788E-D56E-48C8-8086-D5A9BAAB5A07}"/>
        </Anchor>
        <Assign userId="S::rehema.karisa@ava.co.ke::493fad08-01fe-46f5-9564-f3b6a56c992f" userName="Rehema Karisa" userProvider="AD"/>
      </Event>
      <Event time="2024-04-12T02:16:07.25" id="{66C7728B-DE9F-4A9A-925A-A254E13FD6EF}">
        <Attribution userId="S::rodgers.oloo@ava.co.ke::09679cb2-e734-4dca-b9bf-978230c33aed" userName="Rodgers Oloo" userProvider="AD"/>
        <Anchor>
          <Comment id="{6DAE788E-D56E-48C8-8086-D5A9BAAB5A07}"/>
        </Anchor>
        <SetTitle title="@Rehema Karisa &amp; @Winnie Ikaal not filed"/>
      </Event>
    </History>
  </Task>
  <Task id="{63A64630-9850-42F0-9DD1-CE05BC4A30FD}">
    <Anchor>
      <Comment id="{CABF9BA4-7827-4CC1-A39D-8C8D08156333}"/>
    </Anchor>
    <History>
      <Event time="2023-11-09T09:09:38.63" id="{7CBE8FB0-4106-455A-AA78-2C21DD60CC58}">
        <Attribution userId="S::rodgers.oloo@ava.co.ke::09679cb2-e734-4dca-b9bf-978230c33aed" userName="Rodgers Oloo" userProvider="AD"/>
        <Anchor>
          <Comment id="{CABF9BA4-7827-4CC1-A39D-8C8D08156333}"/>
        </Anchor>
        <Create/>
      </Event>
      <Event time="2023-11-09T09:09:38.63" id="{DC946E14-7D0D-4D26-A47F-24D369E7459E}">
        <Attribution userId="S::rodgers.oloo@ava.co.ke::09679cb2-e734-4dca-b9bf-978230c33aed" userName="Rodgers Oloo" userProvider="AD"/>
        <Anchor>
          <Comment id="{CABF9BA4-7827-4CC1-A39D-8C8D08156333}"/>
        </Anchor>
        <Assign userId="S::vophsy.orwa@ava.co.ke::4446864c-b93a-4006-8c7d-6f46e63c769c" userName="Vophsy Orwa" userProvider="AD"/>
      </Event>
      <Event time="2023-11-09T09:09:38.63" id="{AFF1A6E3-7D02-46B5-88AF-29DE0C25ABAA}">
        <Attribution userId="S::rodgers.oloo@ava.co.ke::09679cb2-e734-4dca-b9bf-978230c33aed" userName="Rodgers Oloo" userProvider="AD"/>
        <Anchor>
          <Comment id="{CABF9BA4-7827-4CC1-A39D-8C8D08156333}"/>
        </Anchor>
        <SetTitle title="@Winnie Ikaal kindly note that I have adjusted the quantities of this item to match @Vophsy Orwa 's report"/>
      </Event>
    </History>
  </Task>
  <Task id="{02E23234-4DD4-4332-A51A-30C62ADCBBF2}">
    <Anchor>
      <Comment id="{00E26E91-AA15-4391-85EA-455F09F8966A}"/>
    </Anchor>
    <History>
      <Event time="2024-04-12T02:07:43.01" id="{9A383343-B035-4563-9E61-C018C8235C6F}">
        <Attribution userId="S::rodgers.oloo@ava.co.ke::09679cb2-e734-4dca-b9bf-978230c33aed" userName="Rodgers Oloo" userProvider="AD"/>
        <Anchor>
          <Comment id="{00E26E91-AA15-4391-85EA-455F09F8966A}"/>
        </Anchor>
        <Create/>
      </Event>
      <Event time="2024-04-12T02:07:43.01" id="{1AE46FE2-850E-46FB-900C-0666FC4CFDAD}">
        <Attribution userId="S::rodgers.oloo@ava.co.ke::09679cb2-e734-4dca-b9bf-978230c33aed" userName="Rodgers Oloo" userProvider="AD"/>
        <Anchor>
          <Comment id="{00E26E91-AA15-4391-85EA-455F09F8966A}"/>
        </Anchor>
        <Assign userId="S::rehema.karisa@ava.co.ke::493fad08-01fe-46f5-9564-f3b6a56c992f" userName="Rehema Karisa" userProvider="AD"/>
      </Event>
      <Event time="2024-04-12T02:07:43.01" id="{262EAED6-B24B-4836-84EE-8CFAD9DE1018}">
        <Attribution userId="S::rodgers.oloo@ava.co.ke::09679cb2-e734-4dca-b9bf-978230c33aed" userName="Rodgers Oloo" userProvider="AD"/>
        <Anchor>
          <Comment id="{00E26E91-AA15-4391-85EA-455F09F8966A}"/>
        </Anchor>
        <SetTitle title="@Rehema Karisa &amp; @Winnie Ikaal not filed"/>
      </Event>
    </History>
  </Task>
  <Task id="{A5D8A5BA-FFFF-4CCE-9C14-3ED4FDABE064}">
    <Anchor>
      <Comment id="{201BF9E4-9CFC-4CFF-B536-FE58483B3CDC}"/>
    </Anchor>
    <History>
      <Event time="2024-04-12T02:16:07.25" id="{93B53BD0-A31F-4061-83BA-557A2A1E2904}">
        <Attribution userId="S::rodgers.oloo@ava.co.ke::09679cb2-e734-4dca-b9bf-978230c33aed" userName="Rodgers Oloo" userProvider="AD"/>
        <Anchor>
          <Comment id="{201BF9E4-9CFC-4CFF-B536-FE58483B3CDC}"/>
        </Anchor>
        <Create/>
      </Event>
      <Event time="2024-04-12T02:16:07.25" id="{F15BE603-4989-493A-AD5F-196CB4FB852E}">
        <Attribution userId="S::rodgers.oloo@ava.co.ke::09679cb2-e734-4dca-b9bf-978230c33aed" userName="Rodgers Oloo" userProvider="AD"/>
        <Anchor>
          <Comment id="{201BF9E4-9CFC-4CFF-B536-FE58483B3CDC}"/>
        </Anchor>
        <Assign userId="S::rehema.karisa@ava.co.ke::493fad08-01fe-46f5-9564-f3b6a56c992f" userName="Rehema Karisa" userProvider="AD"/>
      </Event>
      <Event time="2024-04-12T02:16:07.25" id="{66C7728B-DE9F-4A9A-925A-A254E13FD6EF}">
        <Attribution userId="S::rodgers.oloo@ava.co.ke::09679cb2-e734-4dca-b9bf-978230c33aed" userName="Rodgers Oloo" userProvider="AD"/>
        <Anchor>
          <Comment id="{201BF9E4-9CFC-4CFF-B536-FE58483B3CDC}"/>
        </Anchor>
        <SetTitle title="@Rehema Karisa &amp; @Winnie Ikaal not filed"/>
      </Event>
    </History>
  </Task>
  <Task id="{08AAC2BB-026C-4718-B5F0-1A3BDE720485}">
    <Anchor>
      <Comment id="{A117E5DA-40EB-4682-A7C0-65312A6F5B0F}"/>
    </Anchor>
    <History>
      <Event time="2024-04-12T02:11:14.86" id="{B8D3DFB0-3FD3-42CB-91EE-ECD8C20FA3A1}">
        <Attribution userId="S::rodgers.oloo@ava.co.ke::09679cb2-e734-4dca-b9bf-978230c33aed" userName="Rodgers Oloo" userProvider="AD"/>
        <Anchor>
          <Comment id="{A117E5DA-40EB-4682-A7C0-65312A6F5B0F}"/>
        </Anchor>
        <Create/>
      </Event>
      <Event time="2024-04-12T02:11:14.86" id="{6EA8F5E0-EB65-498D-9974-496825273EAF}">
        <Attribution userId="S::rodgers.oloo@ava.co.ke::09679cb2-e734-4dca-b9bf-978230c33aed" userName="Rodgers Oloo" userProvider="AD"/>
        <Anchor>
          <Comment id="{A117E5DA-40EB-4682-A7C0-65312A6F5B0F}"/>
        </Anchor>
        <Assign userId="S::rehema.karisa@ava.co.ke::493fad08-01fe-46f5-9564-f3b6a56c992f" userName="Rehema Karisa" userProvider="AD"/>
      </Event>
      <Event time="2024-04-12T02:11:14.86" id="{C17C92BB-BF2E-4C79-A29B-F59AB155C601}">
        <Attribution userId="S::rodgers.oloo@ava.co.ke::09679cb2-e734-4dca-b9bf-978230c33aed" userName="Rodgers Oloo" userProvider="AD"/>
        <Anchor>
          <Comment id="{A117E5DA-40EB-4682-A7C0-65312A6F5B0F}"/>
        </Anchor>
        <SetTitle title="@Rehema Karisa &amp; @Winnie Ikaal not filed"/>
      </Event>
    </History>
  </Task>
  <Task id="{8C088BE1-7FC3-4054-A289-F236596EC1A0}">
    <Anchor>
      <Comment id="{8128A150-3A99-4469-A52C-ED64366EC4D5}"/>
    </Anchor>
    <History>
      <Event time="2024-04-12T02:03:50.73" id="{20D42F9D-7741-47CF-BB07-7B330CF85C4D}">
        <Attribution userId="S::rodgers.oloo@ava.co.ke::09679cb2-e734-4dca-b9bf-978230c33aed" userName="Rodgers Oloo" userProvider="AD"/>
        <Anchor>
          <Comment id="{8128A150-3A99-4469-A52C-ED64366EC4D5}"/>
        </Anchor>
        <Create/>
      </Event>
      <Event time="2024-04-12T02:03:50.73" id="{850F3F5A-094B-4D60-82E7-3C45B515E91A}">
        <Attribution userId="S::rodgers.oloo@ava.co.ke::09679cb2-e734-4dca-b9bf-978230c33aed" userName="Rodgers Oloo" userProvider="AD"/>
        <Anchor>
          <Comment id="{8128A150-3A99-4469-A52C-ED64366EC4D5}"/>
        </Anchor>
        <Assign userId="S::rehema.karisa@ava.co.ke::493fad08-01fe-46f5-9564-f3b6a56c992f" userName="Rehema Karisa" userProvider="AD"/>
      </Event>
      <Event time="2024-04-12T02:03:50.73" id="{161DFCF4-BDEA-4C05-93B2-CDF8698E82DD}">
        <Attribution userId="S::rodgers.oloo@ava.co.ke::09679cb2-e734-4dca-b9bf-978230c33aed" userName="Rodgers Oloo" userProvider="AD"/>
        <Anchor>
          <Comment id="{8128A150-3A99-4469-A52C-ED64366EC4D5}"/>
        </Anchor>
        <SetTitle title="@Rehema Karisa &amp; @Winnie Ikaal not filed"/>
      </Event>
    </History>
  </Task>
  <Task id="{12376EE6-707A-4EC1-8752-016F61A2D31C}">
    <Anchor>
      <Comment id="{15CD77EC-0D4E-4B3B-8A08-3C8570BB0838}"/>
    </Anchor>
    <History>
      <Event time="2024-05-07T09:59:29.37" id="{C435975C-CECC-4FA8-A216-DFB7BCACEE76}">
        <Attribution userId="S::rodgers.oloo@ava.co.ke::09679cb2-e734-4dca-b9bf-978230c33aed" userName="Rodgers Oloo" userProvider="AD"/>
        <Anchor>
          <Comment id="{15CD77EC-0D4E-4B3B-8A08-3C8570BB0838}"/>
        </Anchor>
        <Create/>
      </Event>
      <Event time="2024-05-07T09:59:29.37" id="{5049602F-41FE-45B0-B7D3-8D910D84176E}">
        <Attribution userId="S::rodgers.oloo@ava.co.ke::09679cb2-e734-4dca-b9bf-978230c33aed" userName="Rodgers Oloo" userProvider="AD"/>
        <Anchor>
          <Comment id="{15CD77EC-0D4E-4B3B-8A08-3C8570BB0838}"/>
        </Anchor>
        <Assign userId="S::winnie.ikaal@ava.co.ke::e353077b-20e9-40c1-a1f5-cd6f44a38763" userName="Winnie Ikaal" userProvider="AD"/>
      </Event>
      <Event time="2024-05-07T09:59:29.37" id="{75A79F63-034C-4617-9C3E-C87AC7D23AF8}">
        <Attribution userId="S::rodgers.oloo@ava.co.ke::09679cb2-e734-4dca-b9bf-978230c33aed" userName="Rodgers Oloo" userProvider="AD"/>
        <Anchor>
          <Comment id="{15CD77EC-0D4E-4B3B-8A08-3C8570BB0838}"/>
        </Anchor>
        <SetTitle title="@Winnie Ikaal kindly follow up on this item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mbacorp.sharepoint.com/C:/Users/rodgers.oloo/OneDrive%20-%20Simba%20Corporation%20Ltd/Production%20Engineering/CLAIMS/CPO%20RAISED.xlsx" TargetMode="External"/><Relationship Id="rId1" Type="http://schemas.openxmlformats.org/officeDocument/2006/relationships/externalLinkPath" Target="/Users/rodgers.oloo/OneDrive%20-%20Simba%20Corporation%20Ltd/Production%20Engineering/CLAIMS/CPO%20RA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IMED PARTS NOT IN CPO"/>
      <sheetName val="CPO DATA"/>
    </sheetNames>
    <sheetDataSet>
      <sheetData sheetId="0" refreshError="1"/>
      <sheetData sheetId="1" refreshError="1">
        <row r="2">
          <cell r="D2" t="str">
            <v>PART NO</v>
          </cell>
          <cell r="E2" t="str">
            <v>DESCRIPTION</v>
          </cell>
          <cell r="F2" t="str">
            <v>QTY</v>
          </cell>
          <cell r="G2" t="str">
            <v>LOT AFFECTED</v>
          </cell>
        </row>
        <row r="3">
          <cell r="D3" t="str">
            <v>17900-51010-00</v>
          </cell>
          <cell r="E3" t="str">
            <v>INTERCOOLER ASSY, W/SENSOR</v>
          </cell>
          <cell r="F3">
            <v>1</v>
          </cell>
          <cell r="G3" t="str">
            <v>BZ60</v>
          </cell>
        </row>
        <row r="4">
          <cell r="D4" t="str">
            <v>84731-20040-00</v>
          </cell>
          <cell r="E4" t="str">
            <v>KNOB, HEATER BLOWER SWITCH</v>
          </cell>
          <cell r="F4">
            <v>2</v>
          </cell>
          <cell r="G4" t="str">
            <v>BZ60</v>
          </cell>
        </row>
        <row r="5">
          <cell r="D5" t="str">
            <v>88650-60G20-00</v>
          </cell>
          <cell r="E5" t="str">
            <v>AMPLIFIER ASSY, AIR CONDITIONER</v>
          </cell>
          <cell r="F5">
            <v>1</v>
          </cell>
          <cell r="G5" t="str">
            <v>BZ60</v>
          </cell>
        </row>
        <row r="6">
          <cell r="D6" t="str">
            <v>90467-06155-00</v>
          </cell>
          <cell r="E6" t="str">
            <v>CLIP</v>
          </cell>
          <cell r="F6">
            <v>1</v>
          </cell>
          <cell r="G6" t="str">
            <v>BZ60</v>
          </cell>
        </row>
        <row r="7">
          <cell r="D7" t="str">
            <v>55539-32010-C0</v>
          </cell>
          <cell r="E7" t="str">
            <v>COVER, SPARE SWITCH HOLE</v>
          </cell>
          <cell r="F7">
            <v>1</v>
          </cell>
          <cell r="G7" t="str">
            <v>BZ60</v>
          </cell>
        </row>
        <row r="8">
          <cell r="D8" t="str">
            <v>82143-60350-00</v>
          </cell>
          <cell r="E8" t="str">
            <v>WIRE, INSTRUMENT PANEL, NO.3</v>
          </cell>
          <cell r="F8">
            <v>1</v>
          </cell>
          <cell r="G8" t="str">
            <v>BZ60</v>
          </cell>
        </row>
        <row r="9">
          <cell r="D9" t="str">
            <v>17700-51032-00</v>
          </cell>
          <cell r="E9" t="str">
            <v>CLEANER ASSY, AIR W/ELEMENT</v>
          </cell>
          <cell r="F9">
            <v>1</v>
          </cell>
          <cell r="G9" t="str">
            <v>BZ60</v>
          </cell>
        </row>
        <row r="10">
          <cell r="D10" t="str">
            <v>90119-06956-00</v>
          </cell>
          <cell r="E10" t="str">
            <v>BOLT, W/WASHER</v>
          </cell>
          <cell r="F10">
            <v>2</v>
          </cell>
          <cell r="G10" t="str">
            <v>BZ60</v>
          </cell>
        </row>
        <row r="11">
          <cell r="D11" t="str">
            <v>55519-60300-00</v>
          </cell>
          <cell r="E11" t="str">
            <v>PLATE, HEATER CONTROL NAME</v>
          </cell>
          <cell r="F11">
            <v>1</v>
          </cell>
          <cell r="G11" t="str">
            <v>BZ60</v>
          </cell>
        </row>
        <row r="12">
          <cell r="D12" t="str">
            <v>90119-06048-00</v>
          </cell>
          <cell r="E12" t="str">
            <v>BOLT, W/WASHER</v>
          </cell>
          <cell r="F12">
            <v>1</v>
          </cell>
          <cell r="G12" t="str">
            <v>BZ60</v>
          </cell>
        </row>
        <row r="13">
          <cell r="D13" t="str">
            <v>90460-99005-00</v>
          </cell>
          <cell r="E13" t="str">
            <v>CLAMP, HOSE</v>
          </cell>
          <cell r="F13">
            <v>1</v>
          </cell>
          <cell r="G13" t="str">
            <v>BZ60</v>
          </cell>
        </row>
        <row r="14">
          <cell r="D14" t="str">
            <v>52711-60150-00</v>
          </cell>
          <cell r="E14" t="str">
            <v>GARNISH, FR BUMPER</v>
          </cell>
          <cell r="F14">
            <v>1</v>
          </cell>
          <cell r="G14" t="str">
            <v>BZ60</v>
          </cell>
        </row>
        <row r="15">
          <cell r="D15" t="str">
            <v>77207-60292-00</v>
          </cell>
          <cell r="E15" t="str">
            <v>TUBE SUB-ASSY, FUEL MAIN, NO.3</v>
          </cell>
          <cell r="F15">
            <v>1</v>
          </cell>
          <cell r="G15" t="str">
            <v>BZ60</v>
          </cell>
        </row>
        <row r="16">
          <cell r="D16" t="str">
            <v>45450-60260-00</v>
          </cell>
          <cell r="E16" t="str">
            <v>ROD ASSY, STEERING RELAY</v>
          </cell>
          <cell r="F16">
            <v>1</v>
          </cell>
          <cell r="G16" t="str">
            <v>BZ60</v>
          </cell>
        </row>
        <row r="17">
          <cell r="D17" t="str">
            <v>88716-60E80-00</v>
          </cell>
          <cell r="E17" t="str">
            <v>TUBE, LIQUID, NO.1</v>
          </cell>
          <cell r="F17">
            <v>1</v>
          </cell>
          <cell r="G17" t="str">
            <v>BZ60</v>
          </cell>
        </row>
        <row r="18">
          <cell r="D18" t="str">
            <v>47320-60071-00</v>
          </cell>
          <cell r="E18" t="str">
            <v>TUBE ASSY, RR BRAKE, NO.1</v>
          </cell>
          <cell r="F18">
            <v>2</v>
          </cell>
          <cell r="G18" t="str">
            <v>BZ60</v>
          </cell>
        </row>
        <row r="19">
          <cell r="D19" t="str">
            <v>47939-60620-00</v>
          </cell>
          <cell r="E19" t="str">
            <v>LABEL, LSV MARKING INFORMATION</v>
          </cell>
          <cell r="F19">
            <v>5</v>
          </cell>
          <cell r="G19" t="str">
            <v>BZ60</v>
          </cell>
        </row>
        <row r="20">
          <cell r="D20" t="str">
            <v>17279-17030-00</v>
          </cell>
          <cell r="E20" t="str">
            <v>GASKET, TURBINE OUTLET ELBOW</v>
          </cell>
          <cell r="F20">
            <v>1</v>
          </cell>
          <cell r="G20" t="str">
            <v>BZ60</v>
          </cell>
        </row>
        <row r="21">
          <cell r="D21" t="str">
            <v>44310-0K130</v>
          </cell>
          <cell r="E21" t="str">
            <v>PUMP ASSY, VANE</v>
          </cell>
          <cell r="F21">
            <v>1</v>
          </cell>
          <cell r="G21" t="str">
            <v>HT01</v>
          </cell>
        </row>
        <row r="22">
          <cell r="D22" t="str">
            <v>47315-KK010</v>
          </cell>
          <cell r="E22" t="str">
            <v>TUBE, FR BRAKE, NO.5</v>
          </cell>
          <cell r="F22">
            <v>1</v>
          </cell>
          <cell r="G22" t="str">
            <v>HT01</v>
          </cell>
        </row>
        <row r="23">
          <cell r="D23" t="str">
            <v>47341-0K090</v>
          </cell>
          <cell r="E23" t="str">
            <v>TUBE, WHEEL CYLINDER, FR RH</v>
          </cell>
          <cell r="F23">
            <v>1</v>
          </cell>
          <cell r="G23" t="str">
            <v>HT01</v>
          </cell>
        </row>
        <row r="24">
          <cell r="D24" t="str">
            <v>68210-0K040</v>
          </cell>
          <cell r="E24" t="str">
            <v>WEATHERSTRIP ASSY, FR DOOR GLASS, OUT LH</v>
          </cell>
          <cell r="F24">
            <v>1</v>
          </cell>
          <cell r="G24" t="str">
            <v>JG001</v>
          </cell>
        </row>
        <row r="25">
          <cell r="D25" t="str">
            <v>52206-0K080</v>
          </cell>
          <cell r="E25" t="str">
            <v>CUSHION SUB-ASSY, CAB MOUNTING, NO. 3 LOWER(L)</v>
          </cell>
          <cell r="F25">
            <v>1</v>
          </cell>
          <cell r="G25" t="str">
            <v>FW0017</v>
          </cell>
        </row>
        <row r="26">
          <cell r="D26" t="str">
            <v>74615-60020-B0</v>
          </cell>
          <cell r="E26" t="str">
            <v xml:space="preserve">PLUG, FR ASSIST GRIP, NO.1 RH     </v>
          </cell>
          <cell r="F26">
            <v>2</v>
          </cell>
          <cell r="G26" t="str">
            <v>GH710</v>
          </cell>
        </row>
        <row r="27">
          <cell r="D27" t="str">
            <v>56100-26111</v>
          </cell>
          <cell r="E27" t="str">
            <v xml:space="preserve">GLASS ASSY, WINDSHIELD  </v>
          </cell>
          <cell r="F27">
            <v>1</v>
          </cell>
          <cell r="G27" t="str">
            <v>GH710</v>
          </cell>
        </row>
        <row r="28">
          <cell r="D28" t="str">
            <v>88723-28240</v>
          </cell>
          <cell r="E28" t="str">
            <v xml:space="preserve">LABEL, COOLER SERVICE CAUTION      </v>
          </cell>
          <cell r="F28">
            <v>1</v>
          </cell>
          <cell r="G28" t="str">
            <v>GH528</v>
          </cell>
        </row>
        <row r="29">
          <cell r="D29" t="str">
            <v>46110-26591</v>
          </cell>
          <cell r="E29" t="str">
            <v xml:space="preserve">HANDLE ASSY, PARKING BRAKE CONTROL   </v>
          </cell>
          <cell r="F29">
            <v>1</v>
          </cell>
          <cell r="G29" t="str">
            <v>GH710</v>
          </cell>
        </row>
        <row r="30">
          <cell r="D30" t="str">
            <v>53510-26060</v>
          </cell>
          <cell r="E30" t="str">
            <v>LOCK ASSY, HOOD</v>
          </cell>
          <cell r="F30">
            <v>1</v>
          </cell>
          <cell r="G30" t="str">
            <v>GH644</v>
          </cell>
        </row>
        <row r="31">
          <cell r="D31" t="str">
            <v>48820-26051</v>
          </cell>
          <cell r="E31" t="str">
            <v xml:space="preserve">LINK ASSY, FR STABILIZER                </v>
          </cell>
          <cell r="F31">
            <v>1</v>
          </cell>
          <cell r="G31" t="str">
            <v>GH628</v>
          </cell>
        </row>
        <row r="32">
          <cell r="D32" t="str">
            <v>53827-26010</v>
          </cell>
          <cell r="E32" t="str">
            <v xml:space="preserve">PROTECTOR, FR FENDER SIDE PANEL, RH     </v>
          </cell>
          <cell r="F32">
            <v>2</v>
          </cell>
          <cell r="G32" t="str">
            <v>GH644</v>
          </cell>
        </row>
        <row r="33">
          <cell r="D33" t="str">
            <v>33820-V3020</v>
          </cell>
          <cell r="E33" t="str">
            <v xml:space="preserve">CABLE ASSY, TRANSMISSION CONTROL    </v>
          </cell>
          <cell r="F33">
            <v>1</v>
          </cell>
          <cell r="G33" t="str">
            <v>GH710</v>
          </cell>
        </row>
        <row r="34">
          <cell r="D34" t="str">
            <v>94612-11400</v>
          </cell>
          <cell r="E34" t="str">
            <v>WASHER, PLATE</v>
          </cell>
          <cell r="F34">
            <v>2</v>
          </cell>
          <cell r="G34" t="str">
            <v>GH710</v>
          </cell>
        </row>
        <row r="35">
          <cell r="D35" t="str">
            <v>88710-26C90</v>
          </cell>
          <cell r="E35" t="str">
            <v xml:space="preserve">TUBE &amp; ACCESSORY ASSY, AIR CONDITIONER  </v>
          </cell>
          <cell r="F35">
            <v>1</v>
          </cell>
          <cell r="G35" t="str">
            <v>GH710</v>
          </cell>
        </row>
        <row r="36">
          <cell r="D36" t="str">
            <v>81150-26741</v>
          </cell>
          <cell r="E36" t="str">
            <v xml:space="preserve">HEADLAMP ASSY, LH  </v>
          </cell>
          <cell r="F36">
            <v>1</v>
          </cell>
          <cell r="G36" t="str">
            <v>GH644</v>
          </cell>
        </row>
        <row r="37">
          <cell r="D37" t="str">
            <v>82111-V3D30</v>
          </cell>
          <cell r="E37" t="str">
            <v xml:space="preserve">WIRE, ENGINE ROOM MAIN        </v>
          </cell>
          <cell r="F37">
            <v>1</v>
          </cell>
          <cell r="G37" t="str">
            <v>GH644</v>
          </cell>
        </row>
        <row r="38">
          <cell r="D38" t="str">
            <v>94130-61400</v>
          </cell>
          <cell r="E38" t="str">
            <v>NUT</v>
          </cell>
          <cell r="F38">
            <v>1</v>
          </cell>
          <cell r="G38" t="str">
            <v>GH710</v>
          </cell>
        </row>
        <row r="39">
          <cell r="D39" t="str">
            <v>90101-14042</v>
          </cell>
          <cell r="E39" t="str">
            <v xml:space="preserve">BOLT, HEXAGON                           </v>
          </cell>
          <cell r="F39">
            <v>1</v>
          </cell>
          <cell r="G39" t="str">
            <v>GH710</v>
          </cell>
        </row>
        <row r="40">
          <cell r="D40" t="str">
            <v>89660-6AB61-00</v>
          </cell>
          <cell r="E40" t="str">
            <v>COMPUTER ASSY, ENGINE CONTROL</v>
          </cell>
          <cell r="F40">
            <v>1</v>
          </cell>
          <cell r="G40" t="str">
            <v>BZ040</v>
          </cell>
        </row>
        <row r="41">
          <cell r="D41" t="str">
            <v>90167-40057-00</v>
          </cell>
          <cell r="E41" t="str">
            <v>SCREW, PAN TAPPING</v>
          </cell>
          <cell r="F41">
            <v>5</v>
          </cell>
          <cell r="G41" t="str">
            <v>BZ049</v>
          </cell>
        </row>
        <row r="42">
          <cell r="D42" t="str">
            <v>88460-60640</v>
          </cell>
          <cell r="E42" t="str">
            <v>CONDENSER ASSY</v>
          </cell>
          <cell r="F42">
            <v>1</v>
          </cell>
          <cell r="G42" t="str">
            <v>BZ045</v>
          </cell>
        </row>
        <row r="43">
          <cell r="D43" t="str">
            <v>69201-0K070</v>
          </cell>
          <cell r="E43" t="str">
            <v>FRAME SUB-ASSY, FR DOOR OUTS HANDLE, RH</v>
          </cell>
          <cell r="F43">
            <v>1</v>
          </cell>
          <cell r="G43" t="str">
            <v>HW002</v>
          </cell>
        </row>
        <row r="44">
          <cell r="D44" t="str">
            <v>69284-0K040-C0</v>
          </cell>
          <cell r="E44" t="str">
            <v>PLUG, DOOR INSIDE HANDLE BEZEL, LH</v>
          </cell>
          <cell r="F44">
            <v>5</v>
          </cell>
          <cell r="G44" t="str">
            <v>HT001</v>
          </cell>
        </row>
        <row r="45">
          <cell r="D45" t="str">
            <v>69283-0K060-C0</v>
          </cell>
          <cell r="E45" t="str">
            <v>PLUG, DOOR INSIDE HANDLE BEZEL, RH</v>
          </cell>
          <cell r="F45">
            <v>5</v>
          </cell>
          <cell r="G45" t="str">
            <v>HT001</v>
          </cell>
        </row>
        <row r="46">
          <cell r="D46" t="str">
            <v>53341-0K270</v>
          </cell>
          <cell r="E46" t="str">
            <v>INSULATOR, HOOD</v>
          </cell>
          <cell r="F46">
            <v>2</v>
          </cell>
          <cell r="G46" t="str">
            <v>HN1/HN4</v>
          </cell>
        </row>
        <row r="47">
          <cell r="D47" t="str">
            <v>69036-02040</v>
          </cell>
          <cell r="E47" t="str">
            <v>COVER SUB-ASSY, FR DOOR LOCK, LH</v>
          </cell>
          <cell r="F47">
            <v>170</v>
          </cell>
          <cell r="G47" t="str">
            <v>HN1-32</v>
          </cell>
        </row>
        <row r="48">
          <cell r="D48" t="str">
            <v>58000-KK902-A0</v>
          </cell>
          <cell r="E48" t="str">
            <v>Shell Assy Body(Door cushion)</v>
          </cell>
          <cell r="F48">
            <v>6</v>
          </cell>
          <cell r="G48" t="str">
            <v>HN2/3</v>
          </cell>
        </row>
        <row r="49">
          <cell r="D49" t="str">
            <v>74513-02020</v>
          </cell>
          <cell r="E49" t="str">
            <v>LABEL, IDENTIFICATION NUMBER INFORMATION(AHTKB8CB905494251)</v>
          </cell>
          <cell r="F49">
            <v>1</v>
          </cell>
          <cell r="G49" t="str">
            <v>HN004</v>
          </cell>
        </row>
        <row r="50">
          <cell r="D50" t="str">
            <v>45024-0K070 C0</v>
          </cell>
          <cell r="E50" t="str">
            <v>COVER SUB-ASSY, STEERING COLUMN, LWR</v>
          </cell>
          <cell r="F50">
            <v>15</v>
          </cell>
          <cell r="G50" t="str">
            <v>JE1/JG1/JD1</v>
          </cell>
        </row>
        <row r="51">
          <cell r="D51" t="str">
            <v>73200-0D051 B2</v>
          </cell>
          <cell r="E51" t="str">
            <v>ADJUSTERASSY,FRSHOULDERBELTANCHOR</v>
          </cell>
          <cell r="F51">
            <v>4</v>
          </cell>
          <cell r="G51" t="str">
            <v>HV001</v>
          </cell>
        </row>
        <row r="52">
          <cell r="D52" t="str">
            <v>55539-33170-C1</v>
          </cell>
          <cell r="E52" t="str">
            <v>COVER, SPARE SWITCH HOLE</v>
          </cell>
          <cell r="F52">
            <v>2</v>
          </cell>
          <cell r="G52" t="str">
            <v>BZ0035</v>
          </cell>
        </row>
        <row r="53">
          <cell r="D53" t="str">
            <v>53630-60300</v>
          </cell>
          <cell r="E53" t="str">
            <v>CABLE ASSY, HOOD LOCK CONTROL</v>
          </cell>
          <cell r="F53">
            <v>1</v>
          </cell>
          <cell r="G53" t="str">
            <v>BZ0042</v>
          </cell>
        </row>
        <row r="54">
          <cell r="D54" t="str">
            <v>45220-60310</v>
          </cell>
          <cell r="E54" t="str">
            <v>SHAFT ASSY, STEERING INTERMEDIATE</v>
          </cell>
          <cell r="F54">
            <v>4</v>
          </cell>
          <cell r="G54" t="str">
            <v>BZ0046</v>
          </cell>
        </row>
        <row r="55">
          <cell r="D55" t="str">
            <v>37110-6A260</v>
          </cell>
          <cell r="E55" t="str">
            <v>SHAFT ASSY, PROPELLER, RR</v>
          </cell>
          <cell r="F55">
            <v>1</v>
          </cell>
          <cell r="G55" t="str">
            <v>BZ30</v>
          </cell>
        </row>
        <row r="56">
          <cell r="D56" t="str">
            <v>90467-T0004 B0</v>
          </cell>
          <cell r="E56" t="str">
            <v>CLIP (B0)</v>
          </cell>
          <cell r="F56">
            <v>70</v>
          </cell>
          <cell r="G56" t="str">
            <v>JE1/JG1/JD1/HT1/HW1/HV1/HW1</v>
          </cell>
        </row>
        <row r="57">
          <cell r="D57" t="str">
            <v>86160-0K500</v>
          </cell>
          <cell r="E57" t="str">
            <v>SPEAKER ASSY, RADIO</v>
          </cell>
          <cell r="F57">
            <v>35</v>
          </cell>
          <cell r="G57" t="str">
            <v>JE1/JG1/JD1/HT1/HW1/HV1/HW1</v>
          </cell>
        </row>
        <row r="58">
          <cell r="D58" t="str">
            <v>90467-05171</v>
          </cell>
          <cell r="E58" t="str">
            <v>CLIP</v>
          </cell>
          <cell r="F58">
            <v>245</v>
          </cell>
          <cell r="G58" t="str">
            <v>JE1/JG1/JD1/HT1/HW1/HV1/HW2</v>
          </cell>
        </row>
        <row r="59">
          <cell r="D59" t="str">
            <v>45020-0K120</v>
          </cell>
          <cell r="E59" t="str">
            <v>BRACKET ASSY, STRG COLUMN UPR W/SWITCH</v>
          </cell>
          <cell r="F59">
            <v>6</v>
          </cell>
          <cell r="G59" t="str">
            <v>JG001</v>
          </cell>
        </row>
        <row r="60">
          <cell r="D60" t="str">
            <v>69202-0K070</v>
          </cell>
          <cell r="E60" t="str">
            <v>FRAME SUB-ASSY, FR DOOR OUTS HANDLE, LH</v>
          </cell>
          <cell r="F60">
            <v>15</v>
          </cell>
          <cell r="G60" t="str">
            <v>JD01/JE01/JG01</v>
          </cell>
        </row>
        <row r="61">
          <cell r="D61" t="str">
            <v>90119-T0141</v>
          </cell>
          <cell r="E61" t="str">
            <v>BOLT, W/WASHER</v>
          </cell>
          <cell r="F61">
            <v>30</v>
          </cell>
          <cell r="G61" t="str">
            <v>JD01/JE01/JG01</v>
          </cell>
        </row>
        <row r="62">
          <cell r="D62" t="str">
            <v>90171-T0001</v>
          </cell>
          <cell r="E62" t="str">
            <v>NUT, CASTLE</v>
          </cell>
          <cell r="F62">
            <v>15</v>
          </cell>
          <cell r="G62" t="str">
            <v>JD01/JE01/JG01</v>
          </cell>
        </row>
        <row r="63">
          <cell r="D63" t="str">
            <v>90468-16029</v>
          </cell>
          <cell r="E63" t="str">
            <v>CLIP</v>
          </cell>
          <cell r="F63">
            <v>15</v>
          </cell>
          <cell r="G63" t="str">
            <v>JD01/JE01/JG01</v>
          </cell>
        </row>
        <row r="64">
          <cell r="D64" t="str">
            <v>90105-11053</v>
          </cell>
          <cell r="E64" t="str">
            <v>BOLT, FLANGE</v>
          </cell>
          <cell r="F64">
            <v>1</v>
          </cell>
          <cell r="G64" t="str">
            <v>BZ002</v>
          </cell>
        </row>
        <row r="65">
          <cell r="D65" t="str">
            <v>88460-60640</v>
          </cell>
          <cell r="E65" t="str">
            <v>CONDENSER ASSY</v>
          </cell>
          <cell r="F65">
            <v>1</v>
          </cell>
          <cell r="G65" t="str">
            <v>BZ019</v>
          </cell>
        </row>
        <row r="66">
          <cell r="D66" t="str">
            <v>53737-60140</v>
          </cell>
          <cell r="E66" t="str">
            <v>SEAL, FR FENDER APRON, LH</v>
          </cell>
          <cell r="F66">
            <v>10</v>
          </cell>
          <cell r="G66" t="str">
            <v>BZ21/BZ22</v>
          </cell>
        </row>
        <row r="67">
          <cell r="D67" t="str">
            <v>44740-60270</v>
          </cell>
          <cell r="E67" t="str">
            <v>RESERVOIR ASSY, VACUUM</v>
          </cell>
          <cell r="F67">
            <v>1</v>
          </cell>
          <cell r="G67" t="str">
            <v>BZ22</v>
          </cell>
        </row>
        <row r="68">
          <cell r="D68" t="str">
            <v>53301-60909</v>
          </cell>
          <cell r="E68" t="str">
            <v>HOOD SUB-ASSY, W/ED</v>
          </cell>
          <cell r="F68">
            <v>1</v>
          </cell>
          <cell r="G68" t="str">
            <v>BZ001</v>
          </cell>
        </row>
        <row r="69">
          <cell r="D69" t="str">
            <v>53911-60902</v>
          </cell>
          <cell r="E69" t="str">
            <v>PANEL FR VALANCE W/ED</v>
          </cell>
          <cell r="F69">
            <v>1</v>
          </cell>
          <cell r="G69" t="str">
            <v>BZ001</v>
          </cell>
        </row>
        <row r="70">
          <cell r="D70" t="str">
            <v>90117-14072</v>
          </cell>
          <cell r="E70" t="str">
            <v>BOLT, U</v>
          </cell>
          <cell r="F70">
            <v>4</v>
          </cell>
          <cell r="G70" t="str">
            <v>BZ001</v>
          </cell>
        </row>
        <row r="71">
          <cell r="D71" t="str">
            <v>11285-51010</v>
          </cell>
          <cell r="E71" t="str">
            <v>LABEL, COOLANT SYSTEM NOTICE</v>
          </cell>
          <cell r="F71">
            <v>1</v>
          </cell>
          <cell r="G71" t="str">
            <v>BZ001</v>
          </cell>
        </row>
        <row r="72">
          <cell r="D72" t="str">
            <v>45466-36020</v>
          </cell>
          <cell r="E72" t="str">
            <v>CLAMP, STEERING RELAY ROD END</v>
          </cell>
          <cell r="F72">
            <v>1</v>
          </cell>
          <cell r="G72" t="str">
            <v>BZ001</v>
          </cell>
        </row>
        <row r="73">
          <cell r="D73" t="str">
            <v>90182-10006</v>
          </cell>
          <cell r="E73" t="str">
            <v>NUT, W/WASHER</v>
          </cell>
          <cell r="F73">
            <v>1</v>
          </cell>
          <cell r="G73" t="str">
            <v>BZ031</v>
          </cell>
        </row>
        <row r="74">
          <cell r="D74" t="str">
            <v>74559-89101</v>
          </cell>
          <cell r="E74" t="str">
            <v>PLATE, FUEL CAUTION</v>
          </cell>
          <cell r="F74">
            <v>5</v>
          </cell>
          <cell r="G74" t="str">
            <v>BZ031</v>
          </cell>
        </row>
        <row r="75">
          <cell r="D75" t="str">
            <v>47320-60071</v>
          </cell>
          <cell r="E75" t="str">
            <v>TUBE ASSY, RR BRAKE, NO.1</v>
          </cell>
          <cell r="F75">
            <v>1</v>
          </cell>
          <cell r="G75" t="str">
            <v>BZ031</v>
          </cell>
        </row>
        <row r="76">
          <cell r="D76" t="str">
            <v>58510-60S82-B0</v>
          </cell>
          <cell r="E76" t="str">
            <v>MAT ASSY, FLOOR, FR</v>
          </cell>
          <cell r="F76">
            <v>1</v>
          </cell>
          <cell r="G76" t="str">
            <v>BZ031</v>
          </cell>
        </row>
        <row r="77">
          <cell r="D77" t="str">
            <v>56101-60332</v>
          </cell>
          <cell r="E77" t="str">
            <v>GLASS SUB-ASSY, WINDSHIELD</v>
          </cell>
          <cell r="F77">
            <v>1</v>
          </cell>
          <cell r="G77" t="str">
            <v>BZ031</v>
          </cell>
        </row>
        <row r="78">
          <cell r="D78" t="str">
            <v>56121-60140</v>
          </cell>
          <cell r="E78" t="str">
            <v>WEATHERSTRIP, WINDSHIELD</v>
          </cell>
          <cell r="F78">
            <v>1</v>
          </cell>
          <cell r="G78" t="str">
            <v>BZ031</v>
          </cell>
        </row>
        <row r="79">
          <cell r="D79" t="str">
            <v>89516-60530</v>
          </cell>
          <cell r="E79" t="str">
            <v>WIRE, SKID CONTROL SENSOR</v>
          </cell>
          <cell r="F79">
            <v>1</v>
          </cell>
          <cell r="G79" t="str">
            <v>BZ031</v>
          </cell>
        </row>
        <row r="80">
          <cell r="D80" t="str">
            <v>42600-60E60</v>
          </cell>
          <cell r="E80" t="str">
            <v>WHEEL ASSY</v>
          </cell>
          <cell r="F80">
            <v>2</v>
          </cell>
          <cell r="G80" t="str">
            <v>BZ031</v>
          </cell>
        </row>
        <row r="81">
          <cell r="D81" t="str">
            <v>17943-51020</v>
          </cell>
          <cell r="E81" t="str">
            <v>PROTECTOR, INTERCOOLER</v>
          </cell>
          <cell r="F81">
            <v>1</v>
          </cell>
          <cell r="G81" t="str">
            <v>BZ031</v>
          </cell>
        </row>
        <row r="82">
          <cell r="D82" t="str">
            <v>17700-51032</v>
          </cell>
          <cell r="E82" t="str">
            <v>CLEANER ASSY, AIR W/ELEMENT</v>
          </cell>
          <cell r="F82">
            <v>1</v>
          </cell>
          <cell r="G82" t="str">
            <v>BZ031</v>
          </cell>
        </row>
        <row r="83">
          <cell r="D83" t="str">
            <v>52205-60040</v>
          </cell>
          <cell r="E83" t="str">
            <v>CUSHION SUB-ASSY, CAB MOUNTING, NO.3 UPR</v>
          </cell>
          <cell r="F83">
            <v>1</v>
          </cell>
          <cell r="G83" t="str">
            <v>BZ031</v>
          </cell>
        </row>
        <row r="84">
          <cell r="D84" t="str">
            <v>46110-26591</v>
          </cell>
          <cell r="E84" t="str">
            <v xml:space="preserve">HANDLE ASSY, PARKING BRAKE CONTROL      </v>
          </cell>
          <cell r="F84">
            <v>1</v>
          </cell>
          <cell r="G84" t="str">
            <v>GH448</v>
          </cell>
        </row>
        <row r="85">
          <cell r="D85" t="str">
            <v>17940-30051</v>
          </cell>
          <cell r="E85" t="str">
            <v xml:space="preserve">INTERCOOLER ASSY                        </v>
          </cell>
          <cell r="F85">
            <v>1</v>
          </cell>
          <cell r="G85" t="str">
            <v>GH597</v>
          </cell>
        </row>
        <row r="86">
          <cell r="D86" t="str">
            <v>31470-60201</v>
          </cell>
          <cell r="E86" t="str">
            <v>CYLINDER ASSY, CLUTCH RELEASE</v>
          </cell>
          <cell r="F86">
            <v>1</v>
          </cell>
          <cell r="G86" t="str">
            <v>GH597</v>
          </cell>
        </row>
        <row r="87">
          <cell r="D87" t="str">
            <v>42600-26C12</v>
          </cell>
          <cell r="E87" t="str">
            <v xml:space="preserve"> WHEEL ASSEMBLY</v>
          </cell>
          <cell r="F87">
            <v>1</v>
          </cell>
          <cell r="G87" t="str">
            <v>GH597</v>
          </cell>
        </row>
        <row r="88">
          <cell r="D88" t="str">
            <v>11285-75011</v>
          </cell>
          <cell r="E88" t="str">
            <v>LABEL, COOLANT SYSTEM INFORMATION</v>
          </cell>
          <cell r="F88">
            <v>2</v>
          </cell>
          <cell r="G88" t="str">
            <v>GH502</v>
          </cell>
        </row>
        <row r="89">
          <cell r="D89" t="str">
            <v>56100-26111</v>
          </cell>
          <cell r="E89" t="str">
            <v xml:space="preserve">GLASS ASSY, WINDSHIELD                  </v>
          </cell>
          <cell r="F89">
            <v>1</v>
          </cell>
          <cell r="G89" t="str">
            <v>GH698</v>
          </cell>
        </row>
        <row r="90">
          <cell r="D90" t="str">
            <v>63343-26110</v>
          </cell>
          <cell r="E90" t="str">
            <v xml:space="preserve">PAD, ROOF SILENCER, NO.3                </v>
          </cell>
          <cell r="F90">
            <v>1</v>
          </cell>
          <cell r="G90" t="str">
            <v>GH682</v>
          </cell>
        </row>
        <row r="91">
          <cell r="D91" t="str">
            <v>74611-20030</v>
          </cell>
          <cell r="E91" t="str">
            <v xml:space="preserve">GRIP, ASSIST         </v>
          </cell>
          <cell r="F91">
            <v>1</v>
          </cell>
          <cell r="G91" t="str">
            <v>GH502</v>
          </cell>
        </row>
        <row r="92">
          <cell r="D92" t="str">
            <v>53866-26011</v>
          </cell>
          <cell r="E92" t="str">
            <v xml:space="preserve">SEAL, FR FENDER TO COWL SIDE, RH  </v>
          </cell>
          <cell r="F92">
            <v>1</v>
          </cell>
          <cell r="G92" t="str">
            <v>GH502</v>
          </cell>
        </row>
        <row r="93">
          <cell r="D93" t="str">
            <v>53867-26011</v>
          </cell>
          <cell r="E93" t="str">
            <v xml:space="preserve">SEAL, FR FENDER TO COWL SIDE, LH     </v>
          </cell>
          <cell r="F93">
            <v>1</v>
          </cell>
          <cell r="G93" t="str">
            <v>GH502</v>
          </cell>
        </row>
        <row r="94">
          <cell r="D94" t="str">
            <v>75776-26010</v>
          </cell>
          <cell r="E94" t="str">
            <v>COVER, HOOD FR MOULDING END, LH</v>
          </cell>
          <cell r="F94">
            <v>1</v>
          </cell>
          <cell r="G94" t="str">
            <v>GH502</v>
          </cell>
        </row>
        <row r="95">
          <cell r="D95" t="str">
            <v>75775-26010</v>
          </cell>
          <cell r="E95" t="str">
            <v xml:space="preserve">COVER, HOOD FR MOULDING END, RH    </v>
          </cell>
          <cell r="F95">
            <v>1</v>
          </cell>
          <cell r="G95" t="str">
            <v>GH502</v>
          </cell>
        </row>
        <row r="96">
          <cell r="D96" t="str">
            <v>74615-26010</v>
          </cell>
          <cell r="E96" t="str">
            <v xml:space="preserve">PLUG, FR ASSIST GRIP, NO.1 RH  </v>
          </cell>
          <cell r="F96">
            <v>4</v>
          </cell>
          <cell r="G96" t="str">
            <v>GH502</v>
          </cell>
        </row>
        <row r="97">
          <cell r="D97" t="str">
            <v>53450-26010</v>
          </cell>
          <cell r="E97" t="str">
            <v xml:space="preserve">SUPPORT ASSY, HOOD, LH  </v>
          </cell>
          <cell r="F97">
            <v>1</v>
          </cell>
          <cell r="G97" t="str">
            <v>GH503</v>
          </cell>
        </row>
        <row r="98">
          <cell r="D98" t="str">
            <v>47310-26260</v>
          </cell>
          <cell r="E98" t="str">
            <v xml:space="preserve">TUBE ASSY, BRAKE, NO.1   </v>
          </cell>
          <cell r="F98">
            <v>1</v>
          </cell>
          <cell r="G98" t="str">
            <v>GH502</v>
          </cell>
        </row>
        <row r="99">
          <cell r="D99" t="str">
            <v>31481-26390</v>
          </cell>
          <cell r="E99" t="str">
            <v xml:space="preserve">TUBE, MASTER CYLINDER TO TUBE CONNECTOR </v>
          </cell>
          <cell r="F99">
            <v>1</v>
          </cell>
          <cell r="G99" t="str">
            <v>GH502</v>
          </cell>
        </row>
        <row r="100">
          <cell r="D100" t="str">
            <v>44750-26201</v>
          </cell>
          <cell r="E100" t="str">
            <v xml:space="preserve">HOSE ASSY, VACUUM   </v>
          </cell>
          <cell r="F100">
            <v>1</v>
          </cell>
          <cell r="G100" t="str">
            <v>GH502</v>
          </cell>
        </row>
        <row r="101">
          <cell r="D101" t="str">
            <v>11285-75011</v>
          </cell>
          <cell r="E101" t="str">
            <v>LABEL, COOLANT SYSTEM INFORMATION</v>
          </cell>
          <cell r="F101">
            <v>1</v>
          </cell>
          <cell r="G101" t="str">
            <v>GH502</v>
          </cell>
        </row>
        <row r="102">
          <cell r="D102" t="str">
            <v>88723-28240</v>
          </cell>
          <cell r="E102" t="str">
            <v>LABEL, COOLER SERVICE CAUTION</v>
          </cell>
          <cell r="F102">
            <v>1</v>
          </cell>
          <cell r="G102" t="str">
            <v>GH502</v>
          </cell>
        </row>
        <row r="103">
          <cell r="D103" t="str">
            <v>53510-26060</v>
          </cell>
          <cell r="E103" t="str">
            <v xml:space="preserve">LOCK ASSY, HOOD  </v>
          </cell>
          <cell r="F103">
            <v>1</v>
          </cell>
          <cell r="G103" t="str">
            <v>GH502</v>
          </cell>
        </row>
        <row r="104">
          <cell r="D104" t="str">
            <v>88710-2N071</v>
          </cell>
          <cell r="E104" t="str">
            <v xml:space="preserve">TUBE &amp; ACCESSORY ASSY, AIR CONDITIONER  </v>
          </cell>
          <cell r="F104">
            <v>1</v>
          </cell>
          <cell r="G104" t="str">
            <v>GH503</v>
          </cell>
        </row>
        <row r="105">
          <cell r="D105" t="str">
            <v>72249-26030</v>
          </cell>
          <cell r="E105" t="str">
            <v xml:space="preserve">GUIDE, SEAT TRACK LOCKING  </v>
          </cell>
          <cell r="F105">
            <v>1</v>
          </cell>
          <cell r="G105" t="str">
            <v>GH502</v>
          </cell>
        </row>
        <row r="106">
          <cell r="D106" t="str">
            <v>68101-26084</v>
          </cell>
          <cell r="E106" t="str">
            <v xml:space="preserve">GLASS SUB-ASSY, FR DOOR, RH  </v>
          </cell>
          <cell r="F106">
            <v>2</v>
          </cell>
          <cell r="G106" t="str">
            <v>GH502/542</v>
          </cell>
        </row>
        <row r="107">
          <cell r="D107" t="str">
            <v>58840-26050</v>
          </cell>
          <cell r="E107" t="str">
            <v xml:space="preserve">COVER ASSY, SHIFTING HOLE  </v>
          </cell>
          <cell r="F107">
            <v>1</v>
          </cell>
          <cell r="G107" t="str">
            <v>GH521</v>
          </cell>
        </row>
        <row r="108">
          <cell r="D108" t="str">
            <v>90541-09028</v>
          </cell>
          <cell r="E108" t="str">
            <v xml:space="preserve">CUSHION </v>
          </cell>
          <cell r="F108">
            <v>1</v>
          </cell>
          <cell r="G108" t="str">
            <v>GH521</v>
          </cell>
        </row>
        <row r="109">
          <cell r="D109" t="str">
            <v>67751-26220</v>
          </cell>
          <cell r="E109" t="str">
            <v xml:space="preserve">BOARD, BACK DOOR TRIM </v>
          </cell>
          <cell r="F109">
            <v>1</v>
          </cell>
          <cell r="G109" t="str">
            <v>GH521</v>
          </cell>
        </row>
        <row r="110">
          <cell r="D110" t="str">
            <v>90480-14470</v>
          </cell>
          <cell r="E110" t="str">
            <v>GROMMET</v>
          </cell>
          <cell r="F110">
            <v>1</v>
          </cell>
          <cell r="G110" t="str">
            <v>GH521</v>
          </cell>
        </row>
        <row r="111">
          <cell r="D111" t="str">
            <v>75441-26281</v>
          </cell>
          <cell r="E111" t="str">
            <v xml:space="preserve">PLATE, BACK DOOR NAME, NO.1   </v>
          </cell>
          <cell r="F111">
            <v>10</v>
          </cell>
          <cell r="G111" t="str">
            <v>GH521</v>
          </cell>
        </row>
        <row r="112">
          <cell r="D112" t="str">
            <v>12268-30050</v>
          </cell>
          <cell r="E112" t="str">
            <v>HOSE, OIL RETURN</v>
          </cell>
          <cell r="F112">
            <v>1</v>
          </cell>
          <cell r="G112" t="str">
            <v>GH521</v>
          </cell>
        </row>
        <row r="113">
          <cell r="D113" t="str">
            <v>81570-26230</v>
          </cell>
          <cell r="E113" t="str">
            <v>LAMP ASSY, STOP CTR</v>
          </cell>
          <cell r="F113">
            <v>1</v>
          </cell>
          <cell r="G113" t="str">
            <v>GH541</v>
          </cell>
        </row>
        <row r="114">
          <cell r="D114" t="str">
            <v>42600-26C12</v>
          </cell>
          <cell r="E114" t="str">
            <v xml:space="preserve"> WHEEL ASSEMBLY</v>
          </cell>
          <cell r="F114">
            <v>2</v>
          </cell>
          <cell r="G114" t="str">
            <v>GH541/542</v>
          </cell>
        </row>
        <row r="115">
          <cell r="D115" t="str">
            <v>90947-02D90</v>
          </cell>
          <cell r="E115" t="str">
            <v xml:space="preserve">HOSE, FLEXIBLE              </v>
          </cell>
          <cell r="F115">
            <v>1</v>
          </cell>
          <cell r="G115" t="str">
            <v>GH541</v>
          </cell>
        </row>
        <row r="116">
          <cell r="D116" t="str">
            <v>62740-26B74</v>
          </cell>
          <cell r="E116" t="str">
            <v xml:space="preserve">WINDOW ASSY, SIDE, RR LH   </v>
          </cell>
          <cell r="F116">
            <v>1</v>
          </cell>
          <cell r="G116" t="str">
            <v>GH541</v>
          </cell>
        </row>
        <row r="117">
          <cell r="D117" t="str">
            <v>52119-26671</v>
          </cell>
          <cell r="E117" t="str">
            <v>COVER, FR BUMPER</v>
          </cell>
          <cell r="F117">
            <v>1</v>
          </cell>
          <cell r="G117" t="str">
            <v>GH541</v>
          </cell>
        </row>
        <row r="118">
          <cell r="D118" t="str">
            <v>53301-26090</v>
          </cell>
          <cell r="E118" t="str">
            <v>HOOD SUB-ASSY</v>
          </cell>
          <cell r="F118">
            <v>1</v>
          </cell>
          <cell r="G118" t="str">
            <v>GH541</v>
          </cell>
        </row>
        <row r="119">
          <cell r="D119" t="str">
            <v>53450-26010</v>
          </cell>
          <cell r="E119" t="str">
            <v xml:space="preserve">SUPPORT ASSY, HOOD, LH  </v>
          </cell>
          <cell r="F119">
            <v>2</v>
          </cell>
          <cell r="G119" t="str">
            <v>GH380/GH448</v>
          </cell>
        </row>
        <row r="120">
          <cell r="D120" t="str">
            <v>68102-26084</v>
          </cell>
          <cell r="E120" t="str">
            <v xml:space="preserve">GLASS SUB-ASSY, FR DOOR, LH  </v>
          </cell>
          <cell r="F120">
            <v>1</v>
          </cell>
          <cell r="G120" t="str">
            <v>GH487</v>
          </cell>
        </row>
        <row r="121">
          <cell r="D121" t="str">
            <v>53630-26062</v>
          </cell>
          <cell r="E121" t="str">
            <v xml:space="preserve">CABLE ASSY, HOOD LOCK CONTROL      </v>
          </cell>
          <cell r="F121">
            <v>1</v>
          </cell>
          <cell r="G121" t="str">
            <v>GH389</v>
          </cell>
        </row>
        <row r="122">
          <cell r="D122" t="str">
            <v>58510-26G10-B0</v>
          </cell>
          <cell r="E122" t="str">
            <v xml:space="preserve">MAT ASSY, FLOOR, FR      </v>
          </cell>
          <cell r="F122">
            <v>1</v>
          </cell>
          <cell r="G122" t="str">
            <v>GH406</v>
          </cell>
        </row>
        <row r="123">
          <cell r="D123" t="str">
            <v>88710-2N071</v>
          </cell>
          <cell r="E123" t="str">
            <v xml:space="preserve">TUBE &amp; ACCESSORY ASSY, AIR CONDITIONER  </v>
          </cell>
          <cell r="F123">
            <v>1</v>
          </cell>
          <cell r="G123" t="str">
            <v>GH457</v>
          </cell>
        </row>
        <row r="124">
          <cell r="D124" t="str">
            <v>58840-26050</v>
          </cell>
          <cell r="E124" t="str">
            <v xml:space="preserve">COVER ASSY, SHIFTING HOLE  </v>
          </cell>
          <cell r="F124">
            <v>1</v>
          </cell>
          <cell r="G124" t="str">
            <v>GH521</v>
          </cell>
        </row>
        <row r="125">
          <cell r="D125" t="str">
            <v>90541-09028</v>
          </cell>
          <cell r="E125" t="str">
            <v xml:space="preserve">CUSHION </v>
          </cell>
          <cell r="F125">
            <v>1</v>
          </cell>
          <cell r="G125" t="str">
            <v>GH521</v>
          </cell>
        </row>
        <row r="126">
          <cell r="D126" t="str">
            <v>46110-26591</v>
          </cell>
          <cell r="E126" t="str">
            <v xml:space="preserve">HANDLE ASSY, PARKING BRAKE CONTROL      </v>
          </cell>
          <cell r="F126">
            <v>1</v>
          </cell>
          <cell r="G126" t="str">
            <v>GH448</v>
          </cell>
        </row>
        <row r="127">
          <cell r="D127" t="str">
            <v>16400-30163</v>
          </cell>
          <cell r="E127" t="str">
            <v xml:space="preserve">RADIATOR ASSY   </v>
          </cell>
          <cell r="F127">
            <v>1</v>
          </cell>
          <cell r="G127" t="str">
            <v>GH547</v>
          </cell>
        </row>
        <row r="128">
          <cell r="D128" t="str">
            <v>74511-2B300</v>
          </cell>
          <cell r="E128" t="str">
            <v>LABEL,NAME(FRAME NO. JTFST22P906980550)</v>
          </cell>
          <cell r="F128">
            <v>1</v>
          </cell>
          <cell r="G128" t="str">
            <v>GH551</v>
          </cell>
        </row>
        <row r="129">
          <cell r="D129" t="str">
            <v>48531-26860</v>
          </cell>
          <cell r="E129" t="str">
            <v xml:space="preserve">ABSORBER, SHOCK, RR   </v>
          </cell>
          <cell r="F129">
            <v>2</v>
          </cell>
          <cell r="G129" t="str">
            <v>GH547</v>
          </cell>
        </row>
        <row r="130">
          <cell r="D130" t="str">
            <v>90460-67008</v>
          </cell>
          <cell r="E130" t="str">
            <v xml:space="preserve">CLAMP, HOSE   </v>
          </cell>
          <cell r="F130">
            <v>1</v>
          </cell>
          <cell r="G130" t="str">
            <v>GH565</v>
          </cell>
        </row>
        <row r="131">
          <cell r="D131" t="str">
            <v>62205-26013</v>
          </cell>
          <cell r="E131" t="str">
            <v xml:space="preserve">GLASS SUB-ASSY, RR SIDE WINDOW, FR RH     </v>
          </cell>
          <cell r="F131">
            <v>1</v>
          </cell>
          <cell r="G131" t="str">
            <v>GH541</v>
          </cell>
        </row>
        <row r="132">
          <cell r="D132" t="str">
            <v>91554-C1025</v>
          </cell>
          <cell r="E132" t="str">
            <v xml:space="preserve">BOLT, FLANGE                     </v>
          </cell>
          <cell r="F132">
            <v>10</v>
          </cell>
          <cell r="G132" t="str">
            <v>GH567</v>
          </cell>
        </row>
        <row r="133">
          <cell r="D133" t="str">
            <v>90119-06A06</v>
          </cell>
          <cell r="E133" t="str">
            <v xml:space="preserve">BOLT, W/WASHER    </v>
          </cell>
          <cell r="F133">
            <v>1</v>
          </cell>
          <cell r="G133" t="str">
            <v>GH560</v>
          </cell>
        </row>
        <row r="134">
          <cell r="D134" t="str">
            <v>90159-60303</v>
          </cell>
          <cell r="E134" t="str">
            <v xml:space="preserve">SCREW, W/WASHER TAPPING    </v>
          </cell>
          <cell r="F134">
            <v>4</v>
          </cell>
          <cell r="G134" t="str">
            <v>GH560</v>
          </cell>
        </row>
        <row r="135">
          <cell r="D135" t="str">
            <v>90159-60602</v>
          </cell>
          <cell r="E135" t="str">
            <v xml:space="preserve">SCREW, W/WASHER TAPPING    </v>
          </cell>
          <cell r="F135">
            <v>6</v>
          </cell>
          <cell r="G135" t="str">
            <v>GH560</v>
          </cell>
        </row>
        <row r="136">
          <cell r="D136" t="str">
            <v>12268-30050</v>
          </cell>
          <cell r="E136" t="str">
            <v xml:space="preserve">HOSE, OIL RETURN                     </v>
          </cell>
          <cell r="F136">
            <v>1</v>
          </cell>
          <cell r="G136" t="str">
            <v>GH572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k Bett" id="{80033A28-68BB-4AC4-8505-70043702E4AE}" userId="mark.bett@ava.co.ke" providerId="PeoplePicker"/>
  <person displayName="Vophsy Orwa" id="{81BDA6EE-16ED-450B-92B2-C2E0EA4627F4}" userId="vophsy.orwa@ava.co.ke" providerId="PeoplePicker"/>
  <person displayName="Winnie Ikaal" id="{008AC245-5A16-4CA2-A909-BADFD84A79BB}" userId="winnie.ikaal@ava.co.ke" providerId="PeoplePicker"/>
  <person displayName="Rehema Karisa" id="{8532D449-EA1E-434C-B8CB-CA80A0426502}" userId="rehema.karisa@ava.co.ke" providerId="PeoplePicker"/>
  <person displayName="wycliffe.mbandu@portal.ava.co.ke" id="{0960FABE-D151-4A56-9682-5F3515A0ADC4}" userId="S::urn:spo:guest#wycliffe.mbandu@portal.ava.co.ke::" providerId="AD"/>
  <person displayName="Vophsy Orwa" id="{EF623578-8B63-4330-BF62-5D33F51C6F80}" userId="S::vophsy.orwa@ava.co.ke::4446864c-b93a-4006-8c7d-6f46e63c769c" providerId="AD"/>
  <person displayName="Rodgers Oloo" id="{F9216CC4-0A39-4C39-B088-40F8A713BFE9}" userId="S::rodgers.oloo@ava.co.ke::09679cb2-e734-4dca-b9bf-978230c33aed" providerId="AD"/>
  <person displayName="Winnie Ikaal" id="{45246D79-7345-43B2-BE6B-84E71F189135}" userId="S::winnie.ikaal@ava.co.ke::e353077b-20e9-40c1-a1f5-cd6f44a3876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3-11-09T04:56:21.30" personId="{F9216CC4-0A39-4C39-B088-40F8A713BFE9}" id="{312AA89D-71C5-4344-86A6-49CC3F33B7CE}">
    <text>@Winnie Ikaal note that the part number indicated earlier had a typo error which i have corrected</text>
    <mentions>
      <mention mentionpersonId="{008AC245-5A16-4CA2-A909-BADFD84A79BB}" mentionId="{E1F4FDA9-9F8B-483C-949F-31E704DB7FF3}" startIndex="0" length="13"/>
    </mentions>
  </threadedComment>
  <threadedComment ref="F19" dT="2023-11-09T13:05:39.67" personId="{45246D79-7345-43B2-BE6B-84E71F189135}" id="{D40D792B-313F-4C25-9167-585746D1E670}" parentId="{312AA89D-71C5-4344-86A6-49CC3F33B7CE}">
    <text>Thank you</text>
  </threadedComment>
  <threadedComment ref="F246" dT="2023-11-10T05:57:21.63" personId="{F9216CC4-0A39-4C39-B088-40F8A713BFE9}" id="{B3968815-DD8B-4E07-923B-A8B6E42CE073}">
    <text>@Winnie Ikaal this part number isn't in the packing list. However, I understand the issue. It's a bracket that should come pre-fitted in the cabin. AL will confirm the correct part number.</text>
    <mentions>
      <mention mentionpersonId="{008AC245-5A16-4CA2-A909-BADFD84A79BB}" mentionId="{B22A9CFA-0D41-4B9D-939B-DD41AEB8079A}" startIndex="0" length="13"/>
    </mentions>
  </threadedComment>
  <threadedComment ref="F247" dT="2023-11-10T05:58:06.19" personId="{F9216CC4-0A39-4C39-B088-40F8A713BFE9}" id="{008B13EB-ECE9-434B-94EB-3AAAC054FEC9}">
    <text>@Winnie Ikaal same to this one. AL will confirm from observation list.</text>
    <mentions>
      <mention mentionpersonId="{008AC245-5A16-4CA2-A909-BADFD84A79BB}" mentionId="{9AD79A49-0C95-4DD6-A93B-CD2D2F2D3F60}" startIndex="0" length="13"/>
    </mentions>
  </threadedComment>
  <threadedComment ref="G860" dT="2024-01-06T17:25:00.46" personId="{EF623578-8B63-4330-BF62-5D33F51C6F80}" id="{41E49D85-7551-4368-8210-154299510F7C}">
    <text>Hello @Winnie, remember to add the 2 more ECUs</text>
  </threadedComment>
  <threadedComment ref="C888" dT="2024-02-10T14:40:59.69" personId="{EF623578-8B63-4330-BF62-5D33F51C6F80}" id="{F3DB5D9D-5616-488B-B1CB-CBE91CFEDB64}">
    <text>KEB0011/23 claims info. missing</text>
  </threadedComment>
  <threadedComment ref="H898" dT="2023-11-09T09:09:39.32" personId="{F9216CC4-0A39-4C39-B088-40F8A713BFE9}" id="{CABF9BA4-7827-4CC1-A39D-8C8D08156333}">
    <text>@Winnie Ikaal kindly note that I have adjusted the quantities of this item to match @Vophsy Orwa 's report (From 1pc to 32 pcs)</text>
    <mentions>
      <mention mentionpersonId="{008AC245-5A16-4CA2-A909-BADFD84A79BB}" mentionId="{907866A5-4F81-429B-9E07-DEC2A18F5FC0}" startIndex="0" length="13"/>
      <mention mentionpersonId="{81BDA6EE-16ED-450B-92B2-C2E0EA4627F4}" mentionId="{6F3F526E-AC42-44F4-AC3F-4E19189911B5}" startIndex="84" length="12"/>
    </mentions>
  </threadedComment>
  <threadedComment ref="F1177" dT="2024-05-07T09:59:29.67" personId="{F9216CC4-0A39-4C39-B088-40F8A713BFE9}" id="{15CD77EC-0D4E-4B3B-8A08-3C8570BB0838}">
    <text>@Winnie Ikaal kindly follow up on this item</text>
    <mentions>
      <mention mentionpersonId="{008AC245-5A16-4CA2-A909-BADFD84A79BB}" mentionId="{2102F66F-C188-4F32-AEC7-639D5A6A5D8B}" startIndex="0" length="13"/>
    </mentions>
  </threadedComment>
  <threadedComment ref="A1254" dT="2024-04-12T02:03:50.90" personId="{F9216CC4-0A39-4C39-B088-40F8A713BFE9}" id="{8128A150-3A99-4469-A52C-ED64366EC4D5}">
    <text>@Rehema Karisa &amp; @Winnie Ikaal  not filed</text>
    <mentions>
      <mention mentionpersonId="{8532D449-EA1E-434C-B8CB-CA80A0426502}" mentionId="{45A7BF04-8203-42EA-A11F-8048A8F6C562}" startIndex="0" length="14"/>
      <mention mentionpersonId="{008AC245-5A16-4CA2-A909-BADFD84A79BB}" mentionId="{F067AE70-38BB-4B03-AA82-6FFE0AEF5C5C}" startIndex="17" length="13"/>
    </mentions>
  </threadedComment>
  <threadedComment ref="A1255" dT="2024-04-12T02:07:43.16" personId="{F9216CC4-0A39-4C39-B088-40F8A713BFE9}" id="{00E26E91-AA15-4391-85EA-455F09F8966A}">
    <text>@Rehema Karisa &amp; @Winnie Ikaal  not filed</text>
    <mentions>
      <mention mentionpersonId="{8532D449-EA1E-434C-B8CB-CA80A0426502}" mentionId="{AE9EB605-74B3-481A-87D5-0EAA4B195CB9}" startIndex="0" length="14"/>
      <mention mentionpersonId="{008AC245-5A16-4CA2-A909-BADFD84A79BB}" mentionId="{13800EAB-E403-4CED-935F-0D0DE96EB79C}" startIndex="17" length="13"/>
    </mentions>
  </threadedComment>
  <threadedComment ref="A1256" dT="2024-04-12T02:10:40.59" personId="{F9216CC4-0A39-4C39-B088-40F8A713BFE9}" id="{BD6D63E5-6C91-4F23-9C9A-B202320ADA0D}">
    <text>@Rehema Karisa &amp; @Winnie Ikaal  not filed</text>
    <mentions>
      <mention mentionpersonId="{8532D449-EA1E-434C-B8CB-CA80A0426502}" mentionId="{F07D100E-07AE-4D4F-B5CD-1057F79A2F28}" startIndex="0" length="14"/>
      <mention mentionpersonId="{008AC245-5A16-4CA2-A909-BADFD84A79BB}" mentionId="{C9E4C3EC-671A-4155-B41B-F02700A72BAE}" startIndex="17" length="13"/>
    </mentions>
  </threadedComment>
  <threadedComment ref="A1257" dT="2024-04-12T02:11:14.99" personId="{F9216CC4-0A39-4C39-B088-40F8A713BFE9}" id="{A117E5DA-40EB-4682-A7C0-65312A6F5B0F}">
    <text>@Rehema Karisa &amp; @Winnie Ikaal  not filed</text>
    <mentions>
      <mention mentionpersonId="{8532D449-EA1E-434C-B8CB-CA80A0426502}" mentionId="{AE32779A-8137-4808-B2F1-21CE4D6407CE}" startIndex="0" length="14"/>
      <mention mentionpersonId="{008AC245-5A16-4CA2-A909-BADFD84A79BB}" mentionId="{4F4D99BF-54E0-4CD6-B46C-3F4455D192B5}" startIndex="17" length="13"/>
    </mentions>
  </threadedComment>
  <threadedComment ref="A1258" dT="2024-04-12T02:14:38.67" personId="{F9216CC4-0A39-4C39-B088-40F8A713BFE9}" id="{59BD4DBB-56FA-47F9-A148-CF8F1B07EBA6}">
    <text>@Rehema Karisa &amp; @Winnie Ikaal  not filed</text>
    <mentions>
      <mention mentionpersonId="{8532D449-EA1E-434C-B8CB-CA80A0426502}" mentionId="{C01892C4-4520-41AA-AC85-80B60524A311}" startIndex="0" length="14"/>
      <mention mentionpersonId="{008AC245-5A16-4CA2-A909-BADFD84A79BB}" mentionId="{93BE933F-C147-45FD-91E5-9C017C615F25}" startIndex="17" length="13"/>
    </mentions>
  </threadedComment>
  <threadedComment ref="A1259" dT="2024-04-12T02:16:07.40" personId="{F9216CC4-0A39-4C39-B088-40F8A713BFE9}" id="{6DAE788E-D56E-48C8-8086-D5A9BAAB5A07}">
    <text>@Rehema Karisa &amp; @Winnie Ikaal not filed</text>
    <mentions>
      <mention mentionpersonId="{8532D449-EA1E-434C-B8CB-CA80A0426502}" mentionId="{C9664893-F651-4E04-B380-3A42AB0D74FC}" startIndex="0" length="14"/>
      <mention mentionpersonId="{008AC245-5A16-4CA2-A909-BADFD84A79BB}" mentionId="{47E04FA0-65DA-4367-B1D0-08E56683C4D6}" startIndex="17" length="13"/>
    </mentions>
  </threadedComment>
  <threadedComment ref="A1260" dT="2024-04-12T02:16:07.40" personId="{F9216CC4-0A39-4C39-B088-40F8A713BFE9}" id="{201BF9E4-9CFC-4CFF-B536-FE58483B3CDC}">
    <text>@Rehema Karisa &amp; @Winnie Ikaal not filed</text>
    <mentions>
      <mention mentionpersonId="{8532D449-EA1E-434C-B8CB-CA80A0426502}" mentionId="{0A3E90D0-9A45-470F-AD63-A0C7B5210BD6}" startIndex="0" length="14"/>
      <mention mentionpersonId="{008AC245-5A16-4CA2-A909-BADFD84A79BB}" mentionId="{E423DDCF-60CD-48D8-B32C-38739E3C39F0}" startIndex="17" length="13"/>
    </mentions>
  </threadedComment>
  <threadedComment ref="A1261" dT="2024-04-12T02:24:51.99" personId="{F9216CC4-0A39-4C39-B088-40F8A713BFE9}" id="{A16F293C-56C2-4220-AC1E-1A302FFF517A}">
    <text>@Rehema Karisa &amp; @Winnie Ikaal  not filed</text>
    <mentions>
      <mention mentionpersonId="{8532D449-EA1E-434C-B8CB-CA80A0426502}" mentionId="{EA3A1958-CE58-4B84-86D6-50C054785872}" startIndex="0" length="14"/>
      <mention mentionpersonId="{008AC245-5A16-4CA2-A909-BADFD84A79BB}" mentionId="{A0773E4C-7C5B-4F24-9AA9-4D31E0E3FD2A}" startIndex="17" length="13"/>
    </mentions>
  </threadedComment>
  <threadedComment ref="G1295" dT="2024-05-13T07:42:39.49" personId="{F9216CC4-0A39-4C39-B088-40F8A713BFE9}" id="{83D6B1E7-F8F0-4342-8B24-EE1DA83FB3A4}">
    <text>@Winnie Ikaal @Rehema Karisa I don't believe this is accurate, (54 back glasss, 11 lh &amp; 21 rh) if im not mistaken. kindly clarify</text>
    <mentions>
      <mention mentionpersonId="{008AC245-5A16-4CA2-A909-BADFD84A79BB}" mentionId="{B893A79E-B152-497F-BB01-CE32A86BC701}" startIndex="0" length="13"/>
      <mention mentionpersonId="{8532D449-EA1E-434C-B8CB-CA80A0426502}" mentionId="{678CFD1F-5A53-4636-9C36-9EB8A96A958D}" startIndex="14" length="14"/>
    </mentions>
  </threadedComment>
  <threadedComment ref="F1397" dT="2024-09-09T07:15:55.75" personId="{0960FABE-D151-4A56-9682-5F3515A0ADC4}" id="{C863FBE4-3291-419C-80A6-4EC8C13634F1}">
    <text>kindly confirm part no</text>
  </threadedComment>
  <threadedComment ref="AB1654" dT="2024-09-14T16:45:12.27" personId="{F9216CC4-0A39-4C39-B088-40F8A713BFE9}" id="{FB3523CE-CE5F-4B87-BA59-B7424A2EA08B}">
    <text xml:space="preserve">@Rehema Karisa @Mark Bett The claims entered on 3rd of September were counted under August report </text>
    <mentions>
      <mention mentionpersonId="{8532D449-EA1E-434C-B8CB-CA80A0426502}" mentionId="{727CEDC5-EA51-41EC-B5EC-A483CCF0F588}" startIndex="0" length="14"/>
      <mention mentionpersonId="{80033A28-68BB-4AC4-8505-70043702E4AE}" mentionId="{A1FD76D7-437F-436E-BC4A-358D1ABF3170}" startIndex="15" length="10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79" dT="2024-08-07T07:40:22.78" personId="{F9216CC4-0A39-4C39-B088-40F8A713BFE9}" id="{34C69A30-E1EF-4FE6-8660-CE53A4648908}">
    <text>following up on this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201" dT="2024-07-22T09:27:34.32" personId="{EF623578-8B63-4330-BF62-5D33F51C6F80}" id="{9C4502A5-C908-4D0A-A975-A0A27AAE0099}">
    <text>Model is Ultra 1918 for the M14 Nuts</text>
  </threadedComment>
  <threadedComment ref="B2201" dT="2024-07-30T07:34:30.30" personId="{0960FABE-D151-4A56-9682-5F3515A0ADC4}" id="{3A1F9440-885E-4568-BA54-DA854A4CB52C}" parentId="{9C4502A5-C908-4D0A-A975-A0A27AAE0099}">
    <text>Noted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3E1E-F3D0-4697-9959-15EC73D25652}">
  <sheetPr>
    <pageSetUpPr fitToPage="1"/>
  </sheetPr>
  <dimension ref="A1:AX1907"/>
  <sheetViews>
    <sheetView tabSelected="1" zoomScale="85" zoomScaleNormal="85" workbookViewId="0">
      <pane ySplit="1" topLeftCell="A1754" activePane="bottomLeft" state="frozen"/>
      <selection pane="bottomLeft" activeCell="L1770" sqref="L1770"/>
    </sheetView>
  </sheetViews>
  <sheetFormatPr defaultColWidth="9.1796875" defaultRowHeight="12.75" customHeight="1" x14ac:dyDescent="0.25"/>
  <cols>
    <col min="1" max="1" width="5.7265625" style="429" customWidth="1"/>
    <col min="2" max="2" width="15.81640625" style="610" customWidth="1"/>
    <col min="3" max="3" width="8.81640625" style="429" customWidth="1"/>
    <col min="4" max="4" width="13.81640625" style="429" customWidth="1"/>
    <col min="5" max="5" width="19" style="429" customWidth="1"/>
    <col min="6" max="6" width="19" style="518" customWidth="1"/>
    <col min="7" max="7" width="31" style="451" customWidth="1"/>
    <col min="8" max="8" width="8.7265625" style="451" customWidth="1"/>
    <col min="9" max="9" width="12.81640625" style="451" customWidth="1"/>
    <col min="10" max="10" width="17.81640625" style="451" customWidth="1"/>
    <col min="11" max="12" width="10.1796875" style="429" customWidth="1"/>
    <col min="13" max="13" width="12.81640625" style="429" customWidth="1"/>
    <col min="14" max="15" width="13" style="539" customWidth="1"/>
    <col min="16" max="16" width="18" style="611" customWidth="1"/>
    <col min="17" max="18" width="15.453125" style="429" customWidth="1"/>
    <col min="19" max="19" width="18.453125" style="338" customWidth="1"/>
    <col min="20" max="20" width="19.54296875" style="338" customWidth="1"/>
    <col min="21" max="21" width="12.7265625" style="338" customWidth="1"/>
    <col min="22" max="22" width="10.7265625" style="338" customWidth="1"/>
    <col min="23" max="23" width="15.54296875" style="612" customWidth="1"/>
    <col min="24" max="24" width="15.54296875" style="338" customWidth="1"/>
    <col min="25" max="25" width="8.7265625" style="338" customWidth="1"/>
    <col min="26" max="26" width="15.1796875" style="338" customWidth="1"/>
    <col min="27" max="27" width="13.81640625" style="338" customWidth="1"/>
    <col min="28" max="28" width="28.1796875" style="338" customWidth="1"/>
    <col min="29" max="29" width="8.7265625" style="338" bestFit="1" customWidth="1"/>
    <col min="30" max="30" width="8.7265625" style="418" bestFit="1" customWidth="1"/>
    <col min="31" max="50" width="8.7265625" style="338" bestFit="1" customWidth="1"/>
    <col min="51" max="16384" width="9.1796875" style="338"/>
  </cols>
  <sheetData>
    <row r="1" spans="1:28" s="325" customFormat="1" ht="10.5" x14ac:dyDescent="0.25">
      <c r="A1" s="313"/>
      <c r="B1" s="314" t="s">
        <v>0</v>
      </c>
      <c r="C1" s="315" t="s">
        <v>1</v>
      </c>
      <c r="D1" s="315" t="s">
        <v>2</v>
      </c>
      <c r="E1" s="316" t="s">
        <v>3</v>
      </c>
      <c r="F1" s="317" t="s">
        <v>4</v>
      </c>
      <c r="G1" s="313" t="s">
        <v>5</v>
      </c>
      <c r="H1" s="313" t="s">
        <v>6</v>
      </c>
      <c r="I1" s="318" t="s">
        <v>7</v>
      </c>
      <c r="J1" s="319" t="s">
        <v>8</v>
      </c>
      <c r="K1" s="316" t="s">
        <v>9</v>
      </c>
      <c r="L1" s="320" t="s">
        <v>10</v>
      </c>
      <c r="M1" s="320" t="s">
        <v>11</v>
      </c>
      <c r="N1" s="321" t="s">
        <v>12</v>
      </c>
      <c r="O1" s="321" t="s">
        <v>13</v>
      </c>
      <c r="P1" s="322" t="s">
        <v>14</v>
      </c>
      <c r="Q1" s="313" t="s">
        <v>15</v>
      </c>
      <c r="R1" s="313" t="s">
        <v>16</v>
      </c>
      <c r="S1" s="323" t="s">
        <v>17</v>
      </c>
      <c r="T1" s="323" t="s">
        <v>18</v>
      </c>
      <c r="U1" s="323" t="s">
        <v>19</v>
      </c>
      <c r="V1" s="323" t="s">
        <v>20</v>
      </c>
      <c r="W1" s="324" t="s">
        <v>21</v>
      </c>
      <c r="X1" s="323" t="s">
        <v>6</v>
      </c>
      <c r="Y1" s="323" t="s">
        <v>22</v>
      </c>
      <c r="Z1" s="323" t="s">
        <v>23</v>
      </c>
      <c r="AA1" s="323" t="s">
        <v>24</v>
      </c>
      <c r="AB1" s="323" t="s">
        <v>25</v>
      </c>
    </row>
    <row r="2" spans="1:28" s="338" customFormat="1" ht="10.5" x14ac:dyDescent="0.25">
      <c r="A2" s="326">
        <v>1</v>
      </c>
      <c r="B2" s="327">
        <v>45121</v>
      </c>
      <c r="C2" s="328" t="s">
        <v>26</v>
      </c>
      <c r="D2" s="328" t="s">
        <v>27</v>
      </c>
      <c r="E2" s="329" t="s">
        <v>28</v>
      </c>
      <c r="F2" s="616">
        <v>2673171</v>
      </c>
      <c r="G2" s="329" t="s">
        <v>29</v>
      </c>
      <c r="H2" s="329">
        <v>36</v>
      </c>
      <c r="I2" s="329" t="s">
        <v>30</v>
      </c>
      <c r="J2" s="330" t="s">
        <v>31</v>
      </c>
      <c r="K2" s="331" t="s">
        <v>32</v>
      </c>
      <c r="L2" s="332"/>
      <c r="M2" s="333" t="s">
        <v>33</v>
      </c>
      <c r="N2" s="333"/>
      <c r="O2" s="333"/>
      <c r="P2" s="334">
        <v>45181</v>
      </c>
      <c r="Q2" s="335" t="s">
        <v>34</v>
      </c>
      <c r="R2" s="335"/>
      <c r="S2" s="336"/>
      <c r="T2" s="336"/>
      <c r="U2" s="336"/>
      <c r="V2" s="336"/>
      <c r="W2" s="337">
        <v>45306</v>
      </c>
      <c r="X2" s="336">
        <v>1</v>
      </c>
      <c r="Y2" s="336">
        <f t="shared" ref="Y2:Y65" ca="1" si="0">IF(P2="","",IF(W2="",TODAY()-P2,W2-P2))</f>
        <v>125</v>
      </c>
      <c r="Z2" s="336"/>
      <c r="AA2" s="336"/>
      <c r="AB2" s="336"/>
    </row>
    <row r="3" spans="1:28" s="338" customFormat="1" ht="10.5" x14ac:dyDescent="0.25">
      <c r="A3" s="339">
        <v>2</v>
      </c>
      <c r="B3" s="340">
        <v>45131</v>
      </c>
      <c r="C3" s="328" t="s">
        <v>35</v>
      </c>
      <c r="D3" s="328" t="s">
        <v>36</v>
      </c>
      <c r="E3" s="328" t="s">
        <v>33</v>
      </c>
      <c r="F3" s="617" t="s">
        <v>37</v>
      </c>
      <c r="G3" s="328" t="s">
        <v>38</v>
      </c>
      <c r="H3" s="328">
        <v>1</v>
      </c>
      <c r="I3" s="328" t="s">
        <v>39</v>
      </c>
      <c r="J3" s="335" t="s">
        <v>31</v>
      </c>
      <c r="K3" s="331" t="s">
        <v>32</v>
      </c>
      <c r="L3" s="332"/>
      <c r="M3" s="333" t="s">
        <v>33</v>
      </c>
      <c r="N3" s="333"/>
      <c r="O3" s="333"/>
      <c r="P3" s="334">
        <v>45181</v>
      </c>
      <c r="Q3" s="335"/>
      <c r="R3" s="335"/>
      <c r="S3" s="336"/>
      <c r="T3" s="336"/>
      <c r="U3" s="336"/>
      <c r="V3" s="336"/>
      <c r="W3" s="341">
        <v>45155</v>
      </c>
      <c r="X3" s="336">
        <v>1</v>
      </c>
      <c r="Y3" s="336">
        <f t="shared" ca="1" si="0"/>
        <v>-26</v>
      </c>
      <c r="Z3" s="336"/>
      <c r="AA3" s="336"/>
      <c r="AB3" s="336"/>
    </row>
    <row r="4" spans="1:28" s="338" customFormat="1" ht="10.5" x14ac:dyDescent="0.25">
      <c r="A4" s="339">
        <v>3</v>
      </c>
      <c r="B4" s="340">
        <v>45131</v>
      </c>
      <c r="C4" s="328" t="s">
        <v>35</v>
      </c>
      <c r="D4" s="328" t="s">
        <v>36</v>
      </c>
      <c r="E4" s="328" t="s">
        <v>33</v>
      </c>
      <c r="F4" s="617" t="s">
        <v>40</v>
      </c>
      <c r="G4" s="328" t="s">
        <v>41</v>
      </c>
      <c r="H4" s="328">
        <v>1</v>
      </c>
      <c r="I4" s="328" t="s">
        <v>42</v>
      </c>
      <c r="J4" s="335" t="s">
        <v>43</v>
      </c>
      <c r="K4" s="331" t="s">
        <v>32</v>
      </c>
      <c r="L4" s="332"/>
      <c r="M4" s="333" t="s">
        <v>33</v>
      </c>
      <c r="N4" s="333"/>
      <c r="O4" s="333"/>
      <c r="P4" s="334">
        <v>45181</v>
      </c>
      <c r="Q4" s="335"/>
      <c r="R4" s="335"/>
      <c r="S4" s="336"/>
      <c r="T4" s="336"/>
      <c r="U4" s="336"/>
      <c r="V4" s="336"/>
      <c r="W4" s="341">
        <v>45155</v>
      </c>
      <c r="X4" s="336">
        <v>5</v>
      </c>
      <c r="Y4" s="336">
        <f t="shared" ca="1" si="0"/>
        <v>-26</v>
      </c>
      <c r="Z4" s="336"/>
      <c r="AA4" s="336"/>
      <c r="AB4" s="336"/>
    </row>
    <row r="5" spans="1:28" s="338" customFormat="1" ht="10.5" x14ac:dyDescent="0.25">
      <c r="A5" s="339">
        <v>4</v>
      </c>
      <c r="B5" s="340">
        <v>45131</v>
      </c>
      <c r="C5" s="328" t="s">
        <v>35</v>
      </c>
      <c r="D5" s="328" t="s">
        <v>36</v>
      </c>
      <c r="E5" s="328" t="s">
        <v>33</v>
      </c>
      <c r="F5" s="617" t="s">
        <v>44</v>
      </c>
      <c r="G5" s="328" t="s">
        <v>45</v>
      </c>
      <c r="H5" s="328">
        <v>5</v>
      </c>
      <c r="I5" s="328" t="s">
        <v>42</v>
      </c>
      <c r="J5" s="335" t="s">
        <v>46</v>
      </c>
      <c r="K5" s="331" t="s">
        <v>32</v>
      </c>
      <c r="L5" s="332"/>
      <c r="M5" s="333" t="s">
        <v>33</v>
      </c>
      <c r="N5" s="333"/>
      <c r="O5" s="333"/>
      <c r="P5" s="334">
        <v>45181</v>
      </c>
      <c r="Q5" s="335"/>
      <c r="R5" s="335"/>
      <c r="S5" s="336"/>
      <c r="T5" s="336"/>
      <c r="U5" s="336"/>
      <c r="V5" s="336"/>
      <c r="W5" s="341">
        <v>45131</v>
      </c>
      <c r="X5" s="336"/>
      <c r="Y5" s="336">
        <f t="shared" ca="1" si="0"/>
        <v>-50</v>
      </c>
      <c r="Z5" s="336"/>
      <c r="AA5" s="336"/>
      <c r="AB5" s="336"/>
    </row>
    <row r="6" spans="1:28" s="338" customFormat="1" ht="10.5" x14ac:dyDescent="0.25">
      <c r="A6" s="339">
        <v>5</v>
      </c>
      <c r="B6" s="340">
        <v>45131</v>
      </c>
      <c r="C6" s="328" t="s">
        <v>35</v>
      </c>
      <c r="D6" s="328" t="s">
        <v>36</v>
      </c>
      <c r="E6" s="328" t="s">
        <v>33</v>
      </c>
      <c r="F6" s="617" t="s">
        <v>47</v>
      </c>
      <c r="G6" s="328" t="s">
        <v>48</v>
      </c>
      <c r="H6" s="328">
        <v>60</v>
      </c>
      <c r="I6" s="328" t="s">
        <v>49</v>
      </c>
      <c r="J6" s="335" t="s">
        <v>46</v>
      </c>
      <c r="K6" s="331" t="s">
        <v>32</v>
      </c>
      <c r="L6" s="332"/>
      <c r="M6" s="333" t="s">
        <v>33</v>
      </c>
      <c r="N6" s="333"/>
      <c r="O6" s="333"/>
      <c r="P6" s="334">
        <v>45188</v>
      </c>
      <c r="Q6" s="335"/>
      <c r="R6" s="335"/>
      <c r="S6" s="336"/>
      <c r="T6" s="336"/>
      <c r="U6" s="336"/>
      <c r="V6" s="336"/>
      <c r="W6" s="341">
        <v>45173</v>
      </c>
      <c r="X6" s="336">
        <v>500</v>
      </c>
      <c r="Y6" s="336">
        <f t="shared" ca="1" si="0"/>
        <v>-15</v>
      </c>
      <c r="Z6" s="336"/>
      <c r="AA6" s="336"/>
      <c r="AB6" s="336"/>
    </row>
    <row r="7" spans="1:28" s="338" customFormat="1" ht="10.5" x14ac:dyDescent="0.25">
      <c r="A7" s="339">
        <v>6</v>
      </c>
      <c r="B7" s="340">
        <v>45131</v>
      </c>
      <c r="C7" s="328" t="s">
        <v>35</v>
      </c>
      <c r="D7" s="328" t="s">
        <v>36</v>
      </c>
      <c r="E7" s="328" t="s">
        <v>33</v>
      </c>
      <c r="F7" s="617" t="s">
        <v>50</v>
      </c>
      <c r="G7" s="328" t="s">
        <v>51</v>
      </c>
      <c r="H7" s="328">
        <v>500</v>
      </c>
      <c r="I7" s="328" t="s">
        <v>49</v>
      </c>
      <c r="J7" s="335" t="s">
        <v>46</v>
      </c>
      <c r="K7" s="331" t="s">
        <v>32</v>
      </c>
      <c r="L7" s="332"/>
      <c r="M7" s="333" t="s">
        <v>33</v>
      </c>
      <c r="N7" s="333"/>
      <c r="O7" s="333"/>
      <c r="P7" s="334">
        <v>45191</v>
      </c>
      <c r="Q7" s="335"/>
      <c r="R7" s="335"/>
      <c r="S7" s="336"/>
      <c r="T7" s="336"/>
      <c r="U7" s="336"/>
      <c r="V7" s="336"/>
      <c r="W7" s="337">
        <v>45426</v>
      </c>
      <c r="X7" s="336">
        <v>4</v>
      </c>
      <c r="Y7" s="336">
        <f t="shared" ca="1" si="0"/>
        <v>235</v>
      </c>
      <c r="Z7" s="336"/>
      <c r="AA7" s="336"/>
      <c r="AB7" s="336" t="s">
        <v>52</v>
      </c>
    </row>
    <row r="8" spans="1:28" s="338" customFormat="1" ht="10.5" x14ac:dyDescent="0.25">
      <c r="A8" s="339">
        <v>7</v>
      </c>
      <c r="B8" s="340">
        <v>45131</v>
      </c>
      <c r="C8" s="328" t="s">
        <v>35</v>
      </c>
      <c r="D8" s="328" t="s">
        <v>36</v>
      </c>
      <c r="E8" s="328" t="s">
        <v>33</v>
      </c>
      <c r="F8" s="617" t="s">
        <v>53</v>
      </c>
      <c r="G8" s="328" t="s">
        <v>51</v>
      </c>
      <c r="H8" s="328">
        <v>120</v>
      </c>
      <c r="I8" s="328" t="s">
        <v>49</v>
      </c>
      <c r="J8" s="335" t="s">
        <v>31</v>
      </c>
      <c r="K8" s="331" t="s">
        <v>32</v>
      </c>
      <c r="L8" s="332"/>
      <c r="M8" s="333" t="s">
        <v>33</v>
      </c>
      <c r="N8" s="333"/>
      <c r="O8" s="333"/>
      <c r="P8" s="334">
        <v>45191</v>
      </c>
      <c r="Q8" s="335"/>
      <c r="R8" s="335"/>
      <c r="S8" s="336"/>
      <c r="T8" s="336"/>
      <c r="U8" s="336"/>
      <c r="V8" s="336"/>
      <c r="W8" s="341" t="e">
        <f>VLOOKUP(#REF!, 'STORE ITEMS'!$C$2:F$1000, 4, FALSE)</f>
        <v>#REF!</v>
      </c>
      <c r="X8" s="336"/>
      <c r="Y8" s="336" t="e">
        <f ca="1">IF(P8="","",IF(W8="",TODAY()-P8,W8-P8))</f>
        <v>#REF!</v>
      </c>
      <c r="Z8" s="336"/>
      <c r="AA8" s="336"/>
      <c r="AB8" s="336"/>
    </row>
    <row r="9" spans="1:28" s="338" customFormat="1" ht="10.5" x14ac:dyDescent="0.25">
      <c r="A9" s="339">
        <v>8</v>
      </c>
      <c r="B9" s="340">
        <v>45131</v>
      </c>
      <c r="C9" s="328" t="s">
        <v>35</v>
      </c>
      <c r="D9" s="328" t="s">
        <v>36</v>
      </c>
      <c r="E9" s="328" t="s">
        <v>33</v>
      </c>
      <c r="F9" s="617" t="s">
        <v>54</v>
      </c>
      <c r="G9" s="328" t="s">
        <v>55</v>
      </c>
      <c r="H9" s="328">
        <v>2</v>
      </c>
      <c r="I9" s="328" t="s">
        <v>56</v>
      </c>
      <c r="J9" s="335" t="s">
        <v>43</v>
      </c>
      <c r="K9" s="331" t="s">
        <v>32</v>
      </c>
      <c r="L9" s="332"/>
      <c r="M9" s="333" t="s">
        <v>33</v>
      </c>
      <c r="N9" s="333"/>
      <c r="O9" s="333"/>
      <c r="P9" s="334">
        <v>45191</v>
      </c>
      <c r="Q9" s="335"/>
      <c r="R9" s="335"/>
      <c r="S9" s="336"/>
      <c r="T9" s="336"/>
      <c r="U9" s="336"/>
      <c r="V9" s="336"/>
      <c r="W9" s="342"/>
      <c r="X9" s="336"/>
      <c r="Y9" s="336">
        <f t="shared" ca="1" si="0"/>
        <v>395</v>
      </c>
      <c r="Z9" s="336"/>
      <c r="AA9" s="336"/>
      <c r="AB9" s="336"/>
    </row>
    <row r="10" spans="1:28" s="338" customFormat="1" ht="10.5" x14ac:dyDescent="0.25">
      <c r="A10" s="339">
        <v>9</v>
      </c>
      <c r="B10" s="340">
        <v>45125</v>
      </c>
      <c r="C10" s="328" t="s">
        <v>35</v>
      </c>
      <c r="D10" s="328" t="s">
        <v>36</v>
      </c>
      <c r="E10" s="328" t="s">
        <v>33</v>
      </c>
      <c r="F10" s="617" t="s">
        <v>57</v>
      </c>
      <c r="G10" s="328" t="s">
        <v>58</v>
      </c>
      <c r="H10" s="328">
        <v>5</v>
      </c>
      <c r="I10" s="328" t="s">
        <v>59</v>
      </c>
      <c r="J10" s="335" t="s">
        <v>43</v>
      </c>
      <c r="K10" s="331" t="s">
        <v>32</v>
      </c>
      <c r="L10" s="332"/>
      <c r="M10" s="333" t="s">
        <v>33</v>
      </c>
      <c r="N10" s="333"/>
      <c r="O10" s="333"/>
      <c r="P10" s="343">
        <v>45244</v>
      </c>
      <c r="Q10" s="335"/>
      <c r="R10" s="335"/>
      <c r="S10" s="336"/>
      <c r="T10" s="336"/>
      <c r="U10" s="336"/>
      <c r="V10" s="336"/>
      <c r="W10" s="341">
        <v>45308</v>
      </c>
      <c r="X10" s="336">
        <v>16</v>
      </c>
      <c r="Y10" s="336">
        <f t="shared" ca="1" si="0"/>
        <v>64</v>
      </c>
      <c r="Z10" s="336"/>
      <c r="AA10" s="336"/>
      <c r="AB10" s="336"/>
    </row>
    <row r="11" spans="1:28" s="338" customFormat="1" ht="10.5" x14ac:dyDescent="0.25">
      <c r="A11" s="339">
        <v>10</v>
      </c>
      <c r="B11" s="340">
        <v>45237</v>
      </c>
      <c r="C11" s="328" t="s">
        <v>60</v>
      </c>
      <c r="D11" s="328">
        <v>9016</v>
      </c>
      <c r="E11" s="328" t="s">
        <v>61</v>
      </c>
      <c r="F11" s="617" t="s">
        <v>62</v>
      </c>
      <c r="G11" s="328" t="s">
        <v>63</v>
      </c>
      <c r="H11" s="328">
        <v>16</v>
      </c>
      <c r="I11" s="328" t="s">
        <v>64</v>
      </c>
      <c r="J11" s="335" t="s">
        <v>46</v>
      </c>
      <c r="K11" s="331" t="s">
        <v>32</v>
      </c>
      <c r="L11" s="332"/>
      <c r="M11" s="333" t="s">
        <v>33</v>
      </c>
      <c r="N11" s="333"/>
      <c r="O11" s="333"/>
      <c r="P11" s="334">
        <v>45191</v>
      </c>
      <c r="Q11" s="335"/>
      <c r="R11" s="335"/>
      <c r="S11" s="336"/>
      <c r="T11" s="336"/>
      <c r="U11" s="336"/>
      <c r="V11" s="336"/>
      <c r="W11" s="341">
        <v>45561</v>
      </c>
      <c r="X11" s="336"/>
      <c r="Y11" s="336">
        <f t="shared" ca="1" si="0"/>
        <v>370</v>
      </c>
      <c r="Z11" s="336"/>
      <c r="AA11" s="336"/>
      <c r="AB11" s="336"/>
    </row>
    <row r="12" spans="1:28" s="338" customFormat="1" ht="10.5" x14ac:dyDescent="0.25">
      <c r="A12" s="339">
        <v>11</v>
      </c>
      <c r="B12" s="340">
        <v>45128</v>
      </c>
      <c r="C12" s="328" t="s">
        <v>26</v>
      </c>
      <c r="D12" s="328" t="s">
        <v>65</v>
      </c>
      <c r="E12" s="328">
        <v>4043325</v>
      </c>
      <c r="F12" s="617">
        <v>2773351</v>
      </c>
      <c r="G12" s="328" t="s">
        <v>66</v>
      </c>
      <c r="H12" s="328">
        <v>2</v>
      </c>
      <c r="I12" s="328" t="s">
        <v>67</v>
      </c>
      <c r="J12" s="335" t="s">
        <v>68</v>
      </c>
      <c r="K12" s="331" t="s">
        <v>69</v>
      </c>
      <c r="L12" s="332"/>
      <c r="M12" s="333" t="s">
        <v>70</v>
      </c>
      <c r="N12" s="333"/>
      <c r="O12" s="333"/>
      <c r="P12" s="344">
        <v>45133</v>
      </c>
      <c r="Q12" s="335"/>
      <c r="R12" s="335"/>
      <c r="S12" s="336"/>
      <c r="T12" s="336"/>
      <c r="U12" s="336"/>
      <c r="V12" s="336"/>
      <c r="W12" s="341">
        <v>45257</v>
      </c>
      <c r="X12" s="336">
        <v>1</v>
      </c>
      <c r="Y12" s="336">
        <f t="shared" ca="1" si="0"/>
        <v>124</v>
      </c>
      <c r="Z12" s="336"/>
      <c r="AA12" s="336"/>
      <c r="AB12" s="336"/>
    </row>
    <row r="13" spans="1:28" s="338" customFormat="1" ht="10.5" x14ac:dyDescent="0.25">
      <c r="A13" s="339">
        <v>12</v>
      </c>
      <c r="B13" s="340">
        <v>45133</v>
      </c>
      <c r="C13" s="328" t="s">
        <v>35</v>
      </c>
      <c r="D13" s="328" t="s">
        <v>71</v>
      </c>
      <c r="E13" s="328">
        <v>7740302</v>
      </c>
      <c r="F13" s="617" t="s">
        <v>72</v>
      </c>
      <c r="G13" s="328" t="s">
        <v>73</v>
      </c>
      <c r="H13" s="328">
        <v>1</v>
      </c>
      <c r="I13" s="328" t="s">
        <v>74</v>
      </c>
      <c r="J13" s="335" t="s">
        <v>68</v>
      </c>
      <c r="K13" s="331" t="s">
        <v>69</v>
      </c>
      <c r="L13" s="332"/>
      <c r="M13" s="333" t="s">
        <v>70</v>
      </c>
      <c r="N13" s="333"/>
      <c r="O13" s="333"/>
      <c r="P13" s="344">
        <v>45133</v>
      </c>
      <c r="Q13" s="335"/>
      <c r="R13" s="335"/>
      <c r="S13" s="336"/>
      <c r="T13" s="336"/>
      <c r="U13" s="336"/>
      <c r="V13" s="336"/>
      <c r="W13" s="341">
        <v>45257</v>
      </c>
      <c r="X13" s="336">
        <v>1</v>
      </c>
      <c r="Y13" s="336">
        <f t="shared" ca="1" si="0"/>
        <v>124</v>
      </c>
      <c r="Z13" s="336"/>
      <c r="AA13" s="336"/>
      <c r="AB13" s="336"/>
    </row>
    <row r="14" spans="1:28" s="338" customFormat="1" ht="10.5" x14ac:dyDescent="0.25">
      <c r="A14" s="339">
        <v>13</v>
      </c>
      <c r="B14" s="340">
        <v>45133</v>
      </c>
      <c r="C14" s="328" t="s">
        <v>35</v>
      </c>
      <c r="D14" s="328" t="s">
        <v>71</v>
      </c>
      <c r="E14" s="328">
        <v>7740301</v>
      </c>
      <c r="F14" s="617" t="s">
        <v>75</v>
      </c>
      <c r="G14" s="328" t="s">
        <v>76</v>
      </c>
      <c r="H14" s="328">
        <v>1</v>
      </c>
      <c r="I14" s="328" t="s">
        <v>74</v>
      </c>
      <c r="J14" s="335" t="s">
        <v>68</v>
      </c>
      <c r="K14" s="331" t="s">
        <v>69</v>
      </c>
      <c r="L14" s="332"/>
      <c r="M14" s="333" t="s">
        <v>70</v>
      </c>
      <c r="N14" s="333"/>
      <c r="O14" s="333"/>
      <c r="P14" s="344">
        <v>45133</v>
      </c>
      <c r="Q14" s="335"/>
      <c r="R14" s="335"/>
      <c r="S14" s="336"/>
      <c r="T14" s="336"/>
      <c r="U14" s="336"/>
      <c r="V14" s="336"/>
      <c r="W14" s="341">
        <v>45257</v>
      </c>
      <c r="X14" s="336">
        <v>1</v>
      </c>
      <c r="Y14" s="336">
        <f t="shared" ca="1" si="0"/>
        <v>124</v>
      </c>
      <c r="Z14" s="336"/>
      <c r="AA14" s="336"/>
      <c r="AB14" s="336"/>
    </row>
    <row r="15" spans="1:28" s="338" customFormat="1" ht="10.5" x14ac:dyDescent="0.25">
      <c r="A15" s="339">
        <v>14</v>
      </c>
      <c r="B15" s="340">
        <v>45133</v>
      </c>
      <c r="C15" s="328" t="s">
        <v>35</v>
      </c>
      <c r="D15" s="328" t="s">
        <v>71</v>
      </c>
      <c r="E15" s="328">
        <v>7740300</v>
      </c>
      <c r="F15" s="617" t="s">
        <v>77</v>
      </c>
      <c r="G15" s="328" t="s">
        <v>78</v>
      </c>
      <c r="H15" s="328">
        <v>1</v>
      </c>
      <c r="I15" s="328" t="s">
        <v>74</v>
      </c>
      <c r="J15" s="335" t="s">
        <v>68</v>
      </c>
      <c r="K15" s="331" t="s">
        <v>69</v>
      </c>
      <c r="L15" s="332"/>
      <c r="M15" s="333" t="s">
        <v>70</v>
      </c>
      <c r="N15" s="333"/>
      <c r="O15" s="333"/>
      <c r="P15" s="344">
        <v>45133</v>
      </c>
      <c r="Q15" s="335"/>
      <c r="R15" s="335"/>
      <c r="S15" s="336"/>
      <c r="T15" s="336"/>
      <c r="U15" s="336"/>
      <c r="V15" s="336"/>
      <c r="W15" s="341">
        <v>45257</v>
      </c>
      <c r="X15" s="336">
        <v>2</v>
      </c>
      <c r="Y15" s="336">
        <f t="shared" ca="1" si="0"/>
        <v>124</v>
      </c>
      <c r="Z15" s="336"/>
      <c r="AA15" s="336"/>
      <c r="AB15" s="336"/>
    </row>
    <row r="16" spans="1:28" s="338" customFormat="1" ht="10.5" x14ac:dyDescent="0.25">
      <c r="A16" s="339">
        <v>15</v>
      </c>
      <c r="B16" s="340">
        <v>45133</v>
      </c>
      <c r="C16" s="328" t="s">
        <v>35</v>
      </c>
      <c r="D16" s="328" t="s">
        <v>71</v>
      </c>
      <c r="E16" s="328">
        <v>7740301</v>
      </c>
      <c r="F16" s="617" t="s">
        <v>79</v>
      </c>
      <c r="G16" s="328" t="s">
        <v>80</v>
      </c>
      <c r="H16" s="328">
        <v>1</v>
      </c>
      <c r="I16" s="328" t="s">
        <v>74</v>
      </c>
      <c r="J16" s="335" t="s">
        <v>68</v>
      </c>
      <c r="K16" s="331" t="s">
        <v>69</v>
      </c>
      <c r="L16" s="332"/>
      <c r="M16" s="333" t="s">
        <v>70</v>
      </c>
      <c r="N16" s="333"/>
      <c r="O16" s="333"/>
      <c r="P16" s="344">
        <v>45133</v>
      </c>
      <c r="Q16" s="335"/>
      <c r="R16" s="335"/>
      <c r="S16" s="336"/>
      <c r="T16" s="336"/>
      <c r="U16" s="336"/>
      <c r="V16" s="336"/>
      <c r="W16" s="341">
        <v>45257</v>
      </c>
      <c r="X16" s="336">
        <v>1</v>
      </c>
      <c r="Y16" s="336">
        <f t="shared" ca="1" si="0"/>
        <v>124</v>
      </c>
      <c r="Z16" s="336"/>
      <c r="AA16" s="336"/>
      <c r="AB16" s="336"/>
    </row>
    <row r="17" spans="1:28" s="338" customFormat="1" ht="10.5" x14ac:dyDescent="0.25">
      <c r="A17" s="339">
        <v>16</v>
      </c>
      <c r="B17" s="340">
        <v>45133</v>
      </c>
      <c r="C17" s="328" t="s">
        <v>35</v>
      </c>
      <c r="D17" s="328" t="s">
        <v>71</v>
      </c>
      <c r="E17" s="328">
        <v>7740301</v>
      </c>
      <c r="F17" s="617" t="s">
        <v>81</v>
      </c>
      <c r="G17" s="328" t="s">
        <v>82</v>
      </c>
      <c r="H17" s="328">
        <v>1</v>
      </c>
      <c r="I17" s="328" t="s">
        <v>74</v>
      </c>
      <c r="J17" s="335" t="s">
        <v>68</v>
      </c>
      <c r="K17" s="331" t="s">
        <v>69</v>
      </c>
      <c r="L17" s="332"/>
      <c r="M17" s="333"/>
      <c r="N17" s="333"/>
      <c r="O17" s="333"/>
      <c r="P17" s="344">
        <v>45167</v>
      </c>
      <c r="Q17" s="335"/>
      <c r="R17" s="335"/>
      <c r="S17" s="336"/>
      <c r="T17" s="336"/>
      <c r="U17" s="336"/>
      <c r="V17" s="336"/>
      <c r="W17" s="341">
        <v>45257</v>
      </c>
      <c r="X17" s="336">
        <v>2</v>
      </c>
      <c r="Y17" s="336">
        <f t="shared" ca="1" si="0"/>
        <v>90</v>
      </c>
      <c r="Z17" s="336"/>
      <c r="AA17" s="336"/>
      <c r="AB17" s="336"/>
    </row>
    <row r="18" spans="1:28" s="338" customFormat="1" ht="10.5" x14ac:dyDescent="0.25">
      <c r="A18" s="339">
        <v>17</v>
      </c>
      <c r="B18" s="340">
        <v>45133</v>
      </c>
      <c r="C18" s="328" t="s">
        <v>35</v>
      </c>
      <c r="D18" s="328" t="s">
        <v>83</v>
      </c>
      <c r="E18" s="328" t="s">
        <v>33</v>
      </c>
      <c r="F18" s="617" t="s">
        <v>84</v>
      </c>
      <c r="G18" s="328" t="s">
        <v>85</v>
      </c>
      <c r="H18" s="328">
        <v>1</v>
      </c>
      <c r="I18" s="328" t="s">
        <v>33</v>
      </c>
      <c r="J18" s="335" t="s">
        <v>43</v>
      </c>
      <c r="K18" s="331" t="s">
        <v>32</v>
      </c>
      <c r="L18" s="332"/>
      <c r="M18" s="333" t="s">
        <v>33</v>
      </c>
      <c r="N18" s="333"/>
      <c r="O18" s="333"/>
      <c r="P18" s="345">
        <v>45244</v>
      </c>
      <c r="Q18" s="335"/>
      <c r="R18" s="335"/>
      <c r="S18" s="336"/>
      <c r="T18" s="336"/>
      <c r="U18" s="336"/>
      <c r="V18" s="336"/>
      <c r="W18" s="341">
        <v>45308</v>
      </c>
      <c r="X18" s="336">
        <v>16</v>
      </c>
      <c r="Y18" s="336">
        <f t="shared" ca="1" si="0"/>
        <v>64</v>
      </c>
      <c r="Z18" s="336"/>
      <c r="AA18" s="336"/>
      <c r="AB18" s="336"/>
    </row>
    <row r="19" spans="1:28" s="338" customFormat="1" ht="10.5" x14ac:dyDescent="0.25">
      <c r="A19" s="339">
        <v>18</v>
      </c>
      <c r="B19" s="340">
        <v>45237</v>
      </c>
      <c r="C19" s="328" t="s">
        <v>60</v>
      </c>
      <c r="D19" s="328">
        <v>9016</v>
      </c>
      <c r="E19" s="328" t="s">
        <v>61</v>
      </c>
      <c r="F19" s="617" t="s">
        <v>86</v>
      </c>
      <c r="G19" s="328" t="s">
        <v>87</v>
      </c>
      <c r="H19" s="328">
        <v>16</v>
      </c>
      <c r="I19" s="328" t="s">
        <v>64</v>
      </c>
      <c r="J19" s="335" t="s">
        <v>31</v>
      </c>
      <c r="K19" s="331" t="s">
        <v>32</v>
      </c>
      <c r="L19" s="332"/>
      <c r="M19" s="333" t="s">
        <v>33</v>
      </c>
      <c r="N19" s="333"/>
      <c r="O19" s="333"/>
      <c r="P19" s="345">
        <v>45244</v>
      </c>
      <c r="Q19" s="335"/>
      <c r="R19" s="335"/>
      <c r="S19" s="336"/>
      <c r="T19" s="336"/>
      <c r="U19" s="336"/>
      <c r="V19" s="336"/>
      <c r="W19" s="346">
        <v>45308</v>
      </c>
      <c r="X19" s="335">
        <v>16</v>
      </c>
      <c r="Y19" s="336">
        <f t="shared" ca="1" si="0"/>
        <v>64</v>
      </c>
      <c r="Z19" s="336"/>
      <c r="AA19" s="336"/>
      <c r="AB19" s="336"/>
    </row>
    <row r="20" spans="1:28" s="338" customFormat="1" ht="10.5" x14ac:dyDescent="0.25">
      <c r="A20" s="339">
        <v>19</v>
      </c>
      <c r="B20" s="340">
        <v>45237</v>
      </c>
      <c r="C20" s="328" t="s">
        <v>60</v>
      </c>
      <c r="D20" s="328">
        <v>9016</v>
      </c>
      <c r="E20" s="328" t="s">
        <v>88</v>
      </c>
      <c r="F20" s="617" t="s">
        <v>89</v>
      </c>
      <c r="G20" s="328" t="s">
        <v>90</v>
      </c>
      <c r="H20" s="328">
        <v>16</v>
      </c>
      <c r="I20" s="328" t="s">
        <v>64</v>
      </c>
      <c r="J20" s="335" t="s">
        <v>31</v>
      </c>
      <c r="K20" s="331" t="s">
        <v>32</v>
      </c>
      <c r="L20" s="332"/>
      <c r="M20" s="333" t="s">
        <v>33</v>
      </c>
      <c r="N20" s="333"/>
      <c r="O20" s="333"/>
      <c r="P20" s="345">
        <v>45244</v>
      </c>
      <c r="Q20" s="335"/>
      <c r="R20" s="335"/>
      <c r="S20" s="336"/>
      <c r="T20" s="336"/>
      <c r="U20" s="336"/>
      <c r="V20" s="336"/>
      <c r="W20" s="346">
        <v>45308</v>
      </c>
      <c r="X20" s="335">
        <v>1</v>
      </c>
      <c r="Y20" s="336">
        <f t="shared" ca="1" si="0"/>
        <v>64</v>
      </c>
      <c r="Z20" s="336"/>
      <c r="AA20" s="336"/>
      <c r="AB20" s="336"/>
    </row>
    <row r="21" spans="1:28" s="338" customFormat="1" ht="10.5" x14ac:dyDescent="0.25">
      <c r="A21" s="339">
        <v>20</v>
      </c>
      <c r="B21" s="340">
        <v>45238</v>
      </c>
      <c r="C21" s="328" t="s">
        <v>60</v>
      </c>
      <c r="D21" s="328">
        <v>9016</v>
      </c>
      <c r="E21" s="328" t="s">
        <v>91</v>
      </c>
      <c r="F21" s="617" t="s">
        <v>92</v>
      </c>
      <c r="G21" s="328" t="s">
        <v>93</v>
      </c>
      <c r="H21" s="328">
        <v>1</v>
      </c>
      <c r="I21" s="328" t="s">
        <v>64</v>
      </c>
      <c r="J21" s="335" t="s">
        <v>46</v>
      </c>
      <c r="K21" s="331" t="s">
        <v>32</v>
      </c>
      <c r="L21" s="332"/>
      <c r="M21" s="333" t="s">
        <v>33</v>
      </c>
      <c r="N21" s="333"/>
      <c r="O21" s="333"/>
      <c r="P21" s="344">
        <v>45205</v>
      </c>
      <c r="Q21" s="335"/>
      <c r="R21" s="335"/>
      <c r="S21" s="336"/>
      <c r="T21" s="336"/>
      <c r="U21" s="336"/>
      <c r="V21" s="336"/>
      <c r="W21" s="341">
        <v>45147</v>
      </c>
      <c r="X21" s="333">
        <v>12</v>
      </c>
      <c r="Y21" s="336">
        <f t="shared" ca="1" si="0"/>
        <v>-58</v>
      </c>
      <c r="Z21" s="336"/>
      <c r="AA21" s="336"/>
      <c r="AB21" s="336"/>
    </row>
    <row r="22" spans="1:28" s="338" customFormat="1" ht="10.5" x14ac:dyDescent="0.25">
      <c r="A22" s="347" t="s">
        <v>94</v>
      </c>
      <c r="B22" s="348">
        <v>45128</v>
      </c>
      <c r="C22" s="347" t="s">
        <v>26</v>
      </c>
      <c r="D22" s="347" t="s">
        <v>65</v>
      </c>
      <c r="E22" s="333" t="s">
        <v>33</v>
      </c>
      <c r="F22" s="349">
        <v>816102</v>
      </c>
      <c r="G22" s="350" t="s">
        <v>95</v>
      </c>
      <c r="H22" s="335">
        <v>6</v>
      </c>
      <c r="I22" s="335" t="s">
        <v>96</v>
      </c>
      <c r="J22" s="335" t="s">
        <v>46</v>
      </c>
      <c r="K22" s="331" t="s">
        <v>32</v>
      </c>
      <c r="L22" s="332"/>
      <c r="M22" s="333" t="s">
        <v>33</v>
      </c>
      <c r="N22" s="333"/>
      <c r="O22" s="333"/>
      <c r="P22" s="344">
        <v>45205</v>
      </c>
      <c r="Q22" s="335"/>
      <c r="R22" s="335"/>
      <c r="S22" s="336"/>
      <c r="T22" s="336"/>
      <c r="U22" s="336"/>
      <c r="V22" s="336"/>
      <c r="W22" s="341">
        <v>45377</v>
      </c>
      <c r="X22" s="333">
        <v>1</v>
      </c>
      <c r="Y22" s="336">
        <f t="shared" ca="1" si="0"/>
        <v>172</v>
      </c>
      <c r="Z22" s="336"/>
      <c r="AA22" s="336"/>
      <c r="AB22" s="336"/>
    </row>
    <row r="23" spans="1:28" s="338" customFormat="1" ht="10.5" x14ac:dyDescent="0.25">
      <c r="A23" s="347" t="s">
        <v>97</v>
      </c>
      <c r="B23" s="348">
        <v>45138</v>
      </c>
      <c r="C23" s="347" t="s">
        <v>35</v>
      </c>
      <c r="D23" s="347" t="s">
        <v>36</v>
      </c>
      <c r="E23" s="335" t="s">
        <v>98</v>
      </c>
      <c r="F23" s="349" t="s">
        <v>99</v>
      </c>
      <c r="G23" s="350" t="s">
        <v>100</v>
      </c>
      <c r="H23" s="335">
        <v>2</v>
      </c>
      <c r="I23" s="335" t="s">
        <v>101</v>
      </c>
      <c r="J23" s="335" t="s">
        <v>102</v>
      </c>
      <c r="K23" s="331" t="s">
        <v>69</v>
      </c>
      <c r="L23" s="332"/>
      <c r="M23" s="333" t="s">
        <v>103</v>
      </c>
      <c r="N23" s="333"/>
      <c r="O23" s="333"/>
      <c r="P23" s="344">
        <v>45205</v>
      </c>
      <c r="Q23" s="335"/>
      <c r="R23" s="335"/>
      <c r="S23" s="336"/>
      <c r="T23" s="336"/>
      <c r="U23" s="336"/>
      <c r="V23" s="336"/>
      <c r="W23" s="337">
        <v>45184</v>
      </c>
      <c r="X23" s="333">
        <v>16</v>
      </c>
      <c r="Y23" s="336">
        <f t="shared" ca="1" si="0"/>
        <v>-21</v>
      </c>
      <c r="Z23" s="336"/>
      <c r="AA23" s="336"/>
      <c r="AB23" s="336"/>
    </row>
    <row r="24" spans="1:28" s="338" customFormat="1" ht="10.5" x14ac:dyDescent="0.25">
      <c r="A24" s="347" t="s">
        <v>104</v>
      </c>
      <c r="B24" s="348">
        <v>45138</v>
      </c>
      <c r="C24" s="347" t="s">
        <v>35</v>
      </c>
      <c r="D24" s="347" t="s">
        <v>36</v>
      </c>
      <c r="E24" s="335">
        <v>5634441</v>
      </c>
      <c r="F24" s="349" t="s">
        <v>105</v>
      </c>
      <c r="G24" s="350" t="s">
        <v>106</v>
      </c>
      <c r="H24" s="335">
        <v>1</v>
      </c>
      <c r="I24" s="335" t="s">
        <v>107</v>
      </c>
      <c r="J24" s="335" t="s">
        <v>102</v>
      </c>
      <c r="K24" s="331" t="s">
        <v>69</v>
      </c>
      <c r="L24" s="332"/>
      <c r="M24" s="333" t="s">
        <v>103</v>
      </c>
      <c r="N24" s="351">
        <v>20.84</v>
      </c>
      <c r="O24" s="351"/>
      <c r="P24" s="344">
        <v>45222</v>
      </c>
      <c r="Q24" s="335"/>
      <c r="R24" s="335"/>
      <c r="S24" s="336"/>
      <c r="T24" s="336"/>
      <c r="U24" s="336"/>
      <c r="V24" s="336"/>
      <c r="W24" s="341">
        <v>45180</v>
      </c>
      <c r="X24" s="333">
        <v>1</v>
      </c>
      <c r="Y24" s="336">
        <f t="shared" ca="1" si="0"/>
        <v>-42</v>
      </c>
      <c r="Z24" s="336"/>
      <c r="AA24" s="336"/>
      <c r="AB24" s="336"/>
    </row>
    <row r="25" spans="1:28" s="338" customFormat="1" ht="10.5" x14ac:dyDescent="0.25">
      <c r="A25" s="347" t="s">
        <v>108</v>
      </c>
      <c r="B25" s="348">
        <v>45138</v>
      </c>
      <c r="C25" s="347" t="s">
        <v>35</v>
      </c>
      <c r="D25" s="347" t="s">
        <v>36</v>
      </c>
      <c r="E25" s="335">
        <v>5634441</v>
      </c>
      <c r="F25" s="349" t="s">
        <v>109</v>
      </c>
      <c r="G25" s="350" t="s">
        <v>110</v>
      </c>
      <c r="H25" s="335">
        <v>1</v>
      </c>
      <c r="I25" s="335" t="s">
        <v>107</v>
      </c>
      <c r="J25" s="335" t="s">
        <v>102</v>
      </c>
      <c r="K25" s="331" t="s">
        <v>69</v>
      </c>
      <c r="L25" s="332"/>
      <c r="M25" s="333" t="s">
        <v>103</v>
      </c>
      <c r="N25" s="333"/>
      <c r="O25" s="333"/>
      <c r="P25" s="344">
        <v>45142</v>
      </c>
      <c r="Q25" s="335"/>
      <c r="R25" s="335"/>
      <c r="S25" s="336"/>
      <c r="T25" s="336"/>
      <c r="U25" s="336"/>
      <c r="V25" s="336"/>
      <c r="W25" s="341">
        <v>45184</v>
      </c>
      <c r="X25" s="333">
        <v>16</v>
      </c>
      <c r="Y25" s="336">
        <f t="shared" ca="1" si="0"/>
        <v>42</v>
      </c>
      <c r="Z25" s="336"/>
      <c r="AA25" s="336"/>
      <c r="AB25" s="336"/>
    </row>
    <row r="26" spans="1:28" s="338" customFormat="1" ht="10.5" x14ac:dyDescent="0.25">
      <c r="A26" s="347" t="s">
        <v>111</v>
      </c>
      <c r="B26" s="348">
        <v>45138</v>
      </c>
      <c r="C26" s="347" t="s">
        <v>35</v>
      </c>
      <c r="D26" s="347" t="s">
        <v>36</v>
      </c>
      <c r="E26" s="335">
        <v>5634441</v>
      </c>
      <c r="F26" s="349" t="s">
        <v>112</v>
      </c>
      <c r="G26" s="350" t="s">
        <v>113</v>
      </c>
      <c r="H26" s="335">
        <v>3</v>
      </c>
      <c r="I26" s="335" t="s">
        <v>107</v>
      </c>
      <c r="J26" s="335" t="s">
        <v>102</v>
      </c>
      <c r="K26" s="331" t="s">
        <v>69</v>
      </c>
      <c r="L26" s="332"/>
      <c r="M26" s="333" t="s">
        <v>103</v>
      </c>
      <c r="N26" s="351">
        <v>14.37</v>
      </c>
      <c r="O26" s="351"/>
      <c r="P26" s="344">
        <v>45142</v>
      </c>
      <c r="Q26" s="335"/>
      <c r="R26" s="335"/>
      <c r="S26" s="336"/>
      <c r="T26" s="336"/>
      <c r="U26" s="336"/>
      <c r="V26" s="336"/>
      <c r="W26" s="341">
        <v>45180</v>
      </c>
      <c r="X26" s="333">
        <v>4</v>
      </c>
      <c r="Y26" s="336">
        <f t="shared" ca="1" si="0"/>
        <v>38</v>
      </c>
      <c r="Z26" s="336"/>
      <c r="AA26" s="336"/>
      <c r="AB26" s="336"/>
    </row>
    <row r="27" spans="1:28" s="338" customFormat="1" ht="10.5" x14ac:dyDescent="0.25">
      <c r="A27" s="347" t="s">
        <v>114</v>
      </c>
      <c r="B27" s="348">
        <v>45138</v>
      </c>
      <c r="C27" s="347" t="s">
        <v>35</v>
      </c>
      <c r="D27" s="347" t="s">
        <v>36</v>
      </c>
      <c r="E27" s="335">
        <v>5634441</v>
      </c>
      <c r="F27" s="349" t="s">
        <v>115</v>
      </c>
      <c r="G27" s="350" t="s">
        <v>116</v>
      </c>
      <c r="H27" s="335">
        <v>1</v>
      </c>
      <c r="I27" s="335" t="s">
        <v>107</v>
      </c>
      <c r="J27" s="335" t="s">
        <v>102</v>
      </c>
      <c r="K27" s="331" t="s">
        <v>69</v>
      </c>
      <c r="L27" s="332"/>
      <c r="M27" s="333" t="s">
        <v>103</v>
      </c>
      <c r="N27" s="351">
        <v>1114.1300000000001</v>
      </c>
      <c r="O27" s="351"/>
      <c r="P27" s="344">
        <v>45142</v>
      </c>
      <c r="Q27" s="335"/>
      <c r="R27" s="335"/>
      <c r="S27" s="336"/>
      <c r="T27" s="336"/>
      <c r="U27" s="336"/>
      <c r="V27" s="336"/>
      <c r="W27" s="341">
        <v>45180</v>
      </c>
      <c r="X27" s="333">
        <v>1</v>
      </c>
      <c r="Y27" s="336">
        <f t="shared" ca="1" si="0"/>
        <v>38</v>
      </c>
      <c r="Z27" s="336"/>
      <c r="AA27" s="336"/>
      <c r="AB27" s="336"/>
    </row>
    <row r="28" spans="1:28" s="338" customFormat="1" ht="10.5" x14ac:dyDescent="0.25">
      <c r="A28" s="347" t="s">
        <v>117</v>
      </c>
      <c r="B28" s="348">
        <v>45138</v>
      </c>
      <c r="C28" s="347" t="s">
        <v>35</v>
      </c>
      <c r="D28" s="347" t="s">
        <v>36</v>
      </c>
      <c r="E28" s="335">
        <v>6234618</v>
      </c>
      <c r="F28" s="349" t="s">
        <v>118</v>
      </c>
      <c r="G28" s="350" t="s">
        <v>119</v>
      </c>
      <c r="H28" s="350">
        <v>1</v>
      </c>
      <c r="I28" s="350" t="s">
        <v>120</v>
      </c>
      <c r="J28" s="335" t="s">
        <v>102</v>
      </c>
      <c r="K28" s="331" t="s">
        <v>69</v>
      </c>
      <c r="L28" s="332"/>
      <c r="M28" s="333" t="s">
        <v>121</v>
      </c>
      <c r="N28" s="351">
        <v>3.69</v>
      </c>
      <c r="O28" s="351"/>
      <c r="P28" s="344">
        <v>45142</v>
      </c>
      <c r="Q28" s="335"/>
      <c r="R28" s="335"/>
      <c r="S28" s="336"/>
      <c r="T28" s="336"/>
      <c r="U28" s="336"/>
      <c r="V28" s="336"/>
      <c r="W28" s="342">
        <v>44988</v>
      </c>
      <c r="X28" s="336"/>
      <c r="Y28" s="336">
        <f t="shared" ca="1" si="0"/>
        <v>-154</v>
      </c>
      <c r="Z28" s="336"/>
      <c r="AA28" s="336"/>
      <c r="AB28" s="336"/>
    </row>
    <row r="29" spans="1:28" s="338" customFormat="1" ht="10.5" x14ac:dyDescent="0.25">
      <c r="A29" s="347" t="s">
        <v>122</v>
      </c>
      <c r="B29" s="348">
        <v>45138</v>
      </c>
      <c r="C29" s="347" t="s">
        <v>35</v>
      </c>
      <c r="D29" s="347" t="s">
        <v>36</v>
      </c>
      <c r="E29" s="335">
        <v>6234618</v>
      </c>
      <c r="F29" s="349" t="s">
        <v>123</v>
      </c>
      <c r="G29" s="350" t="s">
        <v>124</v>
      </c>
      <c r="H29" s="350">
        <v>1</v>
      </c>
      <c r="I29" s="350" t="s">
        <v>120</v>
      </c>
      <c r="J29" s="335" t="s">
        <v>102</v>
      </c>
      <c r="K29" s="331" t="s">
        <v>69</v>
      </c>
      <c r="L29" s="332"/>
      <c r="M29" s="333" t="s">
        <v>121</v>
      </c>
      <c r="N29" s="351">
        <v>18.12</v>
      </c>
      <c r="O29" s="351"/>
      <c r="P29" s="344">
        <v>45142</v>
      </c>
      <c r="Q29" s="335"/>
      <c r="R29" s="335"/>
      <c r="S29" s="336"/>
      <c r="T29" s="336"/>
      <c r="U29" s="336"/>
      <c r="V29" s="336"/>
      <c r="W29" s="341"/>
      <c r="X29" s="336"/>
      <c r="Y29" s="336">
        <f t="shared" ca="1" si="0"/>
        <v>444</v>
      </c>
      <c r="Z29" s="336"/>
      <c r="AA29" s="336"/>
      <c r="AB29" s="336"/>
    </row>
    <row r="30" spans="1:28" s="338" customFormat="1" ht="10.5" x14ac:dyDescent="0.25">
      <c r="A30" s="347" t="s">
        <v>125</v>
      </c>
      <c r="B30" s="348">
        <v>45138</v>
      </c>
      <c r="C30" s="347" t="s">
        <v>35</v>
      </c>
      <c r="D30" s="347" t="s">
        <v>36</v>
      </c>
      <c r="E30" s="335">
        <v>6234618</v>
      </c>
      <c r="F30" s="349" t="s">
        <v>126</v>
      </c>
      <c r="G30" s="350" t="s">
        <v>127</v>
      </c>
      <c r="H30" s="350">
        <v>1</v>
      </c>
      <c r="I30" s="350" t="s">
        <v>120</v>
      </c>
      <c r="J30" s="335" t="s">
        <v>102</v>
      </c>
      <c r="K30" s="331" t="s">
        <v>69</v>
      </c>
      <c r="L30" s="332"/>
      <c r="M30" s="333" t="s">
        <v>121</v>
      </c>
      <c r="N30" s="351">
        <v>353.43</v>
      </c>
      <c r="O30" s="351"/>
      <c r="P30" s="344">
        <v>45142</v>
      </c>
      <c r="Q30" s="335"/>
      <c r="R30" s="335"/>
      <c r="S30" s="336"/>
      <c r="T30" s="336"/>
      <c r="U30" s="336"/>
      <c r="V30" s="336"/>
      <c r="W30" s="337">
        <v>45184</v>
      </c>
      <c r="X30" s="336"/>
      <c r="Y30" s="336">
        <f t="shared" ca="1" si="0"/>
        <v>42</v>
      </c>
      <c r="Z30" s="336"/>
      <c r="AA30" s="336"/>
      <c r="AB30" s="336"/>
    </row>
    <row r="31" spans="1:28" s="338" customFormat="1" ht="10.5" x14ac:dyDescent="0.25">
      <c r="A31" s="347" t="s">
        <v>128</v>
      </c>
      <c r="B31" s="348">
        <v>45138</v>
      </c>
      <c r="C31" s="347" t="s">
        <v>35</v>
      </c>
      <c r="D31" s="347" t="s">
        <v>36</v>
      </c>
      <c r="E31" s="335">
        <v>6234618</v>
      </c>
      <c r="F31" s="349" t="s">
        <v>129</v>
      </c>
      <c r="G31" s="350" t="s">
        <v>116</v>
      </c>
      <c r="H31" s="350">
        <v>1</v>
      </c>
      <c r="I31" s="350" t="s">
        <v>120</v>
      </c>
      <c r="J31" s="335" t="s">
        <v>102</v>
      </c>
      <c r="K31" s="331" t="s">
        <v>69</v>
      </c>
      <c r="L31" s="332"/>
      <c r="M31" s="333" t="s">
        <v>121</v>
      </c>
      <c r="N31" s="333"/>
      <c r="O31" s="333"/>
      <c r="P31" s="344">
        <v>45142</v>
      </c>
      <c r="Q31" s="335"/>
      <c r="R31" s="335"/>
      <c r="S31" s="336"/>
      <c r="T31" s="336"/>
      <c r="U31" s="336"/>
      <c r="V31" s="336"/>
      <c r="W31" s="341">
        <v>45180</v>
      </c>
      <c r="X31" s="336">
        <v>1</v>
      </c>
      <c r="Y31" s="336">
        <f t="shared" ca="1" si="0"/>
        <v>38</v>
      </c>
      <c r="Z31" s="336"/>
      <c r="AA31" s="336"/>
      <c r="AB31" s="336"/>
    </row>
    <row r="32" spans="1:28" s="338" customFormat="1" ht="10.5" x14ac:dyDescent="0.25">
      <c r="A32" s="347" t="s">
        <v>130</v>
      </c>
      <c r="B32" s="348">
        <v>45138</v>
      </c>
      <c r="C32" s="347" t="s">
        <v>35</v>
      </c>
      <c r="D32" s="347" t="s">
        <v>36</v>
      </c>
      <c r="E32" s="335">
        <v>6234618</v>
      </c>
      <c r="F32" s="349" t="s">
        <v>131</v>
      </c>
      <c r="G32" s="350" t="s">
        <v>132</v>
      </c>
      <c r="H32" s="350">
        <v>4</v>
      </c>
      <c r="I32" s="350" t="s">
        <v>120</v>
      </c>
      <c r="J32" s="335" t="s">
        <v>102</v>
      </c>
      <c r="K32" s="331" t="s">
        <v>69</v>
      </c>
      <c r="L32" s="332"/>
      <c r="M32" s="333" t="s">
        <v>121</v>
      </c>
      <c r="N32" s="351">
        <v>25.04</v>
      </c>
      <c r="O32" s="351"/>
      <c r="P32" s="344">
        <v>45142</v>
      </c>
      <c r="Q32" s="335"/>
      <c r="R32" s="335"/>
      <c r="S32" s="336"/>
      <c r="T32" s="336"/>
      <c r="U32" s="336"/>
      <c r="V32" s="336"/>
      <c r="W32" s="341"/>
      <c r="X32" s="336"/>
      <c r="Y32" s="336">
        <f t="shared" ca="1" si="0"/>
        <v>444</v>
      </c>
      <c r="Z32" s="336"/>
      <c r="AA32" s="336"/>
      <c r="AB32" s="336"/>
    </row>
    <row r="33" spans="1:28" s="338" customFormat="1" ht="10.5" x14ac:dyDescent="0.25">
      <c r="A33" s="347" t="s">
        <v>133</v>
      </c>
      <c r="B33" s="348">
        <v>45138</v>
      </c>
      <c r="C33" s="347" t="s">
        <v>35</v>
      </c>
      <c r="D33" s="347" t="s">
        <v>36</v>
      </c>
      <c r="E33" s="335">
        <v>6234618</v>
      </c>
      <c r="F33" s="349" t="s">
        <v>134</v>
      </c>
      <c r="G33" s="350" t="s">
        <v>135</v>
      </c>
      <c r="H33" s="350">
        <v>1</v>
      </c>
      <c r="I33" s="350" t="s">
        <v>120</v>
      </c>
      <c r="J33" s="335" t="s">
        <v>102</v>
      </c>
      <c r="K33" s="331" t="s">
        <v>69</v>
      </c>
      <c r="L33" s="332"/>
      <c r="M33" s="333" t="s">
        <v>121</v>
      </c>
      <c r="N33" s="333"/>
      <c r="O33" s="333"/>
      <c r="P33" s="344">
        <v>45142</v>
      </c>
      <c r="Q33" s="335"/>
      <c r="R33" s="335"/>
      <c r="S33" s="336"/>
      <c r="T33" s="336"/>
      <c r="U33" s="336"/>
      <c r="V33" s="336"/>
      <c r="W33" s="341"/>
      <c r="X33" s="336"/>
      <c r="Y33" s="336">
        <f t="shared" ca="1" si="0"/>
        <v>444</v>
      </c>
      <c r="Z33" s="336"/>
      <c r="AA33" s="336"/>
      <c r="AB33" s="336"/>
    </row>
    <row r="34" spans="1:28" s="338" customFormat="1" ht="10.5" x14ac:dyDescent="0.25">
      <c r="A34" s="347" t="s">
        <v>136</v>
      </c>
      <c r="B34" s="348">
        <v>45138</v>
      </c>
      <c r="C34" s="347" t="s">
        <v>35</v>
      </c>
      <c r="D34" s="347" t="s">
        <v>36</v>
      </c>
      <c r="E34" s="335">
        <v>5633893</v>
      </c>
      <c r="F34" s="349" t="s">
        <v>137</v>
      </c>
      <c r="G34" s="350" t="s">
        <v>138</v>
      </c>
      <c r="H34" s="335">
        <v>4</v>
      </c>
      <c r="I34" s="335" t="s">
        <v>139</v>
      </c>
      <c r="J34" s="335" t="s">
        <v>102</v>
      </c>
      <c r="K34" s="331" t="s">
        <v>69</v>
      </c>
      <c r="L34" s="332"/>
      <c r="M34" s="333" t="s">
        <v>140</v>
      </c>
      <c r="N34" s="333"/>
      <c r="O34" s="333"/>
      <c r="P34" s="344">
        <v>45142</v>
      </c>
      <c r="Q34" s="335"/>
      <c r="R34" s="335"/>
      <c r="S34" s="336"/>
      <c r="T34" s="336"/>
      <c r="U34" s="336"/>
      <c r="V34" s="336"/>
      <c r="W34" s="341">
        <v>45098</v>
      </c>
      <c r="X34" s="336">
        <v>200</v>
      </c>
      <c r="Y34" s="336">
        <f t="shared" ca="1" si="0"/>
        <v>-44</v>
      </c>
      <c r="Z34" s="336"/>
      <c r="AA34" s="336"/>
      <c r="AB34" s="336"/>
    </row>
    <row r="35" spans="1:28" s="338" customFormat="1" ht="10.5" x14ac:dyDescent="0.25">
      <c r="A35" s="347" t="s">
        <v>141</v>
      </c>
      <c r="B35" s="348">
        <v>45138</v>
      </c>
      <c r="C35" s="347" t="s">
        <v>35</v>
      </c>
      <c r="D35" s="347" t="s">
        <v>36</v>
      </c>
      <c r="E35" s="335">
        <v>5762959</v>
      </c>
      <c r="F35" s="349"/>
      <c r="G35" s="350" t="s">
        <v>142</v>
      </c>
      <c r="H35" s="335">
        <v>1</v>
      </c>
      <c r="I35" s="335" t="s">
        <v>143</v>
      </c>
      <c r="J35" s="335" t="s">
        <v>102</v>
      </c>
      <c r="K35" s="331" t="s">
        <v>69</v>
      </c>
      <c r="L35" s="332"/>
      <c r="M35" s="333" t="s">
        <v>144</v>
      </c>
      <c r="N35" s="333"/>
      <c r="O35" s="333"/>
      <c r="P35" s="344">
        <v>45142</v>
      </c>
      <c r="Q35" s="335"/>
      <c r="R35" s="335"/>
      <c r="S35" s="336"/>
      <c r="T35" s="336"/>
      <c r="U35" s="336"/>
      <c r="V35" s="336"/>
      <c r="W35" s="341"/>
      <c r="X35" s="336"/>
      <c r="Y35" s="336">
        <f t="shared" ca="1" si="0"/>
        <v>444</v>
      </c>
      <c r="Z35" s="336"/>
      <c r="AA35" s="336"/>
      <c r="AB35" s="336"/>
    </row>
    <row r="36" spans="1:28" s="338" customFormat="1" ht="10.5" x14ac:dyDescent="0.25">
      <c r="A36" s="347" t="s">
        <v>145</v>
      </c>
      <c r="B36" s="348">
        <v>45138</v>
      </c>
      <c r="C36" s="347" t="s">
        <v>35</v>
      </c>
      <c r="D36" s="347" t="s">
        <v>36</v>
      </c>
      <c r="E36" s="335">
        <v>5762959</v>
      </c>
      <c r="F36" s="349" t="s">
        <v>146</v>
      </c>
      <c r="G36" s="350" t="s">
        <v>147</v>
      </c>
      <c r="H36" s="335">
        <v>2</v>
      </c>
      <c r="I36" s="335" t="s">
        <v>143</v>
      </c>
      <c r="J36" s="335" t="s">
        <v>102</v>
      </c>
      <c r="K36" s="331" t="s">
        <v>69</v>
      </c>
      <c r="L36" s="332"/>
      <c r="M36" s="333" t="s">
        <v>144</v>
      </c>
      <c r="N36" s="351">
        <v>14.74</v>
      </c>
      <c r="O36" s="351"/>
      <c r="P36" s="344">
        <v>45142</v>
      </c>
      <c r="Q36" s="335"/>
      <c r="R36" s="335"/>
      <c r="S36" s="336"/>
      <c r="T36" s="336"/>
      <c r="U36" s="336"/>
      <c r="V36" s="336"/>
      <c r="W36" s="341">
        <v>45180</v>
      </c>
      <c r="X36" s="336">
        <v>2</v>
      </c>
      <c r="Y36" s="336">
        <f t="shared" ca="1" si="0"/>
        <v>38</v>
      </c>
      <c r="Z36" s="336"/>
      <c r="AA36" s="336"/>
      <c r="AB36" s="336"/>
    </row>
    <row r="37" spans="1:28" s="338" customFormat="1" ht="10.5" x14ac:dyDescent="0.25">
      <c r="A37" s="347" t="s">
        <v>148</v>
      </c>
      <c r="B37" s="348">
        <v>45138</v>
      </c>
      <c r="C37" s="347" t="s">
        <v>35</v>
      </c>
      <c r="D37" s="347" t="s">
        <v>36</v>
      </c>
      <c r="E37" s="335">
        <v>5762959</v>
      </c>
      <c r="F37" s="349" t="s">
        <v>149</v>
      </c>
      <c r="G37" s="350" t="s">
        <v>150</v>
      </c>
      <c r="H37" s="335">
        <v>1</v>
      </c>
      <c r="I37" s="335" t="s">
        <v>143</v>
      </c>
      <c r="J37" s="335" t="s">
        <v>102</v>
      </c>
      <c r="K37" s="331" t="s">
        <v>69</v>
      </c>
      <c r="L37" s="332"/>
      <c r="M37" s="333" t="s">
        <v>144</v>
      </c>
      <c r="N37" s="351">
        <v>1.21</v>
      </c>
      <c r="O37" s="351"/>
      <c r="P37" s="344">
        <v>45142</v>
      </c>
      <c r="Q37" s="335"/>
      <c r="R37" s="335"/>
      <c r="S37" s="336"/>
      <c r="T37" s="336"/>
      <c r="U37" s="336"/>
      <c r="V37" s="336"/>
      <c r="W37" s="337">
        <v>45184</v>
      </c>
      <c r="X37" s="336">
        <v>1</v>
      </c>
      <c r="Y37" s="336">
        <f t="shared" ca="1" si="0"/>
        <v>42</v>
      </c>
      <c r="Z37" s="336"/>
      <c r="AA37" s="336"/>
      <c r="AB37" s="336"/>
    </row>
    <row r="38" spans="1:28" s="338" customFormat="1" ht="10.5" x14ac:dyDescent="0.25">
      <c r="A38" s="347" t="s">
        <v>151</v>
      </c>
      <c r="B38" s="348">
        <v>45138</v>
      </c>
      <c r="C38" s="347" t="s">
        <v>35</v>
      </c>
      <c r="D38" s="347" t="s">
        <v>36</v>
      </c>
      <c r="E38" s="335" t="s">
        <v>152</v>
      </c>
      <c r="F38" s="349"/>
      <c r="G38" s="350" t="s">
        <v>153</v>
      </c>
      <c r="H38" s="335">
        <v>20</v>
      </c>
      <c r="I38" s="335" t="s">
        <v>154</v>
      </c>
      <c r="J38" s="335" t="s">
        <v>46</v>
      </c>
      <c r="K38" s="331" t="s">
        <v>32</v>
      </c>
      <c r="L38" s="332"/>
      <c r="M38" s="333" t="s">
        <v>33</v>
      </c>
      <c r="N38" s="333"/>
      <c r="O38" s="333"/>
      <c r="P38" s="344">
        <v>45142</v>
      </c>
      <c r="Q38" s="335"/>
      <c r="R38" s="335"/>
      <c r="S38" s="336"/>
      <c r="T38" s="336"/>
      <c r="U38" s="336"/>
      <c r="V38" s="336"/>
      <c r="W38" s="341"/>
      <c r="X38" s="336"/>
      <c r="Y38" s="336">
        <f t="shared" ca="1" si="0"/>
        <v>444</v>
      </c>
      <c r="Z38" s="336"/>
      <c r="AA38" s="336"/>
      <c r="AB38" s="336"/>
    </row>
    <row r="39" spans="1:28" s="338" customFormat="1" ht="10.5" x14ac:dyDescent="0.25">
      <c r="A39" s="347" t="s">
        <v>155</v>
      </c>
      <c r="B39" s="348">
        <v>45138</v>
      </c>
      <c r="C39" s="347" t="s">
        <v>35</v>
      </c>
      <c r="D39" s="347" t="s">
        <v>36</v>
      </c>
      <c r="E39" s="335">
        <v>5763027</v>
      </c>
      <c r="F39" s="349"/>
      <c r="G39" s="350" t="s">
        <v>156</v>
      </c>
      <c r="H39" s="335">
        <v>4</v>
      </c>
      <c r="I39" s="335" t="s">
        <v>157</v>
      </c>
      <c r="J39" s="335" t="s">
        <v>102</v>
      </c>
      <c r="K39" s="331" t="s">
        <v>69</v>
      </c>
      <c r="L39" s="332"/>
      <c r="M39" s="333" t="s">
        <v>158</v>
      </c>
      <c r="N39" s="333"/>
      <c r="O39" s="333"/>
      <c r="P39" s="344">
        <v>45142</v>
      </c>
      <c r="Q39" s="335"/>
      <c r="R39" s="335"/>
      <c r="S39" s="336"/>
      <c r="T39" s="336"/>
      <c r="U39" s="336"/>
      <c r="V39" s="336"/>
      <c r="W39" s="341"/>
      <c r="X39" s="336"/>
      <c r="Y39" s="336">
        <f t="shared" ca="1" si="0"/>
        <v>444</v>
      </c>
      <c r="Z39" s="336"/>
      <c r="AA39" s="336"/>
      <c r="AB39" s="336"/>
    </row>
    <row r="40" spans="1:28" s="338" customFormat="1" ht="10.5" x14ac:dyDescent="0.25">
      <c r="A40" s="347" t="s">
        <v>159</v>
      </c>
      <c r="B40" s="348">
        <v>45138</v>
      </c>
      <c r="C40" s="347" t="s">
        <v>35</v>
      </c>
      <c r="D40" s="347" t="s">
        <v>36</v>
      </c>
      <c r="E40" s="335">
        <v>5634354</v>
      </c>
      <c r="F40" s="349" t="s">
        <v>160</v>
      </c>
      <c r="G40" s="350" t="s">
        <v>161</v>
      </c>
      <c r="H40" s="335">
        <v>4</v>
      </c>
      <c r="I40" s="335" t="s">
        <v>101</v>
      </c>
      <c r="J40" s="335" t="s">
        <v>102</v>
      </c>
      <c r="K40" s="331" t="s">
        <v>69</v>
      </c>
      <c r="L40" s="332"/>
      <c r="M40" s="333" t="s">
        <v>162</v>
      </c>
      <c r="N40" s="351">
        <v>0.13</v>
      </c>
      <c r="O40" s="351"/>
      <c r="P40" s="344">
        <v>45142</v>
      </c>
      <c r="Q40" s="335"/>
      <c r="R40" s="335"/>
      <c r="S40" s="336"/>
      <c r="T40" s="336"/>
      <c r="U40" s="336"/>
      <c r="V40" s="336"/>
      <c r="W40" s="337">
        <v>45155</v>
      </c>
      <c r="X40" s="336"/>
      <c r="Y40" s="336">
        <f t="shared" ca="1" si="0"/>
        <v>13</v>
      </c>
      <c r="Z40" s="336"/>
      <c r="AA40" s="336"/>
      <c r="AB40" s="336"/>
    </row>
    <row r="41" spans="1:28" s="338" customFormat="1" ht="10.5" x14ac:dyDescent="0.25">
      <c r="A41" s="347" t="s">
        <v>163</v>
      </c>
      <c r="B41" s="348">
        <v>45138</v>
      </c>
      <c r="C41" s="347" t="s">
        <v>35</v>
      </c>
      <c r="D41" s="347" t="s">
        <v>36</v>
      </c>
      <c r="E41" s="335">
        <v>5634354</v>
      </c>
      <c r="F41" s="349" t="s">
        <v>164</v>
      </c>
      <c r="G41" s="350" t="s">
        <v>165</v>
      </c>
      <c r="H41" s="335">
        <v>1</v>
      </c>
      <c r="I41" s="335" t="s">
        <v>101</v>
      </c>
      <c r="J41" s="335" t="s">
        <v>102</v>
      </c>
      <c r="K41" s="331" t="s">
        <v>69</v>
      </c>
      <c r="L41" s="332"/>
      <c r="M41" s="333" t="s">
        <v>166</v>
      </c>
      <c r="N41" s="333"/>
      <c r="O41" s="333"/>
      <c r="P41" s="344">
        <v>45142</v>
      </c>
      <c r="Q41" s="335"/>
      <c r="R41" s="335"/>
      <c r="S41" s="336"/>
      <c r="T41" s="336"/>
      <c r="U41" s="336"/>
      <c r="V41" s="336"/>
      <c r="W41" s="337">
        <v>45306</v>
      </c>
      <c r="X41" s="336"/>
      <c r="Y41" s="336">
        <f t="shared" ca="1" si="0"/>
        <v>164</v>
      </c>
      <c r="Z41" s="336"/>
      <c r="AA41" s="336"/>
      <c r="AB41" s="336"/>
    </row>
    <row r="42" spans="1:28" s="338" customFormat="1" ht="10.5" x14ac:dyDescent="0.25">
      <c r="A42" s="347" t="s">
        <v>167</v>
      </c>
      <c r="B42" s="348">
        <v>45138</v>
      </c>
      <c r="C42" s="347" t="s">
        <v>35</v>
      </c>
      <c r="D42" s="347" t="s">
        <v>36</v>
      </c>
      <c r="E42" s="335">
        <v>5632234</v>
      </c>
      <c r="F42" s="349"/>
      <c r="G42" s="350" t="s">
        <v>168</v>
      </c>
      <c r="H42" s="335">
        <v>1</v>
      </c>
      <c r="I42" s="335" t="s">
        <v>169</v>
      </c>
      <c r="J42" s="335" t="s">
        <v>102</v>
      </c>
      <c r="K42" s="331" t="s">
        <v>69</v>
      </c>
      <c r="L42" s="332"/>
      <c r="M42" s="333"/>
      <c r="N42" s="333"/>
      <c r="O42" s="333"/>
      <c r="P42" s="344">
        <v>45142</v>
      </c>
      <c r="Q42" s="335"/>
      <c r="R42" s="335"/>
      <c r="S42" s="336"/>
      <c r="T42" s="336"/>
      <c r="U42" s="336"/>
      <c r="V42" s="336"/>
      <c r="W42" s="337">
        <v>45155</v>
      </c>
      <c r="X42" s="336"/>
      <c r="Y42" s="336">
        <f t="shared" ca="1" si="0"/>
        <v>13</v>
      </c>
      <c r="Z42" s="336"/>
      <c r="AA42" s="336"/>
      <c r="AB42" s="336"/>
    </row>
    <row r="43" spans="1:28" s="338" customFormat="1" ht="10.5" x14ac:dyDescent="0.25">
      <c r="A43" s="347" t="s">
        <v>170</v>
      </c>
      <c r="B43" s="348">
        <v>45138</v>
      </c>
      <c r="C43" s="347" t="s">
        <v>35</v>
      </c>
      <c r="D43" s="347" t="s">
        <v>36</v>
      </c>
      <c r="E43" s="335">
        <v>6244026</v>
      </c>
      <c r="F43" s="349" t="s">
        <v>171</v>
      </c>
      <c r="G43" s="350" t="s">
        <v>172</v>
      </c>
      <c r="H43" s="335">
        <v>1</v>
      </c>
      <c r="I43" s="335" t="s">
        <v>173</v>
      </c>
      <c r="J43" s="335" t="s">
        <v>102</v>
      </c>
      <c r="K43" s="331" t="s">
        <v>69</v>
      </c>
      <c r="L43" s="332"/>
      <c r="M43" s="333"/>
      <c r="N43" s="333"/>
      <c r="O43" s="333"/>
      <c r="P43" s="344">
        <v>45142</v>
      </c>
      <c r="Q43" s="335"/>
      <c r="R43" s="335"/>
      <c r="S43" s="336"/>
      <c r="T43" s="336"/>
      <c r="U43" s="336"/>
      <c r="V43" s="336"/>
      <c r="W43" s="337">
        <v>45155</v>
      </c>
      <c r="X43" s="336">
        <v>1</v>
      </c>
      <c r="Y43" s="336">
        <f t="shared" ca="1" si="0"/>
        <v>13</v>
      </c>
      <c r="Z43" s="336"/>
      <c r="AA43" s="336"/>
      <c r="AB43" s="336"/>
    </row>
    <row r="44" spans="1:28" s="338" customFormat="1" ht="10.5" x14ac:dyDescent="0.25">
      <c r="A44" s="347" t="s">
        <v>174</v>
      </c>
      <c r="B44" s="348">
        <v>45138</v>
      </c>
      <c r="C44" s="347" t="s">
        <v>35</v>
      </c>
      <c r="D44" s="347" t="s">
        <v>36</v>
      </c>
      <c r="E44" s="335">
        <v>5763027</v>
      </c>
      <c r="F44" s="349"/>
      <c r="G44" s="350" t="s">
        <v>175</v>
      </c>
      <c r="H44" s="335">
        <v>1</v>
      </c>
      <c r="I44" s="335" t="s">
        <v>157</v>
      </c>
      <c r="J44" s="335" t="s">
        <v>102</v>
      </c>
      <c r="K44" s="331" t="s">
        <v>69</v>
      </c>
      <c r="L44" s="332"/>
      <c r="M44" s="333"/>
      <c r="N44" s="333"/>
      <c r="O44" s="333"/>
      <c r="P44" s="344">
        <v>45142</v>
      </c>
      <c r="Q44" s="335"/>
      <c r="R44" s="335"/>
      <c r="S44" s="336"/>
      <c r="T44" s="336"/>
      <c r="U44" s="336"/>
      <c r="V44" s="336"/>
      <c r="W44" s="341"/>
      <c r="X44" s="336"/>
      <c r="Y44" s="336">
        <f t="shared" ca="1" si="0"/>
        <v>444</v>
      </c>
      <c r="Z44" s="336"/>
      <c r="AA44" s="336"/>
      <c r="AB44" s="336"/>
    </row>
    <row r="45" spans="1:28" s="338" customFormat="1" ht="10.5" x14ac:dyDescent="0.25">
      <c r="A45" s="347" t="s">
        <v>176</v>
      </c>
      <c r="B45" s="348">
        <v>45138</v>
      </c>
      <c r="C45" s="347" t="s">
        <v>35</v>
      </c>
      <c r="D45" s="347" t="s">
        <v>177</v>
      </c>
      <c r="E45" s="335" t="s">
        <v>178</v>
      </c>
      <c r="F45" s="349" t="s">
        <v>179</v>
      </c>
      <c r="G45" s="350" t="s">
        <v>180</v>
      </c>
      <c r="H45" s="335">
        <v>1</v>
      </c>
      <c r="I45" s="335" t="s">
        <v>181</v>
      </c>
      <c r="J45" s="335" t="s">
        <v>43</v>
      </c>
      <c r="K45" s="331" t="s">
        <v>32</v>
      </c>
      <c r="L45" s="332"/>
      <c r="M45" s="333" t="s">
        <v>33</v>
      </c>
      <c r="N45" s="333"/>
      <c r="O45" s="333"/>
      <c r="P45" s="344">
        <v>45167</v>
      </c>
      <c r="Q45" s="335"/>
      <c r="R45" s="335"/>
      <c r="S45" s="336"/>
      <c r="T45" s="336"/>
      <c r="U45" s="336"/>
      <c r="V45" s="336"/>
      <c r="W45" s="341">
        <v>45183</v>
      </c>
      <c r="X45" s="336">
        <v>1</v>
      </c>
      <c r="Y45" s="336">
        <f t="shared" ca="1" si="0"/>
        <v>16</v>
      </c>
      <c r="Z45" s="336"/>
      <c r="AA45" s="336"/>
      <c r="AB45" s="336"/>
    </row>
    <row r="46" spans="1:28" s="338" customFormat="1" ht="10.5" x14ac:dyDescent="0.25">
      <c r="A46" s="347" t="s">
        <v>182</v>
      </c>
      <c r="B46" s="348">
        <v>45138</v>
      </c>
      <c r="C46" s="347" t="s">
        <v>35</v>
      </c>
      <c r="D46" s="347" t="s">
        <v>177</v>
      </c>
      <c r="E46" s="335" t="s">
        <v>183</v>
      </c>
      <c r="F46" s="349" t="s">
        <v>179</v>
      </c>
      <c r="G46" s="350" t="s">
        <v>180</v>
      </c>
      <c r="H46" s="335">
        <v>1</v>
      </c>
      <c r="I46" s="335" t="s">
        <v>181</v>
      </c>
      <c r="J46" s="335" t="s">
        <v>43</v>
      </c>
      <c r="K46" s="331" t="s">
        <v>32</v>
      </c>
      <c r="L46" s="332"/>
      <c r="M46" s="333" t="s">
        <v>33</v>
      </c>
      <c r="N46" s="333"/>
      <c r="O46" s="333"/>
      <c r="P46" s="344">
        <v>45167</v>
      </c>
      <c r="Q46" s="335"/>
      <c r="R46" s="335"/>
      <c r="S46" s="336"/>
      <c r="T46" s="336"/>
      <c r="U46" s="336"/>
      <c r="V46" s="336"/>
      <c r="W46" s="341">
        <v>45183</v>
      </c>
      <c r="X46" s="336">
        <v>1</v>
      </c>
      <c r="Y46" s="336">
        <f t="shared" ca="1" si="0"/>
        <v>16</v>
      </c>
      <c r="Z46" s="336"/>
      <c r="AA46" s="336"/>
      <c r="AB46" s="336"/>
    </row>
    <row r="47" spans="1:28" s="338" customFormat="1" ht="10.5" x14ac:dyDescent="0.25">
      <c r="A47" s="347" t="s">
        <v>184</v>
      </c>
      <c r="B47" s="348">
        <v>45138</v>
      </c>
      <c r="C47" s="347" t="s">
        <v>35</v>
      </c>
      <c r="D47" s="347" t="s">
        <v>36</v>
      </c>
      <c r="E47" s="333" t="s">
        <v>33</v>
      </c>
      <c r="F47" s="349" t="s">
        <v>185</v>
      </c>
      <c r="G47" s="350" t="s">
        <v>186</v>
      </c>
      <c r="H47" s="335">
        <v>1</v>
      </c>
      <c r="I47" s="335" t="s">
        <v>187</v>
      </c>
      <c r="J47" s="335" t="s">
        <v>43</v>
      </c>
      <c r="K47" s="331" t="s">
        <v>32</v>
      </c>
      <c r="L47" s="332"/>
      <c r="M47" s="333" t="s">
        <v>33</v>
      </c>
      <c r="N47" s="333"/>
      <c r="O47" s="333"/>
      <c r="P47" s="344">
        <v>45148</v>
      </c>
      <c r="Q47" s="335"/>
      <c r="R47" s="335"/>
      <c r="S47" s="336"/>
      <c r="T47" s="336"/>
      <c r="U47" s="336"/>
      <c r="V47" s="336"/>
      <c r="W47" s="341">
        <v>45155</v>
      </c>
      <c r="X47" s="336">
        <v>1</v>
      </c>
      <c r="Y47" s="336">
        <f t="shared" ca="1" si="0"/>
        <v>7</v>
      </c>
      <c r="Z47" s="336"/>
      <c r="AA47" s="336"/>
      <c r="AB47" s="336"/>
    </row>
    <row r="48" spans="1:28" s="338" customFormat="1" ht="10.5" x14ac:dyDescent="0.25">
      <c r="A48" s="347" t="s">
        <v>188</v>
      </c>
      <c r="B48" s="348">
        <v>45138</v>
      </c>
      <c r="C48" s="347" t="s">
        <v>35</v>
      </c>
      <c r="D48" s="347" t="s">
        <v>36</v>
      </c>
      <c r="E48" s="333" t="s">
        <v>33</v>
      </c>
      <c r="F48" s="349" t="s">
        <v>189</v>
      </c>
      <c r="G48" s="350" t="s">
        <v>190</v>
      </c>
      <c r="H48" s="335">
        <v>1</v>
      </c>
      <c r="I48" s="335" t="s">
        <v>187</v>
      </c>
      <c r="J48" s="335" t="s">
        <v>68</v>
      </c>
      <c r="K48" s="331" t="s">
        <v>69</v>
      </c>
      <c r="L48" s="332"/>
      <c r="M48" s="333"/>
      <c r="N48" s="333"/>
      <c r="O48" s="333"/>
      <c r="P48" s="344">
        <v>45167</v>
      </c>
      <c r="Q48" s="335"/>
      <c r="R48" s="335"/>
      <c r="S48" s="336"/>
      <c r="T48" s="336"/>
      <c r="U48" s="336"/>
      <c r="V48" s="336"/>
      <c r="W48" s="341">
        <v>45306</v>
      </c>
      <c r="X48" s="336">
        <v>1</v>
      </c>
      <c r="Y48" s="336">
        <f t="shared" ca="1" si="0"/>
        <v>139</v>
      </c>
      <c r="Z48" s="336"/>
      <c r="AA48" s="336"/>
      <c r="AB48" s="336"/>
    </row>
    <row r="49" spans="1:28" s="338" customFormat="1" ht="10.5" x14ac:dyDescent="0.25">
      <c r="A49" s="347" t="s">
        <v>191</v>
      </c>
      <c r="B49" s="348">
        <v>45138</v>
      </c>
      <c r="C49" s="347" t="s">
        <v>35</v>
      </c>
      <c r="D49" s="347" t="s">
        <v>36</v>
      </c>
      <c r="E49" s="333" t="s">
        <v>33</v>
      </c>
      <c r="F49" s="349" t="s">
        <v>192</v>
      </c>
      <c r="G49" s="350" t="s">
        <v>193</v>
      </c>
      <c r="H49" s="335">
        <v>5</v>
      </c>
      <c r="I49" s="335" t="s">
        <v>187</v>
      </c>
      <c r="J49" s="335" t="s">
        <v>43</v>
      </c>
      <c r="K49" s="331" t="s">
        <v>32</v>
      </c>
      <c r="L49" s="332"/>
      <c r="M49" s="333" t="s">
        <v>33</v>
      </c>
      <c r="N49" s="333"/>
      <c r="O49" s="333"/>
      <c r="P49" s="344">
        <v>45148</v>
      </c>
      <c r="Q49" s="335"/>
      <c r="R49" s="335"/>
      <c r="S49" s="336"/>
      <c r="T49" s="336"/>
      <c r="U49" s="336"/>
      <c r="V49" s="336"/>
      <c r="W49" s="341">
        <v>45155</v>
      </c>
      <c r="X49" s="336">
        <v>10</v>
      </c>
      <c r="Y49" s="336">
        <f t="shared" ca="1" si="0"/>
        <v>7</v>
      </c>
      <c r="Z49" s="336"/>
      <c r="AA49" s="336"/>
      <c r="AB49" s="336" t="s">
        <v>194</v>
      </c>
    </row>
    <row r="50" spans="1:28" s="338" customFormat="1" ht="10.5" x14ac:dyDescent="0.25">
      <c r="A50" s="347" t="s">
        <v>195</v>
      </c>
      <c r="B50" s="348">
        <v>45138</v>
      </c>
      <c r="C50" s="347" t="s">
        <v>35</v>
      </c>
      <c r="D50" s="347" t="s">
        <v>36</v>
      </c>
      <c r="E50" s="335" t="s">
        <v>196</v>
      </c>
      <c r="F50" s="349" t="s">
        <v>197</v>
      </c>
      <c r="G50" s="350" t="s">
        <v>198</v>
      </c>
      <c r="H50" s="335">
        <v>5</v>
      </c>
      <c r="I50" s="335" t="s">
        <v>199</v>
      </c>
      <c r="J50" s="335" t="s">
        <v>43</v>
      </c>
      <c r="K50" s="331" t="s">
        <v>69</v>
      </c>
      <c r="L50" s="332"/>
      <c r="M50" s="333"/>
      <c r="N50" s="333"/>
      <c r="O50" s="333"/>
      <c r="P50" s="344">
        <v>45138</v>
      </c>
      <c r="Q50" s="335"/>
      <c r="R50" s="335"/>
      <c r="S50" s="336"/>
      <c r="T50" s="336"/>
      <c r="U50" s="336"/>
      <c r="V50" s="336"/>
      <c r="W50" s="341">
        <v>45155</v>
      </c>
      <c r="X50" s="336">
        <v>5</v>
      </c>
      <c r="Y50" s="336">
        <f t="shared" ca="1" si="0"/>
        <v>17</v>
      </c>
      <c r="Z50" s="336"/>
      <c r="AA50" s="336"/>
      <c r="AB50" s="336"/>
    </row>
    <row r="51" spans="1:28" s="338" customFormat="1" ht="10.5" x14ac:dyDescent="0.25">
      <c r="A51" s="347" t="s">
        <v>200</v>
      </c>
      <c r="B51" s="348">
        <v>45138</v>
      </c>
      <c r="C51" s="347" t="s">
        <v>35</v>
      </c>
      <c r="D51" s="347" t="s">
        <v>36</v>
      </c>
      <c r="E51" s="335">
        <v>5763139</v>
      </c>
      <c r="F51" s="349" t="s">
        <v>201</v>
      </c>
      <c r="G51" s="350" t="s">
        <v>202</v>
      </c>
      <c r="H51" s="335">
        <v>1</v>
      </c>
      <c r="I51" s="335" t="s">
        <v>199</v>
      </c>
      <c r="J51" s="335" t="s">
        <v>68</v>
      </c>
      <c r="K51" s="331" t="s">
        <v>69</v>
      </c>
      <c r="L51" s="332"/>
      <c r="M51" s="333" t="s">
        <v>33</v>
      </c>
      <c r="N51" s="333"/>
      <c r="O51" s="333"/>
      <c r="P51" s="344">
        <v>45148</v>
      </c>
      <c r="Q51" s="335"/>
      <c r="R51" s="335"/>
      <c r="S51" s="336"/>
      <c r="T51" s="336"/>
      <c r="U51" s="336"/>
      <c r="V51" s="336"/>
      <c r="W51" s="341"/>
      <c r="X51" s="336"/>
      <c r="Y51" s="336">
        <f t="shared" ca="1" si="0"/>
        <v>438</v>
      </c>
      <c r="Z51" s="336"/>
      <c r="AA51" s="336"/>
      <c r="AB51" s="336"/>
    </row>
    <row r="52" spans="1:28" s="338" customFormat="1" ht="10.5" x14ac:dyDescent="0.25">
      <c r="A52" s="347" t="s">
        <v>203</v>
      </c>
      <c r="B52" s="348">
        <v>45138</v>
      </c>
      <c r="C52" s="347" t="s">
        <v>35</v>
      </c>
      <c r="D52" s="347" t="s">
        <v>36</v>
      </c>
      <c r="E52" s="335">
        <v>94196</v>
      </c>
      <c r="F52" s="349" t="s">
        <v>204</v>
      </c>
      <c r="G52" s="350" t="s">
        <v>205</v>
      </c>
      <c r="H52" s="335">
        <v>60</v>
      </c>
      <c r="I52" s="335" t="s">
        <v>206</v>
      </c>
      <c r="J52" s="335" t="s">
        <v>46</v>
      </c>
      <c r="K52" s="331" t="s">
        <v>32</v>
      </c>
      <c r="L52" s="332"/>
      <c r="M52" s="333" t="s">
        <v>33</v>
      </c>
      <c r="N52" s="333"/>
      <c r="O52" s="333"/>
      <c r="P52" s="344">
        <v>45148</v>
      </c>
      <c r="Q52" s="335"/>
      <c r="R52" s="335"/>
      <c r="S52" s="336"/>
      <c r="T52" s="336"/>
      <c r="U52" s="336"/>
      <c r="V52" s="336"/>
      <c r="W52" s="341">
        <v>45155</v>
      </c>
      <c r="X52" s="336">
        <v>60</v>
      </c>
      <c r="Y52" s="336">
        <f t="shared" ca="1" si="0"/>
        <v>7</v>
      </c>
      <c r="Z52" s="336"/>
      <c r="AA52" s="336"/>
      <c r="AB52" s="336"/>
    </row>
    <row r="53" spans="1:28" s="338" customFormat="1" ht="10.5" x14ac:dyDescent="0.25">
      <c r="A53" s="347" t="s">
        <v>207</v>
      </c>
      <c r="B53" s="352">
        <v>45138</v>
      </c>
      <c r="C53" s="353" t="s">
        <v>35</v>
      </c>
      <c r="D53" s="353" t="s">
        <v>36</v>
      </c>
      <c r="E53" s="354">
        <v>94196</v>
      </c>
      <c r="F53" s="355" t="s">
        <v>208</v>
      </c>
      <c r="G53" s="356" t="s">
        <v>205</v>
      </c>
      <c r="H53" s="354">
        <v>120</v>
      </c>
      <c r="I53" s="354" t="s">
        <v>209</v>
      </c>
      <c r="J53" s="354" t="s">
        <v>46</v>
      </c>
      <c r="K53" s="357" t="s">
        <v>32</v>
      </c>
      <c r="L53" s="358"/>
      <c r="M53" s="359" t="s">
        <v>33</v>
      </c>
      <c r="N53" s="359"/>
      <c r="O53" s="359"/>
      <c r="P53" s="360">
        <v>45148</v>
      </c>
      <c r="Q53" s="354"/>
      <c r="R53" s="354"/>
      <c r="S53" s="361"/>
      <c r="T53" s="361"/>
      <c r="U53" s="361"/>
      <c r="V53" s="361"/>
      <c r="W53" s="341">
        <v>45245</v>
      </c>
      <c r="X53" s="361">
        <f>120+100+500</f>
        <v>720</v>
      </c>
      <c r="Y53" s="361">
        <f t="shared" ca="1" si="0"/>
        <v>97</v>
      </c>
      <c r="Z53" s="361"/>
      <c r="AA53" s="361"/>
      <c r="AB53" s="361"/>
    </row>
    <row r="54" spans="1:28" s="338" customFormat="1" ht="10.5" x14ac:dyDescent="0.25">
      <c r="A54" s="347" t="s">
        <v>210</v>
      </c>
      <c r="B54" s="348">
        <v>45138</v>
      </c>
      <c r="C54" s="347" t="s">
        <v>35</v>
      </c>
      <c r="D54" s="347" t="s">
        <v>36</v>
      </c>
      <c r="E54" s="335">
        <v>94196</v>
      </c>
      <c r="F54" s="349" t="s">
        <v>211</v>
      </c>
      <c r="G54" s="350" t="s">
        <v>205</v>
      </c>
      <c r="H54" s="335">
        <v>30</v>
      </c>
      <c r="I54" s="335" t="s">
        <v>212</v>
      </c>
      <c r="J54" s="335" t="s">
        <v>46</v>
      </c>
      <c r="K54" s="331" t="s">
        <v>32</v>
      </c>
      <c r="L54" s="332"/>
      <c r="M54" s="333" t="s">
        <v>33</v>
      </c>
      <c r="N54" s="333"/>
      <c r="O54" s="333"/>
      <c r="P54" s="344">
        <v>45148</v>
      </c>
      <c r="Q54" s="335"/>
      <c r="R54" s="335"/>
      <c r="S54" s="336"/>
      <c r="T54" s="336"/>
      <c r="U54" s="336"/>
      <c r="V54" s="336"/>
      <c r="W54" s="341">
        <v>45155</v>
      </c>
      <c r="X54" s="336">
        <v>30</v>
      </c>
      <c r="Y54" s="336">
        <f t="shared" ca="1" si="0"/>
        <v>7</v>
      </c>
      <c r="Z54" s="336"/>
      <c r="AA54" s="336"/>
      <c r="AB54" s="336"/>
    </row>
    <row r="55" spans="1:28" s="338" customFormat="1" ht="10.5" x14ac:dyDescent="0.25">
      <c r="A55" s="347" t="s">
        <v>213</v>
      </c>
      <c r="B55" s="348">
        <v>45138</v>
      </c>
      <c r="C55" s="347" t="s">
        <v>26</v>
      </c>
      <c r="D55" s="347" t="s">
        <v>65</v>
      </c>
      <c r="E55" s="362">
        <v>4.73474475476472E+17</v>
      </c>
      <c r="F55" s="349">
        <v>2668247</v>
      </c>
      <c r="G55" s="350" t="s">
        <v>214</v>
      </c>
      <c r="H55" s="335">
        <v>6</v>
      </c>
      <c r="I55" s="335" t="s">
        <v>215</v>
      </c>
      <c r="J55" s="335" t="s">
        <v>46</v>
      </c>
      <c r="K55" s="331" t="s">
        <v>32</v>
      </c>
      <c r="L55" s="332"/>
      <c r="M55" s="333" t="s">
        <v>33</v>
      </c>
      <c r="N55" s="333"/>
      <c r="O55" s="333"/>
      <c r="P55" s="344">
        <v>45138</v>
      </c>
      <c r="Q55" s="335"/>
      <c r="R55" s="335"/>
      <c r="S55" s="336"/>
      <c r="T55" s="336"/>
      <c r="U55" s="336"/>
      <c r="V55" s="336"/>
      <c r="W55" s="341">
        <v>45377</v>
      </c>
      <c r="X55" s="336"/>
      <c r="Y55" s="336">
        <f t="shared" ca="1" si="0"/>
        <v>239</v>
      </c>
      <c r="Z55" s="336"/>
      <c r="AA55" s="336"/>
      <c r="AB55" s="336"/>
    </row>
    <row r="56" spans="1:28" s="338" customFormat="1" ht="10.5" x14ac:dyDescent="0.25">
      <c r="A56" s="347" t="s">
        <v>216</v>
      </c>
      <c r="B56" s="348">
        <v>45138</v>
      </c>
      <c r="C56" s="347" t="s">
        <v>26</v>
      </c>
      <c r="D56" s="347" t="s">
        <v>65</v>
      </c>
      <c r="E56" s="333" t="s">
        <v>33</v>
      </c>
      <c r="F56" s="349">
        <v>2354275</v>
      </c>
      <c r="G56" s="350" t="s">
        <v>217</v>
      </c>
      <c r="H56" s="335">
        <v>1</v>
      </c>
      <c r="I56" s="335" t="s">
        <v>215</v>
      </c>
      <c r="J56" s="335" t="s">
        <v>46</v>
      </c>
      <c r="K56" s="331" t="s">
        <v>32</v>
      </c>
      <c r="L56" s="332"/>
      <c r="M56" s="333" t="s">
        <v>33</v>
      </c>
      <c r="N56" s="333"/>
      <c r="O56" s="333"/>
      <c r="P56" s="344">
        <v>45138</v>
      </c>
      <c r="Q56" s="335"/>
      <c r="R56" s="335"/>
      <c r="S56" s="336"/>
      <c r="T56" s="336"/>
      <c r="U56" s="336"/>
      <c r="V56" s="336"/>
      <c r="W56" s="341">
        <v>45377</v>
      </c>
      <c r="X56" s="336"/>
      <c r="Y56" s="336">
        <f t="shared" ca="1" si="0"/>
        <v>239</v>
      </c>
      <c r="Z56" s="336"/>
      <c r="AA56" s="336"/>
      <c r="AB56" s="336"/>
    </row>
    <row r="57" spans="1:28" s="338" customFormat="1" ht="12.75" customHeight="1" x14ac:dyDescent="0.25">
      <c r="A57" s="347" t="s">
        <v>218</v>
      </c>
      <c r="B57" s="363">
        <v>45139</v>
      </c>
      <c r="C57" s="347" t="s">
        <v>219</v>
      </c>
      <c r="D57" s="364" t="s">
        <v>220</v>
      </c>
      <c r="E57" s="364" t="s">
        <v>221</v>
      </c>
      <c r="F57" s="365">
        <v>8382000630</v>
      </c>
      <c r="G57" s="366" t="s">
        <v>222</v>
      </c>
      <c r="H57" s="367">
        <v>3</v>
      </c>
      <c r="I57" s="364">
        <v>1</v>
      </c>
      <c r="J57" s="364" t="s">
        <v>102</v>
      </c>
      <c r="K57" s="368" t="s">
        <v>69</v>
      </c>
      <c r="L57" s="332"/>
      <c r="M57" s="333" t="s">
        <v>223</v>
      </c>
      <c r="N57" s="333"/>
      <c r="O57" s="333"/>
      <c r="P57" s="344">
        <v>45139</v>
      </c>
      <c r="Q57" s="335"/>
      <c r="R57" s="364"/>
      <c r="S57" s="369"/>
      <c r="T57" s="369"/>
      <c r="U57" s="369"/>
      <c r="V57" s="369"/>
      <c r="W57" s="370">
        <v>45217</v>
      </c>
      <c r="X57" s="369">
        <v>3</v>
      </c>
      <c r="Y57" s="336">
        <f t="shared" ca="1" si="0"/>
        <v>78</v>
      </c>
      <c r="Z57" s="369"/>
      <c r="AA57" s="336"/>
      <c r="AB57" s="369"/>
    </row>
    <row r="58" spans="1:28" s="338" customFormat="1" ht="12.75" customHeight="1" x14ac:dyDescent="0.25">
      <c r="A58" s="347" t="s">
        <v>224</v>
      </c>
      <c r="B58" s="363">
        <v>45139</v>
      </c>
      <c r="C58" s="347" t="s">
        <v>219</v>
      </c>
      <c r="D58" s="364" t="s">
        <v>220</v>
      </c>
      <c r="E58" s="364" t="s">
        <v>221</v>
      </c>
      <c r="F58" s="371" t="s">
        <v>225</v>
      </c>
      <c r="G58" s="372" t="s">
        <v>226</v>
      </c>
      <c r="H58" s="333">
        <v>1</v>
      </c>
      <c r="I58" s="333">
        <v>1</v>
      </c>
      <c r="J58" s="333" t="s">
        <v>102</v>
      </c>
      <c r="K58" s="332" t="s">
        <v>69</v>
      </c>
      <c r="L58" s="332"/>
      <c r="M58" s="333" t="s">
        <v>223</v>
      </c>
      <c r="N58" s="333"/>
      <c r="O58" s="333"/>
      <c r="P58" s="344">
        <v>45139</v>
      </c>
      <c r="Q58" s="335"/>
      <c r="R58" s="333"/>
      <c r="S58" s="373"/>
      <c r="T58" s="373"/>
      <c r="U58" s="373"/>
      <c r="V58" s="373"/>
      <c r="W58" s="346"/>
      <c r="X58" s="373"/>
      <c r="Y58" s="336">
        <f t="shared" ca="1" si="0"/>
        <v>447</v>
      </c>
      <c r="Z58" s="373"/>
      <c r="AA58" s="336"/>
      <c r="AB58" s="373"/>
    </row>
    <row r="59" spans="1:28" s="338" customFormat="1" ht="12.75" customHeight="1" x14ac:dyDescent="0.25">
      <c r="A59" s="347" t="s">
        <v>227</v>
      </c>
      <c r="B59" s="363">
        <v>45139</v>
      </c>
      <c r="C59" s="347" t="s">
        <v>219</v>
      </c>
      <c r="D59" s="364" t="s">
        <v>220</v>
      </c>
      <c r="E59" s="364" t="s">
        <v>221</v>
      </c>
      <c r="F59" s="374"/>
      <c r="G59" s="372" t="s">
        <v>228</v>
      </c>
      <c r="H59" s="333">
        <v>1</v>
      </c>
      <c r="I59" s="333" t="s">
        <v>229</v>
      </c>
      <c r="J59" s="333" t="s">
        <v>102</v>
      </c>
      <c r="K59" s="332" t="s">
        <v>69</v>
      </c>
      <c r="L59" s="332"/>
      <c r="M59" s="333" t="s">
        <v>223</v>
      </c>
      <c r="N59" s="333"/>
      <c r="O59" s="333"/>
      <c r="P59" s="344">
        <v>45139</v>
      </c>
      <c r="Q59" s="335"/>
      <c r="R59" s="333"/>
      <c r="S59" s="373"/>
      <c r="T59" s="373"/>
      <c r="U59" s="373"/>
      <c r="V59" s="373"/>
      <c r="W59" s="346"/>
      <c r="X59" s="373"/>
      <c r="Y59" s="336">
        <f t="shared" ca="1" si="0"/>
        <v>447</v>
      </c>
      <c r="Z59" s="373"/>
      <c r="AA59" s="336"/>
      <c r="AB59" s="373"/>
    </row>
    <row r="60" spans="1:28" s="338" customFormat="1" ht="12.75" customHeight="1" x14ac:dyDescent="0.25">
      <c r="A60" s="347" t="s">
        <v>230</v>
      </c>
      <c r="B60" s="363">
        <v>45139</v>
      </c>
      <c r="C60" s="347" t="s">
        <v>219</v>
      </c>
      <c r="D60" s="364" t="s">
        <v>220</v>
      </c>
      <c r="E60" s="364" t="s">
        <v>221</v>
      </c>
      <c r="F60" s="374">
        <v>354100410</v>
      </c>
      <c r="G60" s="372" t="s">
        <v>231</v>
      </c>
      <c r="H60" s="333">
        <v>1</v>
      </c>
      <c r="I60" s="333" t="s">
        <v>229</v>
      </c>
      <c r="J60" s="333" t="s">
        <v>102</v>
      </c>
      <c r="K60" s="332" t="s">
        <v>69</v>
      </c>
      <c r="L60" s="332"/>
      <c r="M60" s="333" t="s">
        <v>223</v>
      </c>
      <c r="N60" s="333"/>
      <c r="O60" s="333"/>
      <c r="P60" s="344">
        <v>45139</v>
      </c>
      <c r="Q60" s="335"/>
      <c r="R60" s="333"/>
      <c r="S60" s="373"/>
      <c r="T60" s="373"/>
      <c r="U60" s="373"/>
      <c r="V60" s="373"/>
      <c r="W60" s="346">
        <v>45217</v>
      </c>
      <c r="X60" s="373"/>
      <c r="Y60" s="336">
        <f t="shared" ca="1" si="0"/>
        <v>78</v>
      </c>
      <c r="Z60" s="373"/>
      <c r="AA60" s="336"/>
      <c r="AB60" s="373"/>
    </row>
    <row r="61" spans="1:28" s="338" customFormat="1" ht="12.75" customHeight="1" x14ac:dyDescent="0.25">
      <c r="A61" s="347" t="s">
        <v>232</v>
      </c>
      <c r="B61" s="363">
        <v>45139</v>
      </c>
      <c r="C61" s="347" t="s">
        <v>219</v>
      </c>
      <c r="D61" s="364" t="s">
        <v>220</v>
      </c>
      <c r="E61" s="364" t="s">
        <v>221</v>
      </c>
      <c r="F61" s="374">
        <v>3722100030</v>
      </c>
      <c r="G61" s="372" t="s">
        <v>233</v>
      </c>
      <c r="H61" s="333">
        <v>3</v>
      </c>
      <c r="I61" s="333" t="s">
        <v>229</v>
      </c>
      <c r="J61" s="333" t="s">
        <v>68</v>
      </c>
      <c r="K61" s="332" t="s">
        <v>69</v>
      </c>
      <c r="L61" s="332"/>
      <c r="M61" s="333" t="s">
        <v>223</v>
      </c>
      <c r="N61" s="333"/>
      <c r="O61" s="333"/>
      <c r="P61" s="344">
        <v>45139</v>
      </c>
      <c r="Q61" s="335"/>
      <c r="R61" s="333"/>
      <c r="S61" s="373"/>
      <c r="T61" s="373"/>
      <c r="U61" s="373"/>
      <c r="V61" s="373"/>
      <c r="W61" s="346"/>
      <c r="X61" s="373"/>
      <c r="Y61" s="336">
        <f t="shared" ca="1" si="0"/>
        <v>447</v>
      </c>
      <c r="Z61" s="373"/>
      <c r="AA61" s="336"/>
      <c r="AB61" s="373"/>
    </row>
    <row r="62" spans="1:28" s="338" customFormat="1" ht="12.75" customHeight="1" x14ac:dyDescent="0.25">
      <c r="A62" s="347" t="s">
        <v>234</v>
      </c>
      <c r="B62" s="363">
        <v>45139</v>
      </c>
      <c r="C62" s="347" t="s">
        <v>219</v>
      </c>
      <c r="D62" s="364" t="s">
        <v>220</v>
      </c>
      <c r="E62" s="364" t="s">
        <v>221</v>
      </c>
      <c r="F62" s="374" t="s">
        <v>235</v>
      </c>
      <c r="G62" s="372" t="s">
        <v>236</v>
      </c>
      <c r="H62" s="333">
        <v>1</v>
      </c>
      <c r="I62" s="333" t="s">
        <v>229</v>
      </c>
      <c r="J62" s="333" t="s">
        <v>102</v>
      </c>
      <c r="K62" s="332" t="s">
        <v>69</v>
      </c>
      <c r="L62" s="332"/>
      <c r="M62" s="333" t="s">
        <v>223</v>
      </c>
      <c r="N62" s="333"/>
      <c r="O62" s="333"/>
      <c r="P62" s="344">
        <v>45139</v>
      </c>
      <c r="Q62" s="335"/>
      <c r="R62" s="333"/>
      <c r="S62" s="373"/>
      <c r="T62" s="373"/>
      <c r="U62" s="373"/>
      <c r="V62" s="373"/>
      <c r="W62" s="346">
        <v>45217</v>
      </c>
      <c r="X62" s="373">
        <v>1</v>
      </c>
      <c r="Y62" s="336">
        <f t="shared" ca="1" si="0"/>
        <v>78</v>
      </c>
      <c r="Z62" s="373"/>
      <c r="AA62" s="336"/>
      <c r="AB62" s="373"/>
    </row>
    <row r="63" spans="1:28" s="338" customFormat="1" ht="12.75" customHeight="1" x14ac:dyDescent="0.25">
      <c r="A63" s="347" t="s">
        <v>237</v>
      </c>
      <c r="B63" s="363">
        <v>45139</v>
      </c>
      <c r="C63" s="347" t="s">
        <v>219</v>
      </c>
      <c r="D63" s="364" t="s">
        <v>220</v>
      </c>
      <c r="E63" s="333" t="s">
        <v>238</v>
      </c>
      <c r="F63" s="374">
        <v>9051210608</v>
      </c>
      <c r="G63" s="372" t="s">
        <v>239</v>
      </c>
      <c r="H63" s="333">
        <v>20</v>
      </c>
      <c r="I63" s="333" t="s">
        <v>240</v>
      </c>
      <c r="J63" s="333" t="s">
        <v>102</v>
      </c>
      <c r="K63" s="332" t="s">
        <v>69</v>
      </c>
      <c r="L63" s="332"/>
      <c r="M63" s="333" t="s">
        <v>223</v>
      </c>
      <c r="N63" s="333"/>
      <c r="O63" s="333"/>
      <c r="P63" s="344">
        <v>45139</v>
      </c>
      <c r="Q63" s="335"/>
      <c r="R63" s="333"/>
      <c r="S63" s="373"/>
      <c r="T63" s="373"/>
      <c r="U63" s="373"/>
      <c r="V63" s="373"/>
      <c r="W63" s="346"/>
      <c r="X63" s="373"/>
      <c r="Y63" s="336">
        <f t="shared" ca="1" si="0"/>
        <v>447</v>
      </c>
      <c r="Z63" s="373"/>
      <c r="AA63" s="336"/>
      <c r="AB63" s="373"/>
    </row>
    <row r="64" spans="1:28" s="338" customFormat="1" ht="12.75" customHeight="1" x14ac:dyDescent="0.25">
      <c r="A64" s="347" t="s">
        <v>241</v>
      </c>
      <c r="B64" s="363">
        <v>45139</v>
      </c>
      <c r="C64" s="347" t="s">
        <v>219</v>
      </c>
      <c r="D64" s="364" t="s">
        <v>220</v>
      </c>
      <c r="E64" s="333" t="s">
        <v>238</v>
      </c>
      <c r="F64" s="374" t="s">
        <v>242</v>
      </c>
      <c r="G64" s="372" t="s">
        <v>243</v>
      </c>
      <c r="H64" s="333">
        <v>1</v>
      </c>
      <c r="I64" s="333" t="s">
        <v>240</v>
      </c>
      <c r="J64" s="333" t="s">
        <v>102</v>
      </c>
      <c r="K64" s="332" t="s">
        <v>69</v>
      </c>
      <c r="L64" s="332"/>
      <c r="M64" s="333" t="s">
        <v>223</v>
      </c>
      <c r="N64" s="333"/>
      <c r="O64" s="333"/>
      <c r="P64" s="344">
        <v>45139</v>
      </c>
      <c r="Q64" s="335"/>
      <c r="R64" s="333"/>
      <c r="S64" s="373"/>
      <c r="T64" s="373"/>
      <c r="U64" s="373"/>
      <c r="V64" s="373"/>
      <c r="W64" s="346"/>
      <c r="X64" s="373"/>
      <c r="Y64" s="336">
        <f t="shared" ca="1" si="0"/>
        <v>447</v>
      </c>
      <c r="Z64" s="373"/>
      <c r="AA64" s="336"/>
      <c r="AB64" s="373"/>
    </row>
    <row r="65" spans="1:28" s="338" customFormat="1" ht="12.75" customHeight="1" x14ac:dyDescent="0.25">
      <c r="A65" s="347" t="s">
        <v>244</v>
      </c>
      <c r="B65" s="363">
        <v>45139</v>
      </c>
      <c r="C65" s="347" t="s">
        <v>219</v>
      </c>
      <c r="D65" s="364" t="s">
        <v>220</v>
      </c>
      <c r="E65" s="333" t="s">
        <v>245</v>
      </c>
      <c r="F65" s="374">
        <v>3752100610</v>
      </c>
      <c r="G65" s="372" t="s">
        <v>246</v>
      </c>
      <c r="H65" s="333">
        <v>1</v>
      </c>
      <c r="I65" s="333" t="s">
        <v>229</v>
      </c>
      <c r="J65" s="333" t="s">
        <v>102</v>
      </c>
      <c r="K65" s="332" t="s">
        <v>69</v>
      </c>
      <c r="L65" s="332"/>
      <c r="M65" s="333" t="s">
        <v>223</v>
      </c>
      <c r="N65" s="333"/>
      <c r="O65" s="333"/>
      <c r="P65" s="344">
        <v>45139</v>
      </c>
      <c r="Q65" s="335"/>
      <c r="R65" s="333"/>
      <c r="S65" s="373"/>
      <c r="T65" s="373"/>
      <c r="U65" s="373"/>
      <c r="V65" s="373"/>
      <c r="W65" s="346"/>
      <c r="X65" s="373"/>
      <c r="Y65" s="336">
        <f t="shared" ca="1" si="0"/>
        <v>447</v>
      </c>
      <c r="Z65" s="373"/>
      <c r="AA65" s="336"/>
      <c r="AB65" s="373"/>
    </row>
    <row r="66" spans="1:28" s="338" customFormat="1" ht="12.75" customHeight="1" x14ac:dyDescent="0.25">
      <c r="A66" s="347" t="s">
        <v>247</v>
      </c>
      <c r="B66" s="363">
        <v>45139</v>
      </c>
      <c r="C66" s="347" t="s">
        <v>219</v>
      </c>
      <c r="D66" s="364" t="s">
        <v>220</v>
      </c>
      <c r="E66" s="333" t="s">
        <v>248</v>
      </c>
      <c r="F66" s="374" t="s">
        <v>249</v>
      </c>
      <c r="G66" s="372" t="s">
        <v>250</v>
      </c>
      <c r="H66" s="333">
        <v>1</v>
      </c>
      <c r="I66" s="333" t="s">
        <v>229</v>
      </c>
      <c r="J66" s="333" t="s">
        <v>102</v>
      </c>
      <c r="K66" s="332" t="s">
        <v>69</v>
      </c>
      <c r="L66" s="332"/>
      <c r="M66" s="333" t="s">
        <v>223</v>
      </c>
      <c r="N66" s="333"/>
      <c r="O66" s="333"/>
      <c r="P66" s="344">
        <v>45139</v>
      </c>
      <c r="Q66" s="335"/>
      <c r="R66" s="333"/>
      <c r="S66" s="373"/>
      <c r="T66" s="373"/>
      <c r="U66" s="373"/>
      <c r="V66" s="373"/>
      <c r="W66" s="346">
        <v>45217</v>
      </c>
      <c r="X66" s="373">
        <v>1</v>
      </c>
      <c r="Y66" s="336">
        <f t="shared" ref="Y66:Y129" ca="1" si="1">IF(P66="","",IF(W66="",TODAY()-P66,W66-P66))</f>
        <v>78</v>
      </c>
      <c r="Z66" s="373"/>
      <c r="AA66" s="336"/>
      <c r="AB66" s="373"/>
    </row>
    <row r="67" spans="1:28" s="338" customFormat="1" ht="12.75" customHeight="1" x14ac:dyDescent="0.25">
      <c r="A67" s="347" t="s">
        <v>251</v>
      </c>
      <c r="B67" s="363">
        <v>45145</v>
      </c>
      <c r="C67" s="347" t="s">
        <v>26</v>
      </c>
      <c r="D67" s="333" t="s">
        <v>252</v>
      </c>
      <c r="E67" s="333">
        <v>4044660</v>
      </c>
      <c r="F67" s="374" t="s">
        <v>253</v>
      </c>
      <c r="G67" s="372" t="s">
        <v>254</v>
      </c>
      <c r="H67" s="333">
        <v>1</v>
      </c>
      <c r="I67" s="333" t="s">
        <v>255</v>
      </c>
      <c r="J67" s="333" t="s">
        <v>46</v>
      </c>
      <c r="K67" s="332" t="s">
        <v>32</v>
      </c>
      <c r="L67" s="332"/>
      <c r="M67" s="333" t="s">
        <v>33</v>
      </c>
      <c r="N67" s="333"/>
      <c r="O67" s="333"/>
      <c r="P67" s="375">
        <v>45145</v>
      </c>
      <c r="Q67" s="335"/>
      <c r="R67" s="333"/>
      <c r="S67" s="373"/>
      <c r="T67" s="373"/>
      <c r="U67" s="373"/>
      <c r="V67" s="373"/>
      <c r="W67" s="341">
        <v>45377</v>
      </c>
      <c r="X67" s="373"/>
      <c r="Y67" s="336">
        <f t="shared" ca="1" si="1"/>
        <v>232</v>
      </c>
      <c r="Z67" s="373"/>
      <c r="AA67" s="336"/>
      <c r="AB67" s="373"/>
    </row>
    <row r="68" spans="1:28" s="338" customFormat="1" ht="12.75" customHeight="1" x14ac:dyDescent="0.25">
      <c r="A68" s="347" t="s">
        <v>256</v>
      </c>
      <c r="B68" s="376">
        <v>45145</v>
      </c>
      <c r="C68" s="347" t="s">
        <v>35</v>
      </c>
      <c r="D68" s="333" t="s">
        <v>71</v>
      </c>
      <c r="E68" s="333">
        <v>7740283</v>
      </c>
      <c r="F68" s="374"/>
      <c r="G68" s="372" t="s">
        <v>257</v>
      </c>
      <c r="H68" s="333">
        <v>1</v>
      </c>
      <c r="I68" s="333" t="s">
        <v>74</v>
      </c>
      <c r="J68" s="333" t="s">
        <v>68</v>
      </c>
      <c r="K68" s="332" t="s">
        <v>69</v>
      </c>
      <c r="L68" s="332"/>
      <c r="M68" s="333"/>
      <c r="N68" s="333"/>
      <c r="O68" s="333"/>
      <c r="P68" s="344">
        <v>45148</v>
      </c>
      <c r="Q68" s="335"/>
      <c r="R68" s="333"/>
      <c r="S68" s="373"/>
      <c r="T68" s="373"/>
      <c r="U68" s="373"/>
      <c r="V68" s="373"/>
      <c r="W68" s="346"/>
      <c r="X68" s="373"/>
      <c r="Y68" s="336">
        <f t="shared" ca="1" si="1"/>
        <v>438</v>
      </c>
      <c r="Z68" s="373"/>
      <c r="AA68" s="336"/>
      <c r="AB68" s="373"/>
    </row>
    <row r="69" spans="1:28" s="338" customFormat="1" ht="12.75" customHeight="1" x14ac:dyDescent="0.25">
      <c r="A69" s="347" t="s">
        <v>258</v>
      </c>
      <c r="B69" s="376">
        <v>45238</v>
      </c>
      <c r="C69" s="347" t="s">
        <v>60</v>
      </c>
      <c r="D69" s="333">
        <v>9016</v>
      </c>
      <c r="E69" s="333"/>
      <c r="F69" s="374" t="s">
        <v>259</v>
      </c>
      <c r="G69" s="372" t="s">
        <v>260</v>
      </c>
      <c r="H69" s="333">
        <v>12</v>
      </c>
      <c r="I69" s="333" t="s">
        <v>64</v>
      </c>
      <c r="J69" s="333" t="s">
        <v>46</v>
      </c>
      <c r="K69" s="332" t="s">
        <v>32</v>
      </c>
      <c r="L69" s="332"/>
      <c r="M69" s="333" t="s">
        <v>33</v>
      </c>
      <c r="N69" s="333"/>
      <c r="O69" s="333"/>
      <c r="P69" s="345">
        <v>45244</v>
      </c>
      <c r="Q69" s="335"/>
      <c r="R69" s="333"/>
      <c r="S69" s="373"/>
      <c r="T69" s="373"/>
      <c r="U69" s="373"/>
      <c r="V69" s="373"/>
      <c r="W69" s="346">
        <v>45308</v>
      </c>
      <c r="X69" s="373">
        <v>12</v>
      </c>
      <c r="Y69" s="336">
        <f t="shared" ca="1" si="1"/>
        <v>64</v>
      </c>
      <c r="Z69" s="373"/>
      <c r="AA69" s="336"/>
      <c r="AB69" s="373"/>
    </row>
    <row r="70" spans="1:28" s="338" customFormat="1" ht="12.75" customHeight="1" x14ac:dyDescent="0.25">
      <c r="A70" s="347" t="s">
        <v>261</v>
      </c>
      <c r="B70" s="377">
        <v>45145</v>
      </c>
      <c r="C70" s="378" t="s">
        <v>35</v>
      </c>
      <c r="D70" s="379" t="s">
        <v>36</v>
      </c>
      <c r="E70" s="379">
        <v>34867</v>
      </c>
      <c r="F70" s="380" t="s">
        <v>262</v>
      </c>
      <c r="G70" s="381" t="s">
        <v>263</v>
      </c>
      <c r="H70" s="379">
        <v>1</v>
      </c>
      <c r="I70" s="379" t="s">
        <v>264</v>
      </c>
      <c r="J70" s="379" t="s">
        <v>265</v>
      </c>
      <c r="K70" s="382" t="s">
        <v>32</v>
      </c>
      <c r="L70" s="332"/>
      <c r="M70" s="333" t="s">
        <v>33</v>
      </c>
      <c r="N70" s="333"/>
      <c r="O70" s="333"/>
      <c r="P70" s="383">
        <v>45148</v>
      </c>
      <c r="Q70" s="335"/>
      <c r="R70" s="333"/>
      <c r="S70" s="373"/>
      <c r="T70" s="373"/>
      <c r="U70" s="373"/>
      <c r="V70" s="373"/>
      <c r="W70" s="384">
        <v>45234</v>
      </c>
      <c r="X70" s="385">
        <v>1</v>
      </c>
      <c r="Y70" s="386">
        <f t="shared" ca="1" si="1"/>
        <v>86</v>
      </c>
      <c r="Z70" s="385"/>
      <c r="AA70" s="386"/>
      <c r="AB70" s="385" t="s">
        <v>266</v>
      </c>
    </row>
    <row r="71" spans="1:28" s="395" customFormat="1" ht="12.75" customHeight="1" x14ac:dyDescent="0.25">
      <c r="A71" s="387" t="s">
        <v>267</v>
      </c>
      <c r="B71" s="388">
        <v>45145</v>
      </c>
      <c r="C71" s="387" t="s">
        <v>35</v>
      </c>
      <c r="D71" s="326" t="s">
        <v>36</v>
      </c>
      <c r="E71" s="333">
        <v>63187</v>
      </c>
      <c r="F71" s="389" t="s">
        <v>268</v>
      </c>
      <c r="G71" s="390" t="s">
        <v>269</v>
      </c>
      <c r="H71" s="326">
        <v>1</v>
      </c>
      <c r="I71" s="391" t="s">
        <v>199</v>
      </c>
      <c r="J71" s="333" t="s">
        <v>68</v>
      </c>
      <c r="K71" s="332" t="s">
        <v>69</v>
      </c>
      <c r="L71" s="332"/>
      <c r="M71" s="333"/>
      <c r="N71" s="333"/>
      <c r="O71" s="333"/>
      <c r="P71" s="344">
        <v>45153</v>
      </c>
      <c r="Q71" s="335"/>
      <c r="R71" s="333"/>
      <c r="S71" s="373"/>
      <c r="T71" s="373"/>
      <c r="U71" s="373"/>
      <c r="V71" s="373"/>
      <c r="W71" s="392">
        <v>45306</v>
      </c>
      <c r="X71" s="393">
        <v>16</v>
      </c>
      <c r="Y71" s="394">
        <f t="shared" ca="1" si="1"/>
        <v>153</v>
      </c>
      <c r="Z71" s="393"/>
      <c r="AA71" s="394"/>
      <c r="AB71" s="393"/>
    </row>
    <row r="72" spans="1:28" s="338" customFormat="1" ht="12.75" customHeight="1" x14ac:dyDescent="0.25">
      <c r="A72" s="347" t="s">
        <v>270</v>
      </c>
      <c r="B72" s="376">
        <v>45145</v>
      </c>
      <c r="C72" s="347" t="s">
        <v>26</v>
      </c>
      <c r="D72" s="333" t="s">
        <v>65</v>
      </c>
      <c r="E72" s="333">
        <v>3209</v>
      </c>
      <c r="F72" s="374" t="s">
        <v>271</v>
      </c>
      <c r="G72" s="372" t="s">
        <v>272</v>
      </c>
      <c r="H72" s="333">
        <v>1</v>
      </c>
      <c r="I72" s="333"/>
      <c r="J72" s="333"/>
      <c r="K72" s="332"/>
      <c r="L72" s="332"/>
      <c r="M72" s="333"/>
      <c r="N72" s="333"/>
      <c r="O72" s="333"/>
      <c r="P72" s="334">
        <v>45145</v>
      </c>
      <c r="Q72" s="335"/>
      <c r="R72" s="333"/>
      <c r="S72" s="373"/>
      <c r="T72" s="373"/>
      <c r="U72" s="373"/>
      <c r="V72" s="373"/>
      <c r="W72" s="341">
        <v>45377</v>
      </c>
      <c r="X72" s="373">
        <v>1</v>
      </c>
      <c r="Y72" s="336">
        <f t="shared" ca="1" si="1"/>
        <v>232</v>
      </c>
      <c r="Z72" s="373"/>
      <c r="AA72" s="336"/>
      <c r="AB72" s="373"/>
    </row>
    <row r="73" spans="1:28" s="338" customFormat="1" ht="12.75" customHeight="1" x14ac:dyDescent="0.25">
      <c r="A73" s="347" t="s">
        <v>273</v>
      </c>
      <c r="B73" s="376">
        <v>45146</v>
      </c>
      <c r="C73" s="347" t="s">
        <v>35</v>
      </c>
      <c r="D73" s="333" t="s">
        <v>274</v>
      </c>
      <c r="E73" s="333" t="s">
        <v>33</v>
      </c>
      <c r="F73" s="374" t="s">
        <v>275</v>
      </c>
      <c r="G73" s="372" t="s">
        <v>276</v>
      </c>
      <c r="H73" s="333">
        <v>4</v>
      </c>
      <c r="I73" s="333" t="s">
        <v>277</v>
      </c>
      <c r="J73" s="333" t="s">
        <v>102</v>
      </c>
      <c r="K73" s="332" t="s">
        <v>69</v>
      </c>
      <c r="L73" s="332"/>
      <c r="M73" s="333" t="s">
        <v>278</v>
      </c>
      <c r="N73" s="333"/>
      <c r="O73" s="333"/>
      <c r="P73" s="334">
        <v>45155</v>
      </c>
      <c r="Q73" s="335"/>
      <c r="R73" s="333"/>
      <c r="S73" s="373"/>
      <c r="T73" s="373"/>
      <c r="U73" s="373"/>
      <c r="V73" s="373"/>
      <c r="W73" s="342">
        <v>45191</v>
      </c>
      <c r="X73" s="373">
        <v>16</v>
      </c>
      <c r="Y73" s="336">
        <f t="shared" ca="1" si="1"/>
        <v>36</v>
      </c>
      <c r="Z73" s="373"/>
      <c r="AA73" s="336"/>
      <c r="AB73" s="373"/>
    </row>
    <row r="74" spans="1:28" s="338" customFormat="1" ht="12.75" customHeight="1" x14ac:dyDescent="0.25">
      <c r="A74" s="347" t="s">
        <v>279</v>
      </c>
      <c r="B74" s="376">
        <v>45146</v>
      </c>
      <c r="C74" s="347" t="s">
        <v>35</v>
      </c>
      <c r="D74" s="333" t="s">
        <v>274</v>
      </c>
      <c r="E74" s="333" t="s">
        <v>33</v>
      </c>
      <c r="F74" s="374" t="s">
        <v>280</v>
      </c>
      <c r="G74" s="372" t="s">
        <v>281</v>
      </c>
      <c r="H74" s="333">
        <v>2</v>
      </c>
      <c r="I74" s="333" t="s">
        <v>277</v>
      </c>
      <c r="J74" s="333" t="s">
        <v>102</v>
      </c>
      <c r="K74" s="332" t="s">
        <v>69</v>
      </c>
      <c r="L74" s="332"/>
      <c r="M74" s="333" t="s">
        <v>278</v>
      </c>
      <c r="N74" s="333"/>
      <c r="O74" s="333"/>
      <c r="P74" s="334">
        <v>45181</v>
      </c>
      <c r="Q74" s="335"/>
      <c r="R74" s="333"/>
      <c r="S74" s="373"/>
      <c r="T74" s="373"/>
      <c r="U74" s="373"/>
      <c r="V74" s="373"/>
      <c r="W74" s="346">
        <v>45191</v>
      </c>
      <c r="X74" s="373">
        <v>4</v>
      </c>
      <c r="Y74" s="336">
        <f t="shared" ca="1" si="1"/>
        <v>10</v>
      </c>
      <c r="Z74" s="373"/>
      <c r="AA74" s="336"/>
      <c r="AB74" s="373"/>
    </row>
    <row r="75" spans="1:28" s="338" customFormat="1" ht="12.75" customHeight="1" x14ac:dyDescent="0.25">
      <c r="A75" s="347" t="s">
        <v>282</v>
      </c>
      <c r="B75" s="376">
        <v>45146</v>
      </c>
      <c r="C75" s="347" t="s">
        <v>35</v>
      </c>
      <c r="D75" s="333" t="s">
        <v>274</v>
      </c>
      <c r="E75" s="333" t="s">
        <v>33</v>
      </c>
      <c r="F75" s="374" t="s">
        <v>283</v>
      </c>
      <c r="G75" s="372" t="s">
        <v>284</v>
      </c>
      <c r="H75" s="333">
        <v>2</v>
      </c>
      <c r="I75" s="333" t="s">
        <v>277</v>
      </c>
      <c r="J75" s="333" t="s">
        <v>102</v>
      </c>
      <c r="K75" s="332" t="s">
        <v>69</v>
      </c>
      <c r="L75" s="332"/>
      <c r="M75" s="333" t="s">
        <v>278</v>
      </c>
      <c r="N75" s="333"/>
      <c r="O75" s="333"/>
      <c r="P75" s="334">
        <v>45181</v>
      </c>
      <c r="Q75" s="335"/>
      <c r="R75" s="333"/>
      <c r="S75" s="373"/>
      <c r="T75" s="373"/>
      <c r="U75" s="373"/>
      <c r="V75" s="373"/>
      <c r="W75" s="346">
        <v>45191</v>
      </c>
      <c r="X75" s="373">
        <v>1</v>
      </c>
      <c r="Y75" s="336">
        <f t="shared" ca="1" si="1"/>
        <v>10</v>
      </c>
      <c r="Z75" s="373"/>
      <c r="AA75" s="336"/>
      <c r="AB75" s="373"/>
    </row>
    <row r="76" spans="1:28" s="338" customFormat="1" ht="12.75" customHeight="1" x14ac:dyDescent="0.25">
      <c r="A76" s="347" t="s">
        <v>285</v>
      </c>
      <c r="B76" s="376">
        <v>45146</v>
      </c>
      <c r="C76" s="347" t="s">
        <v>35</v>
      </c>
      <c r="D76" s="333" t="s">
        <v>274</v>
      </c>
      <c r="E76" s="333" t="s">
        <v>33</v>
      </c>
      <c r="F76" s="374" t="s">
        <v>286</v>
      </c>
      <c r="G76" s="372" t="s">
        <v>287</v>
      </c>
      <c r="H76" s="333">
        <v>2</v>
      </c>
      <c r="I76" s="333" t="s">
        <v>277</v>
      </c>
      <c r="J76" s="333" t="s">
        <v>102</v>
      </c>
      <c r="K76" s="332" t="s">
        <v>69</v>
      </c>
      <c r="L76" s="332"/>
      <c r="M76" s="333" t="s">
        <v>278</v>
      </c>
      <c r="N76" s="333"/>
      <c r="O76" s="333"/>
      <c r="P76" s="334">
        <v>45181</v>
      </c>
      <c r="Q76" s="335"/>
      <c r="R76" s="333"/>
      <c r="S76" s="373"/>
      <c r="T76" s="373"/>
      <c r="U76" s="373"/>
      <c r="V76" s="373"/>
      <c r="W76" s="346">
        <v>45226</v>
      </c>
      <c r="X76" s="373">
        <v>2</v>
      </c>
      <c r="Y76" s="336">
        <f t="shared" ca="1" si="1"/>
        <v>45</v>
      </c>
      <c r="Z76" s="373"/>
      <c r="AA76" s="336"/>
      <c r="AB76" s="373"/>
    </row>
    <row r="77" spans="1:28" s="338" customFormat="1" ht="12.75" customHeight="1" x14ac:dyDescent="0.25">
      <c r="A77" s="347" t="s">
        <v>288</v>
      </c>
      <c r="B77" s="376">
        <v>45146</v>
      </c>
      <c r="C77" s="347" t="s">
        <v>35</v>
      </c>
      <c r="D77" s="333" t="s">
        <v>274</v>
      </c>
      <c r="E77" s="333" t="s">
        <v>33</v>
      </c>
      <c r="F77" s="374" t="s">
        <v>289</v>
      </c>
      <c r="G77" s="372" t="s">
        <v>290</v>
      </c>
      <c r="H77" s="333">
        <v>8</v>
      </c>
      <c r="I77" s="333" t="s">
        <v>277</v>
      </c>
      <c r="J77" s="333" t="s">
        <v>102</v>
      </c>
      <c r="K77" s="332" t="s">
        <v>69</v>
      </c>
      <c r="L77" s="332"/>
      <c r="M77" s="333" t="s">
        <v>278</v>
      </c>
      <c r="N77" s="333"/>
      <c r="O77" s="333"/>
      <c r="P77" s="334">
        <v>45181</v>
      </c>
      <c r="Q77" s="335"/>
      <c r="R77" s="333"/>
      <c r="S77" s="373"/>
      <c r="T77" s="373"/>
      <c r="U77" s="373"/>
      <c r="V77" s="373"/>
      <c r="W77" s="346">
        <v>45191</v>
      </c>
      <c r="X77" s="373"/>
      <c r="Y77" s="336">
        <f t="shared" ca="1" si="1"/>
        <v>10</v>
      </c>
      <c r="Z77" s="373"/>
      <c r="AA77" s="336"/>
      <c r="AB77" s="373"/>
    </row>
    <row r="78" spans="1:28" s="338" customFormat="1" ht="12.75" customHeight="1" x14ac:dyDescent="0.25">
      <c r="A78" s="347" t="s">
        <v>291</v>
      </c>
      <c r="B78" s="376">
        <v>45146</v>
      </c>
      <c r="C78" s="347" t="s">
        <v>35</v>
      </c>
      <c r="D78" s="333" t="s">
        <v>274</v>
      </c>
      <c r="E78" s="333" t="s">
        <v>33</v>
      </c>
      <c r="F78" s="374" t="s">
        <v>292</v>
      </c>
      <c r="G78" s="372" t="s">
        <v>293</v>
      </c>
      <c r="H78" s="333">
        <v>2</v>
      </c>
      <c r="I78" s="333" t="s">
        <v>277</v>
      </c>
      <c r="J78" s="333" t="s">
        <v>102</v>
      </c>
      <c r="K78" s="332" t="s">
        <v>69</v>
      </c>
      <c r="L78" s="332"/>
      <c r="M78" s="333" t="s">
        <v>278</v>
      </c>
      <c r="N78" s="333"/>
      <c r="O78" s="333"/>
      <c r="P78" s="334">
        <v>45181</v>
      </c>
      <c r="Q78" s="335"/>
      <c r="R78" s="333"/>
      <c r="S78" s="373"/>
      <c r="T78" s="373"/>
      <c r="U78" s="373"/>
      <c r="V78" s="373"/>
      <c r="W78" s="346">
        <v>45226</v>
      </c>
      <c r="X78" s="373"/>
      <c r="Y78" s="336">
        <f t="shared" ca="1" si="1"/>
        <v>45</v>
      </c>
      <c r="Z78" s="373"/>
      <c r="AA78" s="336"/>
      <c r="AB78" s="373"/>
    </row>
    <row r="79" spans="1:28" s="338" customFormat="1" ht="12.75" customHeight="1" x14ac:dyDescent="0.25">
      <c r="A79" s="347" t="s">
        <v>294</v>
      </c>
      <c r="B79" s="376">
        <v>45146</v>
      </c>
      <c r="C79" s="347" t="s">
        <v>35</v>
      </c>
      <c r="D79" s="333" t="s">
        <v>274</v>
      </c>
      <c r="E79" s="333" t="s">
        <v>33</v>
      </c>
      <c r="F79" s="374" t="s">
        <v>295</v>
      </c>
      <c r="G79" s="372" t="s">
        <v>296</v>
      </c>
      <c r="H79" s="333">
        <v>2</v>
      </c>
      <c r="I79" s="333" t="s">
        <v>277</v>
      </c>
      <c r="J79" s="333" t="s">
        <v>102</v>
      </c>
      <c r="K79" s="332" t="s">
        <v>69</v>
      </c>
      <c r="L79" s="332"/>
      <c r="M79" s="333" t="s">
        <v>278</v>
      </c>
      <c r="N79" s="333"/>
      <c r="O79" s="333"/>
      <c r="P79" s="334">
        <v>45188</v>
      </c>
      <c r="Q79" s="335"/>
      <c r="R79" s="333"/>
      <c r="S79" s="373"/>
      <c r="T79" s="373"/>
      <c r="U79" s="373"/>
      <c r="V79" s="373"/>
      <c r="W79" s="346">
        <v>45226</v>
      </c>
      <c r="X79" s="373"/>
      <c r="Y79" s="336">
        <f t="shared" ca="1" si="1"/>
        <v>38</v>
      </c>
      <c r="Z79" s="373"/>
      <c r="AA79" s="336"/>
      <c r="AB79" s="373"/>
    </row>
    <row r="80" spans="1:28" s="338" customFormat="1" ht="12.75" customHeight="1" x14ac:dyDescent="0.25">
      <c r="A80" s="347" t="s">
        <v>297</v>
      </c>
      <c r="B80" s="376">
        <v>45146</v>
      </c>
      <c r="C80" s="347" t="s">
        <v>35</v>
      </c>
      <c r="D80" s="333" t="s">
        <v>83</v>
      </c>
      <c r="E80" s="333">
        <v>6980227</v>
      </c>
      <c r="F80" s="374" t="s">
        <v>298</v>
      </c>
      <c r="G80" s="372" t="s">
        <v>299</v>
      </c>
      <c r="H80" s="333">
        <v>1</v>
      </c>
      <c r="I80" s="333" t="s">
        <v>300</v>
      </c>
      <c r="J80" s="333" t="s">
        <v>68</v>
      </c>
      <c r="K80" s="332" t="s">
        <v>69</v>
      </c>
      <c r="L80" s="332"/>
      <c r="M80" s="333" t="s">
        <v>301</v>
      </c>
      <c r="N80" s="333"/>
      <c r="O80" s="333"/>
      <c r="P80" s="334">
        <v>45191</v>
      </c>
      <c r="Q80" s="335"/>
      <c r="R80" s="333"/>
      <c r="S80" s="373"/>
      <c r="T80" s="373"/>
      <c r="U80" s="373"/>
      <c r="V80" s="373"/>
      <c r="W80" s="346">
        <v>45362</v>
      </c>
      <c r="X80" s="373">
        <v>2</v>
      </c>
      <c r="Y80" s="336">
        <f t="shared" ca="1" si="1"/>
        <v>171</v>
      </c>
      <c r="Z80" s="373"/>
      <c r="AA80" s="336"/>
      <c r="AB80" s="373"/>
    </row>
    <row r="81" spans="1:28" s="338" customFormat="1" ht="12.75" customHeight="1" x14ac:dyDescent="0.25">
      <c r="A81" s="347" t="s">
        <v>302</v>
      </c>
      <c r="B81" s="376">
        <v>45146</v>
      </c>
      <c r="C81" s="347" t="s">
        <v>35</v>
      </c>
      <c r="D81" s="333" t="s">
        <v>83</v>
      </c>
      <c r="E81" s="333">
        <v>6980227</v>
      </c>
      <c r="F81" s="374" t="s">
        <v>303</v>
      </c>
      <c r="G81" s="372" t="s">
        <v>304</v>
      </c>
      <c r="H81" s="333">
        <v>1</v>
      </c>
      <c r="I81" s="333" t="s">
        <v>300</v>
      </c>
      <c r="J81" s="333" t="s">
        <v>68</v>
      </c>
      <c r="K81" s="332" t="s">
        <v>69</v>
      </c>
      <c r="L81" s="332"/>
      <c r="M81" s="333" t="s">
        <v>301</v>
      </c>
      <c r="N81" s="333"/>
      <c r="O81" s="333"/>
      <c r="P81" s="334">
        <v>45191</v>
      </c>
      <c r="Q81" s="335"/>
      <c r="R81" s="333"/>
      <c r="S81" s="373"/>
      <c r="T81" s="373"/>
      <c r="U81" s="373"/>
      <c r="V81" s="373"/>
      <c r="W81" s="346">
        <v>45362</v>
      </c>
      <c r="X81" s="373">
        <v>1</v>
      </c>
      <c r="Y81" s="336">
        <f t="shared" ca="1" si="1"/>
        <v>171</v>
      </c>
      <c r="Z81" s="373"/>
      <c r="AA81" s="336"/>
      <c r="AB81" s="373"/>
    </row>
    <row r="82" spans="1:28" s="338" customFormat="1" ht="12.75" customHeight="1" x14ac:dyDescent="0.25">
      <c r="A82" s="347" t="s">
        <v>305</v>
      </c>
      <c r="B82" s="376">
        <v>45146</v>
      </c>
      <c r="C82" s="347" t="s">
        <v>35</v>
      </c>
      <c r="D82" s="333" t="s">
        <v>83</v>
      </c>
      <c r="E82" s="333">
        <v>6980227</v>
      </c>
      <c r="F82" s="374" t="s">
        <v>306</v>
      </c>
      <c r="G82" s="372" t="s">
        <v>307</v>
      </c>
      <c r="H82" s="333">
        <v>1</v>
      </c>
      <c r="I82" s="333" t="s">
        <v>300</v>
      </c>
      <c r="J82" s="333" t="s">
        <v>68</v>
      </c>
      <c r="K82" s="332" t="s">
        <v>69</v>
      </c>
      <c r="L82" s="332"/>
      <c r="M82" s="333" t="s">
        <v>301</v>
      </c>
      <c r="N82" s="333"/>
      <c r="O82" s="333"/>
      <c r="P82" s="334">
        <v>45191</v>
      </c>
      <c r="Q82" s="335"/>
      <c r="R82" s="333"/>
      <c r="S82" s="373"/>
      <c r="T82" s="373"/>
      <c r="U82" s="373"/>
      <c r="V82" s="373"/>
      <c r="W82" s="346">
        <v>45362</v>
      </c>
      <c r="X82" s="373">
        <v>1</v>
      </c>
      <c r="Y82" s="336">
        <f t="shared" ca="1" si="1"/>
        <v>171</v>
      </c>
      <c r="Z82" s="373"/>
      <c r="AA82" s="336"/>
      <c r="AB82" s="373"/>
    </row>
    <row r="83" spans="1:28" s="338" customFormat="1" ht="12.75" customHeight="1" x14ac:dyDescent="0.25">
      <c r="A83" s="347" t="s">
        <v>308</v>
      </c>
      <c r="B83" s="376">
        <v>45146</v>
      </c>
      <c r="C83" s="347" t="s">
        <v>35</v>
      </c>
      <c r="D83" s="333" t="s">
        <v>83</v>
      </c>
      <c r="E83" s="333">
        <v>6980227</v>
      </c>
      <c r="F83" s="374" t="s">
        <v>309</v>
      </c>
      <c r="G83" s="372" t="s">
        <v>310</v>
      </c>
      <c r="H83" s="333">
        <v>1</v>
      </c>
      <c r="I83" s="333" t="s">
        <v>300</v>
      </c>
      <c r="J83" s="333" t="s">
        <v>68</v>
      </c>
      <c r="K83" s="332" t="s">
        <v>69</v>
      </c>
      <c r="L83" s="332"/>
      <c r="M83" s="333" t="s">
        <v>301</v>
      </c>
      <c r="N83" s="333"/>
      <c r="O83" s="333"/>
      <c r="P83" s="334">
        <v>45191</v>
      </c>
      <c r="Q83" s="335"/>
      <c r="R83" s="333"/>
      <c r="S83" s="373"/>
      <c r="T83" s="373"/>
      <c r="U83" s="373"/>
      <c r="V83" s="373"/>
      <c r="W83" s="346">
        <v>45362</v>
      </c>
      <c r="X83" s="373"/>
      <c r="Y83" s="336">
        <f t="shared" ca="1" si="1"/>
        <v>171</v>
      </c>
      <c r="Z83" s="373"/>
      <c r="AA83" s="336"/>
      <c r="AB83" s="373"/>
    </row>
    <row r="84" spans="1:28" s="338" customFormat="1" ht="12.75" customHeight="1" x14ac:dyDescent="0.25">
      <c r="A84" s="347" t="s">
        <v>311</v>
      </c>
      <c r="B84" s="376">
        <v>45146</v>
      </c>
      <c r="C84" s="347" t="s">
        <v>35</v>
      </c>
      <c r="D84" s="333" t="s">
        <v>83</v>
      </c>
      <c r="E84" s="333">
        <v>6980227</v>
      </c>
      <c r="F84" s="374" t="s">
        <v>312</v>
      </c>
      <c r="G84" s="372" t="s">
        <v>313</v>
      </c>
      <c r="H84" s="333">
        <v>1</v>
      </c>
      <c r="I84" s="333" t="s">
        <v>300</v>
      </c>
      <c r="J84" s="333" t="s">
        <v>68</v>
      </c>
      <c r="K84" s="332" t="s">
        <v>69</v>
      </c>
      <c r="L84" s="332"/>
      <c r="M84" s="333" t="s">
        <v>301</v>
      </c>
      <c r="N84" s="333"/>
      <c r="O84" s="333"/>
      <c r="P84" s="334">
        <v>45191</v>
      </c>
      <c r="Q84" s="335"/>
      <c r="R84" s="333"/>
      <c r="S84" s="373"/>
      <c r="T84" s="373"/>
      <c r="U84" s="373"/>
      <c r="V84" s="373"/>
      <c r="W84" s="346">
        <v>45362</v>
      </c>
      <c r="X84" s="373"/>
      <c r="Y84" s="336">
        <f t="shared" ca="1" si="1"/>
        <v>171</v>
      </c>
      <c r="Z84" s="373"/>
      <c r="AA84" s="336"/>
      <c r="AB84" s="373"/>
    </row>
    <row r="85" spans="1:28" s="338" customFormat="1" ht="12.75" customHeight="1" x14ac:dyDescent="0.25">
      <c r="A85" s="347" t="s">
        <v>314</v>
      </c>
      <c r="B85" s="376">
        <v>45146</v>
      </c>
      <c r="C85" s="347" t="s">
        <v>35</v>
      </c>
      <c r="D85" s="333" t="s">
        <v>83</v>
      </c>
      <c r="E85" s="333">
        <v>6980227</v>
      </c>
      <c r="F85" s="374" t="s">
        <v>312</v>
      </c>
      <c r="G85" s="372" t="s">
        <v>315</v>
      </c>
      <c r="H85" s="333">
        <v>1</v>
      </c>
      <c r="I85" s="333" t="s">
        <v>300</v>
      </c>
      <c r="J85" s="333" t="s">
        <v>68</v>
      </c>
      <c r="K85" s="332" t="s">
        <v>69</v>
      </c>
      <c r="L85" s="332"/>
      <c r="M85" s="333" t="s">
        <v>301</v>
      </c>
      <c r="N85" s="333"/>
      <c r="O85" s="333"/>
      <c r="P85" s="334">
        <v>45191</v>
      </c>
      <c r="Q85" s="335"/>
      <c r="R85" s="333"/>
      <c r="S85" s="373"/>
      <c r="T85" s="373"/>
      <c r="U85" s="373"/>
      <c r="V85" s="373"/>
      <c r="W85" s="346"/>
      <c r="X85" s="373"/>
      <c r="Y85" s="336">
        <f t="shared" ca="1" si="1"/>
        <v>395</v>
      </c>
      <c r="Z85" s="373"/>
      <c r="AA85" s="336"/>
      <c r="AB85" s="373"/>
    </row>
    <row r="86" spans="1:28" s="338" customFormat="1" ht="12.75" customHeight="1" x14ac:dyDescent="0.25">
      <c r="A86" s="347" t="s">
        <v>316</v>
      </c>
      <c r="B86" s="376">
        <v>45146</v>
      </c>
      <c r="C86" s="347" t="s">
        <v>35</v>
      </c>
      <c r="D86" s="333" t="s">
        <v>83</v>
      </c>
      <c r="E86" s="333">
        <v>6980227</v>
      </c>
      <c r="F86" s="374" t="s">
        <v>312</v>
      </c>
      <c r="G86" s="372" t="s">
        <v>317</v>
      </c>
      <c r="H86" s="333">
        <v>1</v>
      </c>
      <c r="I86" s="333" t="s">
        <v>300</v>
      </c>
      <c r="J86" s="333" t="s">
        <v>68</v>
      </c>
      <c r="K86" s="332" t="s">
        <v>69</v>
      </c>
      <c r="L86" s="332"/>
      <c r="M86" s="333" t="s">
        <v>301</v>
      </c>
      <c r="N86" s="333"/>
      <c r="O86" s="333"/>
      <c r="P86" s="375">
        <v>45148</v>
      </c>
      <c r="Q86" s="335"/>
      <c r="R86" s="333"/>
      <c r="S86" s="373"/>
      <c r="T86" s="373"/>
      <c r="U86" s="373"/>
      <c r="V86" s="373"/>
      <c r="W86" s="346"/>
      <c r="X86" s="373"/>
      <c r="Y86" s="336">
        <f t="shared" ca="1" si="1"/>
        <v>438</v>
      </c>
      <c r="Z86" s="373"/>
      <c r="AA86" s="336"/>
      <c r="AB86" s="373"/>
    </row>
    <row r="87" spans="1:28" s="338" customFormat="1" ht="12.75" customHeight="1" x14ac:dyDescent="0.25">
      <c r="A87" s="347" t="s">
        <v>318</v>
      </c>
      <c r="B87" s="376">
        <v>45146</v>
      </c>
      <c r="C87" s="347" t="s">
        <v>35</v>
      </c>
      <c r="D87" s="333" t="s">
        <v>83</v>
      </c>
      <c r="E87" s="333">
        <v>6980227</v>
      </c>
      <c r="F87" s="374" t="s">
        <v>319</v>
      </c>
      <c r="G87" s="372" t="s">
        <v>320</v>
      </c>
      <c r="H87" s="333">
        <v>1</v>
      </c>
      <c r="I87" s="333" t="s">
        <v>300</v>
      </c>
      <c r="J87" s="333" t="s">
        <v>68</v>
      </c>
      <c r="K87" s="332" t="s">
        <v>69</v>
      </c>
      <c r="L87" s="332"/>
      <c r="M87" s="333" t="s">
        <v>301</v>
      </c>
      <c r="N87" s="333"/>
      <c r="O87" s="333"/>
      <c r="P87" s="375">
        <v>45148</v>
      </c>
      <c r="Q87" s="335"/>
      <c r="R87" s="333"/>
      <c r="S87" s="373"/>
      <c r="T87" s="373"/>
      <c r="U87" s="373"/>
      <c r="V87" s="373"/>
      <c r="W87" s="346">
        <v>45362</v>
      </c>
      <c r="X87" s="373">
        <v>1</v>
      </c>
      <c r="Y87" s="336">
        <f t="shared" ca="1" si="1"/>
        <v>214</v>
      </c>
      <c r="Z87" s="373"/>
      <c r="AA87" s="336"/>
      <c r="AB87" s="373"/>
    </row>
    <row r="88" spans="1:28" s="338" customFormat="1" ht="12.75" customHeight="1" x14ac:dyDescent="0.25">
      <c r="A88" s="347" t="s">
        <v>321</v>
      </c>
      <c r="B88" s="376">
        <v>45146</v>
      </c>
      <c r="C88" s="347" t="s">
        <v>35</v>
      </c>
      <c r="D88" s="333" t="s">
        <v>36</v>
      </c>
      <c r="E88" s="333" t="s">
        <v>33</v>
      </c>
      <c r="F88" s="374" t="s">
        <v>47</v>
      </c>
      <c r="G88" s="372" t="s">
        <v>322</v>
      </c>
      <c r="H88" s="333">
        <v>300</v>
      </c>
      <c r="I88" s="333" t="s">
        <v>323</v>
      </c>
      <c r="J88" s="333" t="s">
        <v>323</v>
      </c>
      <c r="K88" s="332" t="s">
        <v>32</v>
      </c>
      <c r="L88" s="332"/>
      <c r="M88" s="333" t="s">
        <v>33</v>
      </c>
      <c r="N88" s="333"/>
      <c r="O88" s="333"/>
      <c r="P88" s="344">
        <v>45167</v>
      </c>
      <c r="Q88" s="335"/>
      <c r="R88" s="333"/>
      <c r="S88" s="373"/>
      <c r="T88" s="373"/>
      <c r="U88" s="373"/>
      <c r="V88" s="373"/>
      <c r="W88" s="346"/>
      <c r="X88" s="373"/>
      <c r="Y88" s="336">
        <f t="shared" ca="1" si="1"/>
        <v>419</v>
      </c>
      <c r="Z88" s="373"/>
      <c r="AA88" s="336"/>
      <c r="AB88" s="373"/>
    </row>
    <row r="89" spans="1:28" s="338" customFormat="1" ht="12.75" customHeight="1" x14ac:dyDescent="0.25">
      <c r="A89" s="347" t="s">
        <v>324</v>
      </c>
      <c r="B89" s="376">
        <v>45146</v>
      </c>
      <c r="C89" s="347" t="s">
        <v>35</v>
      </c>
      <c r="D89" s="333" t="s">
        <v>36</v>
      </c>
      <c r="E89" s="333">
        <v>34678</v>
      </c>
      <c r="F89" s="374" t="s">
        <v>325</v>
      </c>
      <c r="G89" s="372" t="s">
        <v>326</v>
      </c>
      <c r="H89" s="333">
        <v>5</v>
      </c>
      <c r="I89" s="333" t="s">
        <v>327</v>
      </c>
      <c r="J89" s="335"/>
      <c r="K89" s="332"/>
      <c r="L89" s="332"/>
      <c r="M89" s="333"/>
      <c r="N89" s="333"/>
      <c r="O89" s="333"/>
      <c r="P89" s="344">
        <v>45167</v>
      </c>
      <c r="Q89" s="335"/>
      <c r="R89" s="333"/>
      <c r="S89" s="373"/>
      <c r="T89" s="373"/>
      <c r="U89" s="373"/>
      <c r="V89" s="373"/>
      <c r="W89" s="346"/>
      <c r="X89" s="373"/>
      <c r="Y89" s="336">
        <f t="shared" ca="1" si="1"/>
        <v>419</v>
      </c>
      <c r="Z89" s="373"/>
      <c r="AA89" s="336"/>
      <c r="AB89" s="373"/>
    </row>
    <row r="90" spans="1:28" s="338" customFormat="1" ht="12.75" customHeight="1" x14ac:dyDescent="0.25">
      <c r="A90" s="347" t="s">
        <v>328</v>
      </c>
      <c r="B90" s="376">
        <v>45146</v>
      </c>
      <c r="C90" s="347" t="s">
        <v>35</v>
      </c>
      <c r="D90" s="333" t="s">
        <v>36</v>
      </c>
      <c r="E90" s="333">
        <v>34678</v>
      </c>
      <c r="F90" s="374" t="s">
        <v>329</v>
      </c>
      <c r="G90" s="372" t="s">
        <v>330</v>
      </c>
      <c r="H90" s="333">
        <v>5</v>
      </c>
      <c r="I90" s="333" t="s">
        <v>327</v>
      </c>
      <c r="J90" s="335" t="s">
        <v>46</v>
      </c>
      <c r="K90" s="332" t="s">
        <v>32</v>
      </c>
      <c r="L90" s="332"/>
      <c r="M90" s="333" t="s">
        <v>33</v>
      </c>
      <c r="N90" s="333"/>
      <c r="O90" s="333"/>
      <c r="P90" s="344">
        <v>45167</v>
      </c>
      <c r="Q90" s="335"/>
      <c r="R90" s="333"/>
      <c r="S90" s="373"/>
      <c r="T90" s="373"/>
      <c r="U90" s="373"/>
      <c r="V90" s="373"/>
      <c r="W90" s="346">
        <v>45306</v>
      </c>
      <c r="X90" s="373"/>
      <c r="Y90" s="336">
        <f t="shared" ca="1" si="1"/>
        <v>139</v>
      </c>
      <c r="Z90" s="373"/>
      <c r="AA90" s="336"/>
      <c r="AB90" s="373"/>
    </row>
    <row r="91" spans="1:28" s="338" customFormat="1" ht="12.75" customHeight="1" x14ac:dyDescent="0.25">
      <c r="A91" s="347" t="s">
        <v>331</v>
      </c>
      <c r="B91" s="376">
        <v>45146</v>
      </c>
      <c r="C91" s="347" t="s">
        <v>35</v>
      </c>
      <c r="D91" s="333" t="s">
        <v>36</v>
      </c>
      <c r="E91" s="333">
        <v>34675</v>
      </c>
      <c r="F91" s="374" t="s">
        <v>332</v>
      </c>
      <c r="G91" s="372" t="s">
        <v>333</v>
      </c>
      <c r="H91" s="333">
        <v>1</v>
      </c>
      <c r="I91" s="333" t="s">
        <v>327</v>
      </c>
      <c r="J91" s="335" t="s">
        <v>31</v>
      </c>
      <c r="K91" s="332" t="s">
        <v>32</v>
      </c>
      <c r="L91" s="332"/>
      <c r="M91" s="333" t="s">
        <v>33</v>
      </c>
      <c r="N91" s="333"/>
      <c r="O91" s="333"/>
      <c r="P91" s="344">
        <v>45167</v>
      </c>
      <c r="Q91" s="335"/>
      <c r="R91" s="333"/>
      <c r="S91" s="373"/>
      <c r="T91" s="373"/>
      <c r="U91" s="373"/>
      <c r="V91" s="373"/>
      <c r="W91" s="346"/>
      <c r="X91" s="373"/>
      <c r="Y91" s="336">
        <f t="shared" ca="1" si="1"/>
        <v>419</v>
      </c>
      <c r="Z91" s="373"/>
      <c r="AA91" s="336"/>
      <c r="AB91" s="373"/>
    </row>
    <row r="92" spans="1:28" s="338" customFormat="1" ht="12.75" customHeight="1" x14ac:dyDescent="0.25">
      <c r="A92" s="347" t="s">
        <v>334</v>
      </c>
      <c r="B92" s="376">
        <v>45154</v>
      </c>
      <c r="C92" s="347" t="s">
        <v>35</v>
      </c>
      <c r="D92" s="333" t="s">
        <v>36</v>
      </c>
      <c r="E92" s="333">
        <v>6980227</v>
      </c>
      <c r="F92" s="374" t="s">
        <v>335</v>
      </c>
      <c r="G92" s="372" t="s">
        <v>336</v>
      </c>
      <c r="H92" s="333">
        <v>1</v>
      </c>
      <c r="I92" s="333" t="s">
        <v>300</v>
      </c>
      <c r="J92" s="335" t="s">
        <v>68</v>
      </c>
      <c r="K92" s="332" t="s">
        <v>69</v>
      </c>
      <c r="L92" s="332"/>
      <c r="M92" s="333"/>
      <c r="N92" s="333"/>
      <c r="O92" s="333"/>
      <c r="P92" s="375">
        <v>45153</v>
      </c>
      <c r="Q92" s="335"/>
      <c r="R92" s="333"/>
      <c r="S92" s="373"/>
      <c r="T92" s="373"/>
      <c r="U92" s="373"/>
      <c r="V92" s="373"/>
      <c r="W92" s="346"/>
      <c r="X92" s="373"/>
      <c r="Y92" s="336">
        <f t="shared" ca="1" si="1"/>
        <v>433</v>
      </c>
      <c r="Z92" s="373"/>
      <c r="AA92" s="336"/>
      <c r="AB92" s="373"/>
    </row>
    <row r="93" spans="1:28" s="338" customFormat="1" ht="12.75" customHeight="1" x14ac:dyDescent="0.25">
      <c r="A93" s="347" t="s">
        <v>337</v>
      </c>
      <c r="B93" s="376">
        <v>45155</v>
      </c>
      <c r="C93" s="347" t="s">
        <v>35</v>
      </c>
      <c r="D93" s="333" t="s">
        <v>83</v>
      </c>
      <c r="E93" s="333">
        <v>6980227</v>
      </c>
      <c r="F93" s="374" t="s">
        <v>338</v>
      </c>
      <c r="G93" s="372" t="s">
        <v>339</v>
      </c>
      <c r="H93" s="333">
        <v>1</v>
      </c>
      <c r="I93" s="333" t="s">
        <v>300</v>
      </c>
      <c r="J93" s="335" t="s">
        <v>68</v>
      </c>
      <c r="K93" s="332" t="s">
        <v>69</v>
      </c>
      <c r="L93" s="332"/>
      <c r="M93" s="333"/>
      <c r="N93" s="333"/>
      <c r="O93" s="333"/>
      <c r="P93" s="375">
        <v>45153</v>
      </c>
      <c r="Q93" s="335"/>
      <c r="R93" s="333"/>
      <c r="S93" s="373"/>
      <c r="T93" s="373"/>
      <c r="U93" s="373"/>
      <c r="V93" s="373"/>
      <c r="W93" s="346"/>
      <c r="X93" s="373"/>
      <c r="Y93" s="336">
        <f t="shared" ca="1" si="1"/>
        <v>433</v>
      </c>
      <c r="Z93" s="373"/>
      <c r="AA93" s="336"/>
      <c r="AB93" s="373"/>
    </row>
    <row r="94" spans="1:28" s="338" customFormat="1" ht="12.75" customHeight="1" x14ac:dyDescent="0.25">
      <c r="A94" s="347" t="s">
        <v>340</v>
      </c>
      <c r="B94" s="376">
        <v>45156</v>
      </c>
      <c r="C94" s="396" t="s">
        <v>35</v>
      </c>
      <c r="D94" s="333" t="s">
        <v>36</v>
      </c>
      <c r="E94" s="333">
        <v>51809</v>
      </c>
      <c r="F94" s="374" t="s">
        <v>341</v>
      </c>
      <c r="G94" s="372" t="s">
        <v>342</v>
      </c>
      <c r="H94" s="333">
        <v>1</v>
      </c>
      <c r="I94" s="333" t="s">
        <v>343</v>
      </c>
      <c r="J94" s="335" t="s">
        <v>46</v>
      </c>
      <c r="K94" s="332" t="s">
        <v>32</v>
      </c>
      <c r="L94" s="332"/>
      <c r="M94" s="333" t="s">
        <v>33</v>
      </c>
      <c r="N94" s="333"/>
      <c r="O94" s="333"/>
      <c r="P94" s="375">
        <v>45153</v>
      </c>
      <c r="Q94" s="335"/>
      <c r="R94" s="333"/>
      <c r="S94" s="373"/>
      <c r="T94" s="373"/>
      <c r="U94" s="373"/>
      <c r="V94" s="373"/>
      <c r="W94" s="397">
        <v>44988</v>
      </c>
      <c r="X94" s="373">
        <v>1</v>
      </c>
      <c r="Y94" s="336">
        <f t="shared" ca="1" si="1"/>
        <v>-165</v>
      </c>
      <c r="Z94" s="373"/>
      <c r="AA94" s="336"/>
      <c r="AB94" s="373"/>
    </row>
    <row r="95" spans="1:28" s="338" customFormat="1" ht="12.75" customHeight="1" x14ac:dyDescent="0.25">
      <c r="A95" s="347" t="s">
        <v>344</v>
      </c>
      <c r="B95" s="376">
        <v>45157</v>
      </c>
      <c r="C95" s="396" t="s">
        <v>35</v>
      </c>
      <c r="D95" s="333" t="s">
        <v>36</v>
      </c>
      <c r="E95" s="333">
        <v>518442</v>
      </c>
      <c r="F95" s="374" t="s">
        <v>341</v>
      </c>
      <c r="G95" s="372" t="s">
        <v>342</v>
      </c>
      <c r="H95" s="333">
        <v>1</v>
      </c>
      <c r="I95" s="333" t="s">
        <v>343</v>
      </c>
      <c r="J95" s="335" t="s">
        <v>46</v>
      </c>
      <c r="K95" s="332" t="s">
        <v>32</v>
      </c>
      <c r="L95" s="332"/>
      <c r="M95" s="333" t="s">
        <v>33</v>
      </c>
      <c r="N95" s="333"/>
      <c r="O95" s="333"/>
      <c r="P95" s="375">
        <v>45153</v>
      </c>
      <c r="Q95" s="335"/>
      <c r="R95" s="333"/>
      <c r="S95" s="373"/>
      <c r="T95" s="373"/>
      <c r="U95" s="373"/>
      <c r="V95" s="373"/>
      <c r="W95" s="397">
        <v>44988</v>
      </c>
      <c r="X95" s="373">
        <v>1</v>
      </c>
      <c r="Y95" s="336">
        <f t="shared" ca="1" si="1"/>
        <v>-165</v>
      </c>
      <c r="Z95" s="373"/>
      <c r="AA95" s="336"/>
      <c r="AB95" s="373"/>
    </row>
    <row r="96" spans="1:28" s="338" customFormat="1" ht="12.75" customHeight="1" x14ac:dyDescent="0.25">
      <c r="A96" s="347" t="s">
        <v>345</v>
      </c>
      <c r="B96" s="376">
        <v>45158</v>
      </c>
      <c r="C96" s="396" t="s">
        <v>35</v>
      </c>
      <c r="D96" s="333" t="s">
        <v>36</v>
      </c>
      <c r="E96" s="333">
        <v>51881</v>
      </c>
      <c r="F96" s="374" t="s">
        <v>341</v>
      </c>
      <c r="G96" s="372" t="s">
        <v>342</v>
      </c>
      <c r="H96" s="333">
        <v>1</v>
      </c>
      <c r="I96" s="333" t="s">
        <v>343</v>
      </c>
      <c r="J96" s="335" t="s">
        <v>46</v>
      </c>
      <c r="K96" s="332" t="s">
        <v>32</v>
      </c>
      <c r="L96" s="332"/>
      <c r="M96" s="333" t="s">
        <v>33</v>
      </c>
      <c r="N96" s="333"/>
      <c r="O96" s="333"/>
      <c r="P96" s="375">
        <v>45153</v>
      </c>
      <c r="Q96" s="335"/>
      <c r="R96" s="333"/>
      <c r="S96" s="373"/>
      <c r="T96" s="373"/>
      <c r="U96" s="373"/>
      <c r="V96" s="373"/>
      <c r="W96" s="397">
        <v>44988</v>
      </c>
      <c r="X96" s="373">
        <v>1</v>
      </c>
      <c r="Y96" s="336">
        <f t="shared" ca="1" si="1"/>
        <v>-165</v>
      </c>
      <c r="Z96" s="373"/>
      <c r="AA96" s="336"/>
      <c r="AB96" s="373"/>
    </row>
    <row r="97" spans="1:28" s="338" customFormat="1" ht="12.75" customHeight="1" x14ac:dyDescent="0.25">
      <c r="A97" s="347" t="s">
        <v>346</v>
      </c>
      <c r="B97" s="376">
        <v>45153</v>
      </c>
      <c r="C97" s="396" t="s">
        <v>35</v>
      </c>
      <c r="D97" s="333" t="s">
        <v>36</v>
      </c>
      <c r="E97" s="333">
        <v>51734</v>
      </c>
      <c r="F97" s="374" t="s">
        <v>341</v>
      </c>
      <c r="G97" s="372" t="s">
        <v>342</v>
      </c>
      <c r="H97" s="333">
        <v>1</v>
      </c>
      <c r="I97" s="333" t="s">
        <v>343</v>
      </c>
      <c r="J97" s="335" t="s">
        <v>46</v>
      </c>
      <c r="K97" s="332" t="s">
        <v>32</v>
      </c>
      <c r="L97" s="332"/>
      <c r="M97" s="333" t="s">
        <v>33</v>
      </c>
      <c r="N97" s="333"/>
      <c r="O97" s="333"/>
      <c r="P97" s="375">
        <v>45153</v>
      </c>
      <c r="Q97" s="335"/>
      <c r="R97" s="333"/>
      <c r="S97" s="373"/>
      <c r="T97" s="373"/>
      <c r="U97" s="373"/>
      <c r="V97" s="373"/>
      <c r="W97" s="397">
        <v>44988</v>
      </c>
      <c r="X97" s="373">
        <v>1</v>
      </c>
      <c r="Y97" s="336">
        <f t="shared" ca="1" si="1"/>
        <v>-165</v>
      </c>
      <c r="Z97" s="373"/>
      <c r="AA97" s="336"/>
      <c r="AB97" s="373"/>
    </row>
    <row r="98" spans="1:28" s="338" customFormat="1" ht="12.75" customHeight="1" x14ac:dyDescent="0.25">
      <c r="A98" s="347" t="s">
        <v>347</v>
      </c>
      <c r="B98" s="376">
        <v>45153</v>
      </c>
      <c r="C98" s="396" t="s">
        <v>35</v>
      </c>
      <c r="D98" s="333" t="s">
        <v>36</v>
      </c>
      <c r="E98" s="333">
        <v>51772</v>
      </c>
      <c r="F98" s="374" t="s">
        <v>341</v>
      </c>
      <c r="G98" s="372" t="s">
        <v>342</v>
      </c>
      <c r="H98" s="333">
        <v>1</v>
      </c>
      <c r="I98" s="333" t="s">
        <v>343</v>
      </c>
      <c r="J98" s="335" t="s">
        <v>46</v>
      </c>
      <c r="K98" s="332" t="s">
        <v>32</v>
      </c>
      <c r="L98" s="332"/>
      <c r="M98" s="333" t="s">
        <v>33</v>
      </c>
      <c r="N98" s="333"/>
      <c r="O98" s="333"/>
      <c r="P98" s="375">
        <v>45153</v>
      </c>
      <c r="Q98" s="335"/>
      <c r="R98" s="333"/>
      <c r="S98" s="373"/>
      <c r="T98" s="373"/>
      <c r="U98" s="373"/>
      <c r="V98" s="373"/>
      <c r="W98" s="397">
        <v>44988</v>
      </c>
      <c r="X98" s="373">
        <v>1</v>
      </c>
      <c r="Y98" s="336">
        <f t="shared" ca="1" si="1"/>
        <v>-165</v>
      </c>
      <c r="Z98" s="373"/>
      <c r="AA98" s="336"/>
      <c r="AB98" s="373"/>
    </row>
    <row r="99" spans="1:28" s="338" customFormat="1" ht="12.75" customHeight="1" x14ac:dyDescent="0.25">
      <c r="A99" s="347" t="s">
        <v>348</v>
      </c>
      <c r="B99" s="376">
        <v>45153</v>
      </c>
      <c r="C99" s="396" t="s">
        <v>35</v>
      </c>
      <c r="D99" s="333" t="s">
        <v>36</v>
      </c>
      <c r="E99" s="333" t="s">
        <v>349</v>
      </c>
      <c r="F99" s="374" t="s">
        <v>350</v>
      </c>
      <c r="G99" s="372" t="s">
        <v>351</v>
      </c>
      <c r="H99" s="333">
        <v>1</v>
      </c>
      <c r="I99" s="333" t="s">
        <v>343</v>
      </c>
      <c r="J99" s="335" t="s">
        <v>46</v>
      </c>
      <c r="K99" s="332" t="s">
        <v>32</v>
      </c>
      <c r="L99" s="332"/>
      <c r="M99" s="333" t="s">
        <v>33</v>
      </c>
      <c r="N99" s="333"/>
      <c r="O99" s="333"/>
      <c r="P99" s="375">
        <v>45153</v>
      </c>
      <c r="Q99" s="335"/>
      <c r="R99" s="333"/>
      <c r="S99" s="373"/>
      <c r="T99" s="373"/>
      <c r="U99" s="373"/>
      <c r="V99" s="373"/>
      <c r="W99" s="397">
        <v>44988</v>
      </c>
      <c r="X99" s="373"/>
      <c r="Y99" s="336">
        <f t="shared" ca="1" si="1"/>
        <v>-165</v>
      </c>
      <c r="Z99" s="373"/>
      <c r="AA99" s="336"/>
      <c r="AB99" s="373"/>
    </row>
    <row r="100" spans="1:28" s="338" customFormat="1" ht="12.75" customHeight="1" x14ac:dyDescent="0.25">
      <c r="A100" s="347" t="s">
        <v>352</v>
      </c>
      <c r="B100" s="376">
        <v>45153</v>
      </c>
      <c r="C100" s="396" t="s">
        <v>35</v>
      </c>
      <c r="D100" s="333" t="s">
        <v>36</v>
      </c>
      <c r="E100" s="333">
        <v>54425</v>
      </c>
      <c r="F100" s="374" t="s">
        <v>350</v>
      </c>
      <c r="G100" s="372" t="s">
        <v>351</v>
      </c>
      <c r="H100" s="333">
        <v>9</v>
      </c>
      <c r="I100" s="333" t="s">
        <v>353</v>
      </c>
      <c r="J100" s="335" t="s">
        <v>46</v>
      </c>
      <c r="K100" s="332" t="s">
        <v>32</v>
      </c>
      <c r="L100" s="332"/>
      <c r="M100" s="333" t="s">
        <v>33</v>
      </c>
      <c r="N100" s="333"/>
      <c r="O100" s="333"/>
      <c r="P100" s="375">
        <v>45153</v>
      </c>
      <c r="Q100" s="335"/>
      <c r="R100" s="333"/>
      <c r="S100" s="373"/>
      <c r="T100" s="373"/>
      <c r="U100" s="373"/>
      <c r="V100" s="373"/>
      <c r="W100" s="397">
        <v>44988</v>
      </c>
      <c r="X100" s="373"/>
      <c r="Y100" s="336">
        <f t="shared" ca="1" si="1"/>
        <v>-165</v>
      </c>
      <c r="Z100" s="373"/>
      <c r="AA100" s="336"/>
      <c r="AB100" s="373"/>
    </row>
    <row r="101" spans="1:28" s="338" customFormat="1" ht="12.75" customHeight="1" x14ac:dyDescent="0.25">
      <c r="A101" s="347" t="s">
        <v>354</v>
      </c>
      <c r="B101" s="376">
        <v>45153</v>
      </c>
      <c r="C101" s="396" t="s">
        <v>35</v>
      </c>
      <c r="D101" s="333" t="s">
        <v>36</v>
      </c>
      <c r="E101" s="333">
        <v>63205</v>
      </c>
      <c r="F101" s="374" t="s">
        <v>355</v>
      </c>
      <c r="G101" s="372" t="s">
        <v>356</v>
      </c>
      <c r="H101" s="333">
        <v>2</v>
      </c>
      <c r="I101" s="333" t="s">
        <v>357</v>
      </c>
      <c r="J101" s="335" t="s">
        <v>46</v>
      </c>
      <c r="K101" s="332" t="s">
        <v>32</v>
      </c>
      <c r="L101" s="332"/>
      <c r="M101" s="333" t="s">
        <v>33</v>
      </c>
      <c r="N101" s="333"/>
      <c r="O101" s="333"/>
      <c r="P101" s="375">
        <v>45153</v>
      </c>
      <c r="Q101" s="335"/>
      <c r="R101" s="333"/>
      <c r="S101" s="373"/>
      <c r="T101" s="373"/>
      <c r="U101" s="373"/>
      <c r="V101" s="373"/>
      <c r="W101" s="346"/>
      <c r="X101" s="373"/>
      <c r="Y101" s="336">
        <f t="shared" ca="1" si="1"/>
        <v>433</v>
      </c>
      <c r="Z101" s="373"/>
      <c r="AA101" s="336"/>
      <c r="AB101" s="373"/>
    </row>
    <row r="102" spans="1:28" s="338" customFormat="1" ht="12.75" customHeight="1" x14ac:dyDescent="0.25">
      <c r="A102" s="347" t="s">
        <v>358</v>
      </c>
      <c r="B102" s="376">
        <v>45153</v>
      </c>
      <c r="C102" s="396" t="s">
        <v>35</v>
      </c>
      <c r="D102" s="333" t="s">
        <v>36</v>
      </c>
      <c r="E102" s="364">
        <v>63204</v>
      </c>
      <c r="F102" s="365" t="s">
        <v>359</v>
      </c>
      <c r="G102" s="366" t="s">
        <v>360</v>
      </c>
      <c r="H102" s="364">
        <v>1</v>
      </c>
      <c r="I102" s="364" t="s">
        <v>357</v>
      </c>
      <c r="J102" s="335" t="s">
        <v>46</v>
      </c>
      <c r="K102" s="332" t="s">
        <v>32</v>
      </c>
      <c r="L102" s="332"/>
      <c r="M102" s="333" t="s">
        <v>33</v>
      </c>
      <c r="N102" s="333"/>
      <c r="O102" s="333"/>
      <c r="P102" s="375">
        <v>45153</v>
      </c>
      <c r="Q102" s="335"/>
      <c r="R102" s="364"/>
      <c r="S102" s="369"/>
      <c r="T102" s="369"/>
      <c r="U102" s="369"/>
      <c r="V102" s="369"/>
      <c r="W102" s="370"/>
      <c r="X102" s="369"/>
      <c r="Y102" s="336">
        <f t="shared" ca="1" si="1"/>
        <v>433</v>
      </c>
      <c r="Z102" s="369"/>
      <c r="AA102" s="336"/>
      <c r="AB102" s="369"/>
    </row>
    <row r="103" spans="1:28" s="338" customFormat="1" ht="12.75" customHeight="1" x14ac:dyDescent="0.25">
      <c r="A103" s="347" t="s">
        <v>361</v>
      </c>
      <c r="B103" s="376">
        <v>45153</v>
      </c>
      <c r="C103" s="396" t="s">
        <v>35</v>
      </c>
      <c r="D103" s="333" t="s">
        <v>36</v>
      </c>
      <c r="E103" s="333">
        <v>63203</v>
      </c>
      <c r="F103" s="374" t="s">
        <v>362</v>
      </c>
      <c r="G103" s="372" t="s">
        <v>360</v>
      </c>
      <c r="H103" s="333">
        <v>1</v>
      </c>
      <c r="I103" s="333" t="s">
        <v>357</v>
      </c>
      <c r="J103" s="335" t="s">
        <v>46</v>
      </c>
      <c r="K103" s="332" t="s">
        <v>32</v>
      </c>
      <c r="L103" s="332"/>
      <c r="M103" s="333" t="s">
        <v>33</v>
      </c>
      <c r="N103" s="333"/>
      <c r="O103" s="333"/>
      <c r="P103" s="375">
        <v>45153</v>
      </c>
      <c r="Q103" s="335"/>
      <c r="R103" s="333"/>
      <c r="S103" s="373"/>
      <c r="T103" s="373"/>
      <c r="U103" s="373"/>
      <c r="V103" s="373"/>
      <c r="W103" s="346"/>
      <c r="X103" s="373"/>
      <c r="Y103" s="336">
        <f t="shared" ca="1" si="1"/>
        <v>433</v>
      </c>
      <c r="Z103" s="373"/>
      <c r="AA103" s="336"/>
      <c r="AB103" s="373"/>
    </row>
    <row r="104" spans="1:28" s="338" customFormat="1" ht="12.75" customHeight="1" x14ac:dyDescent="0.25">
      <c r="A104" s="347" t="s">
        <v>363</v>
      </c>
      <c r="B104" s="376">
        <v>45153</v>
      </c>
      <c r="C104" s="396" t="s">
        <v>35</v>
      </c>
      <c r="D104" s="333" t="s">
        <v>36</v>
      </c>
      <c r="E104" s="333">
        <v>63202</v>
      </c>
      <c r="F104" s="374" t="s">
        <v>364</v>
      </c>
      <c r="G104" s="372" t="s">
        <v>365</v>
      </c>
      <c r="H104" s="333">
        <v>1</v>
      </c>
      <c r="I104" s="333" t="s">
        <v>357</v>
      </c>
      <c r="J104" s="335" t="s">
        <v>46</v>
      </c>
      <c r="K104" s="332" t="s">
        <v>32</v>
      </c>
      <c r="L104" s="332"/>
      <c r="M104" s="333" t="s">
        <v>33</v>
      </c>
      <c r="N104" s="333"/>
      <c r="O104" s="333"/>
      <c r="P104" s="375">
        <v>45153</v>
      </c>
      <c r="Q104" s="335"/>
      <c r="R104" s="333"/>
      <c r="S104" s="373"/>
      <c r="T104" s="373"/>
      <c r="U104" s="373"/>
      <c r="V104" s="373"/>
      <c r="W104" s="346"/>
      <c r="X104" s="373"/>
      <c r="Y104" s="336">
        <f t="shared" ca="1" si="1"/>
        <v>433</v>
      </c>
      <c r="Z104" s="373"/>
      <c r="AA104" s="336"/>
      <c r="AB104" s="373"/>
    </row>
    <row r="105" spans="1:28" s="338" customFormat="1" ht="12.75" customHeight="1" x14ac:dyDescent="0.25">
      <c r="A105" s="347" t="s">
        <v>366</v>
      </c>
      <c r="B105" s="376">
        <v>45153</v>
      </c>
      <c r="C105" s="396" t="s">
        <v>35</v>
      </c>
      <c r="D105" s="333" t="s">
        <v>36</v>
      </c>
      <c r="E105" s="333">
        <v>63201</v>
      </c>
      <c r="F105" s="374" t="s">
        <v>367</v>
      </c>
      <c r="G105" s="372" t="s">
        <v>368</v>
      </c>
      <c r="H105" s="333">
        <v>1</v>
      </c>
      <c r="I105" s="333" t="s">
        <v>357</v>
      </c>
      <c r="J105" s="335" t="s">
        <v>46</v>
      </c>
      <c r="K105" s="332" t="s">
        <v>32</v>
      </c>
      <c r="L105" s="332"/>
      <c r="M105" s="333" t="s">
        <v>33</v>
      </c>
      <c r="N105" s="333"/>
      <c r="O105" s="333"/>
      <c r="P105" s="375">
        <v>45153</v>
      </c>
      <c r="Q105" s="335"/>
      <c r="R105" s="333"/>
      <c r="S105" s="373"/>
      <c r="T105" s="373"/>
      <c r="U105" s="373"/>
      <c r="V105" s="373"/>
      <c r="W105" s="346"/>
      <c r="X105" s="373"/>
      <c r="Y105" s="336">
        <f t="shared" ca="1" si="1"/>
        <v>433</v>
      </c>
      <c r="Z105" s="373"/>
      <c r="AA105" s="336"/>
      <c r="AB105" s="373"/>
    </row>
    <row r="106" spans="1:28" s="338" customFormat="1" ht="12.75" customHeight="1" x14ac:dyDescent="0.25">
      <c r="A106" s="347" t="s">
        <v>369</v>
      </c>
      <c r="B106" s="376">
        <v>45153</v>
      </c>
      <c r="C106" s="396" t="s">
        <v>35</v>
      </c>
      <c r="D106" s="333" t="s">
        <v>36</v>
      </c>
      <c r="E106" s="333">
        <v>63201</v>
      </c>
      <c r="F106" s="374" t="s">
        <v>370</v>
      </c>
      <c r="G106" s="372" t="s">
        <v>371</v>
      </c>
      <c r="H106" s="333">
        <v>1</v>
      </c>
      <c r="I106" s="333" t="s">
        <v>357</v>
      </c>
      <c r="J106" s="335" t="s">
        <v>46</v>
      </c>
      <c r="K106" s="332" t="s">
        <v>32</v>
      </c>
      <c r="L106" s="332"/>
      <c r="M106" s="333" t="s">
        <v>33</v>
      </c>
      <c r="N106" s="333"/>
      <c r="O106" s="333"/>
      <c r="P106" s="375">
        <v>45153</v>
      </c>
      <c r="Q106" s="335"/>
      <c r="R106" s="333"/>
      <c r="S106" s="373"/>
      <c r="T106" s="373"/>
      <c r="U106" s="373"/>
      <c r="V106" s="373"/>
      <c r="W106" s="346"/>
      <c r="X106" s="373"/>
      <c r="Y106" s="336">
        <f t="shared" ca="1" si="1"/>
        <v>433</v>
      </c>
      <c r="Z106" s="373"/>
      <c r="AA106" s="336"/>
      <c r="AB106" s="373"/>
    </row>
    <row r="107" spans="1:28" s="338" customFormat="1" ht="12.75" customHeight="1" x14ac:dyDescent="0.25">
      <c r="A107" s="347" t="s">
        <v>372</v>
      </c>
      <c r="B107" s="376">
        <v>45153</v>
      </c>
      <c r="C107" s="396" t="s">
        <v>35</v>
      </c>
      <c r="D107" s="333" t="s">
        <v>36</v>
      </c>
      <c r="E107" s="333">
        <v>63201</v>
      </c>
      <c r="F107" s="374" t="s">
        <v>373</v>
      </c>
      <c r="G107" s="372" t="s">
        <v>374</v>
      </c>
      <c r="H107" s="333">
        <v>4</v>
      </c>
      <c r="I107" s="333" t="s">
        <v>357</v>
      </c>
      <c r="J107" s="335" t="s">
        <v>46</v>
      </c>
      <c r="K107" s="332" t="s">
        <v>32</v>
      </c>
      <c r="L107" s="332"/>
      <c r="M107" s="333" t="s">
        <v>33</v>
      </c>
      <c r="N107" s="333"/>
      <c r="O107" s="333"/>
      <c r="P107" s="375">
        <v>45153</v>
      </c>
      <c r="Q107" s="335"/>
      <c r="R107" s="333"/>
      <c r="S107" s="373"/>
      <c r="T107" s="373"/>
      <c r="U107" s="373"/>
      <c r="V107" s="373"/>
      <c r="W107" s="346"/>
      <c r="X107" s="373"/>
      <c r="Y107" s="336">
        <f t="shared" ca="1" si="1"/>
        <v>433</v>
      </c>
      <c r="Z107" s="373"/>
      <c r="AA107" s="336"/>
      <c r="AB107" s="373"/>
    </row>
    <row r="108" spans="1:28" s="338" customFormat="1" ht="12.75" customHeight="1" x14ac:dyDescent="0.25">
      <c r="A108" s="347" t="s">
        <v>375</v>
      </c>
      <c r="B108" s="376">
        <v>45153</v>
      </c>
      <c r="C108" s="396" t="s">
        <v>35</v>
      </c>
      <c r="D108" s="333" t="s">
        <v>36</v>
      </c>
      <c r="E108" s="333" t="s">
        <v>376</v>
      </c>
      <c r="F108" s="374" t="s">
        <v>377</v>
      </c>
      <c r="G108" s="372" t="s">
        <v>378</v>
      </c>
      <c r="H108" s="333">
        <v>1</v>
      </c>
      <c r="I108" s="333" t="s">
        <v>379</v>
      </c>
      <c r="J108" s="335" t="s">
        <v>46</v>
      </c>
      <c r="K108" s="332" t="s">
        <v>32</v>
      </c>
      <c r="L108" s="332"/>
      <c r="M108" s="333" t="s">
        <v>33</v>
      </c>
      <c r="N108" s="333"/>
      <c r="O108" s="333"/>
      <c r="P108" s="375">
        <v>45153</v>
      </c>
      <c r="Q108" s="335"/>
      <c r="R108" s="333"/>
      <c r="S108" s="373"/>
      <c r="T108" s="373"/>
      <c r="U108" s="373"/>
      <c r="V108" s="373"/>
      <c r="W108" s="346"/>
      <c r="X108" s="373"/>
      <c r="Y108" s="336">
        <f t="shared" ca="1" si="1"/>
        <v>433</v>
      </c>
      <c r="Z108" s="373"/>
      <c r="AA108" s="336"/>
      <c r="AB108" s="373"/>
    </row>
    <row r="109" spans="1:28" s="338" customFormat="1" ht="12.75" customHeight="1" x14ac:dyDescent="0.25">
      <c r="A109" s="347" t="s">
        <v>380</v>
      </c>
      <c r="B109" s="376">
        <v>45153</v>
      </c>
      <c r="C109" s="396" t="s">
        <v>35</v>
      </c>
      <c r="D109" s="333" t="s">
        <v>36</v>
      </c>
      <c r="E109" s="398" t="s">
        <v>381</v>
      </c>
      <c r="F109" s="374" t="s">
        <v>382</v>
      </c>
      <c r="G109" s="372" t="s">
        <v>383</v>
      </c>
      <c r="H109" s="333">
        <v>1</v>
      </c>
      <c r="I109" s="333" t="s">
        <v>379</v>
      </c>
      <c r="J109" s="335" t="s">
        <v>46</v>
      </c>
      <c r="K109" s="332" t="s">
        <v>32</v>
      </c>
      <c r="L109" s="332"/>
      <c r="M109" s="333" t="s">
        <v>33</v>
      </c>
      <c r="N109" s="333"/>
      <c r="O109" s="333"/>
      <c r="P109" s="375">
        <v>45153</v>
      </c>
      <c r="Q109" s="335"/>
      <c r="R109" s="333"/>
      <c r="S109" s="373"/>
      <c r="T109" s="373"/>
      <c r="U109" s="373"/>
      <c r="V109" s="373"/>
      <c r="W109" s="346"/>
      <c r="X109" s="373"/>
      <c r="Y109" s="336">
        <f t="shared" ca="1" si="1"/>
        <v>433</v>
      </c>
      <c r="Z109" s="373"/>
      <c r="AA109" s="336"/>
      <c r="AB109" s="373"/>
    </row>
    <row r="110" spans="1:28" s="338" customFormat="1" ht="12.75" customHeight="1" x14ac:dyDescent="0.25">
      <c r="A110" s="347" t="s">
        <v>384</v>
      </c>
      <c r="B110" s="376">
        <v>45153</v>
      </c>
      <c r="C110" s="396" t="s">
        <v>35</v>
      </c>
      <c r="D110" s="333" t="s">
        <v>36</v>
      </c>
      <c r="E110" s="333">
        <v>63236</v>
      </c>
      <c r="F110" s="374" t="s">
        <v>385</v>
      </c>
      <c r="G110" s="372" t="s">
        <v>383</v>
      </c>
      <c r="H110" s="333">
        <v>1</v>
      </c>
      <c r="I110" s="333" t="s">
        <v>379</v>
      </c>
      <c r="J110" s="335" t="s">
        <v>46</v>
      </c>
      <c r="K110" s="332" t="s">
        <v>32</v>
      </c>
      <c r="L110" s="332"/>
      <c r="M110" s="333" t="s">
        <v>33</v>
      </c>
      <c r="N110" s="333"/>
      <c r="O110" s="333"/>
      <c r="P110" s="375">
        <v>45153</v>
      </c>
      <c r="Q110" s="335"/>
      <c r="R110" s="333"/>
      <c r="S110" s="373"/>
      <c r="T110" s="373"/>
      <c r="U110" s="373"/>
      <c r="V110" s="373"/>
      <c r="W110" s="346"/>
      <c r="X110" s="373"/>
      <c r="Y110" s="336">
        <f t="shared" ca="1" si="1"/>
        <v>433</v>
      </c>
      <c r="Z110" s="373"/>
      <c r="AA110" s="336"/>
      <c r="AB110" s="373"/>
    </row>
    <row r="111" spans="1:28" s="338" customFormat="1" ht="12.75" customHeight="1" x14ac:dyDescent="0.25">
      <c r="A111" s="347" t="s">
        <v>386</v>
      </c>
      <c r="B111" s="376">
        <v>45153</v>
      </c>
      <c r="C111" s="347" t="s">
        <v>35</v>
      </c>
      <c r="D111" s="333" t="s">
        <v>71</v>
      </c>
      <c r="E111" s="333">
        <v>7740290</v>
      </c>
      <c r="F111" s="374"/>
      <c r="G111" s="372" t="s">
        <v>387</v>
      </c>
      <c r="H111" s="333">
        <v>1</v>
      </c>
      <c r="I111" s="333" t="s">
        <v>388</v>
      </c>
      <c r="J111" s="335" t="s">
        <v>68</v>
      </c>
      <c r="K111" s="332" t="s">
        <v>69</v>
      </c>
      <c r="L111" s="332"/>
      <c r="M111" s="333"/>
      <c r="N111" s="333"/>
      <c r="O111" s="333"/>
      <c r="P111" s="344">
        <v>45167</v>
      </c>
      <c r="Q111" s="335"/>
      <c r="R111" s="333"/>
      <c r="S111" s="373"/>
      <c r="T111" s="373"/>
      <c r="U111" s="373"/>
      <c r="V111" s="373"/>
      <c r="W111" s="346"/>
      <c r="X111" s="373"/>
      <c r="Y111" s="336">
        <f t="shared" ca="1" si="1"/>
        <v>419</v>
      </c>
      <c r="Z111" s="373"/>
      <c r="AA111" s="336"/>
      <c r="AB111" s="373"/>
    </row>
    <row r="112" spans="1:28" s="338" customFormat="1" ht="12.75" customHeight="1" x14ac:dyDescent="0.25">
      <c r="A112" s="347" t="s">
        <v>389</v>
      </c>
      <c r="B112" s="376">
        <v>45153</v>
      </c>
      <c r="C112" s="347" t="s">
        <v>35</v>
      </c>
      <c r="D112" s="333" t="s">
        <v>36</v>
      </c>
      <c r="E112" s="333">
        <v>5763027</v>
      </c>
      <c r="F112" s="374" t="s">
        <v>390</v>
      </c>
      <c r="G112" s="372" t="s">
        <v>391</v>
      </c>
      <c r="H112" s="333">
        <v>1</v>
      </c>
      <c r="I112" s="333" t="s">
        <v>388</v>
      </c>
      <c r="J112" s="335" t="s">
        <v>68</v>
      </c>
      <c r="K112" s="332" t="s">
        <v>69</v>
      </c>
      <c r="L112" s="332"/>
      <c r="M112" s="333" t="s">
        <v>392</v>
      </c>
      <c r="N112" s="333"/>
      <c r="O112" s="333"/>
      <c r="P112" s="375">
        <v>45153</v>
      </c>
      <c r="Q112" s="335"/>
      <c r="R112" s="333"/>
      <c r="S112" s="373"/>
      <c r="T112" s="373"/>
      <c r="U112" s="373"/>
      <c r="V112" s="373"/>
      <c r="W112" s="346">
        <v>45306</v>
      </c>
      <c r="X112" s="373"/>
      <c r="Y112" s="336">
        <f t="shared" ca="1" si="1"/>
        <v>153</v>
      </c>
      <c r="Z112" s="373"/>
      <c r="AA112" s="336"/>
      <c r="AB112" s="373"/>
    </row>
    <row r="113" spans="1:28" s="338" customFormat="1" ht="12.75" customHeight="1" x14ac:dyDescent="0.25">
      <c r="A113" s="347" t="s">
        <v>393</v>
      </c>
      <c r="B113" s="376">
        <v>45153</v>
      </c>
      <c r="C113" s="347" t="s">
        <v>35</v>
      </c>
      <c r="D113" s="333" t="s">
        <v>36</v>
      </c>
      <c r="E113" s="333">
        <v>5494208</v>
      </c>
      <c r="F113" s="374" t="s">
        <v>394</v>
      </c>
      <c r="G113" s="372" t="s">
        <v>395</v>
      </c>
      <c r="H113" s="333">
        <v>1</v>
      </c>
      <c r="I113" s="333" t="s">
        <v>396</v>
      </c>
      <c r="J113" s="335" t="s">
        <v>68</v>
      </c>
      <c r="K113" s="332" t="s">
        <v>69</v>
      </c>
      <c r="L113" s="332"/>
      <c r="M113" s="333" t="s">
        <v>392</v>
      </c>
      <c r="N113" s="333"/>
      <c r="O113" s="333"/>
      <c r="P113" s="375">
        <v>45153</v>
      </c>
      <c r="Q113" s="335"/>
      <c r="R113" s="333"/>
      <c r="S113" s="373"/>
      <c r="T113" s="373"/>
      <c r="U113" s="373"/>
      <c r="V113" s="373"/>
      <c r="W113" s="346"/>
      <c r="X113" s="373"/>
      <c r="Y113" s="336">
        <f t="shared" ca="1" si="1"/>
        <v>433</v>
      </c>
      <c r="Z113" s="373"/>
      <c r="AA113" s="336"/>
      <c r="AB113" s="373"/>
    </row>
    <row r="114" spans="1:28" s="338" customFormat="1" ht="12.75" customHeight="1" x14ac:dyDescent="0.25">
      <c r="A114" s="347" t="s">
        <v>397</v>
      </c>
      <c r="B114" s="376">
        <v>45153</v>
      </c>
      <c r="C114" s="396" t="s">
        <v>35</v>
      </c>
      <c r="D114" s="333" t="s">
        <v>36</v>
      </c>
      <c r="E114" s="333">
        <v>5634800</v>
      </c>
      <c r="F114" s="374" t="s">
        <v>171</v>
      </c>
      <c r="G114" s="372" t="s">
        <v>398</v>
      </c>
      <c r="H114" s="333">
        <v>1</v>
      </c>
      <c r="I114" s="333" t="s">
        <v>399</v>
      </c>
      <c r="J114" s="335" t="s">
        <v>43</v>
      </c>
      <c r="K114" s="332" t="s">
        <v>32</v>
      </c>
      <c r="L114" s="332"/>
      <c r="M114" s="333" t="s">
        <v>33</v>
      </c>
      <c r="N114" s="333"/>
      <c r="O114" s="333"/>
      <c r="P114" s="375">
        <v>45153</v>
      </c>
      <c r="Q114" s="335"/>
      <c r="R114" s="333"/>
      <c r="S114" s="373"/>
      <c r="T114" s="373"/>
      <c r="U114" s="373"/>
      <c r="V114" s="373"/>
      <c r="W114" s="346">
        <v>45180</v>
      </c>
      <c r="X114" s="373">
        <v>1</v>
      </c>
      <c r="Y114" s="336">
        <f t="shared" ca="1" si="1"/>
        <v>27</v>
      </c>
      <c r="Z114" s="373"/>
      <c r="AA114" s="336"/>
      <c r="AB114" s="373" t="s">
        <v>400</v>
      </c>
    </row>
    <row r="115" spans="1:28" s="338" customFormat="1" ht="12.75" customHeight="1" x14ac:dyDescent="0.25">
      <c r="A115" s="347" t="s">
        <v>401</v>
      </c>
      <c r="B115" s="376">
        <v>45153</v>
      </c>
      <c r="C115" s="396" t="s">
        <v>35</v>
      </c>
      <c r="D115" s="333" t="s">
        <v>36</v>
      </c>
      <c r="E115" s="333" t="s">
        <v>33</v>
      </c>
      <c r="F115" s="374" t="s">
        <v>402</v>
      </c>
      <c r="G115" s="372" t="s">
        <v>403</v>
      </c>
      <c r="H115" s="333">
        <v>1</v>
      </c>
      <c r="I115" s="333" t="s">
        <v>343</v>
      </c>
      <c r="J115" s="335" t="s">
        <v>43</v>
      </c>
      <c r="K115" s="332" t="s">
        <v>32</v>
      </c>
      <c r="L115" s="332"/>
      <c r="M115" s="333" t="s">
        <v>33</v>
      </c>
      <c r="N115" s="333"/>
      <c r="O115" s="333"/>
      <c r="P115" s="375">
        <v>45153</v>
      </c>
      <c r="Q115" s="335"/>
      <c r="R115" s="333"/>
      <c r="S115" s="373"/>
      <c r="T115" s="373"/>
      <c r="U115" s="373"/>
      <c r="V115" s="373"/>
      <c r="W115" s="346">
        <v>45025</v>
      </c>
      <c r="X115" s="373">
        <v>5</v>
      </c>
      <c r="Y115" s="336">
        <f t="shared" ca="1" si="1"/>
        <v>-128</v>
      </c>
      <c r="Z115" s="373"/>
      <c r="AA115" s="336"/>
      <c r="AB115" s="373"/>
    </row>
    <row r="116" spans="1:28" s="338" customFormat="1" ht="12.75" customHeight="1" x14ac:dyDescent="0.25">
      <c r="A116" s="347" t="s">
        <v>404</v>
      </c>
      <c r="B116" s="376">
        <v>45153</v>
      </c>
      <c r="C116" s="396" t="s">
        <v>35</v>
      </c>
      <c r="D116" s="333" t="s">
        <v>36</v>
      </c>
      <c r="E116" s="333" t="s">
        <v>33</v>
      </c>
      <c r="F116" s="374" t="s">
        <v>405</v>
      </c>
      <c r="G116" s="372" t="s">
        <v>406</v>
      </c>
      <c r="H116" s="333">
        <v>5</v>
      </c>
      <c r="I116" s="333" t="s">
        <v>343</v>
      </c>
      <c r="J116" s="335" t="s">
        <v>43</v>
      </c>
      <c r="K116" s="332" t="s">
        <v>32</v>
      </c>
      <c r="L116" s="332"/>
      <c r="M116" s="333" t="s">
        <v>33</v>
      </c>
      <c r="N116" s="333"/>
      <c r="O116" s="333"/>
      <c r="P116" s="375">
        <v>45153</v>
      </c>
      <c r="Q116" s="335"/>
      <c r="R116" s="333"/>
      <c r="S116" s="373"/>
      <c r="T116" s="373"/>
      <c r="U116" s="373"/>
      <c r="V116" s="373"/>
      <c r="W116" s="346">
        <v>45173</v>
      </c>
      <c r="X116" s="373">
        <v>5</v>
      </c>
      <c r="Y116" s="336">
        <f t="shared" ca="1" si="1"/>
        <v>20</v>
      </c>
      <c r="Z116" s="373"/>
      <c r="AA116" s="336"/>
      <c r="AB116" s="373"/>
    </row>
    <row r="117" spans="1:28" s="338" customFormat="1" ht="12.75" customHeight="1" x14ac:dyDescent="0.25">
      <c r="A117" s="347" t="s">
        <v>407</v>
      </c>
      <c r="B117" s="376">
        <v>45153</v>
      </c>
      <c r="C117" s="396" t="s">
        <v>35</v>
      </c>
      <c r="D117" s="333" t="s">
        <v>36</v>
      </c>
      <c r="E117" s="333">
        <v>34816</v>
      </c>
      <c r="F117" s="374" t="s">
        <v>408</v>
      </c>
      <c r="G117" s="372" t="s">
        <v>409</v>
      </c>
      <c r="H117" s="333">
        <v>2</v>
      </c>
      <c r="I117" s="333" t="s">
        <v>399</v>
      </c>
      <c r="J117" s="335" t="s">
        <v>46</v>
      </c>
      <c r="K117" s="332" t="s">
        <v>32</v>
      </c>
      <c r="L117" s="332"/>
      <c r="M117" s="333" t="s">
        <v>33</v>
      </c>
      <c r="N117" s="333"/>
      <c r="O117" s="333"/>
      <c r="P117" s="375">
        <v>45153</v>
      </c>
      <c r="Q117" s="335"/>
      <c r="R117" s="333"/>
      <c r="S117" s="373"/>
      <c r="T117" s="373"/>
      <c r="U117" s="373"/>
      <c r="V117" s="373"/>
      <c r="W117" s="346">
        <v>45173</v>
      </c>
      <c r="X117" s="373">
        <v>2</v>
      </c>
      <c r="Y117" s="336">
        <f t="shared" ca="1" si="1"/>
        <v>20</v>
      </c>
      <c r="Z117" s="373"/>
      <c r="AA117" s="336"/>
      <c r="AB117" s="373"/>
    </row>
    <row r="118" spans="1:28" s="338" customFormat="1" ht="12.75" customHeight="1" x14ac:dyDescent="0.25">
      <c r="A118" s="347" t="s">
        <v>410</v>
      </c>
      <c r="B118" s="376">
        <v>45153</v>
      </c>
      <c r="C118" s="396" t="s">
        <v>35</v>
      </c>
      <c r="D118" s="333" t="s">
        <v>36</v>
      </c>
      <c r="E118" s="333">
        <v>34796</v>
      </c>
      <c r="F118" s="374" t="s">
        <v>408</v>
      </c>
      <c r="G118" s="372" t="s">
        <v>409</v>
      </c>
      <c r="H118" s="333">
        <v>2</v>
      </c>
      <c r="I118" s="333" t="s">
        <v>399</v>
      </c>
      <c r="J118" s="335" t="s">
        <v>46</v>
      </c>
      <c r="K118" s="332" t="s">
        <v>32</v>
      </c>
      <c r="L118" s="332"/>
      <c r="M118" s="333" t="s">
        <v>33</v>
      </c>
      <c r="N118" s="333"/>
      <c r="O118" s="333"/>
      <c r="P118" s="375">
        <v>45153</v>
      </c>
      <c r="Q118" s="335"/>
      <c r="R118" s="333"/>
      <c r="S118" s="373"/>
      <c r="T118" s="373"/>
      <c r="U118" s="373"/>
      <c r="V118" s="373"/>
      <c r="W118" s="346">
        <v>45173</v>
      </c>
      <c r="X118" s="373">
        <v>2</v>
      </c>
      <c r="Y118" s="336">
        <f t="shared" ca="1" si="1"/>
        <v>20</v>
      </c>
      <c r="Z118" s="373"/>
      <c r="AA118" s="336"/>
      <c r="AB118" s="373"/>
    </row>
    <row r="119" spans="1:28" s="338" customFormat="1" ht="12.75" customHeight="1" x14ac:dyDescent="0.25">
      <c r="A119" s="347" t="s">
        <v>411</v>
      </c>
      <c r="B119" s="376">
        <v>45153</v>
      </c>
      <c r="C119" s="333" t="s">
        <v>35</v>
      </c>
      <c r="D119" s="333" t="s">
        <v>36</v>
      </c>
      <c r="E119" s="333">
        <v>34814</v>
      </c>
      <c r="F119" s="374" t="s">
        <v>408</v>
      </c>
      <c r="G119" s="372" t="s">
        <v>412</v>
      </c>
      <c r="H119" s="333">
        <v>1</v>
      </c>
      <c r="I119" s="333" t="s">
        <v>399</v>
      </c>
      <c r="J119" s="335" t="s">
        <v>46</v>
      </c>
      <c r="K119" s="332" t="s">
        <v>32</v>
      </c>
      <c r="L119" s="332"/>
      <c r="M119" s="333" t="s">
        <v>33</v>
      </c>
      <c r="N119" s="333"/>
      <c r="O119" s="333"/>
      <c r="P119" s="375">
        <v>45153</v>
      </c>
      <c r="Q119" s="335"/>
      <c r="R119" s="333"/>
      <c r="S119" s="373"/>
      <c r="T119" s="373"/>
      <c r="U119" s="373"/>
      <c r="V119" s="373"/>
      <c r="W119" s="346">
        <v>45173</v>
      </c>
      <c r="X119" s="373">
        <v>2</v>
      </c>
      <c r="Y119" s="336">
        <f t="shared" ca="1" si="1"/>
        <v>20</v>
      </c>
      <c r="Z119" s="373"/>
      <c r="AA119" s="336"/>
      <c r="AB119" s="373"/>
    </row>
    <row r="120" spans="1:28" s="338" customFormat="1" ht="12.75" customHeight="1" x14ac:dyDescent="0.25">
      <c r="A120" s="347" t="s">
        <v>413</v>
      </c>
      <c r="B120" s="376">
        <v>45153</v>
      </c>
      <c r="C120" s="347" t="s">
        <v>35</v>
      </c>
      <c r="D120" s="333" t="s">
        <v>177</v>
      </c>
      <c r="E120" s="333" t="s">
        <v>33</v>
      </c>
      <c r="F120" s="374" t="s">
        <v>414</v>
      </c>
      <c r="G120" s="372" t="s">
        <v>415</v>
      </c>
      <c r="H120" s="333">
        <v>1</v>
      </c>
      <c r="I120" s="333" t="s">
        <v>416</v>
      </c>
      <c r="J120" s="335" t="s">
        <v>102</v>
      </c>
      <c r="K120" s="332" t="s">
        <v>69</v>
      </c>
      <c r="L120" s="332"/>
      <c r="M120" s="333"/>
      <c r="N120" s="333"/>
      <c r="O120" s="333"/>
      <c r="P120" s="344">
        <v>45167</v>
      </c>
      <c r="Q120" s="335"/>
      <c r="R120" s="333"/>
      <c r="S120" s="373"/>
      <c r="T120" s="373"/>
      <c r="U120" s="373"/>
      <c r="V120" s="373"/>
      <c r="W120" s="346"/>
      <c r="X120" s="373"/>
      <c r="Y120" s="336">
        <f t="shared" ca="1" si="1"/>
        <v>419</v>
      </c>
      <c r="Z120" s="373"/>
      <c r="AA120" s="336"/>
      <c r="AB120" s="373"/>
    </row>
    <row r="121" spans="1:28" s="338" customFormat="1" ht="12.75" customHeight="1" x14ac:dyDescent="0.25">
      <c r="A121" s="347" t="s">
        <v>417</v>
      </c>
      <c r="B121" s="376">
        <v>45153</v>
      </c>
      <c r="C121" s="333" t="s">
        <v>35</v>
      </c>
      <c r="D121" s="333" t="s">
        <v>177</v>
      </c>
      <c r="E121" s="333">
        <v>188</v>
      </c>
      <c r="F121" s="374" t="s">
        <v>408</v>
      </c>
      <c r="G121" s="372" t="s">
        <v>412</v>
      </c>
      <c r="H121" s="333">
        <v>5</v>
      </c>
      <c r="I121" s="333" t="s">
        <v>418</v>
      </c>
      <c r="J121" s="335" t="s">
        <v>46</v>
      </c>
      <c r="K121" s="332" t="s">
        <v>32</v>
      </c>
      <c r="L121" s="332"/>
      <c r="M121" s="333" t="s">
        <v>33</v>
      </c>
      <c r="N121" s="333"/>
      <c r="O121" s="333"/>
      <c r="P121" s="344">
        <v>45167</v>
      </c>
      <c r="Q121" s="335"/>
      <c r="R121" s="333"/>
      <c r="S121" s="373"/>
      <c r="T121" s="373"/>
      <c r="U121" s="373"/>
      <c r="V121" s="373"/>
      <c r="W121" s="346">
        <v>45419</v>
      </c>
      <c r="X121" s="373"/>
      <c r="Y121" s="336">
        <f t="shared" ca="1" si="1"/>
        <v>252</v>
      </c>
      <c r="Z121" s="373"/>
      <c r="AA121" s="336"/>
      <c r="AB121" s="373"/>
    </row>
    <row r="122" spans="1:28" s="338" customFormat="1" ht="12.75" customHeight="1" x14ac:dyDescent="0.25">
      <c r="A122" s="347" t="s">
        <v>419</v>
      </c>
      <c r="B122" s="376">
        <v>45153</v>
      </c>
      <c r="C122" s="347" t="s">
        <v>35</v>
      </c>
      <c r="D122" s="333" t="s">
        <v>36</v>
      </c>
      <c r="E122" s="333" t="s">
        <v>33</v>
      </c>
      <c r="F122" s="374" t="s">
        <v>420</v>
      </c>
      <c r="G122" s="372" t="s">
        <v>421</v>
      </c>
      <c r="H122" s="333">
        <v>1</v>
      </c>
      <c r="I122" s="333" t="s">
        <v>422</v>
      </c>
      <c r="J122" s="335" t="s">
        <v>68</v>
      </c>
      <c r="K122" s="332" t="s">
        <v>69</v>
      </c>
      <c r="L122" s="332"/>
      <c r="M122" s="333"/>
      <c r="N122" s="333"/>
      <c r="O122" s="333"/>
      <c r="P122" s="375">
        <v>45153</v>
      </c>
      <c r="Q122" s="335"/>
      <c r="R122" s="333"/>
      <c r="S122" s="373"/>
      <c r="T122" s="373"/>
      <c r="U122" s="373"/>
      <c r="V122" s="373"/>
      <c r="W122" s="346"/>
      <c r="X122" s="373"/>
      <c r="Y122" s="336">
        <f t="shared" ca="1" si="1"/>
        <v>433</v>
      </c>
      <c r="Z122" s="373"/>
      <c r="AA122" s="336"/>
      <c r="AB122" s="373"/>
    </row>
    <row r="123" spans="1:28" s="338" customFormat="1" ht="12.75" customHeight="1" x14ac:dyDescent="0.25">
      <c r="A123" s="347" t="s">
        <v>423</v>
      </c>
      <c r="B123" s="376">
        <v>45153</v>
      </c>
      <c r="C123" s="333" t="s">
        <v>35</v>
      </c>
      <c r="D123" s="333" t="s">
        <v>36</v>
      </c>
      <c r="E123" s="333">
        <v>192</v>
      </c>
      <c r="F123" s="374" t="s">
        <v>408</v>
      </c>
      <c r="G123" s="372" t="s">
        <v>412</v>
      </c>
      <c r="H123" s="333">
        <v>2</v>
      </c>
      <c r="I123" s="333" t="s">
        <v>424</v>
      </c>
      <c r="J123" s="335" t="s">
        <v>46</v>
      </c>
      <c r="K123" s="332" t="s">
        <v>32</v>
      </c>
      <c r="L123" s="332"/>
      <c r="M123" s="333" t="s">
        <v>33</v>
      </c>
      <c r="N123" s="333"/>
      <c r="O123" s="333"/>
      <c r="P123" s="375">
        <v>45153</v>
      </c>
      <c r="Q123" s="335"/>
      <c r="R123" s="333"/>
      <c r="S123" s="373"/>
      <c r="T123" s="373"/>
      <c r="U123" s="373"/>
      <c r="V123" s="373"/>
      <c r="W123" s="346">
        <v>45173</v>
      </c>
      <c r="X123" s="373">
        <v>2</v>
      </c>
      <c r="Y123" s="336">
        <f t="shared" ca="1" si="1"/>
        <v>20</v>
      </c>
      <c r="Z123" s="373"/>
      <c r="AA123" s="336"/>
      <c r="AB123" s="373"/>
    </row>
    <row r="124" spans="1:28" s="338" customFormat="1" ht="12.75" customHeight="1" x14ac:dyDescent="0.25">
      <c r="A124" s="347" t="s">
        <v>425</v>
      </c>
      <c r="B124" s="376">
        <v>45153</v>
      </c>
      <c r="C124" s="333" t="s">
        <v>35</v>
      </c>
      <c r="D124" s="333" t="s">
        <v>36</v>
      </c>
      <c r="E124" s="333">
        <v>197</v>
      </c>
      <c r="F124" s="374" t="s">
        <v>408</v>
      </c>
      <c r="G124" s="372" t="s">
        <v>412</v>
      </c>
      <c r="H124" s="333">
        <v>1</v>
      </c>
      <c r="I124" s="333" t="s">
        <v>424</v>
      </c>
      <c r="J124" s="335" t="s">
        <v>46</v>
      </c>
      <c r="K124" s="332" t="s">
        <v>32</v>
      </c>
      <c r="L124" s="332"/>
      <c r="M124" s="333" t="s">
        <v>33</v>
      </c>
      <c r="N124" s="333"/>
      <c r="O124" s="333"/>
      <c r="P124" s="375">
        <v>45153</v>
      </c>
      <c r="Q124" s="335"/>
      <c r="R124" s="333"/>
      <c r="S124" s="373"/>
      <c r="T124" s="373"/>
      <c r="U124" s="373"/>
      <c r="V124" s="373"/>
      <c r="W124" s="346">
        <v>45173</v>
      </c>
      <c r="X124" s="373">
        <v>2</v>
      </c>
      <c r="Y124" s="336">
        <f t="shared" ca="1" si="1"/>
        <v>20</v>
      </c>
      <c r="Z124" s="373"/>
      <c r="AA124" s="336"/>
      <c r="AB124" s="373"/>
    </row>
    <row r="125" spans="1:28" s="338" customFormat="1" ht="12.75" customHeight="1" x14ac:dyDescent="0.25">
      <c r="A125" s="347" t="s">
        <v>426</v>
      </c>
      <c r="B125" s="376">
        <v>45153</v>
      </c>
      <c r="C125" s="333" t="s">
        <v>35</v>
      </c>
      <c r="D125" s="333" t="s">
        <v>36</v>
      </c>
      <c r="E125" s="333">
        <v>239</v>
      </c>
      <c r="F125" s="374" t="s">
        <v>427</v>
      </c>
      <c r="G125" s="372" t="s">
        <v>428</v>
      </c>
      <c r="H125" s="333">
        <v>3</v>
      </c>
      <c r="I125" s="333" t="s">
        <v>429</v>
      </c>
      <c r="J125" s="335" t="s">
        <v>265</v>
      </c>
      <c r="K125" s="332" t="s">
        <v>32</v>
      </c>
      <c r="L125" s="332"/>
      <c r="M125" s="333" t="s">
        <v>33</v>
      </c>
      <c r="N125" s="333"/>
      <c r="O125" s="333"/>
      <c r="P125" s="375">
        <v>45153</v>
      </c>
      <c r="Q125" s="335"/>
      <c r="R125" s="333"/>
      <c r="S125" s="373"/>
      <c r="T125" s="373"/>
      <c r="U125" s="373"/>
      <c r="V125" s="373"/>
      <c r="W125" s="346">
        <v>45306</v>
      </c>
      <c r="X125" s="373"/>
      <c r="Y125" s="336">
        <f t="shared" ca="1" si="1"/>
        <v>153</v>
      </c>
      <c r="Z125" s="373"/>
      <c r="AA125" s="336"/>
      <c r="AB125" s="373"/>
    </row>
    <row r="126" spans="1:28" s="338" customFormat="1" ht="12.75" customHeight="1" x14ac:dyDescent="0.25">
      <c r="A126" s="347" t="s">
        <v>430</v>
      </c>
      <c r="B126" s="376">
        <v>45153</v>
      </c>
      <c r="C126" s="347" t="s">
        <v>35</v>
      </c>
      <c r="D126" s="333" t="s">
        <v>36</v>
      </c>
      <c r="E126" s="333">
        <v>5494214</v>
      </c>
      <c r="F126" s="374" t="s">
        <v>431</v>
      </c>
      <c r="G126" s="372" t="s">
        <v>432</v>
      </c>
      <c r="H126" s="333">
        <v>1</v>
      </c>
      <c r="I126" s="333" t="s">
        <v>433</v>
      </c>
      <c r="J126" s="335" t="s">
        <v>68</v>
      </c>
      <c r="K126" s="332" t="s">
        <v>69</v>
      </c>
      <c r="L126" s="332"/>
      <c r="M126" s="333"/>
      <c r="N126" s="333"/>
      <c r="O126" s="333"/>
      <c r="P126" s="375">
        <v>45153</v>
      </c>
      <c r="Q126" s="335"/>
      <c r="R126" s="333"/>
      <c r="S126" s="373"/>
      <c r="T126" s="373"/>
      <c r="U126" s="373"/>
      <c r="V126" s="373"/>
      <c r="W126" s="346"/>
      <c r="X126" s="373"/>
      <c r="Y126" s="336">
        <f t="shared" ca="1" si="1"/>
        <v>433</v>
      </c>
      <c r="Z126" s="373"/>
      <c r="AA126" s="336"/>
      <c r="AB126" s="373"/>
    </row>
    <row r="127" spans="1:28" s="338" customFormat="1" ht="12.75" customHeight="1" x14ac:dyDescent="0.25">
      <c r="A127" s="347" t="s">
        <v>434</v>
      </c>
      <c r="B127" s="376">
        <v>45153</v>
      </c>
      <c r="C127" s="347" t="s">
        <v>35</v>
      </c>
      <c r="D127" s="333" t="s">
        <v>36</v>
      </c>
      <c r="E127" s="333">
        <v>5494211</v>
      </c>
      <c r="F127" s="374" t="s">
        <v>435</v>
      </c>
      <c r="G127" s="372" t="s">
        <v>436</v>
      </c>
      <c r="H127" s="333">
        <v>1</v>
      </c>
      <c r="I127" s="333" t="s">
        <v>433</v>
      </c>
      <c r="J127" s="335" t="s">
        <v>68</v>
      </c>
      <c r="K127" s="332" t="s">
        <v>69</v>
      </c>
      <c r="L127" s="332"/>
      <c r="M127" s="333"/>
      <c r="N127" s="333"/>
      <c r="O127" s="333"/>
      <c r="P127" s="375">
        <v>45153</v>
      </c>
      <c r="Q127" s="335"/>
      <c r="R127" s="333"/>
      <c r="S127" s="373"/>
      <c r="T127" s="373"/>
      <c r="U127" s="373"/>
      <c r="V127" s="373"/>
      <c r="W127" s="346">
        <v>45184</v>
      </c>
      <c r="X127" s="373"/>
      <c r="Y127" s="336">
        <f t="shared" ca="1" si="1"/>
        <v>31</v>
      </c>
      <c r="Z127" s="373"/>
      <c r="AA127" s="336"/>
      <c r="AB127" s="373"/>
    </row>
    <row r="128" spans="1:28" s="338" customFormat="1" ht="12.75" customHeight="1" x14ac:dyDescent="0.25">
      <c r="A128" s="347" t="s">
        <v>437</v>
      </c>
      <c r="B128" s="376">
        <v>45153</v>
      </c>
      <c r="C128" s="347" t="s">
        <v>35</v>
      </c>
      <c r="D128" s="333" t="s">
        <v>36</v>
      </c>
      <c r="E128" s="333" t="s">
        <v>33</v>
      </c>
      <c r="F128" s="374" t="s">
        <v>84</v>
      </c>
      <c r="G128" s="372" t="s">
        <v>438</v>
      </c>
      <c r="H128" s="333">
        <v>1</v>
      </c>
      <c r="I128" s="333" t="s">
        <v>33</v>
      </c>
      <c r="J128" s="335" t="s">
        <v>68</v>
      </c>
      <c r="K128" s="332" t="s">
        <v>69</v>
      </c>
      <c r="L128" s="332"/>
      <c r="M128" s="333"/>
      <c r="N128" s="333"/>
      <c r="O128" s="333"/>
      <c r="P128" s="344">
        <v>45167</v>
      </c>
      <c r="Q128" s="335"/>
      <c r="R128" s="333"/>
      <c r="S128" s="373"/>
      <c r="T128" s="373"/>
      <c r="U128" s="373"/>
      <c r="V128" s="373"/>
      <c r="W128" s="341">
        <v>45257</v>
      </c>
      <c r="X128" s="373">
        <v>3</v>
      </c>
      <c r="Y128" s="336">
        <f t="shared" ca="1" si="1"/>
        <v>90</v>
      </c>
      <c r="Z128" s="373"/>
      <c r="AA128" s="336"/>
      <c r="AB128" s="373"/>
    </row>
    <row r="129" spans="1:28" s="338" customFormat="1" ht="12.75" customHeight="1" x14ac:dyDescent="0.25">
      <c r="A129" s="347" t="s">
        <v>439</v>
      </c>
      <c r="B129" s="376">
        <v>45155</v>
      </c>
      <c r="C129" s="347" t="s">
        <v>26</v>
      </c>
      <c r="D129" s="333" t="s">
        <v>65</v>
      </c>
      <c r="E129" s="333">
        <v>4044660</v>
      </c>
      <c r="F129" s="374"/>
      <c r="G129" s="372" t="s">
        <v>440</v>
      </c>
      <c r="H129" s="333"/>
      <c r="I129" s="333" t="s">
        <v>441</v>
      </c>
      <c r="J129" s="335"/>
      <c r="K129" s="332"/>
      <c r="L129" s="332"/>
      <c r="M129" s="333"/>
      <c r="N129" s="333"/>
      <c r="O129" s="333"/>
      <c r="P129" s="334">
        <v>45155</v>
      </c>
      <c r="Q129" s="335"/>
      <c r="R129" s="333"/>
      <c r="S129" s="373"/>
      <c r="T129" s="373"/>
      <c r="U129" s="373"/>
      <c r="V129" s="373"/>
      <c r="W129" s="341">
        <v>45377</v>
      </c>
      <c r="X129" s="373"/>
      <c r="Y129" s="336">
        <f t="shared" ca="1" si="1"/>
        <v>222</v>
      </c>
      <c r="Z129" s="373"/>
      <c r="AA129" s="336"/>
      <c r="AB129" s="373"/>
    </row>
    <row r="130" spans="1:28" s="338" customFormat="1" ht="12.75" customHeight="1" x14ac:dyDescent="0.25">
      <c r="A130" s="347" t="s">
        <v>442</v>
      </c>
      <c r="B130" s="376">
        <v>45159</v>
      </c>
      <c r="C130" s="347" t="s">
        <v>219</v>
      </c>
      <c r="D130" s="333">
        <v>1216</v>
      </c>
      <c r="E130" s="333" t="s">
        <v>33</v>
      </c>
      <c r="F130" s="374">
        <v>215331700141</v>
      </c>
      <c r="G130" s="372" t="s">
        <v>443</v>
      </c>
      <c r="H130" s="372">
        <v>2</v>
      </c>
      <c r="I130" s="372" t="s">
        <v>444</v>
      </c>
      <c r="J130" s="350" t="s">
        <v>46</v>
      </c>
      <c r="K130" s="399" t="s">
        <v>32</v>
      </c>
      <c r="L130" s="399"/>
      <c r="M130" s="372" t="s">
        <v>33</v>
      </c>
      <c r="N130" s="372"/>
      <c r="O130" s="372"/>
      <c r="P130" s="400">
        <v>45159</v>
      </c>
      <c r="Q130" s="350"/>
      <c r="R130" s="372"/>
      <c r="S130" s="401"/>
      <c r="T130" s="401"/>
      <c r="U130" s="401"/>
      <c r="V130" s="401"/>
      <c r="W130" s="402">
        <v>45217</v>
      </c>
      <c r="X130" s="373">
        <v>1</v>
      </c>
      <c r="Y130" s="336">
        <f t="shared" ref="Y130:Y193" ca="1" si="2">IF(P130="","",IF(W130="",TODAY()-P130,W130-P130))</f>
        <v>58</v>
      </c>
      <c r="Z130" s="373"/>
      <c r="AA130" s="336"/>
      <c r="AB130" s="373"/>
    </row>
    <row r="131" spans="1:28" s="338" customFormat="1" ht="12.75" customHeight="1" x14ac:dyDescent="0.25">
      <c r="A131" s="347" t="s">
        <v>445</v>
      </c>
      <c r="B131" s="376">
        <v>45159</v>
      </c>
      <c r="C131" s="347" t="s">
        <v>219</v>
      </c>
      <c r="D131" s="333">
        <v>1216</v>
      </c>
      <c r="E131" s="333" t="s">
        <v>33</v>
      </c>
      <c r="F131" s="374">
        <v>264174200137</v>
      </c>
      <c r="G131" s="372" t="s">
        <v>446</v>
      </c>
      <c r="H131" s="372">
        <v>1</v>
      </c>
      <c r="I131" s="372" t="s">
        <v>444</v>
      </c>
      <c r="J131" s="350" t="s">
        <v>46</v>
      </c>
      <c r="K131" s="399" t="s">
        <v>32</v>
      </c>
      <c r="L131" s="399"/>
      <c r="M131" s="372" t="s">
        <v>33</v>
      </c>
      <c r="N131" s="372"/>
      <c r="O131" s="372"/>
      <c r="P131" s="400">
        <v>45159</v>
      </c>
      <c r="Q131" s="350"/>
      <c r="R131" s="372"/>
      <c r="S131" s="401"/>
      <c r="T131" s="401"/>
      <c r="U131" s="401"/>
      <c r="V131" s="401"/>
      <c r="W131" s="402">
        <v>45278</v>
      </c>
      <c r="X131" s="373">
        <v>2</v>
      </c>
      <c r="Y131" s="336">
        <f t="shared" ca="1" si="2"/>
        <v>119</v>
      </c>
      <c r="Z131" s="373"/>
      <c r="AA131" s="336"/>
      <c r="AB131" s="373"/>
    </row>
    <row r="132" spans="1:28" s="338" customFormat="1" ht="12.75" customHeight="1" x14ac:dyDescent="0.25">
      <c r="A132" s="347" t="s">
        <v>447</v>
      </c>
      <c r="B132" s="376">
        <v>45159</v>
      </c>
      <c r="C132" s="347" t="s">
        <v>219</v>
      </c>
      <c r="D132" s="333">
        <v>1216</v>
      </c>
      <c r="E132" s="333" t="s">
        <v>33</v>
      </c>
      <c r="F132" s="374">
        <v>992673831011</v>
      </c>
      <c r="G132" s="372" t="s">
        <v>448</v>
      </c>
      <c r="H132" s="372">
        <v>4</v>
      </c>
      <c r="I132" s="372" t="s">
        <v>444</v>
      </c>
      <c r="J132" s="350" t="s">
        <v>31</v>
      </c>
      <c r="K132" s="399" t="s">
        <v>32</v>
      </c>
      <c r="L132" s="399"/>
      <c r="M132" s="372" t="s">
        <v>33</v>
      </c>
      <c r="N132" s="372"/>
      <c r="O132" s="372"/>
      <c r="P132" s="400">
        <v>45159</v>
      </c>
      <c r="Q132" s="350"/>
      <c r="R132" s="372"/>
      <c r="S132" s="401"/>
      <c r="T132" s="401"/>
      <c r="U132" s="401"/>
      <c r="V132" s="401"/>
      <c r="W132" s="402">
        <v>45268</v>
      </c>
      <c r="X132" s="373">
        <v>8</v>
      </c>
      <c r="Y132" s="336">
        <f t="shared" ca="1" si="2"/>
        <v>109</v>
      </c>
      <c r="Z132" s="373"/>
      <c r="AA132" s="336"/>
      <c r="AB132" s="373"/>
    </row>
    <row r="133" spans="1:28" s="338" customFormat="1" ht="12.75" customHeight="1" x14ac:dyDescent="0.25">
      <c r="A133" s="347" t="s">
        <v>449</v>
      </c>
      <c r="B133" s="376">
        <v>45159</v>
      </c>
      <c r="C133" s="347" t="s">
        <v>219</v>
      </c>
      <c r="D133" s="333">
        <v>1216</v>
      </c>
      <c r="E133" s="333" t="s">
        <v>33</v>
      </c>
      <c r="F133" s="374">
        <v>217954601610</v>
      </c>
      <c r="G133" s="372" t="s">
        <v>450</v>
      </c>
      <c r="H133" s="372">
        <v>1</v>
      </c>
      <c r="I133" s="372" t="s">
        <v>444</v>
      </c>
      <c r="J133" s="350" t="s">
        <v>31</v>
      </c>
      <c r="K133" s="399" t="s">
        <v>32</v>
      </c>
      <c r="L133" s="399"/>
      <c r="M133" s="372" t="s">
        <v>33</v>
      </c>
      <c r="N133" s="372"/>
      <c r="O133" s="372"/>
      <c r="P133" s="400">
        <v>45159</v>
      </c>
      <c r="Q133" s="350"/>
      <c r="R133" s="372"/>
      <c r="S133" s="401"/>
      <c r="T133" s="401"/>
      <c r="U133" s="401"/>
      <c r="V133" s="401"/>
      <c r="W133" s="402">
        <v>45280</v>
      </c>
      <c r="X133" s="373">
        <v>1</v>
      </c>
      <c r="Y133" s="336">
        <f t="shared" ca="1" si="2"/>
        <v>121</v>
      </c>
      <c r="Z133" s="373"/>
      <c r="AA133" s="336"/>
      <c r="AB133" s="373"/>
    </row>
    <row r="134" spans="1:28" s="338" customFormat="1" ht="12.75" customHeight="1" x14ac:dyDescent="0.25">
      <c r="A134" s="347" t="s">
        <v>451</v>
      </c>
      <c r="B134" s="376">
        <v>45159</v>
      </c>
      <c r="C134" s="347" t="s">
        <v>219</v>
      </c>
      <c r="D134" s="333">
        <v>1216</v>
      </c>
      <c r="E134" s="333" t="s">
        <v>33</v>
      </c>
      <c r="F134" s="374">
        <v>21985440118</v>
      </c>
      <c r="G134" s="372" t="s">
        <v>452</v>
      </c>
      <c r="H134" s="372">
        <v>1</v>
      </c>
      <c r="I134" s="372" t="s">
        <v>444</v>
      </c>
      <c r="J134" s="350" t="s">
        <v>265</v>
      </c>
      <c r="K134" s="399" t="s">
        <v>32</v>
      </c>
      <c r="L134" s="399"/>
      <c r="M134" s="372" t="s">
        <v>33</v>
      </c>
      <c r="N134" s="372"/>
      <c r="O134" s="372"/>
      <c r="P134" s="400">
        <v>45159</v>
      </c>
      <c r="Q134" s="350"/>
      <c r="R134" s="372"/>
      <c r="S134" s="401"/>
      <c r="T134" s="401"/>
      <c r="U134" s="401"/>
      <c r="V134" s="401"/>
      <c r="W134" s="402">
        <v>45246</v>
      </c>
      <c r="X134" s="373">
        <v>1</v>
      </c>
      <c r="Y134" s="336">
        <f t="shared" ca="1" si="2"/>
        <v>87</v>
      </c>
      <c r="Z134" s="373"/>
      <c r="AA134" s="336"/>
      <c r="AB134" s="373"/>
    </row>
    <row r="135" spans="1:28" s="338" customFormat="1" ht="12.75" customHeight="1" x14ac:dyDescent="0.25">
      <c r="A135" s="347" t="s">
        <v>453</v>
      </c>
      <c r="B135" s="376">
        <v>45159</v>
      </c>
      <c r="C135" s="347" t="s">
        <v>219</v>
      </c>
      <c r="D135" s="333">
        <v>1216</v>
      </c>
      <c r="E135" s="333" t="s">
        <v>33</v>
      </c>
      <c r="F135" s="374">
        <v>21985440119</v>
      </c>
      <c r="G135" s="372" t="s">
        <v>454</v>
      </c>
      <c r="H135" s="372">
        <v>2</v>
      </c>
      <c r="I135" s="372" t="s">
        <v>444</v>
      </c>
      <c r="J135" s="350" t="s">
        <v>265</v>
      </c>
      <c r="K135" s="399" t="s">
        <v>32</v>
      </c>
      <c r="L135" s="399"/>
      <c r="M135" s="372" t="s">
        <v>33</v>
      </c>
      <c r="N135" s="372"/>
      <c r="O135" s="372"/>
      <c r="P135" s="400">
        <v>45159</v>
      </c>
      <c r="Q135" s="350"/>
      <c r="R135" s="372"/>
      <c r="S135" s="401"/>
      <c r="T135" s="401"/>
      <c r="U135" s="401"/>
      <c r="V135" s="401"/>
      <c r="W135" s="402">
        <v>45246</v>
      </c>
      <c r="X135" s="373">
        <v>2</v>
      </c>
      <c r="Y135" s="336">
        <f t="shared" ca="1" si="2"/>
        <v>87</v>
      </c>
      <c r="Z135" s="373"/>
      <c r="AA135" s="336"/>
      <c r="AB135" s="373"/>
    </row>
    <row r="136" spans="1:28" s="338" customFormat="1" ht="12.75" customHeight="1" x14ac:dyDescent="0.25">
      <c r="A136" s="347" t="s">
        <v>455</v>
      </c>
      <c r="B136" s="376">
        <v>45159</v>
      </c>
      <c r="C136" s="347" t="s">
        <v>219</v>
      </c>
      <c r="D136" s="333">
        <v>1216</v>
      </c>
      <c r="E136" s="333" t="s">
        <v>33</v>
      </c>
      <c r="F136" s="374">
        <v>264191500173</v>
      </c>
      <c r="G136" s="372" t="s">
        <v>456</v>
      </c>
      <c r="H136" s="372">
        <v>1</v>
      </c>
      <c r="I136" s="372" t="s">
        <v>444</v>
      </c>
      <c r="J136" s="350" t="s">
        <v>46</v>
      </c>
      <c r="K136" s="399" t="s">
        <v>32</v>
      </c>
      <c r="L136" s="399"/>
      <c r="M136" s="372" t="s">
        <v>33</v>
      </c>
      <c r="N136" s="372"/>
      <c r="O136" s="372"/>
      <c r="P136" s="400">
        <v>45159</v>
      </c>
      <c r="Q136" s="350"/>
      <c r="R136" s="372"/>
      <c r="S136" s="401"/>
      <c r="T136" s="401"/>
      <c r="U136" s="401"/>
      <c r="V136" s="401"/>
      <c r="W136" s="402">
        <v>45280</v>
      </c>
      <c r="X136" s="373">
        <v>1</v>
      </c>
      <c r="Y136" s="336">
        <f t="shared" ca="1" si="2"/>
        <v>121</v>
      </c>
      <c r="Z136" s="373"/>
      <c r="AA136" s="336"/>
      <c r="AB136" s="373"/>
    </row>
    <row r="137" spans="1:28" s="338" customFormat="1" ht="12.75" customHeight="1" x14ac:dyDescent="0.25">
      <c r="A137" s="347" t="s">
        <v>457</v>
      </c>
      <c r="B137" s="376">
        <v>45159</v>
      </c>
      <c r="C137" s="347" t="s">
        <v>219</v>
      </c>
      <c r="D137" s="333">
        <v>1216</v>
      </c>
      <c r="E137" s="333" t="s">
        <v>33</v>
      </c>
      <c r="F137" s="374">
        <v>264191500163</v>
      </c>
      <c r="G137" s="372" t="s">
        <v>458</v>
      </c>
      <c r="H137" s="372">
        <v>1</v>
      </c>
      <c r="I137" s="372" t="s">
        <v>444</v>
      </c>
      <c r="J137" s="350" t="s">
        <v>46</v>
      </c>
      <c r="K137" s="399" t="s">
        <v>32</v>
      </c>
      <c r="L137" s="399"/>
      <c r="M137" s="372" t="s">
        <v>33</v>
      </c>
      <c r="N137" s="372"/>
      <c r="O137" s="372"/>
      <c r="P137" s="400">
        <v>45159</v>
      </c>
      <c r="Q137" s="350"/>
      <c r="R137" s="372"/>
      <c r="S137" s="401"/>
      <c r="T137" s="401"/>
      <c r="U137" s="401"/>
      <c r="V137" s="401"/>
      <c r="W137" s="402">
        <v>45278</v>
      </c>
      <c r="X137" s="373">
        <v>1</v>
      </c>
      <c r="Y137" s="336">
        <f t="shared" ca="1" si="2"/>
        <v>119</v>
      </c>
      <c r="Z137" s="373"/>
      <c r="AA137" s="336"/>
      <c r="AB137" s="373"/>
    </row>
    <row r="138" spans="1:28" s="338" customFormat="1" ht="12.75" customHeight="1" x14ac:dyDescent="0.25">
      <c r="A138" s="347" t="s">
        <v>459</v>
      </c>
      <c r="B138" s="376">
        <v>45159</v>
      </c>
      <c r="C138" s="347" t="s">
        <v>219</v>
      </c>
      <c r="D138" s="333">
        <v>1216</v>
      </c>
      <c r="E138" s="333" t="s">
        <v>33</v>
      </c>
      <c r="F138" s="374">
        <v>27078240016</v>
      </c>
      <c r="G138" s="372" t="s">
        <v>460</v>
      </c>
      <c r="H138" s="372">
        <v>3</v>
      </c>
      <c r="I138" s="372" t="s">
        <v>444</v>
      </c>
      <c r="J138" s="350" t="s">
        <v>31</v>
      </c>
      <c r="K138" s="399" t="s">
        <v>32</v>
      </c>
      <c r="L138" s="399"/>
      <c r="M138" s="372" t="s">
        <v>33</v>
      </c>
      <c r="N138" s="372"/>
      <c r="O138" s="372"/>
      <c r="P138" s="400">
        <v>45159</v>
      </c>
      <c r="Q138" s="350"/>
      <c r="R138" s="372"/>
      <c r="S138" s="401"/>
      <c r="T138" s="401"/>
      <c r="U138" s="401"/>
      <c r="V138" s="401"/>
      <c r="W138" s="402">
        <v>45272</v>
      </c>
      <c r="X138" s="373">
        <v>2</v>
      </c>
      <c r="Y138" s="336">
        <f t="shared" ca="1" si="2"/>
        <v>113</v>
      </c>
      <c r="Z138" s="373"/>
      <c r="AA138" s="336"/>
      <c r="AB138" s="373" t="s">
        <v>461</v>
      </c>
    </row>
    <row r="139" spans="1:28" s="338" customFormat="1" ht="12.75" customHeight="1" x14ac:dyDescent="0.25">
      <c r="A139" s="347" t="s">
        <v>462</v>
      </c>
      <c r="B139" s="376">
        <v>45159</v>
      </c>
      <c r="C139" s="347" t="s">
        <v>219</v>
      </c>
      <c r="D139" s="333">
        <v>1216</v>
      </c>
      <c r="E139" s="333" t="s">
        <v>33</v>
      </c>
      <c r="F139" s="374">
        <v>217943910149</v>
      </c>
      <c r="G139" s="372" t="s">
        <v>463</v>
      </c>
      <c r="H139" s="372">
        <v>1</v>
      </c>
      <c r="I139" s="372" t="s">
        <v>444</v>
      </c>
      <c r="J139" s="350" t="s">
        <v>46</v>
      </c>
      <c r="K139" s="399" t="s">
        <v>32</v>
      </c>
      <c r="L139" s="399"/>
      <c r="M139" s="372" t="s">
        <v>33</v>
      </c>
      <c r="N139" s="372"/>
      <c r="O139" s="372"/>
      <c r="P139" s="400">
        <v>45159</v>
      </c>
      <c r="Q139" s="350"/>
      <c r="R139" s="372"/>
      <c r="S139" s="401"/>
      <c r="T139" s="401"/>
      <c r="U139" s="401"/>
      <c r="V139" s="401"/>
      <c r="W139" s="402">
        <v>45280</v>
      </c>
      <c r="X139" s="373">
        <v>2</v>
      </c>
      <c r="Y139" s="336">
        <f t="shared" ca="1" si="2"/>
        <v>121</v>
      </c>
      <c r="Z139" s="373"/>
      <c r="AA139" s="336"/>
      <c r="AB139" s="373"/>
    </row>
    <row r="140" spans="1:28" s="338" customFormat="1" ht="12.75" customHeight="1" x14ac:dyDescent="0.25">
      <c r="A140" s="347" t="s">
        <v>464</v>
      </c>
      <c r="B140" s="376">
        <v>45159</v>
      </c>
      <c r="C140" s="347" t="s">
        <v>219</v>
      </c>
      <c r="D140" s="333">
        <v>1216</v>
      </c>
      <c r="E140" s="333" t="s">
        <v>33</v>
      </c>
      <c r="F140" s="374">
        <v>217943910151</v>
      </c>
      <c r="G140" s="372" t="s">
        <v>463</v>
      </c>
      <c r="H140" s="372">
        <v>1</v>
      </c>
      <c r="I140" s="372" t="s">
        <v>444</v>
      </c>
      <c r="J140" s="350" t="s">
        <v>46</v>
      </c>
      <c r="K140" s="399" t="s">
        <v>32</v>
      </c>
      <c r="L140" s="399"/>
      <c r="M140" s="372" t="s">
        <v>33</v>
      </c>
      <c r="N140" s="372"/>
      <c r="O140" s="372"/>
      <c r="P140" s="400">
        <v>45159</v>
      </c>
      <c r="Q140" s="350"/>
      <c r="R140" s="372"/>
      <c r="S140" s="401"/>
      <c r="T140" s="401"/>
      <c r="U140" s="401"/>
      <c r="V140" s="401"/>
      <c r="W140" s="402">
        <v>45280</v>
      </c>
      <c r="X140" s="373">
        <v>2</v>
      </c>
      <c r="Y140" s="336">
        <f t="shared" ca="1" si="2"/>
        <v>121</v>
      </c>
      <c r="Z140" s="373"/>
      <c r="AA140" s="336"/>
      <c r="AB140" s="373"/>
    </row>
    <row r="141" spans="1:28" s="338" customFormat="1" ht="12.75" customHeight="1" x14ac:dyDescent="0.25">
      <c r="A141" s="347" t="s">
        <v>465</v>
      </c>
      <c r="B141" s="376">
        <v>45159</v>
      </c>
      <c r="C141" s="347" t="s">
        <v>219</v>
      </c>
      <c r="D141" s="333">
        <v>1216</v>
      </c>
      <c r="E141" s="333" t="s">
        <v>33</v>
      </c>
      <c r="F141" s="374">
        <v>214184906333</v>
      </c>
      <c r="G141" s="372" t="s">
        <v>466</v>
      </c>
      <c r="H141" s="372">
        <v>1</v>
      </c>
      <c r="I141" s="372" t="s">
        <v>444</v>
      </c>
      <c r="J141" s="350" t="s">
        <v>46</v>
      </c>
      <c r="K141" s="399" t="s">
        <v>32</v>
      </c>
      <c r="L141" s="399"/>
      <c r="M141" s="372" t="s">
        <v>33</v>
      </c>
      <c r="N141" s="372"/>
      <c r="O141" s="372"/>
      <c r="P141" s="400">
        <v>45159</v>
      </c>
      <c r="Q141" s="350"/>
      <c r="R141" s="372"/>
      <c r="S141" s="401"/>
      <c r="T141" s="401"/>
      <c r="U141" s="401"/>
      <c r="V141" s="401"/>
      <c r="W141" s="402">
        <v>45278</v>
      </c>
      <c r="X141" s="373">
        <v>2</v>
      </c>
      <c r="Y141" s="336">
        <f t="shared" ca="1" si="2"/>
        <v>119</v>
      </c>
      <c r="Z141" s="373"/>
      <c r="AA141" s="336"/>
      <c r="AB141" s="373"/>
    </row>
    <row r="142" spans="1:28" s="338" customFormat="1" ht="12.75" customHeight="1" x14ac:dyDescent="0.25">
      <c r="A142" s="347" t="s">
        <v>467</v>
      </c>
      <c r="B142" s="376">
        <v>45159</v>
      </c>
      <c r="C142" s="347" t="s">
        <v>219</v>
      </c>
      <c r="D142" s="333">
        <v>1216</v>
      </c>
      <c r="E142" s="333" t="s">
        <v>33</v>
      </c>
      <c r="F142" s="374">
        <v>274772300103</v>
      </c>
      <c r="G142" s="372" t="s">
        <v>468</v>
      </c>
      <c r="H142" s="372">
        <v>1</v>
      </c>
      <c r="I142" s="372" t="s">
        <v>444</v>
      </c>
      <c r="J142" s="350" t="s">
        <v>46</v>
      </c>
      <c r="K142" s="399" t="s">
        <v>32</v>
      </c>
      <c r="L142" s="399"/>
      <c r="M142" s="372" t="s">
        <v>33</v>
      </c>
      <c r="N142" s="372"/>
      <c r="O142" s="372"/>
      <c r="P142" s="400">
        <v>45159</v>
      </c>
      <c r="Q142" s="350"/>
      <c r="R142" s="372"/>
      <c r="S142" s="401"/>
      <c r="T142" s="401"/>
      <c r="U142" s="401"/>
      <c r="V142" s="401"/>
      <c r="W142" s="402">
        <v>45280</v>
      </c>
      <c r="X142" s="373">
        <v>1</v>
      </c>
      <c r="Y142" s="336">
        <f t="shared" ca="1" si="2"/>
        <v>121</v>
      </c>
      <c r="Z142" s="373"/>
      <c r="AA142" s="336"/>
      <c r="AB142" s="373"/>
    </row>
    <row r="143" spans="1:28" s="338" customFormat="1" ht="12.75" customHeight="1" x14ac:dyDescent="0.25">
      <c r="A143" s="347" t="s">
        <v>469</v>
      </c>
      <c r="B143" s="376">
        <v>45159</v>
      </c>
      <c r="C143" s="347" t="s">
        <v>219</v>
      </c>
      <c r="D143" s="333">
        <v>1216</v>
      </c>
      <c r="E143" s="333" t="s">
        <v>33</v>
      </c>
      <c r="F143" s="374" t="s">
        <v>470</v>
      </c>
      <c r="G143" s="372" t="s">
        <v>471</v>
      </c>
      <c r="H143" s="372">
        <v>1</v>
      </c>
      <c r="I143" s="372" t="s">
        <v>444</v>
      </c>
      <c r="J143" s="350" t="s">
        <v>43</v>
      </c>
      <c r="K143" s="399" t="s">
        <v>32</v>
      </c>
      <c r="L143" s="399"/>
      <c r="M143" s="372" t="s">
        <v>33</v>
      </c>
      <c r="N143" s="372"/>
      <c r="O143" s="372"/>
      <c r="P143" s="400">
        <v>45159</v>
      </c>
      <c r="Q143" s="350"/>
      <c r="R143" s="372"/>
      <c r="S143" s="401"/>
      <c r="T143" s="401"/>
      <c r="U143" s="401"/>
      <c r="V143" s="401"/>
      <c r="W143" s="402">
        <v>45278</v>
      </c>
      <c r="X143" s="373">
        <v>1</v>
      </c>
      <c r="Y143" s="336">
        <f t="shared" ca="1" si="2"/>
        <v>119</v>
      </c>
      <c r="Z143" s="373"/>
      <c r="AA143" s="336"/>
      <c r="AB143" s="373"/>
    </row>
    <row r="144" spans="1:28" s="338" customFormat="1" ht="12.75" customHeight="1" x14ac:dyDescent="0.25">
      <c r="A144" s="347" t="s">
        <v>472</v>
      </c>
      <c r="B144" s="376">
        <v>45159</v>
      </c>
      <c r="C144" s="347" t="s">
        <v>219</v>
      </c>
      <c r="D144" s="333">
        <v>1216</v>
      </c>
      <c r="E144" s="333" t="s">
        <v>33</v>
      </c>
      <c r="F144" s="374">
        <v>264188500101</v>
      </c>
      <c r="G144" s="372" t="s">
        <v>473</v>
      </c>
      <c r="H144" s="372">
        <v>1</v>
      </c>
      <c r="I144" s="372" t="s">
        <v>444</v>
      </c>
      <c r="J144" s="350" t="s">
        <v>43</v>
      </c>
      <c r="K144" s="399" t="s">
        <v>32</v>
      </c>
      <c r="L144" s="399"/>
      <c r="M144" s="372" t="s">
        <v>33</v>
      </c>
      <c r="N144" s="372"/>
      <c r="O144" s="372"/>
      <c r="P144" s="400">
        <v>45159</v>
      </c>
      <c r="Q144" s="350"/>
      <c r="R144" s="372"/>
      <c r="S144" s="401"/>
      <c r="T144" s="401"/>
      <c r="U144" s="401"/>
      <c r="V144" s="401"/>
      <c r="W144" s="402">
        <v>45278</v>
      </c>
      <c r="X144" s="373">
        <v>2</v>
      </c>
      <c r="Y144" s="336">
        <f t="shared" ca="1" si="2"/>
        <v>119</v>
      </c>
      <c r="Z144" s="373"/>
      <c r="AA144" s="336"/>
      <c r="AB144" s="373"/>
    </row>
    <row r="145" spans="1:28" s="338" customFormat="1" ht="12.75" customHeight="1" x14ac:dyDescent="0.25">
      <c r="A145" s="347" t="s">
        <v>474</v>
      </c>
      <c r="B145" s="376">
        <v>45159</v>
      </c>
      <c r="C145" s="347" t="s">
        <v>219</v>
      </c>
      <c r="D145" s="333">
        <v>1216</v>
      </c>
      <c r="E145" s="333" t="s">
        <v>475</v>
      </c>
      <c r="F145" s="374">
        <v>264169506308</v>
      </c>
      <c r="G145" s="372" t="s">
        <v>476</v>
      </c>
      <c r="H145" s="372">
        <v>16</v>
      </c>
      <c r="I145" s="372" t="s">
        <v>444</v>
      </c>
      <c r="J145" s="350" t="s">
        <v>68</v>
      </c>
      <c r="K145" s="399" t="s">
        <v>69</v>
      </c>
      <c r="L145" s="399"/>
      <c r="M145" s="372" t="s">
        <v>477</v>
      </c>
      <c r="N145" s="372"/>
      <c r="O145" s="372"/>
      <c r="P145" s="400">
        <v>45159</v>
      </c>
      <c r="Q145" s="350"/>
      <c r="R145" s="372"/>
      <c r="S145" s="401"/>
      <c r="T145" s="401"/>
      <c r="U145" s="401"/>
      <c r="V145" s="401"/>
      <c r="W145" s="402">
        <v>45280</v>
      </c>
      <c r="X145" s="373">
        <v>16</v>
      </c>
      <c r="Y145" s="336">
        <f t="shared" ca="1" si="2"/>
        <v>121</v>
      </c>
      <c r="Z145" s="373"/>
      <c r="AA145" s="336"/>
      <c r="AB145" s="373"/>
    </row>
    <row r="146" spans="1:28" s="338" customFormat="1" ht="12.75" customHeight="1" x14ac:dyDescent="0.25">
      <c r="A146" s="347" t="s">
        <v>478</v>
      </c>
      <c r="B146" s="376">
        <v>45159</v>
      </c>
      <c r="C146" s="347" t="s">
        <v>219</v>
      </c>
      <c r="D146" s="333">
        <v>1216</v>
      </c>
      <c r="E146" s="333" t="s">
        <v>479</v>
      </c>
      <c r="F146" s="374">
        <v>264169506305</v>
      </c>
      <c r="G146" s="372" t="s">
        <v>480</v>
      </c>
      <c r="H146" s="372">
        <v>16</v>
      </c>
      <c r="I146" s="372" t="s">
        <v>444</v>
      </c>
      <c r="J146" s="350" t="s">
        <v>68</v>
      </c>
      <c r="K146" s="399" t="s">
        <v>69</v>
      </c>
      <c r="L146" s="399"/>
      <c r="M146" s="372" t="s">
        <v>477</v>
      </c>
      <c r="N146" s="372"/>
      <c r="O146" s="372"/>
      <c r="P146" s="400">
        <v>45159</v>
      </c>
      <c r="Q146" s="350"/>
      <c r="R146" s="372"/>
      <c r="S146" s="401"/>
      <c r="T146" s="401"/>
      <c r="U146" s="401"/>
      <c r="V146" s="401"/>
      <c r="W146" s="402">
        <v>45280</v>
      </c>
      <c r="X146" s="373">
        <v>16</v>
      </c>
      <c r="Y146" s="336">
        <f t="shared" ca="1" si="2"/>
        <v>121</v>
      </c>
      <c r="Z146" s="373"/>
      <c r="AA146" s="336"/>
      <c r="AB146" s="373"/>
    </row>
    <row r="147" spans="1:28" s="338" customFormat="1" ht="12.75" customHeight="1" x14ac:dyDescent="0.25">
      <c r="A147" s="347" t="s">
        <v>481</v>
      </c>
      <c r="B147" s="376">
        <v>45159</v>
      </c>
      <c r="C147" s="347" t="s">
        <v>219</v>
      </c>
      <c r="D147" s="333">
        <v>1216</v>
      </c>
      <c r="E147" s="333" t="s">
        <v>33</v>
      </c>
      <c r="F147" s="374">
        <v>217930100102</v>
      </c>
      <c r="G147" s="372" t="s">
        <v>482</v>
      </c>
      <c r="H147" s="372">
        <v>3</v>
      </c>
      <c r="I147" s="372" t="s">
        <v>444</v>
      </c>
      <c r="J147" s="350" t="s">
        <v>31</v>
      </c>
      <c r="K147" s="399" t="s">
        <v>32</v>
      </c>
      <c r="L147" s="399"/>
      <c r="M147" s="372" t="s">
        <v>33</v>
      </c>
      <c r="N147" s="372"/>
      <c r="O147" s="372"/>
      <c r="P147" s="400">
        <v>45159</v>
      </c>
      <c r="Q147" s="350"/>
      <c r="R147" s="372"/>
      <c r="S147" s="401"/>
      <c r="T147" s="401"/>
      <c r="U147" s="401"/>
      <c r="V147" s="401"/>
      <c r="W147" s="402">
        <v>45280</v>
      </c>
      <c r="X147" s="373">
        <v>3</v>
      </c>
      <c r="Y147" s="336">
        <f t="shared" ca="1" si="2"/>
        <v>121</v>
      </c>
      <c r="Z147" s="373"/>
      <c r="AA147" s="336"/>
      <c r="AB147" s="373"/>
    </row>
    <row r="148" spans="1:28" s="338" customFormat="1" ht="12.75" customHeight="1" x14ac:dyDescent="0.25">
      <c r="A148" s="347" t="s">
        <v>483</v>
      </c>
      <c r="B148" s="376">
        <v>45159</v>
      </c>
      <c r="C148" s="347" t="s">
        <v>219</v>
      </c>
      <c r="D148" s="333">
        <v>1216</v>
      </c>
      <c r="E148" s="333" t="s">
        <v>33</v>
      </c>
      <c r="F148" s="374">
        <v>264175200137</v>
      </c>
      <c r="G148" s="372" t="s">
        <v>484</v>
      </c>
      <c r="H148" s="372">
        <v>1</v>
      </c>
      <c r="I148" s="372" t="s">
        <v>444</v>
      </c>
      <c r="J148" s="350" t="s">
        <v>46</v>
      </c>
      <c r="K148" s="399" t="s">
        <v>32</v>
      </c>
      <c r="L148" s="399"/>
      <c r="M148" s="372" t="s">
        <v>33</v>
      </c>
      <c r="N148" s="372"/>
      <c r="O148" s="372"/>
      <c r="P148" s="400">
        <v>45159</v>
      </c>
      <c r="Q148" s="350"/>
      <c r="R148" s="372"/>
      <c r="S148" s="401"/>
      <c r="T148" s="401"/>
      <c r="U148" s="401"/>
      <c r="V148" s="401"/>
      <c r="W148" s="402">
        <v>45280</v>
      </c>
      <c r="X148" s="373"/>
      <c r="Y148" s="336">
        <f t="shared" ca="1" si="2"/>
        <v>121</v>
      </c>
      <c r="Z148" s="373"/>
      <c r="AA148" s="336"/>
      <c r="AB148" s="373"/>
    </row>
    <row r="149" spans="1:28" s="338" customFormat="1" ht="12.75" customHeight="1" x14ac:dyDescent="0.25">
      <c r="A149" s="347" t="s">
        <v>485</v>
      </c>
      <c r="B149" s="376">
        <v>45159</v>
      </c>
      <c r="C149" s="347" t="s">
        <v>219</v>
      </c>
      <c r="D149" s="333">
        <v>1216</v>
      </c>
      <c r="E149" s="333" t="s">
        <v>33</v>
      </c>
      <c r="F149" s="374">
        <v>206033105301</v>
      </c>
      <c r="G149" s="372" t="s">
        <v>486</v>
      </c>
      <c r="H149" s="372">
        <v>2</v>
      </c>
      <c r="I149" s="372" t="s">
        <v>444</v>
      </c>
      <c r="J149" s="350" t="s">
        <v>31</v>
      </c>
      <c r="K149" s="399" t="s">
        <v>32</v>
      </c>
      <c r="L149" s="399"/>
      <c r="M149" s="372" t="s">
        <v>33</v>
      </c>
      <c r="N149" s="372"/>
      <c r="O149" s="372"/>
      <c r="P149" s="400">
        <v>45159</v>
      </c>
      <c r="Q149" s="350"/>
      <c r="R149" s="372"/>
      <c r="S149" s="401"/>
      <c r="T149" s="401"/>
      <c r="U149" s="401"/>
      <c r="V149" s="401"/>
      <c r="W149" s="402">
        <v>45280</v>
      </c>
      <c r="X149" s="373">
        <v>1</v>
      </c>
      <c r="Y149" s="336">
        <f t="shared" ca="1" si="2"/>
        <v>121</v>
      </c>
      <c r="Z149" s="373"/>
      <c r="AA149" s="336"/>
      <c r="AB149" s="373"/>
    </row>
    <row r="150" spans="1:28" s="338" customFormat="1" ht="12.75" customHeight="1" x14ac:dyDescent="0.25">
      <c r="A150" s="347" t="s">
        <v>487</v>
      </c>
      <c r="B150" s="376">
        <v>45159</v>
      </c>
      <c r="C150" s="347" t="s">
        <v>219</v>
      </c>
      <c r="D150" s="333">
        <v>1216</v>
      </c>
      <c r="E150" s="333" t="s">
        <v>33</v>
      </c>
      <c r="F150" s="374">
        <v>261854249911</v>
      </c>
      <c r="G150" s="372" t="s">
        <v>488</v>
      </c>
      <c r="H150" s="372">
        <v>1</v>
      </c>
      <c r="I150" s="372" t="s">
        <v>444</v>
      </c>
      <c r="J150" s="350" t="s">
        <v>46</v>
      </c>
      <c r="K150" s="399" t="s">
        <v>32</v>
      </c>
      <c r="L150" s="399"/>
      <c r="M150" s="372" t="s">
        <v>33</v>
      </c>
      <c r="N150" s="372"/>
      <c r="O150" s="372"/>
      <c r="P150" s="400">
        <v>45159</v>
      </c>
      <c r="Q150" s="350"/>
      <c r="R150" s="372"/>
      <c r="S150" s="401"/>
      <c r="T150" s="401"/>
      <c r="U150" s="401"/>
      <c r="V150" s="401"/>
      <c r="W150" s="402">
        <v>45278</v>
      </c>
      <c r="X150" s="373">
        <v>1</v>
      </c>
      <c r="Y150" s="336">
        <f t="shared" ca="1" si="2"/>
        <v>119</v>
      </c>
      <c r="Z150" s="373"/>
      <c r="AA150" s="336"/>
      <c r="AB150" s="373"/>
    </row>
    <row r="151" spans="1:28" s="338" customFormat="1" ht="12.75" customHeight="1" x14ac:dyDescent="0.25">
      <c r="A151" s="347" t="s">
        <v>489</v>
      </c>
      <c r="B151" s="376">
        <v>45159</v>
      </c>
      <c r="C151" s="347" t="s">
        <v>219</v>
      </c>
      <c r="D151" s="333">
        <v>1216</v>
      </c>
      <c r="E151" s="333" t="s">
        <v>33</v>
      </c>
      <c r="F151" s="374" t="s">
        <v>490</v>
      </c>
      <c r="G151" s="372" t="s">
        <v>491</v>
      </c>
      <c r="H151" s="372">
        <v>1</v>
      </c>
      <c r="I151" s="372" t="s">
        <v>444</v>
      </c>
      <c r="J151" s="350" t="s">
        <v>46</v>
      </c>
      <c r="K151" s="399" t="s">
        <v>32</v>
      </c>
      <c r="L151" s="399"/>
      <c r="M151" s="372" t="s">
        <v>33</v>
      </c>
      <c r="N151" s="372"/>
      <c r="O151" s="372"/>
      <c r="P151" s="400">
        <v>45159</v>
      </c>
      <c r="Q151" s="350"/>
      <c r="R151" s="372"/>
      <c r="S151" s="401"/>
      <c r="T151" s="401"/>
      <c r="U151" s="401"/>
      <c r="V151" s="401"/>
      <c r="W151" s="402">
        <v>45268</v>
      </c>
      <c r="X151" s="373">
        <v>1</v>
      </c>
      <c r="Y151" s="336">
        <f t="shared" ca="1" si="2"/>
        <v>109</v>
      </c>
      <c r="Z151" s="373"/>
      <c r="AA151" s="336"/>
      <c r="AB151" s="373"/>
    </row>
    <row r="152" spans="1:28" s="338" customFormat="1" ht="12.75" customHeight="1" x14ac:dyDescent="0.25">
      <c r="A152" s="347" t="s">
        <v>492</v>
      </c>
      <c r="B152" s="376">
        <v>45159</v>
      </c>
      <c r="C152" s="347" t="s">
        <v>219</v>
      </c>
      <c r="D152" s="333">
        <v>1216</v>
      </c>
      <c r="E152" s="333" t="s">
        <v>33</v>
      </c>
      <c r="F152" s="365" t="s">
        <v>490</v>
      </c>
      <c r="G152" s="366" t="s">
        <v>493</v>
      </c>
      <c r="H152" s="366">
        <v>1</v>
      </c>
      <c r="I152" s="372" t="s">
        <v>444</v>
      </c>
      <c r="J152" s="350" t="s">
        <v>46</v>
      </c>
      <c r="K152" s="399" t="s">
        <v>32</v>
      </c>
      <c r="L152" s="399"/>
      <c r="M152" s="372" t="s">
        <v>33</v>
      </c>
      <c r="N152" s="372"/>
      <c r="O152" s="372"/>
      <c r="P152" s="400">
        <v>45159</v>
      </c>
      <c r="Q152" s="403"/>
      <c r="R152" s="366"/>
      <c r="S152" s="404"/>
      <c r="T152" s="404"/>
      <c r="U152" s="404"/>
      <c r="V152" s="404"/>
      <c r="W152" s="405">
        <v>45280</v>
      </c>
      <c r="X152" s="369">
        <v>1</v>
      </c>
      <c r="Y152" s="336">
        <f t="shared" ca="1" si="2"/>
        <v>121</v>
      </c>
      <c r="Z152" s="369"/>
      <c r="AA152" s="336"/>
      <c r="AB152" s="369"/>
    </row>
    <row r="153" spans="1:28" s="338" customFormat="1" ht="12.75" customHeight="1" x14ac:dyDescent="0.25">
      <c r="A153" s="347" t="s">
        <v>494</v>
      </c>
      <c r="B153" s="376">
        <v>45159</v>
      </c>
      <c r="C153" s="347" t="s">
        <v>219</v>
      </c>
      <c r="D153" s="333">
        <v>1216</v>
      </c>
      <c r="E153" s="333" t="s">
        <v>33</v>
      </c>
      <c r="F153" s="374" t="s">
        <v>490</v>
      </c>
      <c r="G153" s="372" t="s">
        <v>495</v>
      </c>
      <c r="H153" s="372">
        <v>1</v>
      </c>
      <c r="I153" s="406" t="s">
        <v>444</v>
      </c>
      <c r="J153" s="350" t="s">
        <v>46</v>
      </c>
      <c r="K153" s="399" t="s">
        <v>32</v>
      </c>
      <c r="L153" s="399"/>
      <c r="M153" s="372" t="s">
        <v>33</v>
      </c>
      <c r="N153" s="372"/>
      <c r="O153" s="372"/>
      <c r="P153" s="400">
        <v>45159</v>
      </c>
      <c r="Q153" s="372"/>
      <c r="R153" s="372"/>
      <c r="S153" s="401"/>
      <c r="T153" s="401"/>
      <c r="U153" s="401"/>
      <c r="V153" s="401"/>
      <c r="W153" s="402">
        <v>45280</v>
      </c>
      <c r="X153" s="373">
        <v>1</v>
      </c>
      <c r="Y153" s="336">
        <f t="shared" ca="1" si="2"/>
        <v>121</v>
      </c>
      <c r="Z153" s="373"/>
      <c r="AA153" s="336"/>
      <c r="AB153" s="373"/>
    </row>
    <row r="154" spans="1:28" s="338" customFormat="1" ht="12.75" customHeight="1" x14ac:dyDescent="0.25">
      <c r="A154" s="347" t="s">
        <v>496</v>
      </c>
      <c r="B154" s="376">
        <v>45159</v>
      </c>
      <c r="C154" s="347" t="s">
        <v>219</v>
      </c>
      <c r="D154" s="333">
        <v>1216</v>
      </c>
      <c r="E154" s="333" t="s">
        <v>33</v>
      </c>
      <c r="F154" s="374" t="s">
        <v>490</v>
      </c>
      <c r="G154" s="372" t="s">
        <v>497</v>
      </c>
      <c r="H154" s="372">
        <v>4</v>
      </c>
      <c r="I154" s="406" t="s">
        <v>444</v>
      </c>
      <c r="J154" s="350" t="s">
        <v>31</v>
      </c>
      <c r="K154" s="332" t="s">
        <v>32</v>
      </c>
      <c r="L154" s="332"/>
      <c r="M154" s="333" t="s">
        <v>33</v>
      </c>
      <c r="N154" s="333"/>
      <c r="O154" s="333"/>
      <c r="P154" s="375">
        <v>45159</v>
      </c>
      <c r="Q154" s="333"/>
      <c r="R154" s="333"/>
      <c r="S154" s="373"/>
      <c r="T154" s="373"/>
      <c r="U154" s="373"/>
      <c r="V154" s="373"/>
      <c r="W154" s="402">
        <v>45356</v>
      </c>
      <c r="X154" s="373">
        <v>4</v>
      </c>
      <c r="Y154" s="336">
        <f t="shared" ca="1" si="2"/>
        <v>197</v>
      </c>
      <c r="Z154" s="373"/>
      <c r="AA154" s="336"/>
      <c r="AB154" s="373"/>
    </row>
    <row r="155" spans="1:28" s="410" customFormat="1" ht="12.75" customHeight="1" x14ac:dyDescent="0.25">
      <c r="A155" s="347" t="s">
        <v>498</v>
      </c>
      <c r="B155" s="407">
        <v>45159</v>
      </c>
      <c r="C155" s="408" t="s">
        <v>219</v>
      </c>
      <c r="D155" s="372">
        <v>1216</v>
      </c>
      <c r="E155" s="372" t="s">
        <v>33</v>
      </c>
      <c r="F155" s="374">
        <v>215340109947</v>
      </c>
      <c r="G155" s="372" t="s">
        <v>499</v>
      </c>
      <c r="H155" s="372">
        <v>2</v>
      </c>
      <c r="I155" s="406" t="s">
        <v>444</v>
      </c>
      <c r="J155" s="350" t="s">
        <v>31</v>
      </c>
      <c r="K155" s="399" t="s">
        <v>32</v>
      </c>
      <c r="L155" s="399"/>
      <c r="M155" s="372" t="s">
        <v>33</v>
      </c>
      <c r="N155" s="372"/>
      <c r="O155" s="372"/>
      <c r="P155" s="400">
        <v>45159</v>
      </c>
      <c r="Q155" s="372"/>
      <c r="R155" s="372"/>
      <c r="S155" s="401"/>
      <c r="T155" s="401"/>
      <c r="U155" s="401"/>
      <c r="V155" s="401"/>
      <c r="W155" s="402">
        <v>45356</v>
      </c>
      <c r="X155" s="401">
        <v>2</v>
      </c>
      <c r="Y155" s="336">
        <f t="shared" ca="1" si="2"/>
        <v>197</v>
      </c>
      <c r="Z155" s="401"/>
      <c r="AA155" s="409"/>
      <c r="AB155" s="401" t="s">
        <v>500</v>
      </c>
    </row>
    <row r="156" spans="1:28" s="338" customFormat="1" ht="12.75" customHeight="1" x14ac:dyDescent="0.25">
      <c r="A156" s="347" t="s">
        <v>501</v>
      </c>
      <c r="B156" s="376">
        <v>45159</v>
      </c>
      <c r="C156" s="347" t="s">
        <v>219</v>
      </c>
      <c r="D156" s="333">
        <v>1216</v>
      </c>
      <c r="E156" s="333" t="s">
        <v>33</v>
      </c>
      <c r="F156" s="374">
        <v>274767102301</v>
      </c>
      <c r="G156" s="372" t="s">
        <v>502</v>
      </c>
      <c r="H156" s="372">
        <v>3</v>
      </c>
      <c r="I156" s="406" t="s">
        <v>444</v>
      </c>
      <c r="J156" s="350" t="s">
        <v>265</v>
      </c>
      <c r="K156" s="332" t="s">
        <v>32</v>
      </c>
      <c r="L156" s="332"/>
      <c r="M156" s="333" t="s">
        <v>33</v>
      </c>
      <c r="N156" s="333"/>
      <c r="O156" s="333"/>
      <c r="P156" s="375">
        <v>45159</v>
      </c>
      <c r="Q156" s="364"/>
      <c r="R156" s="364"/>
      <c r="S156" s="373"/>
      <c r="T156" s="373"/>
      <c r="U156" s="373"/>
      <c r="V156" s="373"/>
      <c r="W156" s="346">
        <v>45267</v>
      </c>
      <c r="X156" s="373">
        <v>3</v>
      </c>
      <c r="Y156" s="336">
        <f t="shared" ca="1" si="2"/>
        <v>108</v>
      </c>
      <c r="Z156" s="373"/>
      <c r="AA156" s="336"/>
      <c r="AB156" s="373"/>
    </row>
    <row r="157" spans="1:28" s="338" customFormat="1" ht="12.75" customHeight="1" x14ac:dyDescent="0.25">
      <c r="A157" s="347" t="s">
        <v>503</v>
      </c>
      <c r="B157" s="376">
        <v>45159</v>
      </c>
      <c r="C157" s="411" t="s">
        <v>219</v>
      </c>
      <c r="D157" s="364">
        <v>1216</v>
      </c>
      <c r="E157" s="333" t="s">
        <v>33</v>
      </c>
      <c r="F157" s="365">
        <v>217933000103</v>
      </c>
      <c r="G157" s="366" t="s">
        <v>504</v>
      </c>
      <c r="H157" s="366">
        <v>1</v>
      </c>
      <c r="I157" s="412" t="s">
        <v>444</v>
      </c>
      <c r="J157" s="403" t="s">
        <v>43</v>
      </c>
      <c r="K157" s="368" t="s">
        <v>32</v>
      </c>
      <c r="L157" s="332"/>
      <c r="M157" s="333" t="s">
        <v>33</v>
      </c>
      <c r="N157" s="333"/>
      <c r="O157" s="333"/>
      <c r="P157" s="413">
        <v>45159</v>
      </c>
      <c r="Q157" s="333"/>
      <c r="R157" s="333"/>
      <c r="S157" s="414"/>
      <c r="T157" s="369"/>
      <c r="U157" s="369"/>
      <c r="V157" s="369"/>
      <c r="W157" s="402">
        <v>45356</v>
      </c>
      <c r="X157" s="369">
        <v>1</v>
      </c>
      <c r="Y157" s="336">
        <f t="shared" ca="1" si="2"/>
        <v>197</v>
      </c>
      <c r="Z157" s="369"/>
      <c r="AA157" s="336"/>
      <c r="AB157" s="373"/>
    </row>
    <row r="158" spans="1:28" s="338" customFormat="1" ht="12.75" customHeight="1" x14ac:dyDescent="0.25">
      <c r="A158" s="347" t="s">
        <v>505</v>
      </c>
      <c r="B158" s="376">
        <v>45239</v>
      </c>
      <c r="C158" s="411" t="s">
        <v>60</v>
      </c>
      <c r="D158" s="333">
        <v>9016</v>
      </c>
      <c r="E158" s="333"/>
      <c r="F158" s="374" t="s">
        <v>506</v>
      </c>
      <c r="G158" s="372" t="s">
        <v>507</v>
      </c>
      <c r="H158" s="333">
        <v>1</v>
      </c>
      <c r="I158" s="333" t="s">
        <v>64</v>
      </c>
      <c r="J158" s="333" t="s">
        <v>46</v>
      </c>
      <c r="K158" s="368" t="s">
        <v>32</v>
      </c>
      <c r="L158" s="332"/>
      <c r="M158" s="333" t="s">
        <v>33</v>
      </c>
      <c r="N158" s="333"/>
      <c r="O158" s="333"/>
      <c r="P158" s="343">
        <v>45244</v>
      </c>
      <c r="Q158" s="415"/>
      <c r="R158" s="415"/>
      <c r="S158" s="373"/>
      <c r="T158" s="373"/>
      <c r="U158" s="373"/>
      <c r="V158" s="373"/>
      <c r="W158" s="346">
        <v>45308</v>
      </c>
      <c r="X158" s="373">
        <v>40</v>
      </c>
      <c r="Y158" s="336">
        <f t="shared" ca="1" si="2"/>
        <v>64</v>
      </c>
      <c r="Z158" s="373"/>
      <c r="AA158" s="336"/>
      <c r="AB158" s="416" t="s">
        <v>508</v>
      </c>
    </row>
    <row r="159" spans="1:28" s="338" customFormat="1" ht="12.75" customHeight="1" x14ac:dyDescent="0.25">
      <c r="A159" s="347" t="s">
        <v>509</v>
      </c>
      <c r="B159" s="376">
        <v>45239</v>
      </c>
      <c r="C159" s="411" t="s">
        <v>60</v>
      </c>
      <c r="D159" s="333">
        <v>9016</v>
      </c>
      <c r="E159" s="333" t="s">
        <v>510</v>
      </c>
      <c r="F159" s="374" t="s">
        <v>511</v>
      </c>
      <c r="G159" s="372" t="s">
        <v>512</v>
      </c>
      <c r="H159" s="333">
        <v>16</v>
      </c>
      <c r="I159" s="333" t="s">
        <v>64</v>
      </c>
      <c r="J159" s="333" t="s">
        <v>43</v>
      </c>
      <c r="K159" s="368" t="s">
        <v>32</v>
      </c>
      <c r="L159" s="332"/>
      <c r="M159" s="333" t="s">
        <v>33</v>
      </c>
      <c r="N159" s="333"/>
      <c r="O159" s="333"/>
      <c r="P159" s="343">
        <v>45244</v>
      </c>
      <c r="Q159" s="333"/>
      <c r="R159" s="333"/>
      <c r="S159" s="373"/>
      <c r="T159" s="373"/>
      <c r="U159" s="373"/>
      <c r="V159" s="373"/>
      <c r="W159" s="346">
        <v>45308</v>
      </c>
      <c r="X159" s="373">
        <v>16</v>
      </c>
      <c r="Y159" s="336">
        <f t="shared" ca="1" si="2"/>
        <v>64</v>
      </c>
      <c r="Z159" s="373"/>
      <c r="AA159" s="336"/>
      <c r="AB159" s="414"/>
    </row>
    <row r="160" spans="1:28" s="338" customFormat="1" ht="12.75" customHeight="1" x14ac:dyDescent="0.25">
      <c r="A160" s="347" t="s">
        <v>513</v>
      </c>
      <c r="B160" s="376">
        <v>45239</v>
      </c>
      <c r="C160" s="411" t="s">
        <v>60</v>
      </c>
      <c r="D160" s="333">
        <v>9016</v>
      </c>
      <c r="E160" s="333"/>
      <c r="F160" s="374" t="s">
        <v>514</v>
      </c>
      <c r="G160" s="372" t="s">
        <v>515</v>
      </c>
      <c r="H160" s="333">
        <v>1</v>
      </c>
      <c r="I160" s="333" t="s">
        <v>64</v>
      </c>
      <c r="J160" s="333" t="s">
        <v>46</v>
      </c>
      <c r="K160" s="368" t="s">
        <v>32</v>
      </c>
      <c r="L160" s="332"/>
      <c r="M160" s="333" t="s">
        <v>33</v>
      </c>
      <c r="N160" s="333"/>
      <c r="O160" s="333"/>
      <c r="P160" s="343">
        <v>45244</v>
      </c>
      <c r="Q160" s="333"/>
      <c r="R160" s="333"/>
      <c r="S160" s="373"/>
      <c r="T160" s="373"/>
      <c r="U160" s="373"/>
      <c r="V160" s="373"/>
      <c r="W160" s="346">
        <v>45308</v>
      </c>
      <c r="X160" s="373">
        <v>1</v>
      </c>
      <c r="Y160" s="336">
        <f t="shared" ca="1" si="2"/>
        <v>64</v>
      </c>
      <c r="Z160" s="373"/>
      <c r="AA160" s="336"/>
      <c r="AB160" s="373"/>
    </row>
    <row r="161" spans="1:30" ht="12.75" customHeight="1" x14ac:dyDescent="0.25">
      <c r="A161" s="347" t="s">
        <v>516</v>
      </c>
      <c r="B161" s="376">
        <v>45239</v>
      </c>
      <c r="C161" s="411" t="s">
        <v>60</v>
      </c>
      <c r="D161" s="333">
        <v>9016</v>
      </c>
      <c r="E161" s="333" t="s">
        <v>510</v>
      </c>
      <c r="F161" s="374" t="s">
        <v>517</v>
      </c>
      <c r="G161" s="372" t="s">
        <v>518</v>
      </c>
      <c r="H161" s="333">
        <v>16</v>
      </c>
      <c r="I161" s="333" t="s">
        <v>64</v>
      </c>
      <c r="J161" s="333" t="s">
        <v>31</v>
      </c>
      <c r="K161" s="368" t="s">
        <v>32</v>
      </c>
      <c r="L161" s="332"/>
      <c r="M161" s="333" t="s">
        <v>33</v>
      </c>
      <c r="N161" s="333"/>
      <c r="O161" s="333"/>
      <c r="P161" s="343">
        <v>45244</v>
      </c>
      <c r="Q161" s="333"/>
      <c r="R161" s="333"/>
      <c r="S161" s="373"/>
      <c r="T161" s="373"/>
      <c r="U161" s="373"/>
      <c r="V161" s="373"/>
      <c r="W161" s="346">
        <v>45308</v>
      </c>
      <c r="X161" s="373">
        <v>16</v>
      </c>
      <c r="Y161" s="336">
        <f t="shared" ca="1" si="2"/>
        <v>64</v>
      </c>
      <c r="Z161" s="373"/>
      <c r="AA161" s="336"/>
      <c r="AB161" s="373"/>
      <c r="AD161" s="338"/>
    </row>
    <row r="162" spans="1:30" ht="12.75" customHeight="1" x14ac:dyDescent="0.25">
      <c r="A162" s="347" t="s">
        <v>519</v>
      </c>
      <c r="B162" s="376">
        <v>45239</v>
      </c>
      <c r="C162" s="411" t="s">
        <v>60</v>
      </c>
      <c r="D162" s="333">
        <v>9016</v>
      </c>
      <c r="E162" s="333"/>
      <c r="F162" s="389" t="s">
        <v>520</v>
      </c>
      <c r="G162" s="372" t="s">
        <v>521</v>
      </c>
      <c r="H162" s="333">
        <v>4</v>
      </c>
      <c r="I162" s="333" t="s">
        <v>64</v>
      </c>
      <c r="J162" s="333" t="s">
        <v>46</v>
      </c>
      <c r="K162" s="368" t="s">
        <v>32</v>
      </c>
      <c r="L162" s="332"/>
      <c r="M162" s="333" t="s">
        <v>33</v>
      </c>
      <c r="N162" s="333"/>
      <c r="O162" s="333"/>
      <c r="P162" s="343">
        <v>45244</v>
      </c>
      <c r="Q162" s="333"/>
      <c r="R162" s="333"/>
      <c r="S162" s="373"/>
      <c r="T162" s="373"/>
      <c r="U162" s="373"/>
      <c r="V162" s="373"/>
      <c r="W162" s="346">
        <v>45308</v>
      </c>
      <c r="X162" s="373">
        <v>4</v>
      </c>
      <c r="Y162" s="336">
        <f t="shared" ca="1" si="2"/>
        <v>64</v>
      </c>
      <c r="Z162" s="373"/>
      <c r="AA162" s="336"/>
      <c r="AB162" s="373"/>
      <c r="AD162" s="338"/>
    </row>
    <row r="163" spans="1:30" ht="12.75" customHeight="1" x14ac:dyDescent="0.25">
      <c r="A163" s="347" t="s">
        <v>522</v>
      </c>
      <c r="B163" s="376">
        <v>45240</v>
      </c>
      <c r="C163" s="411" t="s">
        <v>60</v>
      </c>
      <c r="D163" s="333">
        <v>9016</v>
      </c>
      <c r="E163" s="333"/>
      <c r="F163" s="374" t="s">
        <v>523</v>
      </c>
      <c r="G163" s="372" t="s">
        <v>524</v>
      </c>
      <c r="H163" s="333">
        <v>1</v>
      </c>
      <c r="I163" s="333" t="s">
        <v>64</v>
      </c>
      <c r="J163" s="333" t="s">
        <v>46</v>
      </c>
      <c r="K163" s="368" t="s">
        <v>32</v>
      </c>
      <c r="L163" s="332"/>
      <c r="M163" s="333" t="s">
        <v>33</v>
      </c>
      <c r="N163" s="333"/>
      <c r="O163" s="333"/>
      <c r="P163" s="343">
        <v>45244</v>
      </c>
      <c r="Q163" s="333"/>
      <c r="R163" s="333"/>
      <c r="S163" s="373"/>
      <c r="T163" s="373"/>
      <c r="U163" s="373"/>
      <c r="V163" s="373"/>
      <c r="W163" s="346">
        <v>45308</v>
      </c>
      <c r="X163" s="373">
        <v>1</v>
      </c>
      <c r="Y163" s="336">
        <f t="shared" ca="1" si="2"/>
        <v>64</v>
      </c>
      <c r="Z163" s="373"/>
      <c r="AA163" s="336"/>
      <c r="AB163" s="373"/>
      <c r="AD163" s="338"/>
    </row>
    <row r="164" spans="1:30" ht="12.75" customHeight="1" x14ac:dyDescent="0.25">
      <c r="A164" s="347" t="s">
        <v>525</v>
      </c>
      <c r="B164" s="376">
        <v>45246</v>
      </c>
      <c r="C164" s="411" t="s">
        <v>60</v>
      </c>
      <c r="D164" s="333" t="s">
        <v>526</v>
      </c>
      <c r="E164" s="333" t="s">
        <v>33</v>
      </c>
      <c r="F164" s="374" t="s">
        <v>527</v>
      </c>
      <c r="G164" s="372" t="s">
        <v>528</v>
      </c>
      <c r="H164" s="333">
        <v>1</v>
      </c>
      <c r="I164" s="333">
        <v>2</v>
      </c>
      <c r="J164" s="333" t="s">
        <v>68</v>
      </c>
      <c r="K164" s="368" t="s">
        <v>69</v>
      </c>
      <c r="L164" s="332"/>
      <c r="M164" s="333"/>
      <c r="N164" s="417"/>
      <c r="O164" s="417"/>
      <c r="P164" s="343">
        <v>45254</v>
      </c>
      <c r="Q164" s="333"/>
      <c r="R164" s="333"/>
      <c r="S164" s="373"/>
      <c r="T164" s="373"/>
      <c r="U164" s="373"/>
      <c r="V164" s="373"/>
      <c r="W164" s="346"/>
      <c r="X164" s="373"/>
      <c r="Y164" s="336">
        <f t="shared" ca="1" si="2"/>
        <v>332</v>
      </c>
      <c r="Z164" s="373"/>
      <c r="AA164" s="336"/>
      <c r="AB164" s="373"/>
    </row>
    <row r="165" spans="1:30" ht="12.75" customHeight="1" x14ac:dyDescent="0.25">
      <c r="A165" s="347" t="s">
        <v>529</v>
      </c>
      <c r="B165" s="376">
        <v>45247</v>
      </c>
      <c r="C165" s="411" t="s">
        <v>60</v>
      </c>
      <c r="D165" s="333" t="s">
        <v>526</v>
      </c>
      <c r="E165" s="333" t="s">
        <v>530</v>
      </c>
      <c r="F165" s="374" t="s">
        <v>531</v>
      </c>
      <c r="G165" s="372" t="s">
        <v>532</v>
      </c>
      <c r="H165" s="333">
        <v>1</v>
      </c>
      <c r="I165" s="333">
        <v>2</v>
      </c>
      <c r="J165" s="333" t="s">
        <v>31</v>
      </c>
      <c r="K165" s="368" t="s">
        <v>32</v>
      </c>
      <c r="L165" s="332"/>
      <c r="M165" s="333"/>
      <c r="N165" s="333"/>
      <c r="O165" s="333"/>
      <c r="P165" s="343">
        <v>45254</v>
      </c>
      <c r="Q165" s="333"/>
      <c r="R165" s="333"/>
      <c r="S165" s="373"/>
      <c r="T165" s="373"/>
      <c r="U165" s="373"/>
      <c r="V165" s="373"/>
      <c r="W165" s="346"/>
      <c r="X165" s="373"/>
      <c r="Y165" s="336">
        <f t="shared" ca="1" si="2"/>
        <v>332</v>
      </c>
      <c r="Z165" s="373"/>
      <c r="AA165" s="336"/>
      <c r="AB165" s="373"/>
    </row>
    <row r="166" spans="1:30" ht="12.75" customHeight="1" x14ac:dyDescent="0.25">
      <c r="A166" s="347" t="s">
        <v>533</v>
      </c>
      <c r="B166" s="376">
        <v>45160</v>
      </c>
      <c r="C166" s="411" t="s">
        <v>35</v>
      </c>
      <c r="D166" s="333" t="s">
        <v>177</v>
      </c>
      <c r="E166" s="333">
        <v>248576</v>
      </c>
      <c r="F166" s="374" t="s">
        <v>534</v>
      </c>
      <c r="G166" s="372" t="s">
        <v>535</v>
      </c>
      <c r="H166" s="333">
        <v>5</v>
      </c>
      <c r="I166" s="333" t="s">
        <v>536</v>
      </c>
      <c r="J166" s="333" t="s">
        <v>43</v>
      </c>
      <c r="K166" s="368" t="s">
        <v>32</v>
      </c>
      <c r="L166" s="332"/>
      <c r="M166" s="333" t="s">
        <v>33</v>
      </c>
      <c r="N166" s="333"/>
      <c r="O166" s="333"/>
      <c r="P166" s="344">
        <v>45166</v>
      </c>
      <c r="Q166" s="333"/>
      <c r="R166" s="333"/>
      <c r="S166" s="373"/>
      <c r="T166" s="373"/>
      <c r="U166" s="373"/>
      <c r="V166" s="373"/>
      <c r="W166" s="346"/>
      <c r="X166" s="373"/>
      <c r="Y166" s="336">
        <f t="shared" ca="1" si="2"/>
        <v>420</v>
      </c>
      <c r="Z166" s="373"/>
      <c r="AA166" s="336"/>
      <c r="AB166" s="373"/>
      <c r="AD166" s="338"/>
    </row>
    <row r="167" spans="1:30" ht="12.75" customHeight="1" x14ac:dyDescent="0.25">
      <c r="A167" s="347" t="s">
        <v>537</v>
      </c>
      <c r="B167" s="376">
        <v>45160</v>
      </c>
      <c r="C167" s="411" t="s">
        <v>35</v>
      </c>
      <c r="D167" s="333" t="s">
        <v>177</v>
      </c>
      <c r="E167" s="333" t="s">
        <v>479</v>
      </c>
      <c r="F167" s="374" t="s">
        <v>538</v>
      </c>
      <c r="G167" s="372" t="s">
        <v>539</v>
      </c>
      <c r="H167" s="333">
        <v>5</v>
      </c>
      <c r="I167" s="333" t="s">
        <v>540</v>
      </c>
      <c r="J167" s="333" t="s">
        <v>541</v>
      </c>
      <c r="K167" s="368" t="s">
        <v>32</v>
      </c>
      <c r="L167" s="332"/>
      <c r="M167" s="333" t="s">
        <v>33</v>
      </c>
      <c r="N167" s="333"/>
      <c r="O167" s="333"/>
      <c r="P167" s="344">
        <v>45167</v>
      </c>
      <c r="Q167" s="333"/>
      <c r="R167" s="333"/>
      <c r="S167" s="373"/>
      <c r="T167" s="373"/>
      <c r="U167" s="373"/>
      <c r="V167" s="373"/>
      <c r="W167" s="346"/>
      <c r="X167" s="373"/>
      <c r="Y167" s="336">
        <f t="shared" ca="1" si="2"/>
        <v>419</v>
      </c>
      <c r="Z167" s="373"/>
      <c r="AA167" s="336"/>
      <c r="AB167" s="373"/>
      <c r="AD167" s="338"/>
    </row>
    <row r="168" spans="1:30" ht="12.75" customHeight="1" x14ac:dyDescent="0.25">
      <c r="A168" s="347" t="s">
        <v>542</v>
      </c>
      <c r="B168" s="376">
        <v>45160</v>
      </c>
      <c r="C168" s="411" t="s">
        <v>35</v>
      </c>
      <c r="D168" s="333" t="s">
        <v>177</v>
      </c>
      <c r="E168" s="333" t="s">
        <v>479</v>
      </c>
      <c r="F168" s="374" t="s">
        <v>543</v>
      </c>
      <c r="G168" s="372" t="s">
        <v>544</v>
      </c>
      <c r="H168" s="333">
        <v>5</v>
      </c>
      <c r="I168" s="333" t="s">
        <v>540</v>
      </c>
      <c r="J168" s="333" t="s">
        <v>541</v>
      </c>
      <c r="K168" s="368" t="s">
        <v>32</v>
      </c>
      <c r="L168" s="332"/>
      <c r="M168" s="333" t="s">
        <v>33</v>
      </c>
      <c r="N168" s="333"/>
      <c r="O168" s="333"/>
      <c r="P168" s="344">
        <v>45167</v>
      </c>
      <c r="Q168" s="333"/>
      <c r="R168" s="333"/>
      <c r="S168" s="373"/>
      <c r="T168" s="373"/>
      <c r="U168" s="373"/>
      <c r="V168" s="373"/>
      <c r="W168" s="346"/>
      <c r="X168" s="373"/>
      <c r="Y168" s="336">
        <f t="shared" ca="1" si="2"/>
        <v>419</v>
      </c>
      <c r="Z168" s="373"/>
      <c r="AA168" s="336"/>
      <c r="AB168" s="373"/>
      <c r="AD168" s="338"/>
    </row>
    <row r="169" spans="1:30" ht="12.75" customHeight="1" x14ac:dyDescent="0.25">
      <c r="A169" s="347" t="s">
        <v>545</v>
      </c>
      <c r="B169" s="376">
        <v>45160</v>
      </c>
      <c r="C169" s="411" t="s">
        <v>35</v>
      </c>
      <c r="D169" s="359" t="s">
        <v>177</v>
      </c>
      <c r="E169" s="359" t="s">
        <v>475</v>
      </c>
      <c r="F169" s="419" t="s">
        <v>546</v>
      </c>
      <c r="G169" s="420" t="s">
        <v>547</v>
      </c>
      <c r="H169" s="359">
        <v>5</v>
      </c>
      <c r="I169" s="359" t="s">
        <v>548</v>
      </c>
      <c r="J169" s="359" t="s">
        <v>541</v>
      </c>
      <c r="K169" s="421" t="s">
        <v>32</v>
      </c>
      <c r="L169" s="358"/>
      <c r="M169" s="359" t="s">
        <v>33</v>
      </c>
      <c r="N169" s="359"/>
      <c r="O169" s="359"/>
      <c r="P169" s="360">
        <v>45167</v>
      </c>
      <c r="Q169" s="359"/>
      <c r="R169" s="359"/>
      <c r="S169" s="422"/>
      <c r="T169" s="422"/>
      <c r="U169" s="422"/>
      <c r="V169" s="422"/>
      <c r="W169" s="346">
        <v>45252</v>
      </c>
      <c r="X169" s="422">
        <v>10</v>
      </c>
      <c r="Y169" s="361">
        <f t="shared" ca="1" si="2"/>
        <v>85</v>
      </c>
      <c r="Z169" s="422"/>
      <c r="AA169" s="361"/>
      <c r="AB169" s="373"/>
      <c r="AD169" s="338"/>
    </row>
    <row r="170" spans="1:30" ht="12.75" customHeight="1" x14ac:dyDescent="0.25">
      <c r="A170" s="347" t="s">
        <v>549</v>
      </c>
      <c r="B170" s="376">
        <v>45160</v>
      </c>
      <c r="C170" s="411" t="s">
        <v>35</v>
      </c>
      <c r="D170" s="359" t="s">
        <v>177</v>
      </c>
      <c r="E170" s="359" t="s">
        <v>479</v>
      </c>
      <c r="F170" s="419" t="s">
        <v>550</v>
      </c>
      <c r="G170" s="420" t="s">
        <v>551</v>
      </c>
      <c r="H170" s="359">
        <v>5</v>
      </c>
      <c r="I170" s="359" t="s">
        <v>548</v>
      </c>
      <c r="J170" s="359" t="s">
        <v>541</v>
      </c>
      <c r="K170" s="421" t="s">
        <v>32</v>
      </c>
      <c r="L170" s="358"/>
      <c r="M170" s="359" t="s">
        <v>33</v>
      </c>
      <c r="N170" s="359"/>
      <c r="O170" s="359"/>
      <c r="P170" s="360">
        <v>45167</v>
      </c>
      <c r="Q170" s="359"/>
      <c r="R170" s="359"/>
      <c r="S170" s="422"/>
      <c r="T170" s="422"/>
      <c r="U170" s="422"/>
      <c r="V170" s="422"/>
      <c r="W170" s="346">
        <v>45252</v>
      </c>
      <c r="X170" s="422">
        <v>10</v>
      </c>
      <c r="Y170" s="361">
        <f t="shared" ca="1" si="2"/>
        <v>85</v>
      </c>
      <c r="Z170" s="422"/>
      <c r="AA170" s="361"/>
      <c r="AB170" s="373"/>
      <c r="AD170" s="338"/>
    </row>
    <row r="171" spans="1:30" ht="12.75" customHeight="1" x14ac:dyDescent="0.25">
      <c r="A171" s="347" t="s">
        <v>552</v>
      </c>
      <c r="B171" s="376">
        <v>45160</v>
      </c>
      <c r="C171" s="411" t="s">
        <v>35</v>
      </c>
      <c r="D171" s="333" t="s">
        <v>177</v>
      </c>
      <c r="E171" s="333" t="s">
        <v>479</v>
      </c>
      <c r="F171" s="374" t="s">
        <v>553</v>
      </c>
      <c r="G171" s="372" t="s">
        <v>554</v>
      </c>
      <c r="H171" s="333">
        <v>5</v>
      </c>
      <c r="I171" s="333" t="s">
        <v>536</v>
      </c>
      <c r="J171" s="333" t="s">
        <v>43</v>
      </c>
      <c r="K171" s="368" t="s">
        <v>32</v>
      </c>
      <c r="L171" s="332"/>
      <c r="M171" s="333" t="s">
        <v>33</v>
      </c>
      <c r="N171" s="333"/>
      <c r="O171" s="333"/>
      <c r="P171" s="344">
        <v>45167</v>
      </c>
      <c r="Q171" s="333"/>
      <c r="R171" s="333"/>
      <c r="S171" s="373"/>
      <c r="T171" s="373"/>
      <c r="U171" s="373"/>
      <c r="V171" s="373"/>
      <c r="W171" s="346"/>
      <c r="X171" s="373"/>
      <c r="Y171" s="336">
        <f t="shared" ca="1" si="2"/>
        <v>419</v>
      </c>
      <c r="Z171" s="373"/>
      <c r="AA171" s="336"/>
      <c r="AB171" s="373"/>
      <c r="AD171" s="338"/>
    </row>
    <row r="172" spans="1:30" ht="12.75" customHeight="1" x14ac:dyDescent="0.25">
      <c r="A172" s="347" t="s">
        <v>555</v>
      </c>
      <c r="B172" s="376">
        <v>45160</v>
      </c>
      <c r="C172" s="411" t="s">
        <v>35</v>
      </c>
      <c r="D172" s="333" t="s">
        <v>177</v>
      </c>
      <c r="E172" s="333">
        <v>631871</v>
      </c>
      <c r="F172" s="374" t="s">
        <v>556</v>
      </c>
      <c r="G172" s="372" t="s">
        <v>557</v>
      </c>
      <c r="H172" s="333">
        <v>1</v>
      </c>
      <c r="I172" s="333" t="s">
        <v>536</v>
      </c>
      <c r="J172" s="333" t="s">
        <v>43</v>
      </c>
      <c r="K172" s="368" t="s">
        <v>32</v>
      </c>
      <c r="L172" s="332"/>
      <c r="M172" s="333" t="s">
        <v>33</v>
      </c>
      <c r="N172" s="333"/>
      <c r="O172" s="333"/>
      <c r="P172" s="344">
        <v>45166</v>
      </c>
      <c r="Q172" s="333"/>
      <c r="R172" s="333"/>
      <c r="S172" s="373"/>
      <c r="T172" s="373"/>
      <c r="U172" s="373"/>
      <c r="V172" s="373"/>
      <c r="W172" s="346">
        <v>45183</v>
      </c>
      <c r="X172" s="373">
        <v>1</v>
      </c>
      <c r="Y172" s="336">
        <f t="shared" ca="1" si="2"/>
        <v>17</v>
      </c>
      <c r="Z172" s="373"/>
      <c r="AA172" s="336"/>
      <c r="AB172" s="373"/>
      <c r="AD172" s="338"/>
    </row>
    <row r="173" spans="1:30" ht="12.75" customHeight="1" x14ac:dyDescent="0.25">
      <c r="A173" s="347" t="s">
        <v>558</v>
      </c>
      <c r="B173" s="376">
        <v>45160</v>
      </c>
      <c r="C173" s="411" t="s">
        <v>35</v>
      </c>
      <c r="D173" s="333" t="s">
        <v>36</v>
      </c>
      <c r="E173" s="333">
        <v>57632023</v>
      </c>
      <c r="F173" s="374" t="s">
        <v>559</v>
      </c>
      <c r="G173" s="372" t="s">
        <v>560</v>
      </c>
      <c r="H173" s="333">
        <v>1</v>
      </c>
      <c r="I173" s="333" t="s">
        <v>561</v>
      </c>
      <c r="J173" s="333" t="s">
        <v>31</v>
      </c>
      <c r="K173" s="368" t="s">
        <v>32</v>
      </c>
      <c r="L173" s="332"/>
      <c r="M173" s="333" t="s">
        <v>33</v>
      </c>
      <c r="N173" s="333"/>
      <c r="O173" s="333"/>
      <c r="P173" s="344">
        <v>45167</v>
      </c>
      <c r="Q173" s="333"/>
      <c r="R173" s="333"/>
      <c r="S173" s="373"/>
      <c r="T173" s="373"/>
      <c r="U173" s="373"/>
      <c r="V173" s="373"/>
      <c r="W173" s="346">
        <v>45179</v>
      </c>
      <c r="X173" s="373"/>
      <c r="Y173" s="336">
        <f t="shared" ca="1" si="2"/>
        <v>12</v>
      </c>
      <c r="Z173" s="373"/>
      <c r="AA173" s="336"/>
      <c r="AB173" s="373"/>
      <c r="AD173" s="338"/>
    </row>
    <row r="174" spans="1:30" ht="12.75" customHeight="1" x14ac:dyDescent="0.25">
      <c r="A174" s="347" t="s">
        <v>562</v>
      </c>
      <c r="B174" s="376">
        <v>45160</v>
      </c>
      <c r="C174" s="411" t="s">
        <v>35</v>
      </c>
      <c r="D174" s="333" t="s">
        <v>36</v>
      </c>
      <c r="E174" s="333">
        <v>57634675</v>
      </c>
      <c r="F174" s="374" t="s">
        <v>563</v>
      </c>
      <c r="G174" s="372" t="s">
        <v>564</v>
      </c>
      <c r="H174" s="333">
        <v>1</v>
      </c>
      <c r="I174" s="333" t="s">
        <v>327</v>
      </c>
      <c r="J174" s="333" t="s">
        <v>43</v>
      </c>
      <c r="K174" s="368" t="s">
        <v>32</v>
      </c>
      <c r="L174" s="332"/>
      <c r="M174" s="333" t="s">
        <v>33</v>
      </c>
      <c r="N174" s="333"/>
      <c r="O174" s="333"/>
      <c r="P174" s="344">
        <v>45167</v>
      </c>
      <c r="Q174" s="333"/>
      <c r="R174" s="333"/>
      <c r="S174" s="373"/>
      <c r="T174" s="373"/>
      <c r="U174" s="373"/>
      <c r="V174" s="373"/>
      <c r="W174" s="346">
        <v>45179</v>
      </c>
      <c r="X174" s="373">
        <v>1</v>
      </c>
      <c r="Y174" s="336">
        <f t="shared" ca="1" si="2"/>
        <v>12</v>
      </c>
      <c r="Z174" s="373"/>
      <c r="AA174" s="336"/>
      <c r="AB174" s="373"/>
      <c r="AD174" s="338"/>
    </row>
    <row r="175" spans="1:30" ht="12.75" customHeight="1" x14ac:dyDescent="0.25">
      <c r="A175" s="347" t="s">
        <v>565</v>
      </c>
      <c r="B175" s="376">
        <v>45160</v>
      </c>
      <c r="C175" s="411" t="s">
        <v>35</v>
      </c>
      <c r="D175" s="333" t="s">
        <v>36</v>
      </c>
      <c r="E175" s="333">
        <v>57634675</v>
      </c>
      <c r="F175" s="374"/>
      <c r="G175" s="372" t="s">
        <v>566</v>
      </c>
      <c r="H175" s="333">
        <v>1</v>
      </c>
      <c r="I175" s="333" t="s">
        <v>327</v>
      </c>
      <c r="J175" s="333"/>
      <c r="K175" s="368"/>
      <c r="L175" s="332"/>
      <c r="M175" s="333" t="s">
        <v>33</v>
      </c>
      <c r="N175" s="333"/>
      <c r="O175" s="333"/>
      <c r="P175" s="344">
        <v>45166</v>
      </c>
      <c r="Q175" s="333"/>
      <c r="R175" s="333"/>
      <c r="S175" s="373"/>
      <c r="T175" s="373"/>
      <c r="U175" s="373"/>
      <c r="V175" s="373"/>
      <c r="W175" s="346"/>
      <c r="X175" s="373"/>
      <c r="Y175" s="336">
        <f t="shared" ca="1" si="2"/>
        <v>420</v>
      </c>
      <c r="Z175" s="373"/>
      <c r="AA175" s="336"/>
      <c r="AB175" s="373"/>
      <c r="AD175" s="338"/>
    </row>
    <row r="176" spans="1:30" ht="12.75" customHeight="1" x14ac:dyDescent="0.25">
      <c r="A176" s="347" t="s">
        <v>567</v>
      </c>
      <c r="B176" s="376">
        <v>45160</v>
      </c>
      <c r="C176" s="411" t="s">
        <v>35</v>
      </c>
      <c r="D176" s="333" t="s">
        <v>36</v>
      </c>
      <c r="E176" s="333">
        <v>57634675</v>
      </c>
      <c r="F176" s="374" t="s">
        <v>568</v>
      </c>
      <c r="G176" s="372" t="s">
        <v>569</v>
      </c>
      <c r="H176" s="333">
        <v>1</v>
      </c>
      <c r="I176" s="333" t="s">
        <v>327</v>
      </c>
      <c r="J176" s="333" t="s">
        <v>31</v>
      </c>
      <c r="K176" s="368" t="s">
        <v>32</v>
      </c>
      <c r="L176" s="332"/>
      <c r="M176" s="333" t="s">
        <v>33</v>
      </c>
      <c r="N176" s="333"/>
      <c r="O176" s="333"/>
      <c r="P176" s="344">
        <v>45167</v>
      </c>
      <c r="Q176" s="333"/>
      <c r="R176" s="333"/>
      <c r="S176" s="373"/>
      <c r="T176" s="373"/>
      <c r="U176" s="373"/>
      <c r="V176" s="373"/>
      <c r="W176" s="346">
        <v>45025</v>
      </c>
      <c r="X176" s="423"/>
      <c r="Y176" s="336">
        <f t="shared" ca="1" si="2"/>
        <v>-142</v>
      </c>
      <c r="Z176" s="373"/>
      <c r="AA176" s="336"/>
      <c r="AB176" s="424"/>
      <c r="AD176" s="338"/>
    </row>
    <row r="177" spans="1:30" ht="12.75" customHeight="1" x14ac:dyDescent="0.25">
      <c r="A177" s="347" t="s">
        <v>570</v>
      </c>
      <c r="B177" s="376">
        <v>45253</v>
      </c>
      <c r="C177" s="411" t="s">
        <v>60</v>
      </c>
      <c r="D177" s="333" t="s">
        <v>526</v>
      </c>
      <c r="E177" s="333" t="s">
        <v>571</v>
      </c>
      <c r="F177" s="374" t="s">
        <v>572</v>
      </c>
      <c r="G177" s="372" t="s">
        <v>573</v>
      </c>
      <c r="H177" s="333">
        <v>1</v>
      </c>
      <c r="I177" s="333">
        <v>2</v>
      </c>
      <c r="J177" s="333" t="s">
        <v>68</v>
      </c>
      <c r="K177" s="368" t="s">
        <v>69</v>
      </c>
      <c r="L177" s="332"/>
      <c r="M177" s="333"/>
      <c r="N177" s="417"/>
      <c r="O177" s="417"/>
      <c r="P177" s="343">
        <v>45254</v>
      </c>
      <c r="Q177" s="333"/>
      <c r="R177" s="333"/>
      <c r="S177" s="373"/>
      <c r="T177" s="373"/>
      <c r="U177" s="373"/>
      <c r="V177" s="373"/>
      <c r="W177" s="346"/>
      <c r="X177" s="373"/>
      <c r="Y177" s="336">
        <f t="shared" ca="1" si="2"/>
        <v>332</v>
      </c>
      <c r="Z177" s="373"/>
      <c r="AA177" s="336"/>
      <c r="AB177" s="373"/>
    </row>
    <row r="178" spans="1:30" ht="12.75" customHeight="1" x14ac:dyDescent="0.25">
      <c r="A178" s="347" t="s">
        <v>574</v>
      </c>
      <c r="B178" s="376">
        <v>45204</v>
      </c>
      <c r="C178" s="411" t="s">
        <v>60</v>
      </c>
      <c r="D178" s="333" t="s">
        <v>575</v>
      </c>
      <c r="E178" s="333"/>
      <c r="F178" s="374" t="s">
        <v>576</v>
      </c>
      <c r="G178" s="372" t="s">
        <v>577</v>
      </c>
      <c r="H178" s="333">
        <v>1</v>
      </c>
      <c r="I178" s="333" t="s">
        <v>578</v>
      </c>
      <c r="J178" s="333" t="s">
        <v>31</v>
      </c>
      <c r="K178" s="368" t="s">
        <v>32</v>
      </c>
      <c r="L178" s="332"/>
      <c r="M178" s="333" t="s">
        <v>33</v>
      </c>
      <c r="N178" s="333"/>
      <c r="O178" s="333"/>
      <c r="P178" s="375">
        <v>45208</v>
      </c>
      <c r="Q178" s="333"/>
      <c r="R178" s="333"/>
      <c r="S178" s="373"/>
      <c r="T178" s="373"/>
      <c r="U178" s="373"/>
      <c r="V178" s="373"/>
      <c r="W178" s="346">
        <v>45308</v>
      </c>
      <c r="X178" s="373">
        <v>1</v>
      </c>
      <c r="Y178" s="336">
        <f t="shared" ca="1" si="2"/>
        <v>100</v>
      </c>
      <c r="Z178" s="373"/>
      <c r="AA178" s="336"/>
      <c r="AB178" s="373"/>
      <c r="AD178" s="338"/>
    </row>
    <row r="179" spans="1:30" ht="12.75" customHeight="1" x14ac:dyDescent="0.25">
      <c r="A179" s="347" t="s">
        <v>579</v>
      </c>
      <c r="B179" s="376">
        <v>45204</v>
      </c>
      <c r="C179" s="411" t="s">
        <v>60</v>
      </c>
      <c r="D179" s="333" t="s">
        <v>575</v>
      </c>
      <c r="E179" s="333"/>
      <c r="F179" s="374" t="s">
        <v>580</v>
      </c>
      <c r="G179" s="372" t="s">
        <v>581</v>
      </c>
      <c r="H179" s="333">
        <v>1</v>
      </c>
      <c r="I179" s="333" t="s">
        <v>578</v>
      </c>
      <c r="J179" s="333" t="s">
        <v>43</v>
      </c>
      <c r="K179" s="368" t="s">
        <v>32</v>
      </c>
      <c r="L179" s="332"/>
      <c r="M179" s="333" t="s">
        <v>33</v>
      </c>
      <c r="N179" s="333"/>
      <c r="O179" s="333"/>
      <c r="P179" s="375">
        <v>45208</v>
      </c>
      <c r="Q179" s="333"/>
      <c r="R179" s="333"/>
      <c r="S179" s="373"/>
      <c r="T179" s="373"/>
      <c r="U179" s="373"/>
      <c r="V179" s="373"/>
      <c r="W179" s="346">
        <v>45308</v>
      </c>
      <c r="X179" s="373">
        <v>1</v>
      </c>
      <c r="Y179" s="336">
        <f t="shared" ca="1" si="2"/>
        <v>100</v>
      </c>
      <c r="Z179" s="373"/>
      <c r="AA179" s="336"/>
      <c r="AB179" s="373"/>
      <c r="AD179" s="338"/>
    </row>
    <row r="180" spans="1:30" ht="12.75" customHeight="1" x14ac:dyDescent="0.25">
      <c r="A180" s="347" t="s">
        <v>582</v>
      </c>
      <c r="B180" s="376">
        <v>45204</v>
      </c>
      <c r="C180" s="411" t="s">
        <v>60</v>
      </c>
      <c r="D180" s="364" t="s">
        <v>575</v>
      </c>
      <c r="E180" s="333"/>
      <c r="F180" s="365" t="s">
        <v>583</v>
      </c>
      <c r="G180" s="366" t="s">
        <v>584</v>
      </c>
      <c r="H180" s="364">
        <v>1</v>
      </c>
      <c r="I180" s="364" t="s">
        <v>578</v>
      </c>
      <c r="J180" s="364" t="s">
        <v>43</v>
      </c>
      <c r="K180" s="368" t="s">
        <v>32</v>
      </c>
      <c r="L180" s="332"/>
      <c r="M180" s="333" t="s">
        <v>33</v>
      </c>
      <c r="N180" s="333"/>
      <c r="O180" s="333"/>
      <c r="P180" s="375">
        <v>45208</v>
      </c>
      <c r="Q180" s="364"/>
      <c r="R180" s="364"/>
      <c r="S180" s="369"/>
      <c r="T180" s="369"/>
      <c r="U180" s="369"/>
      <c r="V180" s="369"/>
      <c r="W180" s="346">
        <v>45308</v>
      </c>
      <c r="X180" s="369">
        <v>1</v>
      </c>
      <c r="Y180" s="336">
        <f t="shared" ca="1" si="2"/>
        <v>100</v>
      </c>
      <c r="Z180" s="369"/>
      <c r="AA180" s="336"/>
      <c r="AB180" s="373"/>
      <c r="AD180" s="338"/>
    </row>
    <row r="181" spans="1:30" ht="12.75" customHeight="1" x14ac:dyDescent="0.25">
      <c r="A181" s="347" t="s">
        <v>585</v>
      </c>
      <c r="B181" s="376">
        <v>45204</v>
      </c>
      <c r="C181" s="425" t="s">
        <v>60</v>
      </c>
      <c r="D181" s="333" t="s">
        <v>575</v>
      </c>
      <c r="E181" s="333">
        <v>880</v>
      </c>
      <c r="F181" s="374" t="s">
        <v>586</v>
      </c>
      <c r="G181" s="372" t="s">
        <v>587</v>
      </c>
      <c r="H181" s="333">
        <v>10</v>
      </c>
      <c r="I181" s="333" t="s">
        <v>578</v>
      </c>
      <c r="J181" s="333" t="s">
        <v>43</v>
      </c>
      <c r="K181" s="332" t="s">
        <v>32</v>
      </c>
      <c r="L181" s="332"/>
      <c r="M181" s="333" t="s">
        <v>33</v>
      </c>
      <c r="N181" s="333"/>
      <c r="O181" s="333"/>
      <c r="P181" s="375">
        <v>45208</v>
      </c>
      <c r="Q181" s="333"/>
      <c r="R181" s="333"/>
      <c r="S181" s="373"/>
      <c r="T181" s="373"/>
      <c r="U181" s="373"/>
      <c r="V181" s="373"/>
      <c r="W181" s="346">
        <v>45308</v>
      </c>
      <c r="X181" s="373">
        <v>10</v>
      </c>
      <c r="Y181" s="336">
        <f t="shared" ca="1" si="2"/>
        <v>100</v>
      </c>
      <c r="Z181" s="373"/>
      <c r="AA181" s="336"/>
      <c r="AB181" s="373"/>
      <c r="AD181" s="338"/>
    </row>
    <row r="182" spans="1:30" ht="12.75" customHeight="1" x14ac:dyDescent="0.25">
      <c r="A182" s="347" t="s">
        <v>588</v>
      </c>
      <c r="B182" s="376">
        <v>45204</v>
      </c>
      <c r="C182" s="425" t="s">
        <v>60</v>
      </c>
      <c r="D182" s="333" t="s">
        <v>575</v>
      </c>
      <c r="E182" s="333">
        <v>880</v>
      </c>
      <c r="F182" s="374" t="s">
        <v>589</v>
      </c>
      <c r="G182" s="372" t="s">
        <v>590</v>
      </c>
      <c r="H182" s="333">
        <v>10</v>
      </c>
      <c r="I182" s="333" t="s">
        <v>578</v>
      </c>
      <c r="J182" s="333" t="s">
        <v>43</v>
      </c>
      <c r="K182" s="332" t="s">
        <v>32</v>
      </c>
      <c r="L182" s="332"/>
      <c r="M182" s="333" t="s">
        <v>33</v>
      </c>
      <c r="N182" s="333"/>
      <c r="O182" s="333"/>
      <c r="P182" s="375">
        <v>45208</v>
      </c>
      <c r="Q182" s="333"/>
      <c r="R182" s="333"/>
      <c r="S182" s="373"/>
      <c r="T182" s="373"/>
      <c r="U182" s="373"/>
      <c r="V182" s="373"/>
      <c r="W182" s="346">
        <v>45308</v>
      </c>
      <c r="X182" s="373">
        <v>10</v>
      </c>
      <c r="Y182" s="336">
        <f t="shared" ca="1" si="2"/>
        <v>100</v>
      </c>
      <c r="Z182" s="373"/>
      <c r="AA182" s="336"/>
      <c r="AB182" s="373"/>
      <c r="AD182" s="338"/>
    </row>
    <row r="183" spans="1:30" ht="12.75" customHeight="1" x14ac:dyDescent="0.25">
      <c r="A183" s="347" t="s">
        <v>591</v>
      </c>
      <c r="B183" s="376">
        <v>45204</v>
      </c>
      <c r="C183" s="425" t="s">
        <v>60</v>
      </c>
      <c r="D183" s="333" t="s">
        <v>575</v>
      </c>
      <c r="E183" s="333">
        <v>880</v>
      </c>
      <c r="F183" s="374" t="s">
        <v>592</v>
      </c>
      <c r="G183" s="372" t="s">
        <v>593</v>
      </c>
      <c r="H183" s="333">
        <v>10</v>
      </c>
      <c r="I183" s="333" t="s">
        <v>578</v>
      </c>
      <c r="J183" s="333" t="s">
        <v>43</v>
      </c>
      <c r="K183" s="332" t="s">
        <v>32</v>
      </c>
      <c r="L183" s="332"/>
      <c r="M183" s="333" t="s">
        <v>33</v>
      </c>
      <c r="N183" s="333"/>
      <c r="O183" s="333"/>
      <c r="P183" s="375">
        <v>45208</v>
      </c>
      <c r="Q183" s="333"/>
      <c r="R183" s="333"/>
      <c r="S183" s="373"/>
      <c r="T183" s="373"/>
      <c r="U183" s="401"/>
      <c r="V183" s="401"/>
      <c r="W183" s="346">
        <v>45308</v>
      </c>
      <c r="X183" s="401">
        <v>10</v>
      </c>
      <c r="Y183" s="336">
        <f t="shared" ca="1" si="2"/>
        <v>100</v>
      </c>
      <c r="Z183" s="401"/>
      <c r="AA183" s="336"/>
      <c r="AB183" s="401"/>
      <c r="AD183" s="338"/>
    </row>
    <row r="184" spans="1:30" ht="12.75" customHeight="1" x14ac:dyDescent="0.25">
      <c r="A184" s="347" t="s">
        <v>594</v>
      </c>
      <c r="B184" s="376">
        <v>45208</v>
      </c>
      <c r="C184" s="425" t="s">
        <v>60</v>
      </c>
      <c r="D184" s="333" t="s">
        <v>575</v>
      </c>
      <c r="E184" s="333"/>
      <c r="F184" s="374" t="s">
        <v>595</v>
      </c>
      <c r="G184" s="372" t="s">
        <v>596</v>
      </c>
      <c r="H184" s="333">
        <v>1</v>
      </c>
      <c r="I184" s="333" t="s">
        <v>578</v>
      </c>
      <c r="J184" s="333" t="s">
        <v>31</v>
      </c>
      <c r="K184" s="332" t="s">
        <v>32</v>
      </c>
      <c r="L184" s="332"/>
      <c r="M184" s="333" t="s">
        <v>33</v>
      </c>
      <c r="N184" s="333"/>
      <c r="O184" s="333"/>
      <c r="P184" s="375">
        <v>45208</v>
      </c>
      <c r="Q184" s="333"/>
      <c r="R184" s="333"/>
      <c r="S184" s="373"/>
      <c r="T184" s="373"/>
      <c r="U184" s="373"/>
      <c r="V184" s="373"/>
      <c r="W184" s="346">
        <v>45308</v>
      </c>
      <c r="X184" s="373">
        <v>1</v>
      </c>
      <c r="Y184" s="336">
        <f t="shared" ca="1" si="2"/>
        <v>100</v>
      </c>
      <c r="Z184" s="373"/>
      <c r="AA184" s="336"/>
      <c r="AB184" s="373"/>
      <c r="AD184" s="338"/>
    </row>
    <row r="185" spans="1:30" ht="12.75" customHeight="1" x14ac:dyDescent="0.25">
      <c r="A185" s="347" t="s">
        <v>597</v>
      </c>
      <c r="B185" s="376">
        <v>45167</v>
      </c>
      <c r="C185" s="425" t="s">
        <v>60</v>
      </c>
      <c r="D185" s="333" t="s">
        <v>598</v>
      </c>
      <c r="E185" s="333" t="s">
        <v>599</v>
      </c>
      <c r="F185" s="374" t="s">
        <v>600</v>
      </c>
      <c r="G185" s="372" t="s">
        <v>601</v>
      </c>
      <c r="H185" s="333">
        <v>3</v>
      </c>
      <c r="I185" s="333" t="s">
        <v>602</v>
      </c>
      <c r="J185" s="333" t="s">
        <v>265</v>
      </c>
      <c r="K185" s="332" t="s">
        <v>32</v>
      </c>
      <c r="L185" s="332"/>
      <c r="M185" s="333" t="s">
        <v>33</v>
      </c>
      <c r="N185" s="333"/>
      <c r="O185" s="333"/>
      <c r="P185" s="375">
        <v>45169</v>
      </c>
      <c r="Q185" s="333"/>
      <c r="R185" s="333"/>
      <c r="S185" s="373"/>
      <c r="T185" s="373"/>
      <c r="U185" s="373"/>
      <c r="V185" s="373"/>
      <c r="W185" s="346">
        <v>45279</v>
      </c>
      <c r="X185" s="373">
        <v>3</v>
      </c>
      <c r="Y185" s="336">
        <f t="shared" ca="1" si="2"/>
        <v>110</v>
      </c>
      <c r="Z185" s="373"/>
      <c r="AA185" s="336"/>
      <c r="AB185" s="373"/>
      <c r="AD185" s="338"/>
    </row>
    <row r="186" spans="1:30" ht="12.75" customHeight="1" x14ac:dyDescent="0.25">
      <c r="A186" s="347" t="s">
        <v>603</v>
      </c>
      <c r="B186" s="376">
        <v>45167</v>
      </c>
      <c r="C186" s="425" t="s">
        <v>60</v>
      </c>
      <c r="D186" s="333" t="s">
        <v>598</v>
      </c>
      <c r="E186" s="333" t="s">
        <v>599</v>
      </c>
      <c r="F186" s="374" t="s">
        <v>604</v>
      </c>
      <c r="G186" s="372" t="s">
        <v>605</v>
      </c>
      <c r="H186" s="333">
        <v>1</v>
      </c>
      <c r="I186" s="333" t="s">
        <v>602</v>
      </c>
      <c r="J186" s="333" t="s">
        <v>265</v>
      </c>
      <c r="K186" s="332" t="s">
        <v>32</v>
      </c>
      <c r="L186" s="332"/>
      <c r="M186" s="333" t="s">
        <v>33</v>
      </c>
      <c r="N186" s="333"/>
      <c r="O186" s="333"/>
      <c r="P186" s="375">
        <v>45169</v>
      </c>
      <c r="Q186" s="333"/>
      <c r="R186" s="333"/>
      <c r="S186" s="373"/>
      <c r="T186" s="373"/>
      <c r="U186" s="373"/>
      <c r="V186" s="373"/>
      <c r="W186" s="346">
        <v>45279</v>
      </c>
      <c r="X186" s="373">
        <v>1</v>
      </c>
      <c r="Y186" s="336">
        <f t="shared" ca="1" si="2"/>
        <v>110</v>
      </c>
      <c r="Z186" s="373"/>
      <c r="AA186" s="336"/>
      <c r="AB186" s="373"/>
      <c r="AD186" s="338"/>
    </row>
    <row r="187" spans="1:30" ht="12.75" customHeight="1" x14ac:dyDescent="0.25">
      <c r="A187" s="347" t="s">
        <v>606</v>
      </c>
      <c r="B187" s="376">
        <v>45167</v>
      </c>
      <c r="C187" s="425" t="s">
        <v>60</v>
      </c>
      <c r="D187" s="333" t="s">
        <v>598</v>
      </c>
      <c r="E187" s="333" t="s">
        <v>599</v>
      </c>
      <c r="F187" s="374" t="s">
        <v>607</v>
      </c>
      <c r="G187" s="372" t="s">
        <v>605</v>
      </c>
      <c r="H187" s="333">
        <v>1</v>
      </c>
      <c r="I187" s="333" t="s">
        <v>602</v>
      </c>
      <c r="J187" s="333" t="s">
        <v>265</v>
      </c>
      <c r="K187" s="332" t="s">
        <v>32</v>
      </c>
      <c r="L187" s="332"/>
      <c r="M187" s="333" t="s">
        <v>33</v>
      </c>
      <c r="N187" s="333"/>
      <c r="O187" s="333"/>
      <c r="P187" s="375">
        <v>45169</v>
      </c>
      <c r="Q187" s="333"/>
      <c r="R187" s="333"/>
      <c r="S187" s="373"/>
      <c r="T187" s="373"/>
      <c r="U187" s="373"/>
      <c r="V187" s="373"/>
      <c r="W187" s="346">
        <v>45279</v>
      </c>
      <c r="X187" s="373">
        <v>1</v>
      </c>
      <c r="Y187" s="336">
        <f t="shared" ca="1" si="2"/>
        <v>110</v>
      </c>
      <c r="Z187" s="373"/>
      <c r="AA187" s="336"/>
      <c r="AB187" s="373"/>
      <c r="AD187" s="338"/>
    </row>
    <row r="188" spans="1:30" ht="12.75" customHeight="1" x14ac:dyDescent="0.25">
      <c r="A188" s="347" t="s">
        <v>608</v>
      </c>
      <c r="B188" s="376">
        <v>45167</v>
      </c>
      <c r="C188" s="425" t="s">
        <v>60</v>
      </c>
      <c r="D188" s="333" t="s">
        <v>598</v>
      </c>
      <c r="E188" s="333">
        <v>6832</v>
      </c>
      <c r="F188" s="374" t="s">
        <v>609</v>
      </c>
      <c r="G188" s="372" t="s">
        <v>610</v>
      </c>
      <c r="H188" s="333">
        <v>1</v>
      </c>
      <c r="I188" s="333" t="s">
        <v>602</v>
      </c>
      <c r="J188" s="333" t="s">
        <v>43</v>
      </c>
      <c r="K188" s="332" t="s">
        <v>32</v>
      </c>
      <c r="L188" s="332"/>
      <c r="M188" s="333" t="s">
        <v>33</v>
      </c>
      <c r="N188" s="333"/>
      <c r="O188" s="333"/>
      <c r="P188" s="375">
        <v>45169</v>
      </c>
      <c r="Q188" s="333"/>
      <c r="R188" s="333"/>
      <c r="S188" s="373"/>
      <c r="T188" s="373"/>
      <c r="U188" s="373"/>
      <c r="V188" s="373"/>
      <c r="W188" s="346">
        <v>45173</v>
      </c>
      <c r="X188" s="373">
        <v>1</v>
      </c>
      <c r="Y188" s="336">
        <f t="shared" ca="1" si="2"/>
        <v>4</v>
      </c>
      <c r="Z188" s="373"/>
      <c r="AA188" s="336"/>
      <c r="AB188" s="373" t="s">
        <v>611</v>
      </c>
      <c r="AD188" s="338"/>
    </row>
    <row r="189" spans="1:30" ht="12.75" customHeight="1" x14ac:dyDescent="0.25">
      <c r="A189" s="347" t="s">
        <v>612</v>
      </c>
      <c r="B189" s="376">
        <v>45167</v>
      </c>
      <c r="C189" s="425" t="s">
        <v>60</v>
      </c>
      <c r="D189" s="333" t="s">
        <v>598</v>
      </c>
      <c r="E189" s="333" t="s">
        <v>33</v>
      </c>
      <c r="F189" s="374" t="s">
        <v>613</v>
      </c>
      <c r="G189" s="372" t="s">
        <v>614</v>
      </c>
      <c r="H189" s="372">
        <v>1</v>
      </c>
      <c r="I189" s="333" t="s">
        <v>602</v>
      </c>
      <c r="J189" s="333" t="s">
        <v>46</v>
      </c>
      <c r="K189" s="332" t="s">
        <v>32</v>
      </c>
      <c r="L189" s="332"/>
      <c r="M189" s="333" t="s">
        <v>33</v>
      </c>
      <c r="N189" s="333"/>
      <c r="O189" s="333"/>
      <c r="P189" s="375">
        <v>45169</v>
      </c>
      <c r="Q189" s="333"/>
      <c r="R189" s="333"/>
      <c r="S189" s="373"/>
      <c r="T189" s="373"/>
      <c r="U189" s="373"/>
      <c r="V189" s="373"/>
      <c r="W189" s="346">
        <v>45173</v>
      </c>
      <c r="X189" s="373">
        <v>1</v>
      </c>
      <c r="Y189" s="336">
        <f t="shared" ca="1" si="2"/>
        <v>4</v>
      </c>
      <c r="Z189" s="373"/>
      <c r="AA189" s="336"/>
      <c r="AB189" s="373" t="s">
        <v>611</v>
      </c>
      <c r="AD189" s="338"/>
    </row>
    <row r="190" spans="1:30" ht="12.75" customHeight="1" x14ac:dyDescent="0.25">
      <c r="A190" s="347" t="s">
        <v>615</v>
      </c>
      <c r="B190" s="376">
        <v>45167</v>
      </c>
      <c r="C190" s="425" t="s">
        <v>60</v>
      </c>
      <c r="D190" s="333" t="s">
        <v>598</v>
      </c>
      <c r="E190" s="333" t="s">
        <v>33</v>
      </c>
      <c r="F190" s="374" t="s">
        <v>616</v>
      </c>
      <c r="G190" s="372" t="s">
        <v>617</v>
      </c>
      <c r="H190" s="333">
        <v>1</v>
      </c>
      <c r="I190" s="333" t="s">
        <v>602</v>
      </c>
      <c r="J190" s="333" t="s">
        <v>46</v>
      </c>
      <c r="K190" s="332" t="s">
        <v>32</v>
      </c>
      <c r="L190" s="332"/>
      <c r="M190" s="333" t="s">
        <v>33</v>
      </c>
      <c r="N190" s="333"/>
      <c r="O190" s="333"/>
      <c r="P190" s="375">
        <v>45169</v>
      </c>
      <c r="Q190" s="333"/>
      <c r="R190" s="333"/>
      <c r="S190" s="373"/>
      <c r="T190" s="373"/>
      <c r="U190" s="373"/>
      <c r="V190" s="373"/>
      <c r="W190" s="346">
        <v>45173</v>
      </c>
      <c r="X190" s="373">
        <v>1</v>
      </c>
      <c r="Y190" s="336">
        <f t="shared" ca="1" si="2"/>
        <v>4</v>
      </c>
      <c r="Z190" s="373"/>
      <c r="AA190" s="336"/>
      <c r="AB190" s="373" t="s">
        <v>611</v>
      </c>
      <c r="AD190" s="338"/>
    </row>
    <row r="191" spans="1:30" ht="12.75" customHeight="1" x14ac:dyDescent="0.25">
      <c r="A191" s="347" t="s">
        <v>618</v>
      </c>
      <c r="B191" s="376">
        <v>45167</v>
      </c>
      <c r="C191" s="425" t="s">
        <v>60</v>
      </c>
      <c r="D191" s="333" t="s">
        <v>598</v>
      </c>
      <c r="E191" s="333" t="s">
        <v>33</v>
      </c>
      <c r="F191" s="374" t="s">
        <v>619</v>
      </c>
      <c r="G191" s="372" t="s">
        <v>620</v>
      </c>
      <c r="H191" s="333">
        <v>1</v>
      </c>
      <c r="I191" s="333" t="s">
        <v>602</v>
      </c>
      <c r="J191" s="333" t="s">
        <v>46</v>
      </c>
      <c r="K191" s="332" t="s">
        <v>32</v>
      </c>
      <c r="L191" s="332"/>
      <c r="M191" s="333" t="s">
        <v>33</v>
      </c>
      <c r="N191" s="333"/>
      <c r="O191" s="333"/>
      <c r="P191" s="375">
        <v>45169</v>
      </c>
      <c r="Q191" s="333"/>
      <c r="R191" s="333"/>
      <c r="S191" s="373"/>
      <c r="T191" s="373"/>
      <c r="U191" s="373"/>
      <c r="V191" s="373"/>
      <c r="W191" s="346">
        <v>45173</v>
      </c>
      <c r="X191" s="373">
        <v>1</v>
      </c>
      <c r="Y191" s="336">
        <f t="shared" ca="1" si="2"/>
        <v>4</v>
      </c>
      <c r="Z191" s="373"/>
      <c r="AA191" s="336"/>
      <c r="AB191" s="373"/>
      <c r="AD191" s="338"/>
    </row>
    <row r="192" spans="1:30" ht="12.75" customHeight="1" x14ac:dyDescent="0.25">
      <c r="A192" s="347" t="s">
        <v>621</v>
      </c>
      <c r="B192" s="376">
        <v>45167</v>
      </c>
      <c r="C192" s="425" t="s">
        <v>60</v>
      </c>
      <c r="D192" s="333" t="s">
        <v>598</v>
      </c>
      <c r="E192" s="333" t="s">
        <v>33</v>
      </c>
      <c r="F192" s="374" t="s">
        <v>609</v>
      </c>
      <c r="G192" s="372" t="s">
        <v>622</v>
      </c>
      <c r="H192" s="333">
        <v>1</v>
      </c>
      <c r="I192" s="333" t="s">
        <v>602</v>
      </c>
      <c r="J192" s="333" t="s">
        <v>46</v>
      </c>
      <c r="K192" s="332" t="s">
        <v>32</v>
      </c>
      <c r="L192" s="332"/>
      <c r="M192" s="333" t="s">
        <v>33</v>
      </c>
      <c r="N192" s="333"/>
      <c r="O192" s="333"/>
      <c r="P192" s="375">
        <v>45169</v>
      </c>
      <c r="Q192" s="333"/>
      <c r="R192" s="333"/>
      <c r="S192" s="373"/>
      <c r="T192" s="373"/>
      <c r="U192" s="373"/>
      <c r="V192" s="373"/>
      <c r="W192" s="346">
        <v>45173</v>
      </c>
      <c r="X192" s="373">
        <v>1</v>
      </c>
      <c r="Y192" s="336">
        <f t="shared" ca="1" si="2"/>
        <v>4</v>
      </c>
      <c r="Z192" s="373"/>
      <c r="AA192" s="336"/>
      <c r="AB192" s="373" t="s">
        <v>611</v>
      </c>
      <c r="AD192" s="338"/>
    </row>
    <row r="193" spans="1:38" ht="12.75" customHeight="1" x14ac:dyDescent="0.25">
      <c r="A193" s="347" t="s">
        <v>623</v>
      </c>
      <c r="B193" s="376">
        <v>45167</v>
      </c>
      <c r="C193" s="425" t="s">
        <v>60</v>
      </c>
      <c r="D193" s="333" t="s">
        <v>598</v>
      </c>
      <c r="E193" s="333" t="s">
        <v>33</v>
      </c>
      <c r="F193" s="374" t="s">
        <v>624</v>
      </c>
      <c r="G193" s="372" t="s">
        <v>625</v>
      </c>
      <c r="H193" s="333">
        <v>3</v>
      </c>
      <c r="I193" s="333" t="s">
        <v>602</v>
      </c>
      <c r="J193" s="333" t="s">
        <v>46</v>
      </c>
      <c r="K193" s="332" t="s">
        <v>32</v>
      </c>
      <c r="L193" s="332"/>
      <c r="M193" s="333" t="s">
        <v>33</v>
      </c>
      <c r="N193" s="333"/>
      <c r="O193" s="333"/>
      <c r="P193" s="375">
        <v>45169</v>
      </c>
      <c r="Q193" s="333"/>
      <c r="R193" s="333"/>
      <c r="S193" s="373"/>
      <c r="T193" s="373"/>
      <c r="U193" s="373"/>
      <c r="V193" s="373"/>
      <c r="W193" s="346">
        <v>45173</v>
      </c>
      <c r="X193" s="373">
        <v>3</v>
      </c>
      <c r="Y193" s="336">
        <f t="shared" ca="1" si="2"/>
        <v>4</v>
      </c>
      <c r="Z193" s="373"/>
      <c r="AA193" s="336"/>
      <c r="AB193" s="373" t="s">
        <v>611</v>
      </c>
      <c r="AD193" s="338"/>
    </row>
    <row r="194" spans="1:38" ht="12.75" customHeight="1" x14ac:dyDescent="0.25">
      <c r="A194" s="347" t="s">
        <v>626</v>
      </c>
      <c r="B194" s="376">
        <v>45167</v>
      </c>
      <c r="C194" s="425" t="s">
        <v>60</v>
      </c>
      <c r="D194" s="333" t="s">
        <v>598</v>
      </c>
      <c r="E194" s="333" t="s">
        <v>33</v>
      </c>
      <c r="F194" s="374" t="s">
        <v>627</v>
      </c>
      <c r="G194" s="372" t="s">
        <v>628</v>
      </c>
      <c r="H194" s="333">
        <v>4</v>
      </c>
      <c r="I194" s="333" t="s">
        <v>602</v>
      </c>
      <c r="J194" s="333" t="s">
        <v>46</v>
      </c>
      <c r="K194" s="332" t="s">
        <v>32</v>
      </c>
      <c r="L194" s="332"/>
      <c r="M194" s="333" t="s">
        <v>33</v>
      </c>
      <c r="N194" s="333"/>
      <c r="O194" s="333"/>
      <c r="P194" s="375">
        <v>45167</v>
      </c>
      <c r="Q194" s="333"/>
      <c r="R194" s="333"/>
      <c r="S194" s="373"/>
      <c r="T194" s="373"/>
      <c r="U194" s="373"/>
      <c r="V194" s="373"/>
      <c r="W194" s="346">
        <v>45173</v>
      </c>
      <c r="X194" s="373">
        <v>4</v>
      </c>
      <c r="Y194" s="336">
        <f t="shared" ref="Y194:Y251" ca="1" si="3">IF(P194="","",IF(W194="",TODAY()-P194,W194-P194))</f>
        <v>6</v>
      </c>
      <c r="Z194" s="373"/>
      <c r="AA194" s="336"/>
      <c r="AB194" s="373" t="s">
        <v>611</v>
      </c>
      <c r="AD194" s="338"/>
    </row>
    <row r="195" spans="1:38" ht="12.75" customHeight="1" x14ac:dyDescent="0.25">
      <c r="A195" s="347" t="s">
        <v>629</v>
      </c>
      <c r="B195" s="376">
        <v>45167</v>
      </c>
      <c r="C195" s="425" t="s">
        <v>60</v>
      </c>
      <c r="D195" s="333" t="s">
        <v>598</v>
      </c>
      <c r="E195" s="333" t="s">
        <v>33</v>
      </c>
      <c r="F195" s="374" t="s">
        <v>630</v>
      </c>
      <c r="G195" s="372" t="s">
        <v>631</v>
      </c>
      <c r="H195" s="333">
        <v>8</v>
      </c>
      <c r="I195" s="333" t="s">
        <v>602</v>
      </c>
      <c r="J195" s="333" t="s">
        <v>46</v>
      </c>
      <c r="K195" s="332" t="s">
        <v>32</v>
      </c>
      <c r="L195" s="332"/>
      <c r="M195" s="333" t="s">
        <v>33</v>
      </c>
      <c r="N195" s="333"/>
      <c r="O195" s="333"/>
      <c r="P195" s="375">
        <v>45169</v>
      </c>
      <c r="Q195" s="333"/>
      <c r="R195" s="333"/>
      <c r="S195" s="373"/>
      <c r="T195" s="373"/>
      <c r="U195" s="373"/>
      <c r="V195" s="373"/>
      <c r="W195" s="346">
        <v>45173</v>
      </c>
      <c r="X195" s="373">
        <v>8</v>
      </c>
      <c r="Y195" s="336">
        <f t="shared" ca="1" si="3"/>
        <v>4</v>
      </c>
      <c r="Z195" s="373"/>
      <c r="AA195" s="336"/>
      <c r="AB195" s="373" t="s">
        <v>611</v>
      </c>
      <c r="AD195" s="338"/>
    </row>
    <row r="196" spans="1:38" ht="12.75" customHeight="1" x14ac:dyDescent="0.25">
      <c r="A196" s="347" t="s">
        <v>632</v>
      </c>
      <c r="B196" s="376">
        <v>45167</v>
      </c>
      <c r="C196" s="425" t="s">
        <v>60</v>
      </c>
      <c r="D196" s="333" t="s">
        <v>598</v>
      </c>
      <c r="E196" s="333" t="s">
        <v>33</v>
      </c>
      <c r="F196" s="374" t="s">
        <v>633</v>
      </c>
      <c r="G196" s="372" t="s">
        <v>634</v>
      </c>
      <c r="H196" s="333">
        <v>4</v>
      </c>
      <c r="I196" s="333" t="s">
        <v>602</v>
      </c>
      <c r="J196" s="333" t="s">
        <v>46</v>
      </c>
      <c r="K196" s="332" t="s">
        <v>32</v>
      </c>
      <c r="L196" s="332"/>
      <c r="M196" s="333" t="s">
        <v>33</v>
      </c>
      <c r="N196" s="333"/>
      <c r="O196" s="333"/>
      <c r="P196" s="375">
        <v>45169</v>
      </c>
      <c r="Q196" s="333"/>
      <c r="R196" s="333"/>
      <c r="S196" s="373"/>
      <c r="T196" s="373"/>
      <c r="U196" s="373"/>
      <c r="V196" s="373"/>
      <c r="W196" s="346">
        <v>45173</v>
      </c>
      <c r="X196" s="373">
        <v>4</v>
      </c>
      <c r="Y196" s="336">
        <f t="shared" ca="1" si="3"/>
        <v>4</v>
      </c>
      <c r="Z196" s="373"/>
      <c r="AA196" s="336"/>
      <c r="AB196" s="373" t="s">
        <v>611</v>
      </c>
      <c r="AD196" s="338"/>
    </row>
    <row r="197" spans="1:38" ht="12.75" customHeight="1" x14ac:dyDescent="0.25">
      <c r="A197" s="347" t="s">
        <v>635</v>
      </c>
      <c r="B197" s="376">
        <v>45167</v>
      </c>
      <c r="C197" s="425" t="s">
        <v>60</v>
      </c>
      <c r="D197" s="333" t="s">
        <v>598</v>
      </c>
      <c r="E197" s="333" t="s">
        <v>33</v>
      </c>
      <c r="F197" s="374" t="s">
        <v>636</v>
      </c>
      <c r="G197" s="372" t="s">
        <v>637</v>
      </c>
      <c r="H197" s="333">
        <v>1</v>
      </c>
      <c r="I197" s="333" t="s">
        <v>602</v>
      </c>
      <c r="J197" s="333" t="s">
        <v>46</v>
      </c>
      <c r="K197" s="332" t="s">
        <v>32</v>
      </c>
      <c r="L197" s="332"/>
      <c r="M197" s="333" t="s">
        <v>33</v>
      </c>
      <c r="N197" s="333"/>
      <c r="O197" s="333"/>
      <c r="P197" s="375">
        <v>45169</v>
      </c>
      <c r="Q197" s="333"/>
      <c r="R197" s="333"/>
      <c r="S197" s="373"/>
      <c r="T197" s="373"/>
      <c r="U197" s="373"/>
      <c r="V197" s="373"/>
      <c r="W197" s="346">
        <v>45188</v>
      </c>
      <c r="X197" s="373">
        <v>1</v>
      </c>
      <c r="Y197" s="336">
        <f t="shared" ca="1" si="3"/>
        <v>19</v>
      </c>
      <c r="Z197" s="373"/>
      <c r="AA197" s="336"/>
      <c r="AB197" s="373" t="s">
        <v>611</v>
      </c>
      <c r="AD197" s="338"/>
    </row>
    <row r="198" spans="1:38" ht="12.75" customHeight="1" x14ac:dyDescent="0.25">
      <c r="A198" s="347" t="s">
        <v>638</v>
      </c>
      <c r="B198" s="376">
        <v>45167</v>
      </c>
      <c r="C198" s="425" t="s">
        <v>60</v>
      </c>
      <c r="D198" s="333" t="s">
        <v>598</v>
      </c>
      <c r="E198" s="333" t="s">
        <v>33</v>
      </c>
      <c r="F198" s="374" t="s">
        <v>639</v>
      </c>
      <c r="G198" s="372" t="s">
        <v>640</v>
      </c>
      <c r="H198" s="333">
        <v>1</v>
      </c>
      <c r="I198" s="333" t="s">
        <v>602</v>
      </c>
      <c r="J198" s="333" t="s">
        <v>46</v>
      </c>
      <c r="K198" s="332" t="s">
        <v>32</v>
      </c>
      <c r="L198" s="332"/>
      <c r="M198" s="333" t="s">
        <v>33</v>
      </c>
      <c r="N198" s="333"/>
      <c r="O198" s="333"/>
      <c r="P198" s="375">
        <v>45169</v>
      </c>
      <c r="Q198" s="333"/>
      <c r="R198" s="333"/>
      <c r="S198" s="373"/>
      <c r="T198" s="373"/>
      <c r="U198" s="373"/>
      <c r="V198" s="373"/>
      <c r="W198" s="346">
        <v>45188</v>
      </c>
      <c r="X198" s="373">
        <v>1</v>
      </c>
      <c r="Y198" s="336">
        <f t="shared" ca="1" si="3"/>
        <v>19</v>
      </c>
      <c r="Z198" s="373"/>
      <c r="AA198" s="336"/>
      <c r="AB198" s="373" t="s">
        <v>611</v>
      </c>
      <c r="AD198" s="338"/>
    </row>
    <row r="199" spans="1:38" ht="12.75" customHeight="1" x14ac:dyDescent="0.25">
      <c r="A199" s="347" t="s">
        <v>641</v>
      </c>
      <c r="B199" s="376">
        <v>45314</v>
      </c>
      <c r="C199" s="425" t="s">
        <v>60</v>
      </c>
      <c r="D199" s="333" t="s">
        <v>598</v>
      </c>
      <c r="E199" s="333"/>
      <c r="F199" s="374" t="s">
        <v>642</v>
      </c>
      <c r="G199" s="372" t="s">
        <v>643</v>
      </c>
      <c r="H199" s="333">
        <v>32</v>
      </c>
      <c r="I199" s="333" t="s">
        <v>644</v>
      </c>
      <c r="J199" s="333" t="s">
        <v>46</v>
      </c>
      <c r="K199" s="332" t="s">
        <v>32</v>
      </c>
      <c r="L199" s="332"/>
      <c r="M199" s="333"/>
      <c r="N199" s="417"/>
      <c r="O199" s="417"/>
      <c r="P199" s="343">
        <v>45314</v>
      </c>
      <c r="Q199" s="333"/>
      <c r="R199" s="333"/>
      <c r="S199" s="373"/>
      <c r="T199" s="373"/>
      <c r="U199" s="373"/>
      <c r="V199" s="373"/>
      <c r="W199" s="346">
        <v>45713</v>
      </c>
      <c r="X199" s="333">
        <v>32</v>
      </c>
      <c r="Y199" s="336">
        <f t="shared" ca="1" si="3"/>
        <v>399</v>
      </c>
      <c r="Z199" s="373"/>
      <c r="AA199" s="336"/>
      <c r="AB199" s="373"/>
      <c r="AD199" s="338"/>
    </row>
    <row r="200" spans="1:38" ht="12.75" customHeight="1" x14ac:dyDescent="0.25">
      <c r="A200" s="347" t="s">
        <v>645</v>
      </c>
      <c r="B200" s="376">
        <v>45314</v>
      </c>
      <c r="C200" s="425" t="s">
        <v>60</v>
      </c>
      <c r="D200" s="333" t="s">
        <v>598</v>
      </c>
      <c r="E200" s="333"/>
      <c r="F200" s="374" t="s">
        <v>646</v>
      </c>
      <c r="G200" s="372" t="s">
        <v>647</v>
      </c>
      <c r="H200" s="333">
        <v>16</v>
      </c>
      <c r="I200" s="333" t="s">
        <v>644</v>
      </c>
      <c r="J200" s="333" t="s">
        <v>46</v>
      </c>
      <c r="K200" s="332" t="s">
        <v>32</v>
      </c>
      <c r="L200" s="332"/>
      <c r="M200" s="333"/>
      <c r="N200" s="417"/>
      <c r="O200" s="417"/>
      <c r="P200" s="343">
        <v>45314</v>
      </c>
      <c r="Q200" s="333"/>
      <c r="R200" s="333"/>
      <c r="S200" s="373"/>
      <c r="T200" s="373"/>
      <c r="U200" s="373"/>
      <c r="V200" s="373"/>
      <c r="W200" s="346">
        <v>45446</v>
      </c>
      <c r="X200" s="333">
        <v>16</v>
      </c>
      <c r="Y200" s="336">
        <f t="shared" ca="1" si="3"/>
        <v>132</v>
      </c>
      <c r="Z200" s="373"/>
      <c r="AA200" s="336"/>
      <c r="AB200" s="373"/>
      <c r="AD200" s="338"/>
    </row>
    <row r="201" spans="1:38" ht="12.75" customHeight="1" x14ac:dyDescent="0.25">
      <c r="A201" s="347" t="s">
        <v>648</v>
      </c>
      <c r="B201" s="376">
        <v>45314</v>
      </c>
      <c r="C201" s="425" t="s">
        <v>60</v>
      </c>
      <c r="D201" s="333" t="s">
        <v>598</v>
      </c>
      <c r="E201" s="333"/>
      <c r="F201" s="374" t="s">
        <v>649</v>
      </c>
      <c r="G201" s="372" t="s">
        <v>650</v>
      </c>
      <c r="H201" s="333">
        <v>16</v>
      </c>
      <c r="I201" s="333" t="s">
        <v>644</v>
      </c>
      <c r="J201" s="333" t="s">
        <v>46</v>
      </c>
      <c r="K201" s="332" t="s">
        <v>32</v>
      </c>
      <c r="L201" s="332"/>
      <c r="M201" s="333"/>
      <c r="N201" s="417"/>
      <c r="O201" s="417"/>
      <c r="P201" s="343">
        <v>45314</v>
      </c>
      <c r="Q201" s="333"/>
      <c r="R201" s="333"/>
      <c r="S201" s="373"/>
      <c r="T201" s="373"/>
      <c r="U201" s="373"/>
      <c r="V201" s="373"/>
      <c r="W201" s="346">
        <v>45446</v>
      </c>
      <c r="X201" s="333">
        <v>16</v>
      </c>
      <c r="Y201" s="336">
        <f t="shared" ca="1" si="3"/>
        <v>132</v>
      </c>
      <c r="Z201" s="373"/>
      <c r="AA201" s="336"/>
      <c r="AB201" s="373"/>
      <c r="AD201" s="338"/>
    </row>
    <row r="202" spans="1:38" ht="12.75" customHeight="1" x14ac:dyDescent="0.25">
      <c r="A202" s="347" t="s">
        <v>651</v>
      </c>
      <c r="B202" s="376">
        <v>45314</v>
      </c>
      <c r="C202" s="425" t="s">
        <v>60</v>
      </c>
      <c r="D202" s="333" t="s">
        <v>598</v>
      </c>
      <c r="E202" s="333"/>
      <c r="F202" s="374" t="s">
        <v>652</v>
      </c>
      <c r="G202" s="372" t="s">
        <v>653</v>
      </c>
      <c r="H202" s="333">
        <v>16</v>
      </c>
      <c r="I202" s="333" t="s">
        <v>644</v>
      </c>
      <c r="J202" s="333" t="s">
        <v>46</v>
      </c>
      <c r="K202" s="332" t="s">
        <v>32</v>
      </c>
      <c r="L202" s="332"/>
      <c r="M202" s="333"/>
      <c r="N202" s="417"/>
      <c r="O202" s="417"/>
      <c r="P202" s="343">
        <v>45314</v>
      </c>
      <c r="Q202" s="333"/>
      <c r="R202" s="333"/>
      <c r="S202" s="373"/>
      <c r="T202" s="373"/>
      <c r="U202" s="373"/>
      <c r="V202" s="373"/>
      <c r="W202" s="346">
        <v>45446</v>
      </c>
      <c r="X202" s="333">
        <v>16</v>
      </c>
      <c r="Y202" s="336">
        <f t="shared" ca="1" si="3"/>
        <v>132</v>
      </c>
      <c r="Z202" s="373"/>
      <c r="AA202" s="336"/>
      <c r="AB202" s="373"/>
      <c r="AD202" s="338"/>
    </row>
    <row r="203" spans="1:38" ht="12.75" customHeight="1" x14ac:dyDescent="0.25">
      <c r="A203" s="347" t="s">
        <v>654</v>
      </c>
      <c r="B203" s="376">
        <v>45314</v>
      </c>
      <c r="C203" s="425" t="s">
        <v>60</v>
      </c>
      <c r="D203" s="333" t="s">
        <v>598</v>
      </c>
      <c r="E203" s="333"/>
      <c r="F203" s="374" t="s">
        <v>655</v>
      </c>
      <c r="G203" s="372" t="s">
        <v>656</v>
      </c>
      <c r="H203" s="333">
        <v>16</v>
      </c>
      <c r="I203" s="333" t="s">
        <v>644</v>
      </c>
      <c r="J203" s="333" t="s">
        <v>46</v>
      </c>
      <c r="K203" s="332" t="s">
        <v>32</v>
      </c>
      <c r="L203" s="332"/>
      <c r="M203" s="333"/>
      <c r="N203" s="417"/>
      <c r="O203" s="417"/>
      <c r="P203" s="343">
        <v>45314</v>
      </c>
      <c r="Q203" s="333"/>
      <c r="R203" s="333"/>
      <c r="S203" s="373"/>
      <c r="T203" s="373"/>
      <c r="U203" s="373"/>
      <c r="V203" s="373"/>
      <c r="W203" s="346">
        <v>45314</v>
      </c>
      <c r="X203" s="333">
        <v>16</v>
      </c>
      <c r="Y203" s="336">
        <f t="shared" ca="1" si="3"/>
        <v>0</v>
      </c>
      <c r="Z203" s="373"/>
      <c r="AA203" s="336"/>
      <c r="AB203" s="373"/>
      <c r="AD203" s="338"/>
    </row>
    <row r="204" spans="1:38" ht="12.75" customHeight="1" x14ac:dyDescent="0.25">
      <c r="A204" s="347" t="s">
        <v>657</v>
      </c>
      <c r="B204" s="376">
        <v>45314</v>
      </c>
      <c r="C204" s="425" t="s">
        <v>60</v>
      </c>
      <c r="D204" s="333" t="s">
        <v>598</v>
      </c>
      <c r="E204" s="333"/>
      <c r="F204" s="374" t="s">
        <v>613</v>
      </c>
      <c r="G204" s="372" t="s">
        <v>658</v>
      </c>
      <c r="H204" s="333">
        <v>3</v>
      </c>
      <c r="I204" s="333" t="s">
        <v>644</v>
      </c>
      <c r="J204" s="333" t="s">
        <v>43</v>
      </c>
      <c r="K204" s="332" t="s">
        <v>32</v>
      </c>
      <c r="L204" s="332"/>
      <c r="M204" s="333"/>
      <c r="N204" s="417"/>
      <c r="O204" s="417"/>
      <c r="P204" s="343">
        <v>45314</v>
      </c>
      <c r="Q204" s="333"/>
      <c r="R204" s="333"/>
      <c r="S204" s="373"/>
      <c r="T204" s="373"/>
      <c r="U204" s="373"/>
      <c r="V204" s="373"/>
      <c r="W204" s="346">
        <v>45446</v>
      </c>
      <c r="X204" s="333">
        <v>3</v>
      </c>
      <c r="Y204" s="336">
        <f t="shared" ca="1" si="3"/>
        <v>132</v>
      </c>
      <c r="Z204" s="373"/>
      <c r="AA204" s="336"/>
      <c r="AB204" s="373"/>
      <c r="AD204" s="338"/>
    </row>
    <row r="205" spans="1:38" ht="12.75" customHeight="1" x14ac:dyDescent="0.25">
      <c r="A205" s="347" t="s">
        <v>659</v>
      </c>
      <c r="B205" s="376">
        <v>45314</v>
      </c>
      <c r="C205" s="425" t="s">
        <v>60</v>
      </c>
      <c r="D205" s="364" t="s">
        <v>598</v>
      </c>
      <c r="E205" s="333"/>
      <c r="F205" s="374" t="s">
        <v>660</v>
      </c>
      <c r="G205" s="372" t="s">
        <v>661</v>
      </c>
      <c r="H205" s="333">
        <v>3</v>
      </c>
      <c r="I205" s="333" t="s">
        <v>644</v>
      </c>
      <c r="J205" s="333" t="s">
        <v>43</v>
      </c>
      <c r="K205" s="332" t="s">
        <v>32</v>
      </c>
      <c r="L205" s="332"/>
      <c r="M205" s="333"/>
      <c r="N205" s="417"/>
      <c r="O205" s="417"/>
      <c r="P205" s="343">
        <v>45314</v>
      </c>
      <c r="Q205" s="333"/>
      <c r="R205" s="333"/>
      <c r="S205" s="373"/>
      <c r="T205" s="373"/>
      <c r="U205" s="373"/>
      <c r="V205" s="373"/>
      <c r="W205" s="346">
        <v>45391</v>
      </c>
      <c r="X205" s="333">
        <v>3</v>
      </c>
      <c r="Y205" s="336">
        <f t="shared" ca="1" si="3"/>
        <v>77</v>
      </c>
      <c r="Z205" s="373"/>
      <c r="AA205" s="336"/>
      <c r="AB205" s="373"/>
      <c r="AD205" s="338"/>
    </row>
    <row r="206" spans="1:38" ht="12.75" customHeight="1" x14ac:dyDescent="0.25">
      <c r="A206" s="347" t="s">
        <v>662</v>
      </c>
      <c r="B206" s="376">
        <v>45167</v>
      </c>
      <c r="C206" s="426" t="s">
        <v>35</v>
      </c>
      <c r="D206" s="364" t="s">
        <v>71</v>
      </c>
      <c r="E206" s="364">
        <v>7740283</v>
      </c>
      <c r="F206" s="365" t="s">
        <v>663</v>
      </c>
      <c r="G206" s="366" t="s">
        <v>664</v>
      </c>
      <c r="H206" s="364">
        <v>1</v>
      </c>
      <c r="I206" s="364" t="s">
        <v>665</v>
      </c>
      <c r="J206" s="364" t="s">
        <v>68</v>
      </c>
      <c r="K206" s="368" t="s">
        <v>69</v>
      </c>
      <c r="L206" s="332"/>
      <c r="M206" s="333"/>
      <c r="N206" s="333"/>
      <c r="O206" s="333"/>
      <c r="P206" s="344">
        <v>45167</v>
      </c>
      <c r="Q206" s="364"/>
      <c r="R206" s="364"/>
      <c r="S206" s="369"/>
      <c r="T206" s="369"/>
      <c r="U206" s="369"/>
      <c r="V206" s="369"/>
      <c r="W206" s="370">
        <v>45347</v>
      </c>
      <c r="X206" s="333">
        <v>16</v>
      </c>
      <c r="Y206" s="336">
        <f t="shared" ca="1" si="3"/>
        <v>180</v>
      </c>
      <c r="Z206" s="369"/>
      <c r="AA206" s="336"/>
      <c r="AB206" s="369"/>
      <c r="AD206" s="338"/>
    </row>
    <row r="207" spans="1:38" ht="12.75" customHeight="1" x14ac:dyDescent="0.25">
      <c r="A207" s="347" t="s">
        <v>666</v>
      </c>
      <c r="B207" s="376">
        <v>45167</v>
      </c>
      <c r="C207" s="426" t="s">
        <v>35</v>
      </c>
      <c r="D207" s="333" t="s">
        <v>71</v>
      </c>
      <c r="E207" s="333" t="s">
        <v>33</v>
      </c>
      <c r="F207" s="374" t="s">
        <v>667</v>
      </c>
      <c r="G207" s="372" t="s">
        <v>668</v>
      </c>
      <c r="H207" s="333">
        <v>1</v>
      </c>
      <c r="I207" s="333" t="s">
        <v>669</v>
      </c>
      <c r="J207" s="333" t="s">
        <v>31</v>
      </c>
      <c r="K207" s="332" t="s">
        <v>32</v>
      </c>
      <c r="L207" s="332"/>
      <c r="M207" s="333" t="s">
        <v>33</v>
      </c>
      <c r="N207" s="333"/>
      <c r="O207" s="333"/>
      <c r="P207" s="344">
        <v>45167</v>
      </c>
      <c r="Q207" s="333"/>
      <c r="R207" s="333"/>
      <c r="S207" s="373"/>
      <c r="T207" s="373"/>
      <c r="U207" s="373"/>
      <c r="V207" s="373"/>
      <c r="W207" s="342">
        <v>45397</v>
      </c>
      <c r="X207" s="333">
        <v>1</v>
      </c>
      <c r="Y207" s="336">
        <f t="shared" ca="1" si="3"/>
        <v>230</v>
      </c>
      <c r="Z207" s="373"/>
      <c r="AA207" s="336"/>
      <c r="AB207" s="373"/>
      <c r="AD207" s="338"/>
      <c r="AK207" s="664" t="s">
        <v>670</v>
      </c>
      <c r="AL207" s="664"/>
    </row>
    <row r="208" spans="1:38" ht="12.75" customHeight="1" x14ac:dyDescent="0.25">
      <c r="A208" s="347" t="s">
        <v>671</v>
      </c>
      <c r="B208" s="376">
        <v>45167</v>
      </c>
      <c r="C208" s="426" t="s">
        <v>35</v>
      </c>
      <c r="D208" s="333" t="s">
        <v>71</v>
      </c>
      <c r="E208" s="333" t="s">
        <v>33</v>
      </c>
      <c r="F208" s="374" t="s">
        <v>672</v>
      </c>
      <c r="G208" s="372" t="s">
        <v>544</v>
      </c>
      <c r="H208" s="333">
        <v>5</v>
      </c>
      <c r="I208" s="333" t="s">
        <v>673</v>
      </c>
      <c r="J208" s="333" t="s">
        <v>46</v>
      </c>
      <c r="K208" s="332" t="s">
        <v>32</v>
      </c>
      <c r="L208" s="332"/>
      <c r="M208" s="333" t="s">
        <v>33</v>
      </c>
      <c r="N208" s="333"/>
      <c r="O208" s="333"/>
      <c r="P208" s="344">
        <v>45167</v>
      </c>
      <c r="Q208" s="333"/>
      <c r="R208" s="333"/>
      <c r="S208" s="373"/>
      <c r="T208" s="373"/>
      <c r="U208" s="373"/>
      <c r="V208" s="373"/>
      <c r="W208" s="346">
        <v>45335</v>
      </c>
      <c r="X208" s="333">
        <v>1</v>
      </c>
      <c r="Y208" s="336">
        <f t="shared" ca="1" si="3"/>
        <v>168</v>
      </c>
      <c r="Z208" s="373"/>
      <c r="AA208" s="336"/>
      <c r="AB208" s="373"/>
      <c r="AD208" s="338"/>
      <c r="AK208" s="373" t="s">
        <v>2</v>
      </c>
      <c r="AL208" s="373" t="s">
        <v>3</v>
      </c>
    </row>
    <row r="209" spans="1:38" ht="12.75" customHeight="1" x14ac:dyDescent="0.25">
      <c r="A209" s="347" t="s">
        <v>674</v>
      </c>
      <c r="B209" s="376">
        <v>45167</v>
      </c>
      <c r="C209" s="426" t="s">
        <v>35</v>
      </c>
      <c r="D209" s="333" t="s">
        <v>71</v>
      </c>
      <c r="E209" s="333" t="s">
        <v>33</v>
      </c>
      <c r="F209" s="374" t="s">
        <v>675</v>
      </c>
      <c r="G209" s="372" t="s">
        <v>676</v>
      </c>
      <c r="H209" s="333">
        <v>2</v>
      </c>
      <c r="I209" s="333" t="s">
        <v>677</v>
      </c>
      <c r="J209" s="333" t="s">
        <v>68</v>
      </c>
      <c r="K209" s="332" t="s">
        <v>32</v>
      </c>
      <c r="L209" s="332"/>
      <c r="M209" s="333"/>
      <c r="N209" s="333"/>
      <c r="O209" s="333"/>
      <c r="P209" s="344">
        <v>45167</v>
      </c>
      <c r="Q209" s="333"/>
      <c r="R209" s="333"/>
      <c r="S209" s="373"/>
      <c r="T209" s="373"/>
      <c r="U209" s="373"/>
      <c r="V209" s="373"/>
      <c r="W209" s="346">
        <v>45322</v>
      </c>
      <c r="X209" s="373"/>
      <c r="Y209" s="336">
        <f t="shared" ca="1" si="3"/>
        <v>155</v>
      </c>
      <c r="Z209" s="373"/>
      <c r="AA209" s="336"/>
      <c r="AB209" s="373"/>
      <c r="AD209" s="338"/>
      <c r="AK209" s="665" t="s">
        <v>678</v>
      </c>
      <c r="AL209" s="373">
        <v>1689</v>
      </c>
    </row>
    <row r="210" spans="1:38" ht="12.75" customHeight="1" x14ac:dyDescent="0.25">
      <c r="A210" s="347" t="s">
        <v>679</v>
      </c>
      <c r="B210" s="376">
        <v>45167</v>
      </c>
      <c r="C210" s="426" t="s">
        <v>35</v>
      </c>
      <c r="D210" s="333" t="s">
        <v>71</v>
      </c>
      <c r="E210" s="333" t="s">
        <v>33</v>
      </c>
      <c r="F210" s="374">
        <v>3781400180</v>
      </c>
      <c r="G210" s="372" t="s">
        <v>680</v>
      </c>
      <c r="H210" s="333">
        <v>1</v>
      </c>
      <c r="I210" s="333" t="s">
        <v>229</v>
      </c>
      <c r="J210" s="333" t="s">
        <v>102</v>
      </c>
      <c r="K210" s="332" t="s">
        <v>69</v>
      </c>
      <c r="L210" s="332"/>
      <c r="M210" s="333" t="s">
        <v>681</v>
      </c>
      <c r="N210" s="333"/>
      <c r="O210" s="333"/>
      <c r="P210" s="375">
        <v>45147</v>
      </c>
      <c r="Q210" s="333"/>
      <c r="R210" s="333"/>
      <c r="S210" s="373"/>
      <c r="T210" s="373"/>
      <c r="U210" s="373"/>
      <c r="V210" s="373"/>
      <c r="W210" s="346"/>
      <c r="X210" s="373"/>
      <c r="Y210" s="336">
        <f t="shared" ca="1" si="3"/>
        <v>439</v>
      </c>
      <c r="Z210" s="373"/>
      <c r="AA210" s="336"/>
      <c r="AB210" s="373"/>
      <c r="AD210" s="338"/>
      <c r="AK210" s="666"/>
      <c r="AL210" s="373">
        <v>1680</v>
      </c>
    </row>
    <row r="211" spans="1:38" ht="12.75" customHeight="1" x14ac:dyDescent="0.25">
      <c r="A211" s="347" t="s">
        <v>682</v>
      </c>
      <c r="B211" s="376">
        <v>45139</v>
      </c>
      <c r="C211" s="426" t="s">
        <v>219</v>
      </c>
      <c r="D211" s="333" t="s">
        <v>220</v>
      </c>
      <c r="E211" s="333" t="s">
        <v>33</v>
      </c>
      <c r="F211" s="374">
        <v>3541001620</v>
      </c>
      <c r="G211" s="372" t="s">
        <v>683</v>
      </c>
      <c r="H211" s="333">
        <v>2</v>
      </c>
      <c r="I211" s="333" t="s">
        <v>229</v>
      </c>
      <c r="J211" s="333" t="s">
        <v>102</v>
      </c>
      <c r="K211" s="332" t="s">
        <v>69</v>
      </c>
      <c r="L211" s="332"/>
      <c r="M211" s="333" t="s">
        <v>681</v>
      </c>
      <c r="N211" s="333"/>
      <c r="O211" s="333"/>
      <c r="P211" s="375">
        <v>45159</v>
      </c>
      <c r="Q211" s="333"/>
      <c r="R211" s="333"/>
      <c r="S211" s="373"/>
      <c r="T211" s="373"/>
      <c r="U211" s="373"/>
      <c r="V211" s="373"/>
      <c r="W211" s="346">
        <v>45252</v>
      </c>
      <c r="X211" s="373">
        <v>1</v>
      </c>
      <c r="Y211" s="336">
        <f t="shared" ca="1" si="3"/>
        <v>93</v>
      </c>
      <c r="Z211" s="373"/>
      <c r="AA211" s="336"/>
      <c r="AB211" s="373"/>
      <c r="AD211" s="338"/>
    </row>
    <row r="212" spans="1:38" ht="12.75" customHeight="1" x14ac:dyDescent="0.25">
      <c r="A212" s="347" t="s">
        <v>684</v>
      </c>
      <c r="B212" s="376">
        <v>45139</v>
      </c>
      <c r="C212" s="426" t="s">
        <v>219</v>
      </c>
      <c r="D212" s="333" t="s">
        <v>220</v>
      </c>
      <c r="E212" s="333" t="s">
        <v>33</v>
      </c>
      <c r="F212" s="374">
        <v>3541000700</v>
      </c>
      <c r="G212" s="372" t="s">
        <v>685</v>
      </c>
      <c r="H212" s="333">
        <v>1</v>
      </c>
      <c r="I212" s="333" t="s">
        <v>229</v>
      </c>
      <c r="J212" s="333" t="s">
        <v>102</v>
      </c>
      <c r="K212" s="332" t="s">
        <v>69</v>
      </c>
      <c r="L212" s="332"/>
      <c r="M212" s="333" t="s">
        <v>681</v>
      </c>
      <c r="N212" s="333"/>
      <c r="O212" s="333"/>
      <c r="P212" s="375">
        <v>45159</v>
      </c>
      <c r="Q212" s="333"/>
      <c r="R212" s="333"/>
      <c r="S212" s="373"/>
      <c r="T212" s="373"/>
      <c r="U212" s="373"/>
      <c r="V212" s="373"/>
      <c r="W212" s="346"/>
      <c r="X212" s="373"/>
      <c r="Y212" s="336">
        <f t="shared" ca="1" si="3"/>
        <v>427</v>
      </c>
      <c r="Z212" s="373"/>
      <c r="AA212" s="336"/>
      <c r="AB212" s="373"/>
      <c r="AD212" s="338"/>
    </row>
    <row r="213" spans="1:38" ht="12.75" customHeight="1" x14ac:dyDescent="0.25">
      <c r="A213" s="347" t="s">
        <v>686</v>
      </c>
      <c r="B213" s="376">
        <v>45139</v>
      </c>
      <c r="C213" s="426" t="s">
        <v>219</v>
      </c>
      <c r="D213" s="333" t="s">
        <v>220</v>
      </c>
      <c r="E213" s="333" t="s">
        <v>33</v>
      </c>
      <c r="F213" s="374">
        <v>3414204430</v>
      </c>
      <c r="G213" s="372" t="s">
        <v>687</v>
      </c>
      <c r="H213" s="333">
        <v>1</v>
      </c>
      <c r="I213" s="333" t="s">
        <v>229</v>
      </c>
      <c r="J213" s="333" t="s">
        <v>102</v>
      </c>
      <c r="K213" s="332" t="s">
        <v>69</v>
      </c>
      <c r="L213" s="332"/>
      <c r="M213" s="333" t="s">
        <v>681</v>
      </c>
      <c r="N213" s="333"/>
      <c r="O213" s="333"/>
      <c r="P213" s="375">
        <v>45159</v>
      </c>
      <c r="Q213" s="333"/>
      <c r="R213" s="333"/>
      <c r="S213" s="373"/>
      <c r="T213" s="373"/>
      <c r="U213" s="373"/>
      <c r="V213" s="373"/>
      <c r="W213" s="346"/>
      <c r="X213" s="373"/>
      <c r="Y213" s="336">
        <f t="shared" ca="1" si="3"/>
        <v>427</v>
      </c>
      <c r="Z213" s="373"/>
      <c r="AA213" s="336"/>
      <c r="AB213" s="373"/>
      <c r="AD213" s="338"/>
    </row>
    <row r="214" spans="1:38" ht="12.75" customHeight="1" x14ac:dyDescent="0.25">
      <c r="A214" s="347" t="s">
        <v>688</v>
      </c>
      <c r="B214" s="376">
        <v>45139</v>
      </c>
      <c r="C214" s="426" t="s">
        <v>219</v>
      </c>
      <c r="D214" s="333" t="s">
        <v>220</v>
      </c>
      <c r="E214" s="333" t="s">
        <v>33</v>
      </c>
      <c r="F214" s="374">
        <v>3785900090</v>
      </c>
      <c r="G214" s="372" t="s">
        <v>689</v>
      </c>
      <c r="H214" s="333">
        <v>1</v>
      </c>
      <c r="I214" s="333" t="s">
        <v>229</v>
      </c>
      <c r="J214" s="333" t="s">
        <v>102</v>
      </c>
      <c r="K214" s="332" t="s">
        <v>69</v>
      </c>
      <c r="L214" s="332"/>
      <c r="M214" s="333" t="s">
        <v>681</v>
      </c>
      <c r="N214" s="333"/>
      <c r="O214" s="333"/>
      <c r="P214" s="375">
        <v>45159</v>
      </c>
      <c r="Q214" s="333"/>
      <c r="R214" s="333"/>
      <c r="S214" s="373"/>
      <c r="T214" s="373"/>
      <c r="U214" s="373"/>
      <c r="V214" s="373"/>
      <c r="W214" s="346"/>
      <c r="X214" s="373"/>
      <c r="Y214" s="336">
        <f t="shared" ca="1" si="3"/>
        <v>427</v>
      </c>
      <c r="Z214" s="373"/>
      <c r="AA214" s="336"/>
      <c r="AB214" s="373"/>
      <c r="AD214" s="338"/>
    </row>
    <row r="215" spans="1:38" ht="12.75" customHeight="1" x14ac:dyDescent="0.25">
      <c r="A215" s="347" t="s">
        <v>690</v>
      </c>
      <c r="B215" s="376">
        <v>45139</v>
      </c>
      <c r="C215" s="426" t="s">
        <v>219</v>
      </c>
      <c r="D215" s="333" t="s">
        <v>220</v>
      </c>
      <c r="E215" s="333" t="s">
        <v>33</v>
      </c>
      <c r="F215" s="374">
        <v>3454601710</v>
      </c>
      <c r="G215" s="372" t="s">
        <v>691</v>
      </c>
      <c r="H215" s="333">
        <v>1</v>
      </c>
      <c r="I215" s="333" t="s">
        <v>229</v>
      </c>
      <c r="J215" s="333" t="s">
        <v>102</v>
      </c>
      <c r="K215" s="332" t="s">
        <v>69</v>
      </c>
      <c r="L215" s="332"/>
      <c r="M215" s="333" t="s">
        <v>681</v>
      </c>
      <c r="N215" s="333"/>
      <c r="O215" s="333"/>
      <c r="P215" s="375">
        <v>45159</v>
      </c>
      <c r="Q215" s="333"/>
      <c r="R215" s="333"/>
      <c r="S215" s="373"/>
      <c r="T215" s="373"/>
      <c r="U215" s="373"/>
      <c r="V215" s="373"/>
      <c r="W215" s="346">
        <v>45303</v>
      </c>
      <c r="X215" s="373"/>
      <c r="Y215" s="336">
        <f t="shared" ca="1" si="3"/>
        <v>144</v>
      </c>
      <c r="Z215" s="373"/>
      <c r="AA215" s="336"/>
      <c r="AB215" s="373"/>
      <c r="AD215" s="338"/>
    </row>
    <row r="216" spans="1:38" ht="12.75" customHeight="1" x14ac:dyDescent="0.25">
      <c r="A216" s="347" t="s">
        <v>692</v>
      </c>
      <c r="B216" s="376">
        <v>45139</v>
      </c>
      <c r="C216" s="426" t="s">
        <v>219</v>
      </c>
      <c r="D216" s="333" t="s">
        <v>220</v>
      </c>
      <c r="E216" s="333" t="s">
        <v>33</v>
      </c>
      <c r="F216" s="365">
        <v>3425009570</v>
      </c>
      <c r="G216" s="366" t="s">
        <v>693</v>
      </c>
      <c r="H216" s="364">
        <v>1</v>
      </c>
      <c r="I216" s="333" t="s">
        <v>229</v>
      </c>
      <c r="J216" s="333" t="s">
        <v>102</v>
      </c>
      <c r="K216" s="332" t="s">
        <v>69</v>
      </c>
      <c r="L216" s="332"/>
      <c r="M216" s="333" t="s">
        <v>681</v>
      </c>
      <c r="N216" s="333"/>
      <c r="O216" s="333"/>
      <c r="P216" s="375">
        <v>45159</v>
      </c>
      <c r="Q216" s="364"/>
      <c r="R216" s="364"/>
      <c r="S216" s="369"/>
      <c r="T216" s="369"/>
      <c r="U216" s="369"/>
      <c r="V216" s="369"/>
      <c r="W216" s="370"/>
      <c r="X216" s="369"/>
      <c r="Y216" s="336">
        <f t="shared" ca="1" si="3"/>
        <v>427</v>
      </c>
      <c r="Z216" s="369"/>
      <c r="AA216" s="336"/>
      <c r="AB216" s="369"/>
      <c r="AD216" s="338"/>
    </row>
    <row r="217" spans="1:38" ht="12.75" customHeight="1" x14ac:dyDescent="0.25">
      <c r="A217" s="347" t="s">
        <v>694</v>
      </c>
      <c r="B217" s="376">
        <v>45139</v>
      </c>
      <c r="C217" s="426" t="s">
        <v>219</v>
      </c>
      <c r="D217" s="333" t="s">
        <v>220</v>
      </c>
      <c r="E217" s="333" t="s">
        <v>33</v>
      </c>
      <c r="F217" s="374">
        <v>3761001140</v>
      </c>
      <c r="G217" s="372" t="s">
        <v>695</v>
      </c>
      <c r="H217" s="333">
        <v>3</v>
      </c>
      <c r="I217" s="333" t="s">
        <v>229</v>
      </c>
      <c r="J217" s="333" t="s">
        <v>102</v>
      </c>
      <c r="K217" s="332" t="s">
        <v>69</v>
      </c>
      <c r="L217" s="332"/>
      <c r="M217" s="333" t="s">
        <v>681</v>
      </c>
      <c r="N217" s="333"/>
      <c r="O217" s="333"/>
      <c r="P217" s="375">
        <v>45159</v>
      </c>
      <c r="Q217" s="333"/>
      <c r="R217" s="333"/>
      <c r="S217" s="373"/>
      <c r="T217" s="373"/>
      <c r="U217" s="373"/>
      <c r="V217" s="373"/>
      <c r="W217" s="346"/>
      <c r="X217" s="373"/>
      <c r="Y217" s="336">
        <f t="shared" ca="1" si="3"/>
        <v>427</v>
      </c>
      <c r="Z217" s="373"/>
      <c r="AA217" s="336"/>
      <c r="AB217" s="373"/>
      <c r="AD217" s="338"/>
    </row>
    <row r="218" spans="1:38" ht="12.75" customHeight="1" x14ac:dyDescent="0.25">
      <c r="A218" s="347" t="s">
        <v>696</v>
      </c>
      <c r="B218" s="376">
        <v>45139</v>
      </c>
      <c r="C218" s="426" t="s">
        <v>219</v>
      </c>
      <c r="D218" s="333" t="s">
        <v>220</v>
      </c>
      <c r="E218" s="333" t="s">
        <v>33</v>
      </c>
      <c r="F218" s="374">
        <v>3761001140</v>
      </c>
      <c r="G218" s="372" t="s">
        <v>697</v>
      </c>
      <c r="H218" s="333">
        <v>1</v>
      </c>
      <c r="I218" s="333" t="s">
        <v>229</v>
      </c>
      <c r="J218" s="333" t="s">
        <v>102</v>
      </c>
      <c r="K218" s="332" t="s">
        <v>69</v>
      </c>
      <c r="L218" s="332"/>
      <c r="M218" s="333" t="s">
        <v>681</v>
      </c>
      <c r="N218" s="333"/>
      <c r="O218" s="333"/>
      <c r="P218" s="375">
        <v>45159</v>
      </c>
      <c r="Q218" s="333"/>
      <c r="R218" s="333"/>
      <c r="S218" s="373"/>
      <c r="T218" s="373"/>
      <c r="U218" s="373"/>
      <c r="V218" s="373"/>
      <c r="W218" s="346"/>
      <c r="X218" s="373"/>
      <c r="Y218" s="336">
        <f t="shared" ca="1" si="3"/>
        <v>427</v>
      </c>
      <c r="Z218" s="373"/>
      <c r="AA218" s="336"/>
      <c r="AB218" s="373"/>
      <c r="AD218" s="338"/>
    </row>
    <row r="219" spans="1:38" ht="12.75" customHeight="1" x14ac:dyDescent="0.25">
      <c r="A219" s="347" t="s">
        <v>698</v>
      </c>
      <c r="B219" s="376">
        <v>45139</v>
      </c>
      <c r="C219" s="426" t="s">
        <v>219</v>
      </c>
      <c r="D219" s="333" t="s">
        <v>220</v>
      </c>
      <c r="E219" s="333" t="s">
        <v>33</v>
      </c>
      <c r="F219" s="427">
        <v>6781402408</v>
      </c>
      <c r="G219" s="428" t="s">
        <v>699</v>
      </c>
      <c r="H219" s="415">
        <v>5</v>
      </c>
      <c r="I219" s="333" t="s">
        <v>229</v>
      </c>
      <c r="J219" s="333" t="s">
        <v>102</v>
      </c>
      <c r="K219" s="332" t="s">
        <v>69</v>
      </c>
      <c r="L219" s="332"/>
      <c r="M219" s="333" t="s">
        <v>681</v>
      </c>
      <c r="N219" s="333"/>
      <c r="O219" s="333"/>
      <c r="P219" s="375">
        <v>45159</v>
      </c>
      <c r="S219" s="424"/>
      <c r="T219" s="424"/>
      <c r="U219" s="424"/>
      <c r="V219" s="424"/>
      <c r="W219" s="430"/>
      <c r="X219" s="424"/>
      <c r="Y219" s="336">
        <f t="shared" ca="1" si="3"/>
        <v>427</v>
      </c>
      <c r="Z219" s="424"/>
      <c r="AA219" s="336"/>
      <c r="AB219" s="424"/>
      <c r="AD219" s="338"/>
    </row>
    <row r="220" spans="1:38" ht="12.75" customHeight="1" x14ac:dyDescent="0.25">
      <c r="A220" s="347" t="s">
        <v>700</v>
      </c>
      <c r="B220" s="376">
        <v>45139</v>
      </c>
      <c r="C220" s="426" t="s">
        <v>219</v>
      </c>
      <c r="D220" s="333" t="s">
        <v>220</v>
      </c>
      <c r="E220" s="333" t="s">
        <v>33</v>
      </c>
      <c r="F220" s="374" t="s">
        <v>701</v>
      </c>
      <c r="G220" s="372" t="s">
        <v>702</v>
      </c>
      <c r="H220" s="333">
        <v>1</v>
      </c>
      <c r="I220" s="333" t="s">
        <v>229</v>
      </c>
      <c r="J220" s="333" t="s">
        <v>102</v>
      </c>
      <c r="K220" s="332" t="s">
        <v>69</v>
      </c>
      <c r="L220" s="332"/>
      <c r="M220" s="333" t="s">
        <v>681</v>
      </c>
      <c r="N220" s="333"/>
      <c r="O220" s="333"/>
      <c r="P220" s="375">
        <v>45159</v>
      </c>
      <c r="S220" s="373"/>
      <c r="T220" s="373"/>
      <c r="U220" s="373"/>
      <c r="V220" s="373"/>
      <c r="W220" s="346">
        <v>45217</v>
      </c>
      <c r="X220" s="373">
        <v>3</v>
      </c>
      <c r="Y220" s="336">
        <f t="shared" ca="1" si="3"/>
        <v>58</v>
      </c>
      <c r="Z220" s="373"/>
      <c r="AA220" s="336"/>
      <c r="AB220" s="373"/>
      <c r="AD220" s="338"/>
    </row>
    <row r="221" spans="1:38" ht="12.75" customHeight="1" x14ac:dyDescent="0.25">
      <c r="A221" s="347" t="s">
        <v>703</v>
      </c>
      <c r="B221" s="377">
        <v>45139</v>
      </c>
      <c r="C221" s="431" t="s">
        <v>219</v>
      </c>
      <c r="D221" s="379" t="s">
        <v>220</v>
      </c>
      <c r="E221" s="379" t="s">
        <v>33</v>
      </c>
      <c r="F221" s="380">
        <v>3712502040</v>
      </c>
      <c r="G221" s="381" t="s">
        <v>704</v>
      </c>
      <c r="H221" s="379">
        <v>3</v>
      </c>
      <c r="I221" s="379" t="s">
        <v>229</v>
      </c>
      <c r="J221" s="379" t="s">
        <v>102</v>
      </c>
      <c r="K221" s="382" t="s">
        <v>69</v>
      </c>
      <c r="L221" s="382"/>
      <c r="M221" s="379" t="s">
        <v>681</v>
      </c>
      <c r="N221" s="379"/>
      <c r="O221" s="379"/>
      <c r="P221" s="432">
        <v>45159</v>
      </c>
      <c r="Q221" s="433"/>
      <c r="R221" s="433"/>
      <c r="S221" s="385"/>
      <c r="T221" s="385"/>
      <c r="U221" s="385"/>
      <c r="V221" s="385"/>
      <c r="W221" s="346">
        <v>45252</v>
      </c>
      <c r="X221" s="385">
        <f>1+1</f>
        <v>2</v>
      </c>
      <c r="Y221" s="336">
        <f t="shared" ca="1" si="3"/>
        <v>93</v>
      </c>
      <c r="Z221" s="385"/>
      <c r="AA221" s="386"/>
      <c r="AB221" s="385" t="s">
        <v>705</v>
      </c>
      <c r="AD221" s="338"/>
    </row>
    <row r="222" spans="1:38" ht="12.75" customHeight="1" x14ac:dyDescent="0.25">
      <c r="A222" s="347" t="s">
        <v>706</v>
      </c>
      <c r="B222" s="376">
        <v>45139</v>
      </c>
      <c r="C222" s="426" t="s">
        <v>219</v>
      </c>
      <c r="D222" s="333" t="s">
        <v>220</v>
      </c>
      <c r="E222" s="333" t="s">
        <v>33</v>
      </c>
      <c r="F222" s="374" t="s">
        <v>707</v>
      </c>
      <c r="G222" s="372" t="s">
        <v>708</v>
      </c>
      <c r="H222" s="333">
        <v>1</v>
      </c>
      <c r="I222" s="333" t="s">
        <v>229</v>
      </c>
      <c r="J222" s="333" t="s">
        <v>102</v>
      </c>
      <c r="K222" s="332" t="s">
        <v>69</v>
      </c>
      <c r="L222" s="332"/>
      <c r="M222" s="333" t="s">
        <v>681</v>
      </c>
      <c r="N222" s="333"/>
      <c r="O222" s="333"/>
      <c r="P222" s="375">
        <v>45159</v>
      </c>
      <c r="S222" s="373"/>
      <c r="T222" s="373"/>
      <c r="U222" s="373"/>
      <c r="V222" s="373"/>
      <c r="W222" s="346"/>
      <c r="X222" s="373"/>
      <c r="Y222" s="336">
        <f t="shared" ca="1" si="3"/>
        <v>427</v>
      </c>
      <c r="Z222" s="373"/>
      <c r="AA222" s="336"/>
      <c r="AB222" s="373"/>
      <c r="AD222" s="338"/>
    </row>
    <row r="223" spans="1:38" ht="12.75" customHeight="1" x14ac:dyDescent="0.25">
      <c r="A223" s="347" t="s">
        <v>709</v>
      </c>
      <c r="B223" s="377">
        <v>45139</v>
      </c>
      <c r="C223" s="431" t="s">
        <v>219</v>
      </c>
      <c r="D223" s="379" t="s">
        <v>220</v>
      </c>
      <c r="E223" s="379" t="s">
        <v>33</v>
      </c>
      <c r="F223" s="380">
        <v>3642400010</v>
      </c>
      <c r="G223" s="381" t="s">
        <v>710</v>
      </c>
      <c r="H223" s="379">
        <v>2</v>
      </c>
      <c r="I223" s="379" t="s">
        <v>229</v>
      </c>
      <c r="J223" s="379" t="s">
        <v>102</v>
      </c>
      <c r="K223" s="382" t="s">
        <v>69</v>
      </c>
      <c r="L223" s="382"/>
      <c r="M223" s="379" t="s">
        <v>681</v>
      </c>
      <c r="N223" s="379"/>
      <c r="O223" s="379"/>
      <c r="P223" s="432">
        <v>45159</v>
      </c>
      <c r="Q223" s="433"/>
      <c r="R223" s="433"/>
      <c r="S223" s="385"/>
      <c r="T223" s="385"/>
      <c r="U223" s="385"/>
      <c r="V223" s="385"/>
      <c r="W223" s="346">
        <v>45252</v>
      </c>
      <c r="X223" s="385">
        <v>1</v>
      </c>
      <c r="Y223" s="386">
        <f t="shared" ca="1" si="3"/>
        <v>93</v>
      </c>
      <c r="Z223" s="385"/>
      <c r="AA223" s="386"/>
      <c r="AB223" s="385" t="s">
        <v>711</v>
      </c>
      <c r="AD223" s="338"/>
    </row>
    <row r="224" spans="1:38" ht="12.75" customHeight="1" x14ac:dyDescent="0.25">
      <c r="A224" s="347" t="s">
        <v>712</v>
      </c>
      <c r="B224" s="376">
        <v>45139</v>
      </c>
      <c r="C224" s="426" t="s">
        <v>219</v>
      </c>
      <c r="D224" s="333" t="s">
        <v>220</v>
      </c>
      <c r="E224" s="333" t="s">
        <v>33</v>
      </c>
      <c r="F224" s="374">
        <v>3541001410</v>
      </c>
      <c r="G224" s="372" t="s">
        <v>713</v>
      </c>
      <c r="H224" s="333">
        <v>1</v>
      </c>
      <c r="I224" s="333" t="s">
        <v>229</v>
      </c>
      <c r="J224" s="333" t="s">
        <v>102</v>
      </c>
      <c r="K224" s="332" t="s">
        <v>69</v>
      </c>
      <c r="L224" s="332"/>
      <c r="M224" s="333" t="s">
        <v>681</v>
      </c>
      <c r="N224" s="333"/>
      <c r="O224" s="333"/>
      <c r="P224" s="375">
        <v>45159</v>
      </c>
      <c r="S224" s="373"/>
      <c r="T224" s="373"/>
      <c r="U224" s="373"/>
      <c r="V224" s="373"/>
      <c r="W224" s="346">
        <v>45217</v>
      </c>
      <c r="X224" s="373">
        <v>1</v>
      </c>
      <c r="Y224" s="336">
        <f t="shared" ca="1" si="3"/>
        <v>58</v>
      </c>
      <c r="Z224" s="373"/>
      <c r="AA224" s="336"/>
      <c r="AB224" s="373"/>
      <c r="AD224" s="338"/>
    </row>
    <row r="225" spans="1:28" s="338" customFormat="1" ht="12.75" customHeight="1" x14ac:dyDescent="0.25">
      <c r="A225" s="347" t="s">
        <v>714</v>
      </c>
      <c r="B225" s="376">
        <v>45139</v>
      </c>
      <c r="C225" s="426" t="s">
        <v>219</v>
      </c>
      <c r="D225" s="333" t="s">
        <v>220</v>
      </c>
      <c r="E225" s="333" t="s">
        <v>33</v>
      </c>
      <c r="F225" s="374" t="s">
        <v>715</v>
      </c>
      <c r="G225" s="372" t="s">
        <v>716</v>
      </c>
      <c r="H225" s="333">
        <v>1</v>
      </c>
      <c r="I225" s="333" t="s">
        <v>229</v>
      </c>
      <c r="J225" s="333" t="s">
        <v>102</v>
      </c>
      <c r="K225" s="332" t="s">
        <v>69</v>
      </c>
      <c r="L225" s="332"/>
      <c r="M225" s="333" t="s">
        <v>681</v>
      </c>
      <c r="N225" s="333"/>
      <c r="O225" s="333"/>
      <c r="P225" s="375">
        <v>45159</v>
      </c>
      <c r="Q225" s="429"/>
      <c r="R225" s="429"/>
      <c r="S225" s="373"/>
      <c r="T225" s="373"/>
      <c r="U225" s="373"/>
      <c r="V225" s="373"/>
      <c r="W225" s="346"/>
      <c r="X225" s="373"/>
      <c r="Y225" s="336">
        <f t="shared" ca="1" si="3"/>
        <v>427</v>
      </c>
      <c r="Z225" s="373"/>
      <c r="AA225" s="336"/>
      <c r="AB225" s="373"/>
    </row>
    <row r="226" spans="1:28" s="338" customFormat="1" ht="12.75" customHeight="1" x14ac:dyDescent="0.25">
      <c r="A226" s="347" t="s">
        <v>717</v>
      </c>
      <c r="B226" s="376">
        <v>45139</v>
      </c>
      <c r="C226" s="426" t="s">
        <v>219</v>
      </c>
      <c r="D226" s="333" t="s">
        <v>220</v>
      </c>
      <c r="E226" s="333" t="s">
        <v>33</v>
      </c>
      <c r="F226" s="374">
        <v>3832000630</v>
      </c>
      <c r="G226" s="372" t="s">
        <v>718</v>
      </c>
      <c r="H226" s="333">
        <v>1</v>
      </c>
      <c r="I226" s="333" t="s">
        <v>229</v>
      </c>
      <c r="J226" s="333" t="s">
        <v>102</v>
      </c>
      <c r="K226" s="332" t="s">
        <v>69</v>
      </c>
      <c r="L226" s="332"/>
      <c r="M226" s="333" t="s">
        <v>681</v>
      </c>
      <c r="N226" s="333"/>
      <c r="O226" s="333"/>
      <c r="P226" s="375">
        <v>45159</v>
      </c>
      <c r="Q226" s="429"/>
      <c r="R226" s="429"/>
      <c r="S226" s="373"/>
      <c r="T226" s="373"/>
      <c r="U226" s="373"/>
      <c r="V226" s="373"/>
      <c r="W226" s="346"/>
      <c r="X226" s="373"/>
      <c r="Y226" s="336">
        <f t="shared" ca="1" si="3"/>
        <v>427</v>
      </c>
      <c r="Z226" s="373"/>
      <c r="AA226" s="336"/>
      <c r="AB226" s="373"/>
    </row>
    <row r="227" spans="1:28" s="338" customFormat="1" ht="12.75" customHeight="1" x14ac:dyDescent="0.25">
      <c r="A227" s="347" t="s">
        <v>719</v>
      </c>
      <c r="B227" s="376">
        <v>45139</v>
      </c>
      <c r="C227" s="426" t="s">
        <v>219</v>
      </c>
      <c r="D227" s="333" t="s">
        <v>220</v>
      </c>
      <c r="E227" s="333" t="s">
        <v>33</v>
      </c>
      <c r="F227" s="374">
        <v>3832000640</v>
      </c>
      <c r="G227" s="372" t="s">
        <v>720</v>
      </c>
      <c r="H227" s="333">
        <v>1</v>
      </c>
      <c r="I227" s="333" t="s">
        <v>229</v>
      </c>
      <c r="J227" s="333" t="s">
        <v>102</v>
      </c>
      <c r="K227" s="332" t="s">
        <v>69</v>
      </c>
      <c r="L227" s="332"/>
      <c r="M227" s="333" t="s">
        <v>681</v>
      </c>
      <c r="N227" s="333"/>
      <c r="O227" s="333"/>
      <c r="P227" s="375">
        <v>45159</v>
      </c>
      <c r="Q227" s="429"/>
      <c r="R227" s="429"/>
      <c r="S227" s="373"/>
      <c r="T227" s="373"/>
      <c r="U227" s="373"/>
      <c r="V227" s="373"/>
      <c r="W227" s="346"/>
      <c r="X227" s="373"/>
      <c r="Y227" s="336">
        <f t="shared" ca="1" si="3"/>
        <v>427</v>
      </c>
      <c r="Z227" s="373"/>
      <c r="AA227" s="336"/>
      <c r="AB227" s="373"/>
    </row>
    <row r="228" spans="1:28" s="338" customFormat="1" ht="12.75" customHeight="1" x14ac:dyDescent="0.25">
      <c r="A228" s="347" t="s">
        <v>721</v>
      </c>
      <c r="B228" s="376">
        <v>45169</v>
      </c>
      <c r="C228" s="426" t="s">
        <v>35</v>
      </c>
      <c r="D228" s="333" t="s">
        <v>177</v>
      </c>
      <c r="E228" s="333">
        <v>631949</v>
      </c>
      <c r="F228" s="374" t="s">
        <v>722</v>
      </c>
      <c r="G228" s="372" t="s">
        <v>723</v>
      </c>
      <c r="H228" s="333">
        <v>1</v>
      </c>
      <c r="I228" s="333" t="s">
        <v>548</v>
      </c>
      <c r="J228" s="333" t="s">
        <v>43</v>
      </c>
      <c r="K228" s="332" t="s">
        <v>32</v>
      </c>
      <c r="L228" s="332"/>
      <c r="M228" s="333" t="s">
        <v>33</v>
      </c>
      <c r="N228" s="333"/>
      <c r="O228" s="333"/>
      <c r="P228" s="375">
        <v>45147</v>
      </c>
      <c r="Q228" s="429"/>
      <c r="R228" s="429"/>
      <c r="S228" s="373"/>
      <c r="T228" s="373"/>
      <c r="U228" s="373"/>
      <c r="V228" s="373"/>
      <c r="W228" s="346"/>
      <c r="X228" s="373"/>
      <c r="Y228" s="336">
        <f t="shared" ca="1" si="3"/>
        <v>439</v>
      </c>
      <c r="Z228" s="373"/>
      <c r="AA228" s="336"/>
      <c r="AB228" s="373"/>
    </row>
    <row r="229" spans="1:28" s="338" customFormat="1" ht="12.75" customHeight="1" x14ac:dyDescent="0.25">
      <c r="A229" s="347" t="s">
        <v>724</v>
      </c>
      <c r="B229" s="376">
        <v>45169</v>
      </c>
      <c r="C229" s="426" t="s">
        <v>35</v>
      </c>
      <c r="D229" s="333" t="s">
        <v>83</v>
      </c>
      <c r="E229" s="333">
        <v>6980266</v>
      </c>
      <c r="F229" s="374" t="s">
        <v>725</v>
      </c>
      <c r="G229" s="372" t="s">
        <v>726</v>
      </c>
      <c r="H229" s="333">
        <v>1</v>
      </c>
      <c r="I229" s="333" t="s">
        <v>727</v>
      </c>
      <c r="J229" s="333" t="s">
        <v>265</v>
      </c>
      <c r="K229" s="332" t="s">
        <v>32</v>
      </c>
      <c r="L229" s="332"/>
      <c r="M229" s="333" t="s">
        <v>33</v>
      </c>
      <c r="N229" s="333"/>
      <c r="O229" s="333"/>
      <c r="P229" s="375">
        <v>45147</v>
      </c>
      <c r="Q229" s="429"/>
      <c r="R229" s="429"/>
      <c r="S229" s="373"/>
      <c r="T229" s="373"/>
      <c r="U229" s="373"/>
      <c r="V229" s="373"/>
      <c r="W229" s="346">
        <v>45257</v>
      </c>
      <c r="X229" s="373">
        <v>1</v>
      </c>
      <c r="Y229" s="336">
        <f t="shared" ca="1" si="3"/>
        <v>110</v>
      </c>
      <c r="Z229" s="373"/>
      <c r="AA229" s="336"/>
      <c r="AB229" s="373"/>
    </row>
    <row r="230" spans="1:28" s="338" customFormat="1" ht="12.75" customHeight="1" x14ac:dyDescent="0.25">
      <c r="A230" s="347" t="s">
        <v>728</v>
      </c>
      <c r="B230" s="376">
        <v>45169</v>
      </c>
      <c r="C230" s="426" t="s">
        <v>35</v>
      </c>
      <c r="D230" s="333" t="s">
        <v>83</v>
      </c>
      <c r="E230" s="333">
        <v>6080266</v>
      </c>
      <c r="F230" s="374" t="s">
        <v>729</v>
      </c>
      <c r="G230" s="372" t="s">
        <v>730</v>
      </c>
      <c r="H230" s="333">
        <v>1</v>
      </c>
      <c r="I230" s="333" t="s">
        <v>727</v>
      </c>
      <c r="J230" s="333" t="s">
        <v>31</v>
      </c>
      <c r="K230" s="332" t="s">
        <v>32</v>
      </c>
      <c r="L230" s="332"/>
      <c r="M230" s="333" t="s">
        <v>33</v>
      </c>
      <c r="N230" s="333"/>
      <c r="O230" s="333"/>
      <c r="P230" s="375">
        <v>45147</v>
      </c>
      <c r="Q230" s="429"/>
      <c r="R230" s="429"/>
      <c r="S230" s="373"/>
      <c r="T230" s="373"/>
      <c r="U230" s="373"/>
      <c r="V230" s="373"/>
      <c r="W230" s="346">
        <v>45257</v>
      </c>
      <c r="X230" s="373">
        <v>1</v>
      </c>
      <c r="Y230" s="336">
        <f t="shared" ca="1" si="3"/>
        <v>110</v>
      </c>
      <c r="Z230" s="373"/>
      <c r="AA230" s="336"/>
      <c r="AB230" s="373"/>
    </row>
    <row r="231" spans="1:28" s="338" customFormat="1" ht="12.75" customHeight="1" x14ac:dyDescent="0.25">
      <c r="A231" s="347" t="s">
        <v>731</v>
      </c>
      <c r="B231" s="376">
        <v>45314</v>
      </c>
      <c r="C231" s="426" t="s">
        <v>60</v>
      </c>
      <c r="D231" s="333" t="s">
        <v>598</v>
      </c>
      <c r="E231" s="333"/>
      <c r="F231" s="374" t="s">
        <v>732</v>
      </c>
      <c r="G231" s="372" t="s">
        <v>733</v>
      </c>
      <c r="H231" s="333">
        <v>16</v>
      </c>
      <c r="I231" s="333" t="s">
        <v>644</v>
      </c>
      <c r="J231" s="333" t="s">
        <v>46</v>
      </c>
      <c r="K231" s="332" t="s">
        <v>32</v>
      </c>
      <c r="L231" s="332"/>
      <c r="M231" s="333"/>
      <c r="N231" s="417"/>
      <c r="O231" s="417"/>
      <c r="P231" s="343">
        <v>45314</v>
      </c>
      <c r="Q231" s="429"/>
      <c r="R231" s="429"/>
      <c r="S231" s="373"/>
      <c r="T231" s="373"/>
      <c r="U231" s="373"/>
      <c r="V231" s="373"/>
      <c r="W231" s="346">
        <v>45347</v>
      </c>
      <c r="X231" s="373">
        <v>16</v>
      </c>
      <c r="Y231" s="336">
        <f t="shared" ca="1" si="3"/>
        <v>33</v>
      </c>
      <c r="Z231" s="373"/>
      <c r="AA231" s="336"/>
      <c r="AB231" s="373"/>
    </row>
    <row r="232" spans="1:28" s="338" customFormat="1" ht="12.75" customHeight="1" x14ac:dyDescent="0.25">
      <c r="A232" s="347" t="s">
        <v>734</v>
      </c>
      <c r="B232" s="376">
        <v>45314</v>
      </c>
      <c r="C232" s="426" t="s">
        <v>60</v>
      </c>
      <c r="D232" s="333" t="s">
        <v>598</v>
      </c>
      <c r="E232" s="333"/>
      <c r="F232" s="374" t="s">
        <v>735</v>
      </c>
      <c r="G232" s="372" t="s">
        <v>736</v>
      </c>
      <c r="H232" s="333">
        <v>1</v>
      </c>
      <c r="I232" s="333" t="s">
        <v>644</v>
      </c>
      <c r="J232" s="333" t="s">
        <v>31</v>
      </c>
      <c r="K232" s="332" t="s">
        <v>32</v>
      </c>
      <c r="L232" s="332"/>
      <c r="M232" s="333"/>
      <c r="N232" s="417"/>
      <c r="O232" s="417"/>
      <c r="P232" s="343">
        <v>45314</v>
      </c>
      <c r="Q232" s="429"/>
      <c r="R232" s="429"/>
      <c r="S232" s="373"/>
      <c r="T232" s="373"/>
      <c r="U232" s="373"/>
      <c r="V232" s="373"/>
      <c r="W232" s="384">
        <v>45314</v>
      </c>
      <c r="X232" s="373">
        <v>1</v>
      </c>
      <c r="Y232" s="336">
        <f t="shared" ca="1" si="3"/>
        <v>0</v>
      </c>
      <c r="Z232" s="373"/>
      <c r="AA232" s="336"/>
      <c r="AB232" s="373"/>
    </row>
    <row r="233" spans="1:28" s="338" customFormat="1" ht="12.75" customHeight="1" x14ac:dyDescent="0.25">
      <c r="A233" s="347" t="s">
        <v>737</v>
      </c>
      <c r="B233" s="376">
        <v>45170</v>
      </c>
      <c r="C233" s="426" t="s">
        <v>35</v>
      </c>
      <c r="D233" s="333" t="s">
        <v>71</v>
      </c>
      <c r="E233" s="333"/>
      <c r="F233" s="374">
        <v>69810635075</v>
      </c>
      <c r="G233" s="372" t="s">
        <v>738</v>
      </c>
      <c r="H233" s="333">
        <v>1</v>
      </c>
      <c r="I233" s="333"/>
      <c r="J233" s="333" t="s">
        <v>31</v>
      </c>
      <c r="K233" s="332" t="s">
        <v>32</v>
      </c>
      <c r="L233" s="332"/>
      <c r="M233" s="333" t="s">
        <v>33</v>
      </c>
      <c r="N233" s="333"/>
      <c r="O233" s="333"/>
      <c r="P233" s="375">
        <v>45177</v>
      </c>
      <c r="Q233" s="429"/>
      <c r="R233" s="429"/>
      <c r="S233" s="373"/>
      <c r="T233" s="373"/>
      <c r="U233" s="373"/>
      <c r="V233" s="373"/>
      <c r="W233" s="346"/>
      <c r="X233" s="373"/>
      <c r="Y233" s="336">
        <f t="shared" ca="1" si="3"/>
        <v>409</v>
      </c>
      <c r="Z233" s="373"/>
      <c r="AA233" s="336"/>
      <c r="AB233" s="373"/>
    </row>
    <row r="234" spans="1:28" s="338" customFormat="1" ht="12.75" customHeight="1" x14ac:dyDescent="0.25">
      <c r="A234" s="347" t="s">
        <v>739</v>
      </c>
      <c r="B234" s="376">
        <v>45315</v>
      </c>
      <c r="C234" s="426" t="s">
        <v>60</v>
      </c>
      <c r="D234" s="333" t="s">
        <v>598</v>
      </c>
      <c r="E234" s="333"/>
      <c r="F234" s="374">
        <v>84464902</v>
      </c>
      <c r="G234" s="372" t="s">
        <v>740</v>
      </c>
      <c r="H234" s="333">
        <v>1</v>
      </c>
      <c r="I234" s="333" t="s">
        <v>644</v>
      </c>
      <c r="J234" s="333" t="s">
        <v>31</v>
      </c>
      <c r="K234" s="332" t="s">
        <v>32</v>
      </c>
      <c r="L234" s="332"/>
      <c r="M234" s="333"/>
      <c r="N234" s="417"/>
      <c r="O234" s="417"/>
      <c r="P234" s="343">
        <v>45320</v>
      </c>
      <c r="Q234" s="429"/>
      <c r="R234" s="429"/>
      <c r="S234" s="373"/>
      <c r="T234" s="373"/>
      <c r="U234" s="373"/>
      <c r="V234" s="373"/>
      <c r="W234" s="346"/>
      <c r="X234" s="373">
        <v>1</v>
      </c>
      <c r="Y234" s="336">
        <f t="shared" ca="1" si="3"/>
        <v>266</v>
      </c>
      <c r="Z234" s="373"/>
      <c r="AA234" s="336"/>
      <c r="AB234" s="373"/>
    </row>
    <row r="235" spans="1:28" s="338" customFormat="1" ht="12.75" customHeight="1" x14ac:dyDescent="0.25">
      <c r="A235" s="347" t="s">
        <v>741</v>
      </c>
      <c r="B235" s="376">
        <v>45211</v>
      </c>
      <c r="C235" s="426" t="s">
        <v>60</v>
      </c>
      <c r="D235" s="333" t="s">
        <v>742</v>
      </c>
      <c r="E235" s="333" t="s">
        <v>743</v>
      </c>
      <c r="F235" s="374" t="s">
        <v>744</v>
      </c>
      <c r="G235" s="372" t="s">
        <v>745</v>
      </c>
      <c r="H235" s="333">
        <v>8</v>
      </c>
      <c r="I235" s="333" t="s">
        <v>746</v>
      </c>
      <c r="J235" s="333" t="s">
        <v>46</v>
      </c>
      <c r="K235" s="332" t="s">
        <v>32</v>
      </c>
      <c r="L235" s="332"/>
      <c r="M235" s="333"/>
      <c r="N235" s="333"/>
      <c r="O235" s="333"/>
      <c r="P235" s="375">
        <v>45223</v>
      </c>
      <c r="Q235" s="429"/>
      <c r="R235" s="429"/>
      <c r="S235" s="373"/>
      <c r="T235" s="373"/>
      <c r="U235" s="373"/>
      <c r="V235" s="373"/>
      <c r="W235" s="346">
        <v>45308</v>
      </c>
      <c r="X235" s="373">
        <v>8</v>
      </c>
      <c r="Y235" s="336">
        <f t="shared" ca="1" si="3"/>
        <v>85</v>
      </c>
      <c r="Z235" s="373"/>
      <c r="AA235" s="336"/>
      <c r="AB235" s="373"/>
    </row>
    <row r="236" spans="1:28" s="338" customFormat="1" ht="12.75" customHeight="1" x14ac:dyDescent="0.25">
      <c r="A236" s="347" t="s">
        <v>747</v>
      </c>
      <c r="B236" s="376">
        <v>45174</v>
      </c>
      <c r="C236" s="426" t="s">
        <v>35</v>
      </c>
      <c r="D236" s="333" t="s">
        <v>83</v>
      </c>
      <c r="E236" s="333">
        <v>6980279</v>
      </c>
      <c r="F236" s="374" t="s">
        <v>748</v>
      </c>
      <c r="G236" s="372" t="s">
        <v>749</v>
      </c>
      <c r="H236" s="333">
        <v>1</v>
      </c>
      <c r="I236" s="333" t="s">
        <v>750</v>
      </c>
      <c r="J236" s="333" t="s">
        <v>68</v>
      </c>
      <c r="K236" s="332" t="s">
        <v>69</v>
      </c>
      <c r="L236" s="332"/>
      <c r="M236" s="333" t="s">
        <v>751</v>
      </c>
      <c r="N236" s="333"/>
      <c r="O236" s="333"/>
      <c r="P236" s="375">
        <v>45177</v>
      </c>
      <c r="Q236" s="429"/>
      <c r="R236" s="429"/>
      <c r="S236" s="373"/>
      <c r="T236" s="373"/>
      <c r="U236" s="373"/>
      <c r="V236" s="373"/>
      <c r="W236" s="346">
        <v>45362</v>
      </c>
      <c r="X236" s="373"/>
      <c r="Y236" s="336">
        <f t="shared" ca="1" si="3"/>
        <v>185</v>
      </c>
      <c r="Z236" s="373"/>
      <c r="AA236" s="336"/>
      <c r="AB236" s="373"/>
    </row>
    <row r="237" spans="1:28" s="338" customFormat="1" ht="12.75" customHeight="1" x14ac:dyDescent="0.25">
      <c r="A237" s="347" t="s">
        <v>752</v>
      </c>
      <c r="B237" s="376">
        <v>45174</v>
      </c>
      <c r="C237" s="426" t="s">
        <v>35</v>
      </c>
      <c r="D237" s="333" t="s">
        <v>36</v>
      </c>
      <c r="E237" s="333">
        <v>5494214</v>
      </c>
      <c r="F237" s="374" t="s">
        <v>753</v>
      </c>
      <c r="G237" s="372" t="s">
        <v>754</v>
      </c>
      <c r="H237" s="333">
        <v>1</v>
      </c>
      <c r="I237" s="333" t="s">
        <v>755</v>
      </c>
      <c r="J237" s="333" t="s">
        <v>68</v>
      </c>
      <c r="K237" s="332" t="s">
        <v>69</v>
      </c>
      <c r="L237" s="332"/>
      <c r="M237" s="333"/>
      <c r="N237" s="333"/>
      <c r="O237" s="333"/>
      <c r="P237" s="375">
        <v>45177</v>
      </c>
      <c r="Q237" s="429"/>
      <c r="R237" s="429"/>
      <c r="S237" s="373"/>
      <c r="T237" s="373"/>
      <c r="U237" s="373"/>
      <c r="V237" s="373"/>
      <c r="W237" s="346"/>
      <c r="X237" s="373"/>
      <c r="Y237" s="336">
        <f t="shared" ca="1" si="3"/>
        <v>409</v>
      </c>
      <c r="Z237" s="373"/>
      <c r="AA237" s="336"/>
      <c r="AB237" s="373"/>
    </row>
    <row r="238" spans="1:28" s="338" customFormat="1" ht="12.75" customHeight="1" x14ac:dyDescent="0.25">
      <c r="A238" s="347" t="s">
        <v>756</v>
      </c>
      <c r="B238" s="376">
        <v>45216</v>
      </c>
      <c r="C238" s="426" t="s">
        <v>60</v>
      </c>
      <c r="D238" s="333" t="s">
        <v>742</v>
      </c>
      <c r="E238" s="333" t="s">
        <v>757</v>
      </c>
      <c r="F238" s="374" t="s">
        <v>758</v>
      </c>
      <c r="G238" s="372" t="s">
        <v>759</v>
      </c>
      <c r="H238" s="333">
        <v>12</v>
      </c>
      <c r="I238" s="333" t="s">
        <v>746</v>
      </c>
      <c r="J238" s="333" t="s">
        <v>31</v>
      </c>
      <c r="K238" s="332" t="s">
        <v>32</v>
      </c>
      <c r="L238" s="332"/>
      <c r="M238" s="333"/>
      <c r="N238" s="333"/>
      <c r="O238" s="333"/>
      <c r="P238" s="375">
        <v>45223</v>
      </c>
      <c r="Q238" s="429"/>
      <c r="R238" s="429"/>
      <c r="S238" s="373"/>
      <c r="T238" s="373"/>
      <c r="U238" s="373"/>
      <c r="V238" s="373"/>
      <c r="W238" s="346">
        <v>45308</v>
      </c>
      <c r="X238" s="373">
        <v>12</v>
      </c>
      <c r="Y238" s="336">
        <f t="shared" ca="1" si="3"/>
        <v>85</v>
      </c>
      <c r="Z238" s="373"/>
      <c r="AA238" s="336"/>
      <c r="AB238" s="373"/>
    </row>
    <row r="239" spans="1:28" s="338" customFormat="1" ht="12.75" customHeight="1" x14ac:dyDescent="0.25">
      <c r="A239" s="347" t="s">
        <v>760</v>
      </c>
      <c r="B239" s="376">
        <v>45218</v>
      </c>
      <c r="C239" s="426" t="s">
        <v>60</v>
      </c>
      <c r="D239" s="333" t="s">
        <v>742</v>
      </c>
      <c r="E239" s="333" t="s">
        <v>757</v>
      </c>
      <c r="F239" s="374" t="s">
        <v>761</v>
      </c>
      <c r="G239" s="372" t="s">
        <v>762</v>
      </c>
      <c r="H239" s="333">
        <v>1</v>
      </c>
      <c r="I239" s="333" t="s">
        <v>746</v>
      </c>
      <c r="J239" s="333" t="s">
        <v>68</v>
      </c>
      <c r="K239" s="332" t="s">
        <v>69</v>
      </c>
      <c r="L239" s="332"/>
      <c r="M239" s="333"/>
      <c r="N239" s="333"/>
      <c r="O239" s="333"/>
      <c r="P239" s="375">
        <v>45223</v>
      </c>
      <c r="Q239" s="429"/>
      <c r="R239" s="429"/>
      <c r="S239" s="373"/>
      <c r="T239" s="373"/>
      <c r="U239" s="373"/>
      <c r="V239" s="373"/>
      <c r="W239" s="346">
        <v>45308</v>
      </c>
      <c r="X239" s="373">
        <v>1</v>
      </c>
      <c r="Y239" s="336">
        <f t="shared" ca="1" si="3"/>
        <v>85</v>
      </c>
      <c r="Z239" s="373"/>
      <c r="AA239" s="336"/>
      <c r="AB239" s="373"/>
    </row>
    <row r="240" spans="1:28" s="338" customFormat="1" ht="12.75" customHeight="1" x14ac:dyDescent="0.25">
      <c r="A240" s="347" t="s">
        <v>763</v>
      </c>
      <c r="B240" s="376">
        <v>45216</v>
      </c>
      <c r="C240" s="426" t="s">
        <v>60</v>
      </c>
      <c r="D240" s="333" t="s">
        <v>742</v>
      </c>
      <c r="E240" s="333" t="s">
        <v>757</v>
      </c>
      <c r="F240" s="374" t="s">
        <v>764</v>
      </c>
      <c r="G240" s="372" t="s">
        <v>765</v>
      </c>
      <c r="H240" s="333">
        <v>12</v>
      </c>
      <c r="I240" s="333" t="s">
        <v>746</v>
      </c>
      <c r="J240" s="333" t="s">
        <v>31</v>
      </c>
      <c r="K240" s="332" t="s">
        <v>32</v>
      </c>
      <c r="L240" s="332"/>
      <c r="M240" s="333"/>
      <c r="N240" s="333"/>
      <c r="O240" s="333"/>
      <c r="P240" s="375">
        <v>45223</v>
      </c>
      <c r="Q240" s="429"/>
      <c r="R240" s="429"/>
      <c r="S240" s="373"/>
      <c r="T240" s="373"/>
      <c r="U240" s="373"/>
      <c r="V240" s="373"/>
      <c r="W240" s="346">
        <v>45308</v>
      </c>
      <c r="X240" s="373">
        <v>12</v>
      </c>
      <c r="Y240" s="336">
        <f t="shared" ca="1" si="3"/>
        <v>85</v>
      </c>
      <c r="Z240" s="373"/>
      <c r="AA240" s="336"/>
      <c r="AB240" s="373"/>
    </row>
    <row r="241" spans="1:28" s="338" customFormat="1" ht="12.75" customHeight="1" x14ac:dyDescent="0.25">
      <c r="A241" s="347" t="s">
        <v>766</v>
      </c>
      <c r="B241" s="376">
        <v>45216</v>
      </c>
      <c r="C241" s="426" t="s">
        <v>60</v>
      </c>
      <c r="D241" s="333" t="s">
        <v>742</v>
      </c>
      <c r="E241" s="333" t="s">
        <v>757</v>
      </c>
      <c r="F241" s="374" t="s">
        <v>767</v>
      </c>
      <c r="G241" s="372" t="s">
        <v>765</v>
      </c>
      <c r="H241" s="333">
        <v>12</v>
      </c>
      <c r="I241" s="333" t="s">
        <v>746</v>
      </c>
      <c r="J241" s="333" t="s">
        <v>31</v>
      </c>
      <c r="K241" s="332" t="s">
        <v>32</v>
      </c>
      <c r="L241" s="332"/>
      <c r="M241" s="333"/>
      <c r="N241" s="333"/>
      <c r="O241" s="333"/>
      <c r="P241" s="375">
        <v>45223</v>
      </c>
      <c r="Q241" s="429"/>
      <c r="R241" s="429"/>
      <c r="S241" s="373"/>
      <c r="T241" s="373"/>
      <c r="U241" s="373"/>
      <c r="V241" s="373"/>
      <c r="W241" s="346">
        <v>45308</v>
      </c>
      <c r="X241" s="373">
        <v>12</v>
      </c>
      <c r="Y241" s="336">
        <f t="shared" ca="1" si="3"/>
        <v>85</v>
      </c>
      <c r="Z241" s="373"/>
      <c r="AA241" s="336"/>
      <c r="AB241" s="373"/>
    </row>
    <row r="242" spans="1:28" s="338" customFormat="1" ht="12.75" customHeight="1" x14ac:dyDescent="0.25">
      <c r="A242" s="347" t="s">
        <v>768</v>
      </c>
      <c r="B242" s="376">
        <v>45218</v>
      </c>
      <c r="C242" s="426" t="s">
        <v>60</v>
      </c>
      <c r="D242" s="333" t="s">
        <v>742</v>
      </c>
      <c r="E242" s="333" t="s">
        <v>33</v>
      </c>
      <c r="F242" s="374" t="s">
        <v>761</v>
      </c>
      <c r="G242" s="372" t="s">
        <v>762</v>
      </c>
      <c r="H242" s="333">
        <v>1</v>
      </c>
      <c r="I242" s="333" t="s">
        <v>746</v>
      </c>
      <c r="J242" s="333" t="s">
        <v>265</v>
      </c>
      <c r="K242" s="332" t="s">
        <v>32</v>
      </c>
      <c r="L242" s="332"/>
      <c r="M242" s="333" t="s">
        <v>33</v>
      </c>
      <c r="N242" s="333"/>
      <c r="O242" s="333"/>
      <c r="P242" s="375">
        <v>45223</v>
      </c>
      <c r="Q242" s="429"/>
      <c r="R242" s="429"/>
      <c r="S242" s="373"/>
      <c r="T242" s="373"/>
      <c r="U242" s="373"/>
      <c r="V242" s="373"/>
      <c r="W242" s="346">
        <v>45308</v>
      </c>
      <c r="X242" s="373">
        <v>1</v>
      </c>
      <c r="Y242" s="336">
        <f t="shared" ca="1" si="3"/>
        <v>85</v>
      </c>
      <c r="Z242" s="373"/>
      <c r="AA242" s="336"/>
      <c r="AB242" s="373"/>
    </row>
    <row r="243" spans="1:28" s="338" customFormat="1" ht="12.75" customHeight="1" x14ac:dyDescent="0.25">
      <c r="A243" s="347" t="s">
        <v>769</v>
      </c>
      <c r="B243" s="376">
        <v>45217</v>
      </c>
      <c r="C243" s="426" t="s">
        <v>60</v>
      </c>
      <c r="D243" s="333" t="s">
        <v>742</v>
      </c>
      <c r="E243" s="333" t="s">
        <v>33</v>
      </c>
      <c r="F243" s="374" t="s">
        <v>770</v>
      </c>
      <c r="G243" s="372" t="s">
        <v>771</v>
      </c>
      <c r="H243" s="333">
        <v>120</v>
      </c>
      <c r="I243" s="333" t="s">
        <v>746</v>
      </c>
      <c r="J243" s="333" t="s">
        <v>541</v>
      </c>
      <c r="K243" s="332" t="s">
        <v>32</v>
      </c>
      <c r="L243" s="332"/>
      <c r="M243" s="333" t="s">
        <v>33</v>
      </c>
      <c r="N243" s="333"/>
      <c r="O243" s="333"/>
      <c r="P243" s="375">
        <v>45223</v>
      </c>
      <c r="Q243" s="429"/>
      <c r="R243" s="429"/>
      <c r="S243" s="373"/>
      <c r="T243" s="373"/>
      <c r="U243" s="373"/>
      <c r="V243" s="373"/>
      <c r="W243" s="346">
        <v>45308</v>
      </c>
      <c r="X243" s="373">
        <v>120</v>
      </c>
      <c r="Y243" s="336">
        <f t="shared" ca="1" si="3"/>
        <v>85</v>
      </c>
      <c r="Z243" s="373"/>
      <c r="AA243" s="336"/>
      <c r="AB243" s="373"/>
    </row>
    <row r="244" spans="1:28" s="410" customFormat="1" ht="12.75" customHeight="1" x14ac:dyDescent="0.25">
      <c r="A244" s="347" t="s">
        <v>772</v>
      </c>
      <c r="B244" s="376">
        <v>45217</v>
      </c>
      <c r="C244" s="426" t="s">
        <v>60</v>
      </c>
      <c r="D244" s="333" t="s">
        <v>742</v>
      </c>
      <c r="E244" s="333" t="s">
        <v>33</v>
      </c>
      <c r="F244" s="374" t="s">
        <v>773</v>
      </c>
      <c r="G244" s="372" t="s">
        <v>774</v>
      </c>
      <c r="H244" s="333">
        <v>24</v>
      </c>
      <c r="I244" s="333" t="s">
        <v>746</v>
      </c>
      <c r="J244" s="333" t="s">
        <v>541</v>
      </c>
      <c r="K244" s="332" t="s">
        <v>32</v>
      </c>
      <c r="L244" s="332"/>
      <c r="M244" s="333" t="s">
        <v>33</v>
      </c>
      <c r="N244" s="333"/>
      <c r="O244" s="333"/>
      <c r="P244" s="375">
        <v>45223</v>
      </c>
      <c r="Q244" s="429"/>
      <c r="R244" s="429"/>
      <c r="S244" s="373"/>
      <c r="T244" s="373"/>
      <c r="U244" s="373"/>
      <c r="V244" s="373"/>
      <c r="W244" s="346">
        <v>45308</v>
      </c>
      <c r="X244" s="373">
        <v>10</v>
      </c>
      <c r="Y244" s="336">
        <f t="shared" ca="1" si="3"/>
        <v>85</v>
      </c>
      <c r="Z244" s="373"/>
      <c r="AA244" s="336"/>
      <c r="AB244" s="373" t="s">
        <v>775</v>
      </c>
    </row>
    <row r="245" spans="1:28" s="338" customFormat="1" ht="12.75" customHeight="1" x14ac:dyDescent="0.25">
      <c r="A245" s="347" t="s">
        <v>776</v>
      </c>
      <c r="B245" s="376">
        <v>45217</v>
      </c>
      <c r="C245" s="426" t="s">
        <v>60</v>
      </c>
      <c r="D245" s="333" t="s">
        <v>742</v>
      </c>
      <c r="E245" s="333" t="s">
        <v>33</v>
      </c>
      <c r="F245" s="365" t="s">
        <v>777</v>
      </c>
      <c r="G245" s="366" t="s">
        <v>778</v>
      </c>
      <c r="H245" s="364">
        <v>48</v>
      </c>
      <c r="I245" s="333" t="s">
        <v>746</v>
      </c>
      <c r="J245" s="333" t="s">
        <v>541</v>
      </c>
      <c r="K245" s="332" t="s">
        <v>32</v>
      </c>
      <c r="L245" s="332"/>
      <c r="M245" s="333" t="s">
        <v>33</v>
      </c>
      <c r="N245" s="333"/>
      <c r="O245" s="333"/>
      <c r="P245" s="375">
        <v>45223</v>
      </c>
      <c r="Q245" s="429"/>
      <c r="R245" s="429"/>
      <c r="S245" s="373"/>
      <c r="T245" s="373"/>
      <c r="U245" s="373"/>
      <c r="V245" s="373"/>
      <c r="W245" s="346">
        <v>45308</v>
      </c>
      <c r="X245" s="373">
        <v>48</v>
      </c>
      <c r="Y245" s="336">
        <f t="shared" ca="1" si="3"/>
        <v>85</v>
      </c>
      <c r="Z245" s="373"/>
      <c r="AA245" s="336"/>
      <c r="AB245" s="373" t="s">
        <v>779</v>
      </c>
    </row>
    <row r="246" spans="1:28" s="338" customFormat="1" ht="12.75" customHeight="1" x14ac:dyDescent="0.25">
      <c r="A246" s="347" t="s">
        <v>780</v>
      </c>
      <c r="B246" s="376">
        <v>45217</v>
      </c>
      <c r="C246" s="426" t="s">
        <v>60</v>
      </c>
      <c r="D246" s="333" t="s">
        <v>742</v>
      </c>
      <c r="E246" s="333" t="s">
        <v>33</v>
      </c>
      <c r="F246" s="374" t="s">
        <v>781</v>
      </c>
      <c r="G246" s="372" t="s">
        <v>782</v>
      </c>
      <c r="H246" s="333">
        <v>12</v>
      </c>
      <c r="I246" s="333" t="s">
        <v>746</v>
      </c>
      <c r="J246" s="333" t="s">
        <v>541</v>
      </c>
      <c r="K246" s="332" t="s">
        <v>32</v>
      </c>
      <c r="L246" s="332"/>
      <c r="M246" s="333" t="s">
        <v>33</v>
      </c>
      <c r="N246" s="333"/>
      <c r="O246" s="333"/>
      <c r="P246" s="375">
        <v>45223</v>
      </c>
      <c r="Q246" s="429"/>
      <c r="R246" s="429"/>
      <c r="S246" s="373"/>
      <c r="T246" s="373"/>
      <c r="U246" s="373"/>
      <c r="V246" s="373"/>
      <c r="W246" s="346">
        <v>45308</v>
      </c>
      <c r="X246" s="373">
        <v>12</v>
      </c>
      <c r="Y246" s="336">
        <f t="shared" ca="1" si="3"/>
        <v>85</v>
      </c>
      <c r="Z246" s="373"/>
      <c r="AA246" s="336"/>
      <c r="AB246" s="373"/>
    </row>
    <row r="247" spans="1:28" s="338" customFormat="1" ht="12.75" customHeight="1" x14ac:dyDescent="0.25">
      <c r="A247" s="347" t="s">
        <v>783</v>
      </c>
      <c r="B247" s="376">
        <v>45217</v>
      </c>
      <c r="C247" s="426" t="s">
        <v>60</v>
      </c>
      <c r="D247" s="333" t="s">
        <v>742</v>
      </c>
      <c r="E247" s="333" t="s">
        <v>33</v>
      </c>
      <c r="F247" s="374" t="s">
        <v>781</v>
      </c>
      <c r="G247" s="372" t="s">
        <v>784</v>
      </c>
      <c r="H247" s="333">
        <v>12</v>
      </c>
      <c r="I247" s="333" t="s">
        <v>746</v>
      </c>
      <c r="J247" s="333" t="s">
        <v>541</v>
      </c>
      <c r="K247" s="332" t="s">
        <v>32</v>
      </c>
      <c r="L247" s="332"/>
      <c r="M247" s="333" t="s">
        <v>33</v>
      </c>
      <c r="N247" s="333"/>
      <c r="O247" s="333"/>
      <c r="P247" s="375">
        <v>45223</v>
      </c>
      <c r="Q247" s="429"/>
      <c r="R247" s="429"/>
      <c r="S247" s="373"/>
      <c r="T247" s="373"/>
      <c r="U247" s="373"/>
      <c r="V247" s="373"/>
      <c r="W247" s="346">
        <v>45308</v>
      </c>
      <c r="X247" s="373">
        <v>12</v>
      </c>
      <c r="Y247" s="336">
        <f t="shared" ca="1" si="3"/>
        <v>85</v>
      </c>
      <c r="Z247" s="373"/>
      <c r="AA247" s="336"/>
      <c r="AB247" s="373"/>
    </row>
    <row r="248" spans="1:28" s="338" customFormat="1" ht="12.75" customHeight="1" x14ac:dyDescent="0.25">
      <c r="A248" s="347" t="s">
        <v>785</v>
      </c>
      <c r="B248" s="376">
        <v>45215</v>
      </c>
      <c r="C248" s="426" t="s">
        <v>60</v>
      </c>
      <c r="D248" s="333" t="s">
        <v>742</v>
      </c>
      <c r="E248" s="333" t="s">
        <v>33</v>
      </c>
      <c r="F248" s="374" t="s">
        <v>786</v>
      </c>
      <c r="G248" s="372" t="s">
        <v>787</v>
      </c>
      <c r="H248" s="333">
        <v>2</v>
      </c>
      <c r="I248" s="333" t="s">
        <v>746</v>
      </c>
      <c r="J248" s="333" t="s">
        <v>31</v>
      </c>
      <c r="K248" s="332" t="s">
        <v>32</v>
      </c>
      <c r="L248" s="332"/>
      <c r="M248" s="333"/>
      <c r="N248" s="333"/>
      <c r="O248" s="333"/>
      <c r="P248" s="375">
        <v>45223</v>
      </c>
      <c r="Q248" s="429"/>
      <c r="R248" s="429"/>
      <c r="S248" s="373"/>
      <c r="T248" s="373"/>
      <c r="U248" s="373"/>
      <c r="V248" s="373"/>
      <c r="W248" s="346">
        <v>45308</v>
      </c>
      <c r="X248" s="373">
        <v>2</v>
      </c>
      <c r="Y248" s="336">
        <f t="shared" ca="1" si="3"/>
        <v>85</v>
      </c>
      <c r="Z248" s="373"/>
      <c r="AA248" s="336"/>
      <c r="AB248" s="373"/>
    </row>
    <row r="249" spans="1:28" s="338" customFormat="1" ht="12.75" customHeight="1" x14ac:dyDescent="0.25">
      <c r="A249" s="347" t="s">
        <v>788</v>
      </c>
      <c r="B249" s="376">
        <v>45323</v>
      </c>
      <c r="C249" s="364" t="s">
        <v>60</v>
      </c>
      <c r="D249" s="333" t="s">
        <v>789</v>
      </c>
      <c r="E249" s="333"/>
      <c r="F249" s="374" t="s">
        <v>790</v>
      </c>
      <c r="G249" s="372" t="s">
        <v>791</v>
      </c>
      <c r="H249" s="333">
        <v>24</v>
      </c>
      <c r="I249" s="333" t="s">
        <v>792</v>
      </c>
      <c r="J249" s="333" t="s">
        <v>541</v>
      </c>
      <c r="K249" s="332" t="s">
        <v>32</v>
      </c>
      <c r="L249" s="332"/>
      <c r="M249" s="333"/>
      <c r="N249" s="417"/>
      <c r="O249" s="417"/>
      <c r="P249" s="343"/>
      <c r="Q249" s="429"/>
      <c r="R249" s="429"/>
      <c r="S249" s="373"/>
      <c r="T249" s="373"/>
      <c r="U249" s="373"/>
      <c r="V249" s="373"/>
      <c r="W249" s="346"/>
      <c r="X249" s="373"/>
      <c r="Y249" s="336" t="str">
        <f t="shared" ca="1" si="3"/>
        <v/>
      </c>
      <c r="Z249" s="373"/>
      <c r="AA249" s="336"/>
      <c r="AB249" s="373"/>
    </row>
    <row r="250" spans="1:28" s="338" customFormat="1" ht="12.75" customHeight="1" x14ac:dyDescent="0.25">
      <c r="A250" s="347" t="s">
        <v>793</v>
      </c>
      <c r="B250" s="376">
        <v>45323</v>
      </c>
      <c r="C250" s="364" t="s">
        <v>60</v>
      </c>
      <c r="D250" s="333" t="s">
        <v>789</v>
      </c>
      <c r="E250" s="333"/>
      <c r="F250" s="427" t="s">
        <v>794</v>
      </c>
      <c r="G250" s="428" t="s">
        <v>795</v>
      </c>
      <c r="H250" s="415">
        <v>24</v>
      </c>
      <c r="I250" s="333" t="s">
        <v>792</v>
      </c>
      <c r="J250" s="333" t="s">
        <v>541</v>
      </c>
      <c r="K250" s="332" t="s">
        <v>32</v>
      </c>
      <c r="L250" s="332"/>
      <c r="M250" s="333"/>
      <c r="N250" s="417"/>
      <c r="O250" s="417"/>
      <c r="P250" s="343"/>
      <c r="Q250" s="429"/>
      <c r="R250" s="429"/>
      <c r="S250" s="373"/>
      <c r="T250" s="373"/>
      <c r="U250" s="373"/>
      <c r="V250" s="373"/>
      <c r="W250" s="346"/>
      <c r="X250" s="373"/>
      <c r="Y250" s="336" t="str">
        <f t="shared" ca="1" si="3"/>
        <v/>
      </c>
      <c r="Z250" s="373"/>
      <c r="AA250" s="336"/>
      <c r="AB250" s="373"/>
    </row>
    <row r="251" spans="1:28" s="338" customFormat="1" ht="12.75" customHeight="1" x14ac:dyDescent="0.25">
      <c r="A251" s="347" t="s">
        <v>796</v>
      </c>
      <c r="B251" s="376">
        <v>45323</v>
      </c>
      <c r="C251" s="364" t="s">
        <v>60</v>
      </c>
      <c r="D251" s="333" t="s">
        <v>789</v>
      </c>
      <c r="E251" s="333"/>
      <c r="F251" s="374" t="s">
        <v>797</v>
      </c>
      <c r="G251" s="372" t="s">
        <v>798</v>
      </c>
      <c r="H251" s="333">
        <v>24</v>
      </c>
      <c r="I251" s="333" t="s">
        <v>792</v>
      </c>
      <c r="J251" s="333" t="s">
        <v>541</v>
      </c>
      <c r="K251" s="332" t="s">
        <v>32</v>
      </c>
      <c r="L251" s="332"/>
      <c r="M251" s="333"/>
      <c r="N251" s="417"/>
      <c r="O251" s="417"/>
      <c r="P251" s="343"/>
      <c r="Q251" s="429"/>
      <c r="R251" s="429"/>
      <c r="S251" s="373"/>
      <c r="T251" s="373"/>
      <c r="U251" s="373"/>
      <c r="V251" s="373"/>
      <c r="W251" s="346"/>
      <c r="X251" s="373"/>
      <c r="Y251" s="336" t="str">
        <f t="shared" ca="1" si="3"/>
        <v/>
      </c>
      <c r="Z251" s="373"/>
      <c r="AA251" s="336"/>
      <c r="AB251" s="373"/>
    </row>
    <row r="252" spans="1:28" s="338" customFormat="1" ht="12.75" customHeight="1" x14ac:dyDescent="0.25">
      <c r="A252" s="347" t="s">
        <v>799</v>
      </c>
      <c r="B252" s="376">
        <v>45252</v>
      </c>
      <c r="C252" s="426" t="s">
        <v>60</v>
      </c>
      <c r="D252" s="333" t="s">
        <v>800</v>
      </c>
      <c r="E252" s="333"/>
      <c r="F252" s="374" t="s">
        <v>801</v>
      </c>
      <c r="G252" s="372" t="s">
        <v>802</v>
      </c>
      <c r="H252" s="333">
        <v>2</v>
      </c>
      <c r="I252" s="333">
        <v>89</v>
      </c>
      <c r="J252" s="333" t="s">
        <v>31</v>
      </c>
      <c r="K252" s="332" t="s">
        <v>32</v>
      </c>
      <c r="L252" s="332"/>
      <c r="M252" s="333"/>
      <c r="N252" s="333"/>
      <c r="O252" s="333"/>
      <c r="P252" s="375">
        <v>45274</v>
      </c>
      <c r="Q252" s="429"/>
      <c r="R252" s="429"/>
      <c r="S252" s="373"/>
      <c r="T252" s="373"/>
      <c r="U252" s="373"/>
      <c r="V252" s="373"/>
      <c r="W252" s="346">
        <v>45132</v>
      </c>
      <c r="X252" s="373"/>
      <c r="Y252" s="336"/>
      <c r="Z252" s="373"/>
      <c r="AA252" s="336"/>
      <c r="AB252" s="373"/>
    </row>
    <row r="253" spans="1:28" s="338" customFormat="1" ht="12.75" customHeight="1" x14ac:dyDescent="0.25">
      <c r="A253" s="347" t="s">
        <v>803</v>
      </c>
      <c r="B253" s="376">
        <v>45253</v>
      </c>
      <c r="C253" s="426" t="s">
        <v>60</v>
      </c>
      <c r="D253" s="333" t="s">
        <v>800</v>
      </c>
      <c r="E253" s="333" t="s">
        <v>33</v>
      </c>
      <c r="F253" s="374" t="s">
        <v>804</v>
      </c>
      <c r="G253" s="372" t="s">
        <v>805</v>
      </c>
      <c r="H253" s="333">
        <v>24</v>
      </c>
      <c r="I253" s="333" t="s">
        <v>806</v>
      </c>
      <c r="J253" s="333" t="s">
        <v>541</v>
      </c>
      <c r="K253" s="332" t="s">
        <v>32</v>
      </c>
      <c r="L253" s="332"/>
      <c r="M253" s="333"/>
      <c r="N253" s="333"/>
      <c r="O253" s="333"/>
      <c r="P253" s="375">
        <v>45274</v>
      </c>
      <c r="Q253" s="429"/>
      <c r="R253" s="429"/>
      <c r="S253" s="373"/>
      <c r="T253" s="373"/>
      <c r="U253" s="373"/>
      <c r="V253" s="373"/>
      <c r="W253" s="346"/>
      <c r="X253" s="373"/>
      <c r="Y253" s="336">
        <f t="shared" ref="Y253:Y260" ca="1" si="4">IF(P253="","",IF(W253="",TODAY()-P253,W253-P253))</f>
        <v>312</v>
      </c>
      <c r="Z253" s="373"/>
      <c r="AA253" s="336"/>
      <c r="AB253" s="373"/>
    </row>
    <row r="254" spans="1:28" s="338" customFormat="1" ht="12.75" customHeight="1" x14ac:dyDescent="0.25">
      <c r="A254" s="347" t="s">
        <v>807</v>
      </c>
      <c r="B254" s="376">
        <v>45253</v>
      </c>
      <c r="C254" s="426" t="s">
        <v>60</v>
      </c>
      <c r="D254" s="333" t="s">
        <v>800</v>
      </c>
      <c r="E254" s="333" t="s">
        <v>33</v>
      </c>
      <c r="F254" s="374" t="s">
        <v>794</v>
      </c>
      <c r="G254" s="372" t="s">
        <v>795</v>
      </c>
      <c r="H254" s="333">
        <v>24</v>
      </c>
      <c r="I254" s="333" t="s">
        <v>806</v>
      </c>
      <c r="J254" s="333" t="s">
        <v>541</v>
      </c>
      <c r="K254" s="332" t="s">
        <v>32</v>
      </c>
      <c r="L254" s="332"/>
      <c r="M254" s="333"/>
      <c r="N254" s="333"/>
      <c r="O254" s="333"/>
      <c r="P254" s="375">
        <v>45274</v>
      </c>
      <c r="Q254" s="429"/>
      <c r="R254" s="429"/>
      <c r="S254" s="373"/>
      <c r="T254" s="373"/>
      <c r="U254" s="373"/>
      <c r="V254" s="373"/>
      <c r="W254" s="346"/>
      <c r="X254" s="373"/>
      <c r="Y254" s="336">
        <f t="shared" ca="1" si="4"/>
        <v>312</v>
      </c>
      <c r="Z254" s="373"/>
      <c r="AA254" s="336"/>
      <c r="AB254" s="373"/>
    </row>
    <row r="255" spans="1:28" s="338" customFormat="1" ht="12.75" customHeight="1" x14ac:dyDescent="0.25">
      <c r="A255" s="347" t="s">
        <v>808</v>
      </c>
      <c r="B255" s="376">
        <v>45253</v>
      </c>
      <c r="C255" s="426" t="s">
        <v>60</v>
      </c>
      <c r="D255" s="333" t="s">
        <v>800</v>
      </c>
      <c r="E255" s="333" t="s">
        <v>33</v>
      </c>
      <c r="F255" s="374" t="s">
        <v>797</v>
      </c>
      <c r="G255" s="372" t="s">
        <v>798</v>
      </c>
      <c r="H255" s="333">
        <v>24</v>
      </c>
      <c r="I255" s="333" t="s">
        <v>806</v>
      </c>
      <c r="J255" s="333" t="s">
        <v>541</v>
      </c>
      <c r="K255" s="332" t="s">
        <v>32</v>
      </c>
      <c r="L255" s="332"/>
      <c r="M255" s="333"/>
      <c r="N255" s="333"/>
      <c r="O255" s="333"/>
      <c r="P255" s="375">
        <v>45274</v>
      </c>
      <c r="Q255" s="429"/>
      <c r="R255" s="429"/>
      <c r="S255" s="373"/>
      <c r="T255" s="373"/>
      <c r="U255" s="373"/>
      <c r="V255" s="373"/>
      <c r="W255" s="346"/>
      <c r="X255" s="373"/>
      <c r="Y255" s="336">
        <f t="shared" ca="1" si="4"/>
        <v>312</v>
      </c>
      <c r="Z255" s="373"/>
      <c r="AA255" s="336"/>
      <c r="AB255" s="373"/>
    </row>
    <row r="256" spans="1:28" s="338" customFormat="1" ht="12.75" customHeight="1" x14ac:dyDescent="0.25">
      <c r="A256" s="347" t="s">
        <v>809</v>
      </c>
      <c r="B256" s="376">
        <v>45167</v>
      </c>
      <c r="C256" s="426" t="s">
        <v>60</v>
      </c>
      <c r="D256" s="333" t="s">
        <v>810</v>
      </c>
      <c r="E256" s="333" t="s">
        <v>33</v>
      </c>
      <c r="F256" s="374" t="s">
        <v>811</v>
      </c>
      <c r="G256" s="372" t="s">
        <v>812</v>
      </c>
      <c r="H256" s="333">
        <v>4</v>
      </c>
      <c r="I256" s="333">
        <v>49</v>
      </c>
      <c r="J256" s="333" t="s">
        <v>46</v>
      </c>
      <c r="K256" s="332" t="s">
        <v>32</v>
      </c>
      <c r="L256" s="332"/>
      <c r="M256" s="333" t="s">
        <v>33</v>
      </c>
      <c r="N256" s="333"/>
      <c r="O256" s="333"/>
      <c r="P256" s="375">
        <v>45169</v>
      </c>
      <c r="Q256" s="429"/>
      <c r="R256" s="429"/>
      <c r="S256" s="373"/>
      <c r="T256" s="373"/>
      <c r="U256" s="373"/>
      <c r="V256" s="373"/>
      <c r="W256" s="346"/>
      <c r="X256" s="373"/>
      <c r="Y256" s="336">
        <f t="shared" ca="1" si="4"/>
        <v>417</v>
      </c>
      <c r="Z256" s="373"/>
      <c r="AA256" s="336"/>
      <c r="AB256" s="373"/>
    </row>
    <row r="257" spans="1:28" s="338" customFormat="1" ht="12.75" customHeight="1" x14ac:dyDescent="0.25">
      <c r="A257" s="347" t="s">
        <v>813</v>
      </c>
      <c r="B257" s="376">
        <v>45197</v>
      </c>
      <c r="C257" s="426" t="s">
        <v>60</v>
      </c>
      <c r="D257" s="333" t="s">
        <v>810</v>
      </c>
      <c r="E257" s="333" t="s">
        <v>814</v>
      </c>
      <c r="F257" s="389" t="s">
        <v>804</v>
      </c>
      <c r="G257" s="372" t="s">
        <v>815</v>
      </c>
      <c r="H257" s="333">
        <v>36</v>
      </c>
      <c r="I257" s="333" t="s">
        <v>816</v>
      </c>
      <c r="J257" s="333" t="s">
        <v>541</v>
      </c>
      <c r="K257" s="332" t="s">
        <v>32</v>
      </c>
      <c r="L257" s="332"/>
      <c r="M257" s="333"/>
      <c r="N257" s="333"/>
      <c r="O257" s="333"/>
      <c r="P257" s="375">
        <v>45274</v>
      </c>
      <c r="Q257" s="429"/>
      <c r="R257" s="429"/>
      <c r="S257" s="373"/>
      <c r="T257" s="373"/>
      <c r="U257" s="373"/>
      <c r="V257" s="373"/>
      <c r="W257" s="346"/>
      <c r="X257" s="373"/>
      <c r="Y257" s="336">
        <f t="shared" ca="1" si="4"/>
        <v>312</v>
      </c>
      <c r="Z257" s="373"/>
      <c r="AA257" s="336"/>
      <c r="AB257" s="373" t="s">
        <v>817</v>
      </c>
    </row>
    <row r="258" spans="1:28" s="338" customFormat="1" ht="12.75" customHeight="1" x14ac:dyDescent="0.25">
      <c r="A258" s="347" t="s">
        <v>818</v>
      </c>
      <c r="B258" s="376">
        <v>45253</v>
      </c>
      <c r="C258" s="426" t="s">
        <v>60</v>
      </c>
      <c r="D258" s="333" t="s">
        <v>810</v>
      </c>
      <c r="E258" s="333" t="s">
        <v>33</v>
      </c>
      <c r="F258" s="374" t="s">
        <v>804</v>
      </c>
      <c r="G258" s="372" t="s">
        <v>805</v>
      </c>
      <c r="H258" s="333">
        <v>24</v>
      </c>
      <c r="I258" s="333" t="s">
        <v>819</v>
      </c>
      <c r="J258" s="333" t="s">
        <v>541</v>
      </c>
      <c r="K258" s="332" t="s">
        <v>32</v>
      </c>
      <c r="L258" s="332"/>
      <c r="M258" s="333"/>
      <c r="N258" s="333"/>
      <c r="O258" s="333"/>
      <c r="P258" s="343">
        <v>45274</v>
      </c>
      <c r="Q258" s="429"/>
      <c r="R258" s="429"/>
      <c r="S258" s="373"/>
      <c r="T258" s="373"/>
      <c r="U258" s="373"/>
      <c r="V258" s="373"/>
      <c r="W258" s="346"/>
      <c r="X258" s="373"/>
      <c r="Y258" s="336">
        <f t="shared" ca="1" si="4"/>
        <v>312</v>
      </c>
      <c r="Z258" s="373"/>
      <c r="AA258" s="336"/>
      <c r="AB258" s="373" t="s">
        <v>817</v>
      </c>
    </row>
    <row r="259" spans="1:28" s="338" customFormat="1" ht="12.75" customHeight="1" x14ac:dyDescent="0.25">
      <c r="A259" s="347" t="s">
        <v>820</v>
      </c>
      <c r="B259" s="376">
        <v>45253</v>
      </c>
      <c r="C259" s="426" t="s">
        <v>60</v>
      </c>
      <c r="D259" s="333" t="s">
        <v>810</v>
      </c>
      <c r="E259" s="333"/>
      <c r="F259" s="374" t="s">
        <v>794</v>
      </c>
      <c r="G259" s="372" t="s">
        <v>795</v>
      </c>
      <c r="H259" s="333">
        <v>24</v>
      </c>
      <c r="I259" s="333" t="s">
        <v>819</v>
      </c>
      <c r="J259" s="333" t="s">
        <v>541</v>
      </c>
      <c r="K259" s="332" t="s">
        <v>32</v>
      </c>
      <c r="L259" s="332"/>
      <c r="M259" s="333"/>
      <c r="N259" s="333"/>
      <c r="O259" s="333"/>
      <c r="P259" s="375">
        <v>45274</v>
      </c>
      <c r="Q259" s="429"/>
      <c r="R259" s="429"/>
      <c r="S259" s="373"/>
      <c r="T259" s="373"/>
      <c r="U259" s="373"/>
      <c r="V259" s="373"/>
      <c r="W259" s="346"/>
      <c r="X259" s="373"/>
      <c r="Y259" s="336">
        <f t="shared" ca="1" si="4"/>
        <v>312</v>
      </c>
      <c r="Z259" s="373"/>
      <c r="AA259" s="336"/>
      <c r="AB259" s="373"/>
    </row>
    <row r="260" spans="1:28" s="338" customFormat="1" ht="12.75" customHeight="1" x14ac:dyDescent="0.25">
      <c r="A260" s="347" t="s">
        <v>821</v>
      </c>
      <c r="B260" s="376">
        <v>45253</v>
      </c>
      <c r="C260" s="426" t="s">
        <v>60</v>
      </c>
      <c r="D260" s="333" t="s">
        <v>810</v>
      </c>
      <c r="E260" s="333"/>
      <c r="F260" s="374" t="s">
        <v>822</v>
      </c>
      <c r="G260" s="372" t="s">
        <v>798</v>
      </c>
      <c r="H260" s="333">
        <v>24</v>
      </c>
      <c r="I260" s="333" t="s">
        <v>819</v>
      </c>
      <c r="J260" s="333" t="s">
        <v>541</v>
      </c>
      <c r="K260" s="332" t="s">
        <v>32</v>
      </c>
      <c r="L260" s="332"/>
      <c r="M260" s="333"/>
      <c r="N260" s="333"/>
      <c r="O260" s="333"/>
      <c r="P260" s="375">
        <v>45274</v>
      </c>
      <c r="Q260" s="429"/>
      <c r="R260" s="429"/>
      <c r="S260" s="373"/>
      <c r="T260" s="373"/>
      <c r="U260" s="373"/>
      <c r="V260" s="373"/>
      <c r="W260" s="346"/>
      <c r="X260" s="373"/>
      <c r="Y260" s="336">
        <f t="shared" ca="1" si="4"/>
        <v>312</v>
      </c>
      <c r="Z260" s="373"/>
      <c r="AA260" s="336"/>
      <c r="AB260" s="373"/>
    </row>
    <row r="261" spans="1:28" s="338" customFormat="1" ht="12.75" customHeight="1" x14ac:dyDescent="0.25">
      <c r="A261" s="347" t="s">
        <v>823</v>
      </c>
      <c r="B261" s="376">
        <v>45254</v>
      </c>
      <c r="C261" s="426" t="s">
        <v>60</v>
      </c>
      <c r="D261" s="333" t="s">
        <v>810</v>
      </c>
      <c r="E261" s="333" t="s">
        <v>33</v>
      </c>
      <c r="F261" s="374" t="s">
        <v>801</v>
      </c>
      <c r="G261" s="372" t="s">
        <v>824</v>
      </c>
      <c r="H261" s="333">
        <v>1</v>
      </c>
      <c r="I261" s="333">
        <v>51</v>
      </c>
      <c r="J261" s="333" t="s">
        <v>31</v>
      </c>
      <c r="K261" s="332" t="s">
        <v>32</v>
      </c>
      <c r="L261" s="332"/>
      <c r="M261" s="333"/>
      <c r="N261" s="333"/>
      <c r="O261" s="333"/>
      <c r="P261" s="343">
        <v>45259</v>
      </c>
      <c r="Q261" s="429"/>
      <c r="R261" s="429"/>
      <c r="S261" s="373"/>
      <c r="T261" s="373"/>
      <c r="U261" s="373"/>
      <c r="V261" s="373"/>
      <c r="W261" s="346">
        <v>45132</v>
      </c>
      <c r="X261" s="373"/>
      <c r="Y261" s="336"/>
      <c r="Z261" s="373"/>
      <c r="AA261" s="336"/>
      <c r="AB261" s="373" t="s">
        <v>825</v>
      </c>
    </row>
    <row r="262" spans="1:28" s="338" customFormat="1" ht="12.75" customHeight="1" x14ac:dyDescent="0.25">
      <c r="A262" s="347" t="s">
        <v>826</v>
      </c>
      <c r="B262" s="376">
        <v>45254</v>
      </c>
      <c r="C262" s="426" t="s">
        <v>60</v>
      </c>
      <c r="D262" s="333" t="s">
        <v>810</v>
      </c>
      <c r="E262" s="333" t="s">
        <v>33</v>
      </c>
      <c r="F262" s="374" t="s">
        <v>827</v>
      </c>
      <c r="G262" s="372" t="s">
        <v>828</v>
      </c>
      <c r="H262" s="333">
        <v>1</v>
      </c>
      <c r="I262" s="333">
        <v>51</v>
      </c>
      <c r="J262" s="333" t="s">
        <v>102</v>
      </c>
      <c r="K262" s="332" t="s">
        <v>69</v>
      </c>
      <c r="L262" s="332"/>
      <c r="M262" s="333"/>
      <c r="N262" s="417"/>
      <c r="O262" s="417"/>
      <c r="P262" s="375">
        <v>45274</v>
      </c>
      <c r="Q262" s="429"/>
      <c r="R262" s="429"/>
      <c r="S262" s="373"/>
      <c r="T262" s="373"/>
      <c r="U262" s="373"/>
      <c r="V262" s="373"/>
      <c r="W262" s="346">
        <v>45387</v>
      </c>
      <c r="X262" s="373"/>
      <c r="Y262" s="336">
        <f t="shared" ref="Y262:Y293" ca="1" si="5">IF(P262="","",IF(W262="",TODAY()-P262,W262-P262))</f>
        <v>113</v>
      </c>
      <c r="Z262" s="373"/>
      <c r="AA262" s="336"/>
      <c r="AB262" s="373"/>
    </row>
    <row r="263" spans="1:28" s="338" customFormat="1" ht="12.75" customHeight="1" x14ac:dyDescent="0.25">
      <c r="A263" s="347" t="s">
        <v>829</v>
      </c>
      <c r="B263" s="376">
        <v>45323</v>
      </c>
      <c r="C263" s="364" t="s">
        <v>60</v>
      </c>
      <c r="D263" s="333" t="s">
        <v>810</v>
      </c>
      <c r="E263" s="333"/>
      <c r="F263" s="374" t="s">
        <v>790</v>
      </c>
      <c r="G263" s="372" t="s">
        <v>805</v>
      </c>
      <c r="H263" s="333">
        <v>12</v>
      </c>
      <c r="I263" s="333">
        <v>53</v>
      </c>
      <c r="J263" s="333" t="s">
        <v>541</v>
      </c>
      <c r="K263" s="332" t="s">
        <v>32</v>
      </c>
      <c r="L263" s="332"/>
      <c r="M263" s="333"/>
      <c r="N263" s="417"/>
      <c r="O263" s="417"/>
      <c r="P263" s="343"/>
      <c r="Q263" s="429"/>
      <c r="R263" s="429"/>
      <c r="S263" s="373"/>
      <c r="T263" s="373"/>
      <c r="U263" s="373"/>
      <c r="V263" s="373"/>
      <c r="W263" s="346"/>
      <c r="X263" s="373"/>
      <c r="Y263" s="336" t="str">
        <f t="shared" ca="1" si="5"/>
        <v/>
      </c>
      <c r="Z263" s="373"/>
      <c r="AA263" s="336"/>
      <c r="AB263" s="373"/>
    </row>
    <row r="264" spans="1:28" s="338" customFormat="1" ht="12.75" customHeight="1" x14ac:dyDescent="0.25">
      <c r="A264" s="347" t="s">
        <v>830</v>
      </c>
      <c r="B264" s="376">
        <v>45175</v>
      </c>
      <c r="C264" s="426" t="s">
        <v>35</v>
      </c>
      <c r="D264" s="333" t="s">
        <v>83</v>
      </c>
      <c r="E264" s="333" t="s">
        <v>33</v>
      </c>
      <c r="F264" s="374" t="s">
        <v>831</v>
      </c>
      <c r="G264" s="372" t="s">
        <v>832</v>
      </c>
      <c r="H264" s="333">
        <v>1</v>
      </c>
      <c r="I264" s="333" t="s">
        <v>833</v>
      </c>
      <c r="J264" s="333" t="s">
        <v>265</v>
      </c>
      <c r="K264" s="332" t="s">
        <v>32</v>
      </c>
      <c r="L264" s="332"/>
      <c r="M264" s="333" t="s">
        <v>33</v>
      </c>
      <c r="N264" s="333"/>
      <c r="O264" s="333"/>
      <c r="P264" s="375">
        <v>45177</v>
      </c>
      <c r="Q264" s="429"/>
      <c r="R264" s="429"/>
      <c r="S264" s="373"/>
      <c r="T264" s="373"/>
      <c r="U264" s="373"/>
      <c r="V264" s="373"/>
      <c r="W264" s="346">
        <v>45257</v>
      </c>
      <c r="X264" s="373">
        <v>1</v>
      </c>
      <c r="Y264" s="336">
        <f t="shared" ca="1" si="5"/>
        <v>80</v>
      </c>
      <c r="Z264" s="373"/>
      <c r="AA264" s="336"/>
      <c r="AB264" s="373"/>
    </row>
    <row r="265" spans="1:28" s="338" customFormat="1" ht="12.75" customHeight="1" x14ac:dyDescent="0.25">
      <c r="A265" s="347" t="s">
        <v>834</v>
      </c>
      <c r="B265" s="376">
        <v>45323</v>
      </c>
      <c r="C265" s="364" t="s">
        <v>60</v>
      </c>
      <c r="D265" s="333" t="s">
        <v>810</v>
      </c>
      <c r="E265" s="333"/>
      <c r="F265" s="374" t="s">
        <v>794</v>
      </c>
      <c r="G265" s="372" t="s">
        <v>835</v>
      </c>
      <c r="H265" s="333">
        <v>12</v>
      </c>
      <c r="I265" s="333">
        <v>53</v>
      </c>
      <c r="J265" s="333" t="s">
        <v>541</v>
      </c>
      <c r="K265" s="332" t="s">
        <v>32</v>
      </c>
      <c r="L265" s="332"/>
      <c r="M265" s="333"/>
      <c r="N265" s="417"/>
      <c r="O265" s="417"/>
      <c r="P265" s="343"/>
      <c r="Q265" s="429"/>
      <c r="R265" s="429"/>
      <c r="S265" s="373"/>
      <c r="T265" s="373"/>
      <c r="U265" s="373"/>
      <c r="V265" s="373"/>
      <c r="W265" s="346"/>
      <c r="X265" s="373"/>
      <c r="Y265" s="336" t="str">
        <f t="shared" ca="1" si="5"/>
        <v/>
      </c>
      <c r="Z265" s="373"/>
      <c r="AA265" s="336"/>
      <c r="AB265" s="373"/>
    </row>
    <row r="266" spans="1:28" s="338" customFormat="1" ht="12.75" customHeight="1" x14ac:dyDescent="0.25">
      <c r="A266" s="347" t="s">
        <v>836</v>
      </c>
      <c r="B266" s="376">
        <v>45323</v>
      </c>
      <c r="C266" s="364" t="s">
        <v>60</v>
      </c>
      <c r="D266" s="333" t="s">
        <v>810</v>
      </c>
      <c r="E266" s="333"/>
      <c r="F266" s="374" t="s">
        <v>797</v>
      </c>
      <c r="G266" s="372" t="s">
        <v>798</v>
      </c>
      <c r="H266" s="333">
        <v>12</v>
      </c>
      <c r="I266" s="333">
        <v>53</v>
      </c>
      <c r="J266" s="333" t="s">
        <v>541</v>
      </c>
      <c r="K266" s="332" t="s">
        <v>32</v>
      </c>
      <c r="L266" s="332"/>
      <c r="M266" s="333"/>
      <c r="N266" s="417"/>
      <c r="O266" s="417"/>
      <c r="P266" s="343"/>
      <c r="Q266" s="429"/>
      <c r="R266" s="429"/>
      <c r="S266" s="373"/>
      <c r="T266" s="373"/>
      <c r="U266" s="373"/>
      <c r="V266" s="373"/>
      <c r="W266" s="346"/>
      <c r="X266" s="373"/>
      <c r="Y266" s="336" t="str">
        <f t="shared" ca="1" si="5"/>
        <v/>
      </c>
      <c r="Z266" s="373"/>
      <c r="AA266" s="336"/>
      <c r="AB266" s="373"/>
    </row>
    <row r="267" spans="1:28" s="338" customFormat="1" ht="12.75" customHeight="1" x14ac:dyDescent="0.25">
      <c r="A267" s="347" t="s">
        <v>837</v>
      </c>
      <c r="B267" s="376">
        <v>45273</v>
      </c>
      <c r="C267" s="426" t="s">
        <v>60</v>
      </c>
      <c r="D267" s="333" t="s">
        <v>838</v>
      </c>
      <c r="E267" s="333"/>
      <c r="F267" s="374" t="s">
        <v>839</v>
      </c>
      <c r="G267" s="372" t="s">
        <v>840</v>
      </c>
      <c r="H267" s="333">
        <v>12</v>
      </c>
      <c r="I267" s="333">
        <v>2</v>
      </c>
      <c r="J267" s="333" t="s">
        <v>43</v>
      </c>
      <c r="K267" s="332" t="s">
        <v>32</v>
      </c>
      <c r="L267" s="332"/>
      <c r="M267" s="333"/>
      <c r="N267" s="417"/>
      <c r="O267" s="417"/>
      <c r="P267" s="343">
        <v>45273</v>
      </c>
      <c r="Q267" s="429"/>
      <c r="R267" s="429"/>
      <c r="S267" s="373"/>
      <c r="T267" s="373"/>
      <c r="U267" s="373"/>
      <c r="V267" s="373"/>
      <c r="W267" s="346"/>
      <c r="X267" s="373"/>
      <c r="Y267" s="336">
        <f t="shared" ca="1" si="5"/>
        <v>313</v>
      </c>
      <c r="Z267" s="373"/>
      <c r="AA267" s="336"/>
      <c r="AB267" s="373" t="s">
        <v>841</v>
      </c>
    </row>
    <row r="268" spans="1:28" s="338" customFormat="1" ht="12.75" customHeight="1" x14ac:dyDescent="0.25">
      <c r="A268" s="347" t="s">
        <v>842</v>
      </c>
      <c r="B268" s="376">
        <v>45273</v>
      </c>
      <c r="C268" s="426" t="s">
        <v>60</v>
      </c>
      <c r="D268" s="333" t="s">
        <v>843</v>
      </c>
      <c r="E268" s="333" t="s">
        <v>844</v>
      </c>
      <c r="F268" s="374" t="s">
        <v>845</v>
      </c>
      <c r="G268" s="372" t="s">
        <v>846</v>
      </c>
      <c r="H268" s="333">
        <v>1</v>
      </c>
      <c r="I268" s="333">
        <v>3</v>
      </c>
      <c r="J268" s="333" t="s">
        <v>265</v>
      </c>
      <c r="K268" s="332" t="s">
        <v>32</v>
      </c>
      <c r="L268" s="332"/>
      <c r="M268" s="333"/>
      <c r="N268" s="417"/>
      <c r="O268" s="417"/>
      <c r="P268" s="343">
        <v>45273</v>
      </c>
      <c r="Q268" s="429"/>
      <c r="R268" s="429"/>
      <c r="S268" s="373"/>
      <c r="T268" s="373"/>
      <c r="U268" s="373"/>
      <c r="V268" s="373"/>
      <c r="W268" s="346"/>
      <c r="X268" s="373"/>
      <c r="Y268" s="336">
        <f t="shared" ca="1" si="5"/>
        <v>313</v>
      </c>
      <c r="Z268" s="373"/>
      <c r="AA268" s="336"/>
      <c r="AB268" s="373" t="s">
        <v>847</v>
      </c>
    </row>
    <row r="269" spans="1:28" s="338" customFormat="1" ht="12.75" customHeight="1" x14ac:dyDescent="0.25">
      <c r="A269" s="347" t="s">
        <v>848</v>
      </c>
      <c r="B269" s="376">
        <v>45160</v>
      </c>
      <c r="C269" s="426" t="s">
        <v>60</v>
      </c>
      <c r="D269" s="333" t="s">
        <v>849</v>
      </c>
      <c r="E269" s="333" t="s">
        <v>850</v>
      </c>
      <c r="F269" s="374" t="s">
        <v>851</v>
      </c>
      <c r="G269" s="372" t="s">
        <v>852</v>
      </c>
      <c r="H269" s="333">
        <v>1</v>
      </c>
      <c r="I269" s="333">
        <v>10</v>
      </c>
      <c r="J269" s="333" t="s">
        <v>31</v>
      </c>
      <c r="K269" s="332" t="s">
        <v>32</v>
      </c>
      <c r="L269" s="332"/>
      <c r="M269" s="333" t="s">
        <v>33</v>
      </c>
      <c r="N269" s="333"/>
      <c r="O269" s="333"/>
      <c r="P269" s="375">
        <v>45160</v>
      </c>
      <c r="Q269" s="429"/>
      <c r="R269" s="429"/>
      <c r="S269" s="373"/>
      <c r="T269" s="373"/>
      <c r="U269" s="373"/>
      <c r="V269" s="373"/>
      <c r="W269" s="346"/>
      <c r="X269" s="373"/>
      <c r="Y269" s="336">
        <f t="shared" ca="1" si="5"/>
        <v>426</v>
      </c>
      <c r="Z269" s="373"/>
      <c r="AA269" s="336"/>
      <c r="AB269" s="373"/>
    </row>
    <row r="270" spans="1:28" s="338" customFormat="1" ht="12.75" customHeight="1" x14ac:dyDescent="0.25">
      <c r="A270" s="347" t="s">
        <v>853</v>
      </c>
      <c r="B270" s="376">
        <v>45160</v>
      </c>
      <c r="C270" s="426" t="s">
        <v>60</v>
      </c>
      <c r="D270" s="333" t="s">
        <v>849</v>
      </c>
      <c r="E270" s="333" t="s">
        <v>854</v>
      </c>
      <c r="F270" s="374" t="s">
        <v>851</v>
      </c>
      <c r="G270" s="372" t="s">
        <v>855</v>
      </c>
      <c r="H270" s="333">
        <v>1</v>
      </c>
      <c r="I270" s="333">
        <v>10</v>
      </c>
      <c r="J270" s="333" t="s">
        <v>31</v>
      </c>
      <c r="K270" s="332" t="s">
        <v>32</v>
      </c>
      <c r="L270" s="332"/>
      <c r="M270" s="333" t="s">
        <v>33</v>
      </c>
      <c r="N270" s="333"/>
      <c r="O270" s="333"/>
      <c r="P270" s="375">
        <v>45160</v>
      </c>
      <c r="Q270" s="429"/>
      <c r="R270" s="429"/>
      <c r="S270" s="373"/>
      <c r="T270" s="373"/>
      <c r="U270" s="373"/>
      <c r="V270" s="373"/>
      <c r="W270" s="346"/>
      <c r="X270" s="373"/>
      <c r="Y270" s="336">
        <f t="shared" ca="1" si="5"/>
        <v>426</v>
      </c>
      <c r="Z270" s="373"/>
      <c r="AA270" s="336"/>
      <c r="AB270" s="373"/>
    </row>
    <row r="271" spans="1:28" s="338" customFormat="1" ht="12.75" customHeight="1" x14ac:dyDescent="0.25">
      <c r="A271" s="347" t="s">
        <v>856</v>
      </c>
      <c r="B271" s="376">
        <v>45160</v>
      </c>
      <c r="C271" s="426" t="s">
        <v>60</v>
      </c>
      <c r="D271" s="333" t="s">
        <v>849</v>
      </c>
      <c r="E271" s="333" t="s">
        <v>857</v>
      </c>
      <c r="F271" s="374" t="s">
        <v>858</v>
      </c>
      <c r="G271" s="372" t="s">
        <v>859</v>
      </c>
      <c r="H271" s="333">
        <v>1</v>
      </c>
      <c r="I271" s="333">
        <v>8</v>
      </c>
      <c r="J271" s="333" t="s">
        <v>31</v>
      </c>
      <c r="K271" s="332" t="s">
        <v>32</v>
      </c>
      <c r="L271" s="332"/>
      <c r="M271" s="333" t="s">
        <v>33</v>
      </c>
      <c r="N271" s="333"/>
      <c r="O271" s="333"/>
      <c r="P271" s="375">
        <v>45160</v>
      </c>
      <c r="Q271" s="429"/>
      <c r="R271" s="429"/>
      <c r="S271" s="373"/>
      <c r="T271" s="373"/>
      <c r="U271" s="373"/>
      <c r="V271" s="373"/>
      <c r="W271" s="346"/>
      <c r="X271" s="373"/>
      <c r="Y271" s="336">
        <f t="shared" ca="1" si="5"/>
        <v>426</v>
      </c>
      <c r="Z271" s="373"/>
      <c r="AA271" s="336"/>
      <c r="AB271" s="373"/>
    </row>
    <row r="272" spans="1:28" s="338" customFormat="1" ht="12.75" customHeight="1" x14ac:dyDescent="0.25">
      <c r="A272" s="347" t="s">
        <v>860</v>
      </c>
      <c r="B272" s="376">
        <v>45160</v>
      </c>
      <c r="C272" s="426" t="s">
        <v>60</v>
      </c>
      <c r="D272" s="333" t="s">
        <v>849</v>
      </c>
      <c r="E272" s="333" t="s">
        <v>861</v>
      </c>
      <c r="F272" s="374" t="s">
        <v>862</v>
      </c>
      <c r="G272" s="372" t="s">
        <v>863</v>
      </c>
      <c r="H272" s="333">
        <v>1</v>
      </c>
      <c r="I272" s="333">
        <v>6</v>
      </c>
      <c r="J272" s="333" t="s">
        <v>31</v>
      </c>
      <c r="K272" s="332" t="s">
        <v>32</v>
      </c>
      <c r="L272" s="332"/>
      <c r="M272" s="333" t="s">
        <v>33</v>
      </c>
      <c r="N272" s="333"/>
      <c r="O272" s="333"/>
      <c r="P272" s="375">
        <v>45160</v>
      </c>
      <c r="Q272" s="429"/>
      <c r="R272" s="429"/>
      <c r="S272" s="373"/>
      <c r="T272" s="373"/>
      <c r="U272" s="373"/>
      <c r="V272" s="373"/>
      <c r="W272" s="346"/>
      <c r="X272" s="373"/>
      <c r="Y272" s="336">
        <f t="shared" ca="1" si="5"/>
        <v>426</v>
      </c>
      <c r="Z272" s="373"/>
      <c r="AA272" s="336"/>
      <c r="AB272" s="373"/>
    </row>
    <row r="273" spans="1:28" s="338" customFormat="1" ht="12.75" customHeight="1" x14ac:dyDescent="0.25">
      <c r="A273" s="347" t="s">
        <v>864</v>
      </c>
      <c r="B273" s="376">
        <v>45160</v>
      </c>
      <c r="C273" s="426" t="s">
        <v>60</v>
      </c>
      <c r="D273" s="333" t="s">
        <v>849</v>
      </c>
      <c r="E273" s="333" t="s">
        <v>861</v>
      </c>
      <c r="F273" s="374" t="s">
        <v>865</v>
      </c>
      <c r="G273" s="372" t="s">
        <v>866</v>
      </c>
      <c r="H273" s="333">
        <v>1</v>
      </c>
      <c r="I273" s="333">
        <v>10</v>
      </c>
      <c r="J273" s="333" t="s">
        <v>31</v>
      </c>
      <c r="K273" s="332" t="s">
        <v>32</v>
      </c>
      <c r="L273" s="332"/>
      <c r="M273" s="333" t="s">
        <v>33</v>
      </c>
      <c r="N273" s="333"/>
      <c r="O273" s="333"/>
      <c r="P273" s="375">
        <v>45160</v>
      </c>
      <c r="Q273" s="429"/>
      <c r="R273" s="429"/>
      <c r="S273" s="373"/>
      <c r="T273" s="373"/>
      <c r="U273" s="373"/>
      <c r="V273" s="373"/>
      <c r="W273" s="346"/>
      <c r="X273" s="373"/>
      <c r="Y273" s="336">
        <f t="shared" ca="1" si="5"/>
        <v>426</v>
      </c>
      <c r="Z273" s="373"/>
      <c r="AA273" s="336"/>
      <c r="AB273" s="373"/>
    </row>
    <row r="274" spans="1:28" s="338" customFormat="1" ht="12.75" customHeight="1" x14ac:dyDescent="0.25">
      <c r="A274" s="347" t="s">
        <v>867</v>
      </c>
      <c r="B274" s="376">
        <v>45160</v>
      </c>
      <c r="C274" s="426" t="s">
        <v>60</v>
      </c>
      <c r="D274" s="333" t="s">
        <v>849</v>
      </c>
      <c r="E274" s="333" t="s">
        <v>861</v>
      </c>
      <c r="F274" s="374" t="s">
        <v>868</v>
      </c>
      <c r="G274" s="372" t="s">
        <v>869</v>
      </c>
      <c r="H274" s="333">
        <v>1</v>
      </c>
      <c r="I274" s="333">
        <v>10</v>
      </c>
      <c r="J274" s="333" t="s">
        <v>31</v>
      </c>
      <c r="K274" s="332" t="s">
        <v>32</v>
      </c>
      <c r="L274" s="332"/>
      <c r="M274" s="333" t="s">
        <v>33</v>
      </c>
      <c r="N274" s="333"/>
      <c r="O274" s="333"/>
      <c r="P274" s="375">
        <v>45160</v>
      </c>
      <c r="Q274" s="429"/>
      <c r="R274" s="429"/>
      <c r="S274" s="373"/>
      <c r="T274" s="373"/>
      <c r="U274" s="373"/>
      <c r="V274" s="373"/>
      <c r="W274" s="346"/>
      <c r="X274" s="373"/>
      <c r="Y274" s="336">
        <f t="shared" ca="1" si="5"/>
        <v>426</v>
      </c>
      <c r="Z274" s="373"/>
      <c r="AA274" s="336"/>
      <c r="AB274" s="373"/>
    </row>
    <row r="275" spans="1:28" s="338" customFormat="1" ht="12.75" customHeight="1" x14ac:dyDescent="0.25">
      <c r="A275" s="347" t="s">
        <v>870</v>
      </c>
      <c r="B275" s="376">
        <v>45170</v>
      </c>
      <c r="C275" s="426" t="s">
        <v>60</v>
      </c>
      <c r="D275" s="333" t="s">
        <v>849</v>
      </c>
      <c r="E275" s="333" t="s">
        <v>871</v>
      </c>
      <c r="F275" s="374" t="s">
        <v>872</v>
      </c>
      <c r="G275" s="372" t="s">
        <v>873</v>
      </c>
      <c r="H275" s="333">
        <v>2</v>
      </c>
      <c r="I275" s="333">
        <v>10</v>
      </c>
      <c r="J275" s="333" t="s">
        <v>31</v>
      </c>
      <c r="K275" s="332" t="s">
        <v>32</v>
      </c>
      <c r="L275" s="332"/>
      <c r="M275" s="333" t="s">
        <v>33</v>
      </c>
      <c r="N275" s="333"/>
      <c r="O275" s="333"/>
      <c r="P275" s="375">
        <v>45169</v>
      </c>
      <c r="Q275" s="429"/>
      <c r="R275" s="429"/>
      <c r="S275" s="373"/>
      <c r="T275" s="373"/>
      <c r="U275" s="373"/>
      <c r="V275" s="373"/>
      <c r="W275" s="346">
        <v>45303</v>
      </c>
      <c r="X275" s="373"/>
      <c r="Y275" s="336">
        <f t="shared" ca="1" si="5"/>
        <v>134</v>
      </c>
      <c r="Z275" s="373"/>
      <c r="AA275" s="336"/>
      <c r="AB275" s="373"/>
    </row>
    <row r="276" spans="1:28" s="338" customFormat="1" ht="12.75" customHeight="1" x14ac:dyDescent="0.25">
      <c r="A276" s="347" t="s">
        <v>874</v>
      </c>
      <c r="B276" s="376">
        <v>45145</v>
      </c>
      <c r="C276" s="426" t="s">
        <v>60</v>
      </c>
      <c r="D276" s="333" t="s">
        <v>875</v>
      </c>
      <c r="E276" s="333" t="s">
        <v>876</v>
      </c>
      <c r="F276" s="374" t="s">
        <v>877</v>
      </c>
      <c r="G276" s="372" t="s">
        <v>878</v>
      </c>
      <c r="H276" s="333">
        <v>1</v>
      </c>
      <c r="I276" s="333">
        <v>350</v>
      </c>
      <c r="J276" s="333" t="s">
        <v>68</v>
      </c>
      <c r="K276" s="332" t="s">
        <v>69</v>
      </c>
      <c r="L276" s="332"/>
      <c r="M276" s="333" t="s">
        <v>278</v>
      </c>
      <c r="N276" s="333"/>
      <c r="O276" s="333"/>
      <c r="P276" s="375">
        <v>45153</v>
      </c>
      <c r="Q276" s="429"/>
      <c r="R276" s="429"/>
      <c r="S276" s="373"/>
      <c r="T276" s="373"/>
      <c r="U276" s="373"/>
      <c r="V276" s="373"/>
      <c r="W276" s="346"/>
      <c r="X276" s="373"/>
      <c r="Y276" s="336">
        <f t="shared" ca="1" si="5"/>
        <v>433</v>
      </c>
      <c r="Z276" s="373"/>
      <c r="AA276" s="336"/>
      <c r="AB276" s="373"/>
    </row>
    <row r="277" spans="1:28" s="338" customFormat="1" ht="12.75" customHeight="1" x14ac:dyDescent="0.25">
      <c r="A277" s="347" t="s">
        <v>879</v>
      </c>
      <c r="B277" s="376">
        <v>45160</v>
      </c>
      <c r="C277" s="426" t="s">
        <v>60</v>
      </c>
      <c r="D277" s="333" t="s">
        <v>880</v>
      </c>
      <c r="E277" s="333" t="s">
        <v>33</v>
      </c>
      <c r="F277" s="374" t="s">
        <v>881</v>
      </c>
      <c r="G277" s="372" t="s">
        <v>882</v>
      </c>
      <c r="H277" s="333">
        <v>2</v>
      </c>
      <c r="I277" s="333">
        <v>356</v>
      </c>
      <c r="J277" s="333" t="s">
        <v>46</v>
      </c>
      <c r="K277" s="332" t="s">
        <v>32</v>
      </c>
      <c r="L277" s="332"/>
      <c r="M277" s="333" t="s">
        <v>33</v>
      </c>
      <c r="N277" s="333"/>
      <c r="O277" s="333"/>
      <c r="P277" s="375">
        <v>45160</v>
      </c>
      <c r="Q277" s="429"/>
      <c r="R277" s="429"/>
      <c r="S277" s="373"/>
      <c r="T277" s="373"/>
      <c r="U277" s="373"/>
      <c r="V277" s="373"/>
      <c r="W277" s="346">
        <v>45303</v>
      </c>
      <c r="X277" s="373"/>
      <c r="Y277" s="336">
        <f t="shared" ca="1" si="5"/>
        <v>143</v>
      </c>
      <c r="Z277" s="373"/>
      <c r="AA277" s="336"/>
      <c r="AB277" s="373"/>
    </row>
    <row r="278" spans="1:28" s="338" customFormat="1" ht="12.75" customHeight="1" x14ac:dyDescent="0.25">
      <c r="A278" s="347" t="s">
        <v>883</v>
      </c>
      <c r="B278" s="376">
        <v>45160</v>
      </c>
      <c r="C278" s="426" t="s">
        <v>60</v>
      </c>
      <c r="D278" s="333" t="s">
        <v>880</v>
      </c>
      <c r="E278" s="333" t="s">
        <v>33</v>
      </c>
      <c r="F278" s="374" t="s">
        <v>884</v>
      </c>
      <c r="G278" s="372" t="s">
        <v>885</v>
      </c>
      <c r="H278" s="333">
        <v>150</v>
      </c>
      <c r="I278" s="333">
        <v>356</v>
      </c>
      <c r="J278" s="333" t="s">
        <v>46</v>
      </c>
      <c r="K278" s="332" t="s">
        <v>32</v>
      </c>
      <c r="L278" s="332"/>
      <c r="M278" s="333" t="s">
        <v>33</v>
      </c>
      <c r="N278" s="333"/>
      <c r="O278" s="333"/>
      <c r="P278" s="375">
        <v>45160</v>
      </c>
      <c r="Q278" s="429"/>
      <c r="R278" s="429"/>
      <c r="S278" s="373"/>
      <c r="T278" s="373"/>
      <c r="U278" s="373"/>
      <c r="V278" s="373"/>
      <c r="W278" s="346"/>
      <c r="X278" s="373"/>
      <c r="Y278" s="336">
        <f t="shared" ca="1" si="5"/>
        <v>426</v>
      </c>
      <c r="Z278" s="373"/>
      <c r="AA278" s="336"/>
      <c r="AB278" s="373"/>
    </row>
    <row r="279" spans="1:28" s="338" customFormat="1" ht="12.75" customHeight="1" x14ac:dyDescent="0.25">
      <c r="A279" s="347" t="s">
        <v>886</v>
      </c>
      <c r="B279" s="376">
        <v>45167</v>
      </c>
      <c r="C279" s="426" t="s">
        <v>60</v>
      </c>
      <c r="D279" s="333" t="s">
        <v>880</v>
      </c>
      <c r="E279" s="333" t="s">
        <v>33</v>
      </c>
      <c r="F279" s="365" t="s">
        <v>887</v>
      </c>
      <c r="G279" s="366" t="s">
        <v>888</v>
      </c>
      <c r="H279" s="364">
        <v>1</v>
      </c>
      <c r="I279" s="333">
        <v>350</v>
      </c>
      <c r="J279" s="333" t="s">
        <v>31</v>
      </c>
      <c r="K279" s="332" t="s">
        <v>32</v>
      </c>
      <c r="L279" s="332"/>
      <c r="M279" s="333" t="s">
        <v>33</v>
      </c>
      <c r="N279" s="333"/>
      <c r="O279" s="333"/>
      <c r="P279" s="375">
        <v>45169</v>
      </c>
      <c r="Q279" s="429"/>
      <c r="R279" s="429"/>
      <c r="S279" s="369"/>
      <c r="T279" s="369"/>
      <c r="U279" s="369"/>
      <c r="V279" s="369"/>
      <c r="W279" s="370">
        <v>45275</v>
      </c>
      <c r="X279" s="369"/>
      <c r="Y279" s="336">
        <f t="shared" ca="1" si="5"/>
        <v>106</v>
      </c>
      <c r="Z279" s="369"/>
      <c r="AA279" s="336"/>
      <c r="AB279" s="373"/>
    </row>
    <row r="280" spans="1:28" s="338" customFormat="1" ht="12.75" customHeight="1" x14ac:dyDescent="0.25">
      <c r="A280" s="347" t="s">
        <v>889</v>
      </c>
      <c r="B280" s="376">
        <v>45175</v>
      </c>
      <c r="C280" s="425" t="s">
        <v>26</v>
      </c>
      <c r="D280" s="333" t="s">
        <v>890</v>
      </c>
      <c r="E280" s="333">
        <v>40323224</v>
      </c>
      <c r="F280" s="374">
        <v>20216393</v>
      </c>
      <c r="G280" s="372" t="s">
        <v>891</v>
      </c>
      <c r="H280" s="333">
        <v>3</v>
      </c>
      <c r="I280" s="333" t="s">
        <v>892</v>
      </c>
      <c r="J280" s="333" t="s">
        <v>46</v>
      </c>
      <c r="K280" s="332" t="s">
        <v>32</v>
      </c>
      <c r="L280" s="332"/>
      <c r="M280" s="333" t="s">
        <v>33</v>
      </c>
      <c r="N280" s="333"/>
      <c r="O280" s="333"/>
      <c r="P280" s="375">
        <v>45174</v>
      </c>
      <c r="Q280" s="333"/>
      <c r="R280" s="333"/>
      <c r="S280" s="373"/>
      <c r="T280" s="373"/>
      <c r="U280" s="373"/>
      <c r="V280" s="373"/>
      <c r="W280" s="341">
        <v>45377</v>
      </c>
      <c r="X280" s="373"/>
      <c r="Y280" s="336">
        <f t="shared" ca="1" si="5"/>
        <v>203</v>
      </c>
      <c r="Z280" s="373"/>
      <c r="AA280" s="336"/>
    </row>
    <row r="281" spans="1:28" s="338" customFormat="1" ht="12.75" customHeight="1" x14ac:dyDescent="0.25">
      <c r="A281" s="347" t="s">
        <v>893</v>
      </c>
      <c r="B281" s="376">
        <v>45175</v>
      </c>
      <c r="C281" s="425" t="s">
        <v>26</v>
      </c>
      <c r="D281" s="333" t="s">
        <v>890</v>
      </c>
      <c r="E281" s="333">
        <v>4032329</v>
      </c>
      <c r="F281" s="374">
        <v>20219381</v>
      </c>
      <c r="G281" s="372" t="s">
        <v>894</v>
      </c>
      <c r="H281" s="333">
        <v>3</v>
      </c>
      <c r="I281" s="333" t="s">
        <v>892</v>
      </c>
      <c r="J281" s="333" t="s">
        <v>43</v>
      </c>
      <c r="K281" s="332" t="s">
        <v>32</v>
      </c>
      <c r="L281" s="332"/>
      <c r="M281" s="333" t="s">
        <v>33</v>
      </c>
      <c r="N281" s="333"/>
      <c r="O281" s="333"/>
      <c r="P281" s="375">
        <v>45086</v>
      </c>
      <c r="Q281" s="333"/>
      <c r="R281" s="333"/>
      <c r="S281" s="373"/>
      <c r="T281" s="373"/>
      <c r="U281" s="373"/>
      <c r="V281" s="373"/>
      <c r="W281" s="341">
        <v>45377</v>
      </c>
      <c r="X281" s="373"/>
      <c r="Y281" s="336">
        <f t="shared" ca="1" si="5"/>
        <v>291</v>
      </c>
      <c r="Z281" s="373"/>
      <c r="AA281" s="336"/>
    </row>
    <row r="282" spans="1:28" s="338" customFormat="1" ht="12.75" customHeight="1" x14ac:dyDescent="0.25">
      <c r="A282" s="347" t="s">
        <v>895</v>
      </c>
      <c r="B282" s="376">
        <v>45175</v>
      </c>
      <c r="C282" s="425" t="s">
        <v>26</v>
      </c>
      <c r="D282" s="333" t="s">
        <v>890</v>
      </c>
      <c r="E282" s="333">
        <v>4032332</v>
      </c>
      <c r="F282" s="374">
        <v>20228427</v>
      </c>
      <c r="G282" s="372" t="s">
        <v>896</v>
      </c>
      <c r="H282" s="333">
        <v>3</v>
      </c>
      <c r="I282" s="333" t="s">
        <v>892</v>
      </c>
      <c r="J282" s="333" t="s">
        <v>46</v>
      </c>
      <c r="K282" s="332" t="s">
        <v>32</v>
      </c>
      <c r="L282" s="332"/>
      <c r="M282" s="333" t="s">
        <v>33</v>
      </c>
      <c r="N282" s="333"/>
      <c r="O282" s="333"/>
      <c r="P282" s="375">
        <v>45086</v>
      </c>
      <c r="Q282" s="333"/>
      <c r="R282" s="333"/>
      <c r="S282" s="373"/>
      <c r="T282" s="373"/>
      <c r="U282" s="373"/>
      <c r="V282" s="373"/>
      <c r="W282" s="341">
        <v>45377</v>
      </c>
      <c r="X282" s="373"/>
      <c r="Y282" s="336">
        <f t="shared" ca="1" si="5"/>
        <v>291</v>
      </c>
      <c r="Z282" s="373"/>
      <c r="AA282" s="336"/>
    </row>
    <row r="283" spans="1:28" s="338" customFormat="1" ht="12.75" customHeight="1" x14ac:dyDescent="0.25">
      <c r="A283" s="347" t="s">
        <v>897</v>
      </c>
      <c r="B283" s="376">
        <v>45170</v>
      </c>
      <c r="C283" s="425" t="s">
        <v>60</v>
      </c>
      <c r="D283" s="333" t="s">
        <v>880</v>
      </c>
      <c r="E283" s="333" t="s">
        <v>898</v>
      </c>
      <c r="F283" s="374">
        <v>1105406101</v>
      </c>
      <c r="G283" s="372" t="s">
        <v>899</v>
      </c>
      <c r="H283" s="333">
        <v>24</v>
      </c>
      <c r="I283" s="333">
        <v>350</v>
      </c>
      <c r="J283" s="333" t="s">
        <v>102</v>
      </c>
      <c r="K283" s="332" t="s">
        <v>69</v>
      </c>
      <c r="L283" s="332"/>
      <c r="M283" s="333" t="s">
        <v>278</v>
      </c>
      <c r="N283" s="333"/>
      <c r="O283" s="333"/>
      <c r="P283" s="375">
        <v>45169</v>
      </c>
      <c r="Q283" s="333"/>
      <c r="R283" s="333"/>
      <c r="S283" s="373"/>
      <c r="T283" s="373"/>
      <c r="U283" s="373"/>
      <c r="V283" s="373"/>
      <c r="W283" s="346"/>
      <c r="X283" s="373"/>
      <c r="Y283" s="336">
        <f t="shared" ca="1" si="5"/>
        <v>417</v>
      </c>
      <c r="Z283" s="373"/>
      <c r="AA283" s="434"/>
      <c r="AB283" s="373"/>
    </row>
    <row r="284" spans="1:28" s="338" customFormat="1" ht="12.75" customHeight="1" x14ac:dyDescent="0.25">
      <c r="A284" s="347" t="s">
        <v>900</v>
      </c>
      <c r="B284" s="376">
        <v>45175</v>
      </c>
      <c r="C284" s="425" t="s">
        <v>60</v>
      </c>
      <c r="D284" s="333" t="s">
        <v>880</v>
      </c>
      <c r="E284" s="333" t="s">
        <v>901</v>
      </c>
      <c r="F284" s="374" t="s">
        <v>902</v>
      </c>
      <c r="G284" s="372" t="s">
        <v>903</v>
      </c>
      <c r="H284" s="333">
        <v>1</v>
      </c>
      <c r="I284" s="333">
        <v>357</v>
      </c>
      <c r="J284" s="333" t="s">
        <v>68</v>
      </c>
      <c r="K284" s="332" t="s">
        <v>69</v>
      </c>
      <c r="L284" s="332"/>
      <c r="M284" s="333"/>
      <c r="N284" s="333"/>
      <c r="O284" s="333"/>
      <c r="P284" s="375">
        <v>45174</v>
      </c>
      <c r="Q284" s="333"/>
      <c r="R284" s="333"/>
      <c r="S284" s="373"/>
      <c r="T284" s="373"/>
      <c r="U284" s="373"/>
      <c r="V284" s="373"/>
      <c r="W284" s="346"/>
      <c r="X284" s="373"/>
      <c r="Y284" s="336">
        <f t="shared" ca="1" si="5"/>
        <v>412</v>
      </c>
      <c r="Z284" s="373"/>
      <c r="AA284" s="434"/>
      <c r="AB284" s="373"/>
    </row>
    <row r="285" spans="1:28" s="338" customFormat="1" ht="12.75" customHeight="1" x14ac:dyDescent="0.25">
      <c r="A285" s="347" t="s">
        <v>904</v>
      </c>
      <c r="B285" s="376">
        <v>45184</v>
      </c>
      <c r="C285" s="425" t="s">
        <v>60</v>
      </c>
      <c r="D285" s="333" t="s">
        <v>880</v>
      </c>
      <c r="E285" s="333" t="s">
        <v>33</v>
      </c>
      <c r="F285" s="374"/>
      <c r="G285" s="372" t="s">
        <v>905</v>
      </c>
      <c r="H285" s="333">
        <v>1</v>
      </c>
      <c r="I285" s="333">
        <v>359</v>
      </c>
      <c r="J285" s="333" t="s">
        <v>43</v>
      </c>
      <c r="K285" s="332" t="s">
        <v>32</v>
      </c>
      <c r="L285" s="332"/>
      <c r="M285" s="333"/>
      <c r="N285" s="333"/>
      <c r="O285" s="333"/>
      <c r="P285" s="375">
        <v>45205</v>
      </c>
      <c r="Q285" s="333"/>
      <c r="R285" s="333"/>
      <c r="S285" s="373"/>
      <c r="T285" s="373"/>
      <c r="U285" s="373"/>
      <c r="V285" s="373"/>
      <c r="W285" s="346"/>
      <c r="X285" s="373"/>
      <c r="Y285" s="336">
        <f t="shared" ca="1" si="5"/>
        <v>381</v>
      </c>
      <c r="Z285" s="373"/>
      <c r="AA285" s="336"/>
    </row>
    <row r="286" spans="1:28" s="338" customFormat="1" ht="12.75" customHeight="1" x14ac:dyDescent="0.25">
      <c r="A286" s="347" t="s">
        <v>906</v>
      </c>
      <c r="B286" s="363">
        <v>45184</v>
      </c>
      <c r="C286" s="426" t="s">
        <v>60</v>
      </c>
      <c r="D286" s="364" t="s">
        <v>880</v>
      </c>
      <c r="E286" s="364" t="s">
        <v>33</v>
      </c>
      <c r="F286" s="365"/>
      <c r="G286" s="366" t="s">
        <v>907</v>
      </c>
      <c r="H286" s="364">
        <v>1</v>
      </c>
      <c r="I286" s="364">
        <v>359</v>
      </c>
      <c r="J286" s="364" t="s">
        <v>43</v>
      </c>
      <c r="K286" s="368" t="s">
        <v>32</v>
      </c>
      <c r="L286" s="332"/>
      <c r="M286" s="333"/>
      <c r="N286" s="333"/>
      <c r="O286" s="333"/>
      <c r="P286" s="435">
        <v>45205</v>
      </c>
      <c r="Q286" s="333"/>
      <c r="R286" s="333"/>
      <c r="S286" s="369"/>
      <c r="T286" s="369"/>
      <c r="U286" s="369"/>
      <c r="V286" s="369"/>
      <c r="W286" s="370"/>
      <c r="X286" s="369"/>
      <c r="Y286" s="336">
        <f t="shared" ca="1" si="5"/>
        <v>381</v>
      </c>
      <c r="Z286" s="369"/>
      <c r="AA286" s="434"/>
      <c r="AB286" s="373"/>
    </row>
    <row r="287" spans="1:28" s="338" customFormat="1" ht="12.75" customHeight="1" x14ac:dyDescent="0.25">
      <c r="A287" s="347" t="s">
        <v>908</v>
      </c>
      <c r="B287" s="363">
        <v>45188</v>
      </c>
      <c r="C287" s="425" t="s">
        <v>60</v>
      </c>
      <c r="D287" s="333" t="s">
        <v>880</v>
      </c>
      <c r="E287" s="333" t="s">
        <v>33</v>
      </c>
      <c r="F287" s="374" t="s">
        <v>909</v>
      </c>
      <c r="G287" s="372" t="s">
        <v>910</v>
      </c>
      <c r="H287" s="333">
        <v>1</v>
      </c>
      <c r="I287" s="333">
        <v>362</v>
      </c>
      <c r="J287" s="333" t="s">
        <v>46</v>
      </c>
      <c r="K287" s="332" t="s">
        <v>32</v>
      </c>
      <c r="L287" s="332"/>
      <c r="M287" s="333"/>
      <c r="N287" s="333"/>
      <c r="O287" s="333"/>
      <c r="P287" s="375">
        <v>45205</v>
      </c>
      <c r="Q287" s="396"/>
      <c r="R287" s="332"/>
      <c r="S287" s="373"/>
      <c r="T287" s="373"/>
      <c r="U287" s="373"/>
      <c r="V287" s="373"/>
      <c r="W287" s="346">
        <v>45303</v>
      </c>
      <c r="X287" s="373"/>
      <c r="Y287" s="336">
        <f t="shared" ca="1" si="5"/>
        <v>98</v>
      </c>
      <c r="Z287" s="373"/>
      <c r="AA287" s="434"/>
      <c r="AB287" s="373"/>
    </row>
    <row r="288" spans="1:28" s="338" customFormat="1" ht="12.75" customHeight="1" x14ac:dyDescent="0.25">
      <c r="A288" s="347" t="s">
        <v>911</v>
      </c>
      <c r="B288" s="376">
        <v>45178</v>
      </c>
      <c r="C288" s="436" t="s">
        <v>35</v>
      </c>
      <c r="D288" s="415" t="s">
        <v>71</v>
      </c>
      <c r="E288" s="415">
        <v>7740379</v>
      </c>
      <c r="F288" s="427" t="s">
        <v>912</v>
      </c>
      <c r="G288" s="428" t="s">
        <v>913</v>
      </c>
      <c r="H288" s="428">
        <v>1</v>
      </c>
      <c r="I288" s="415">
        <v>76</v>
      </c>
      <c r="J288" s="415" t="s">
        <v>102</v>
      </c>
      <c r="K288" s="437" t="s">
        <v>69</v>
      </c>
      <c r="L288" s="332"/>
      <c r="M288" s="333"/>
      <c r="N288" s="333"/>
      <c r="O288" s="333"/>
      <c r="P288" s="375">
        <v>45177</v>
      </c>
      <c r="Q288" s="333"/>
      <c r="R288" s="333"/>
      <c r="S288" s="424"/>
      <c r="T288" s="424"/>
      <c r="U288" s="424"/>
      <c r="V288" s="424"/>
      <c r="W288" s="430">
        <v>45397</v>
      </c>
      <c r="X288" s="424"/>
      <c r="Y288" s="336">
        <f t="shared" ca="1" si="5"/>
        <v>220</v>
      </c>
      <c r="Z288" s="424"/>
      <c r="AA288" s="336"/>
    </row>
    <row r="289" spans="1:28" s="338" customFormat="1" ht="12.75" customHeight="1" x14ac:dyDescent="0.25">
      <c r="A289" s="347" t="s">
        <v>914</v>
      </c>
      <c r="B289" s="376">
        <v>45189</v>
      </c>
      <c r="C289" s="425" t="s">
        <v>60</v>
      </c>
      <c r="D289" s="333" t="s">
        <v>880</v>
      </c>
      <c r="E289" s="333" t="s">
        <v>479</v>
      </c>
      <c r="F289" s="374" t="s">
        <v>915</v>
      </c>
      <c r="G289" s="372" t="s">
        <v>916</v>
      </c>
      <c r="H289" s="333">
        <v>12</v>
      </c>
      <c r="I289" s="333">
        <v>361</v>
      </c>
      <c r="J289" s="333" t="s">
        <v>43</v>
      </c>
      <c r="K289" s="332" t="s">
        <v>32</v>
      </c>
      <c r="L289" s="332"/>
      <c r="M289" s="333"/>
      <c r="N289" s="333"/>
      <c r="O289" s="333"/>
      <c r="P289" s="375">
        <v>45205</v>
      </c>
      <c r="Q289" s="333"/>
      <c r="R289" s="333"/>
      <c r="S289" s="373"/>
      <c r="T289" s="373"/>
      <c r="U289" s="373"/>
      <c r="V289" s="373"/>
      <c r="W289" s="346"/>
      <c r="X289" s="373"/>
      <c r="Y289" s="336">
        <f t="shared" ca="1" si="5"/>
        <v>381</v>
      </c>
      <c r="Z289" s="373"/>
      <c r="AA289" s="434"/>
      <c r="AB289" s="373"/>
    </row>
    <row r="290" spans="1:28" s="338" customFormat="1" ht="12.75" customHeight="1" x14ac:dyDescent="0.25">
      <c r="A290" s="347" t="s">
        <v>917</v>
      </c>
      <c r="B290" s="376">
        <v>45189</v>
      </c>
      <c r="C290" s="425" t="s">
        <v>60</v>
      </c>
      <c r="D290" s="333" t="s">
        <v>880</v>
      </c>
      <c r="E290" s="333" t="s">
        <v>918</v>
      </c>
      <c r="F290" s="374" t="s">
        <v>887</v>
      </c>
      <c r="G290" s="372" t="s">
        <v>919</v>
      </c>
      <c r="H290" s="333">
        <v>1</v>
      </c>
      <c r="I290" s="333">
        <v>362</v>
      </c>
      <c r="J290" s="333" t="s">
        <v>43</v>
      </c>
      <c r="K290" s="332" t="s">
        <v>32</v>
      </c>
      <c r="L290" s="332"/>
      <c r="M290" s="333"/>
      <c r="N290" s="333"/>
      <c r="O290" s="333"/>
      <c r="P290" s="375">
        <v>45205</v>
      </c>
      <c r="Q290" s="333"/>
      <c r="R290" s="333"/>
      <c r="S290" s="373"/>
      <c r="T290" s="373"/>
      <c r="U290" s="373"/>
      <c r="V290" s="373"/>
      <c r="W290" s="346">
        <v>45275</v>
      </c>
      <c r="X290" s="373"/>
      <c r="Y290" s="336">
        <f t="shared" ca="1" si="5"/>
        <v>70</v>
      </c>
      <c r="Z290" s="373"/>
      <c r="AA290" s="434"/>
      <c r="AB290" s="373"/>
    </row>
    <row r="291" spans="1:28" s="338" customFormat="1" ht="12.75" customHeight="1" x14ac:dyDescent="0.25">
      <c r="A291" s="347" t="s">
        <v>920</v>
      </c>
      <c r="B291" s="376">
        <v>45189</v>
      </c>
      <c r="C291" s="425" t="s">
        <v>60</v>
      </c>
      <c r="D291" s="333" t="s">
        <v>880</v>
      </c>
      <c r="E291" s="333" t="s">
        <v>921</v>
      </c>
      <c r="F291" s="374" t="s">
        <v>922</v>
      </c>
      <c r="G291" s="372" t="s">
        <v>923</v>
      </c>
      <c r="H291" s="333">
        <v>1</v>
      </c>
      <c r="I291" s="333">
        <v>361</v>
      </c>
      <c r="J291" s="333" t="s">
        <v>43</v>
      </c>
      <c r="K291" s="332" t="s">
        <v>32</v>
      </c>
      <c r="L291" s="332"/>
      <c r="M291" s="333"/>
      <c r="N291" s="333"/>
      <c r="O291" s="333"/>
      <c r="P291" s="375">
        <v>45205</v>
      </c>
      <c r="Q291" s="333"/>
      <c r="R291" s="333"/>
      <c r="S291" s="373"/>
      <c r="T291" s="373"/>
      <c r="U291" s="373"/>
      <c r="V291" s="373"/>
      <c r="W291" s="346"/>
      <c r="X291" s="373"/>
      <c r="Y291" s="336">
        <f t="shared" ca="1" si="5"/>
        <v>381</v>
      </c>
      <c r="Z291" s="373"/>
      <c r="AA291" s="336"/>
    </row>
    <row r="292" spans="1:28" s="338" customFormat="1" ht="12.75" customHeight="1" x14ac:dyDescent="0.25">
      <c r="A292" s="347" t="s">
        <v>924</v>
      </c>
      <c r="B292" s="376">
        <v>45178</v>
      </c>
      <c r="C292" s="425" t="s">
        <v>35</v>
      </c>
      <c r="D292" s="333" t="s">
        <v>83</v>
      </c>
      <c r="E292" s="333" t="s">
        <v>925</v>
      </c>
      <c r="F292" s="374" t="s">
        <v>926</v>
      </c>
      <c r="G292" s="372" t="s">
        <v>927</v>
      </c>
      <c r="H292" s="333">
        <v>1</v>
      </c>
      <c r="I292" s="333" t="s">
        <v>928</v>
      </c>
      <c r="J292" s="333" t="s">
        <v>102</v>
      </c>
      <c r="K292" s="332" t="s">
        <v>69</v>
      </c>
      <c r="L292" s="332"/>
      <c r="M292" s="333" t="s">
        <v>929</v>
      </c>
      <c r="N292" s="333"/>
      <c r="O292" s="333"/>
      <c r="P292" s="375">
        <v>45180</v>
      </c>
      <c r="Q292" s="333"/>
      <c r="R292" s="333"/>
      <c r="S292" s="373"/>
      <c r="T292" s="373"/>
      <c r="U292" s="373"/>
      <c r="V292" s="373"/>
      <c r="W292" s="346">
        <v>45362</v>
      </c>
      <c r="X292" s="373"/>
      <c r="Y292" s="336">
        <f t="shared" ca="1" si="5"/>
        <v>182</v>
      </c>
      <c r="Z292" s="373"/>
      <c r="AA292" s="336"/>
    </row>
    <row r="293" spans="1:28" s="338" customFormat="1" ht="12.75" customHeight="1" x14ac:dyDescent="0.25">
      <c r="A293" s="347" t="s">
        <v>930</v>
      </c>
      <c r="B293" s="376">
        <v>45178</v>
      </c>
      <c r="C293" s="425" t="s">
        <v>26</v>
      </c>
      <c r="D293" s="333"/>
      <c r="E293" s="333">
        <v>4044660</v>
      </c>
      <c r="F293" s="374">
        <v>2655792</v>
      </c>
      <c r="G293" s="372" t="s">
        <v>931</v>
      </c>
      <c r="H293" s="333">
        <v>2</v>
      </c>
      <c r="I293" s="333" t="s">
        <v>932</v>
      </c>
      <c r="J293" s="333" t="s">
        <v>102</v>
      </c>
      <c r="K293" s="332" t="s">
        <v>69</v>
      </c>
      <c r="L293" s="332"/>
      <c r="M293" s="333"/>
      <c r="N293" s="333"/>
      <c r="O293" s="333"/>
      <c r="P293" s="375">
        <v>45180</v>
      </c>
      <c r="Q293" s="333"/>
      <c r="R293" s="333"/>
      <c r="S293" s="373"/>
      <c r="T293" s="373"/>
      <c r="U293" s="373"/>
      <c r="V293" s="373"/>
      <c r="W293" s="341" t="s">
        <v>933</v>
      </c>
      <c r="X293" s="373"/>
      <c r="Y293" s="336" t="e">
        <f t="shared" ca="1" si="5"/>
        <v>#VALUE!</v>
      </c>
      <c r="Z293" s="373"/>
      <c r="AA293" s="336"/>
    </row>
    <row r="294" spans="1:28" s="338" customFormat="1" ht="12.75" customHeight="1" x14ac:dyDescent="0.25">
      <c r="A294" s="347" t="s">
        <v>934</v>
      </c>
      <c r="B294" s="376">
        <v>45190</v>
      </c>
      <c r="C294" s="425" t="s">
        <v>60</v>
      </c>
      <c r="D294" s="333" t="s">
        <v>880</v>
      </c>
      <c r="E294" s="333" t="s">
        <v>935</v>
      </c>
      <c r="F294" s="374">
        <v>1105406101</v>
      </c>
      <c r="G294" s="372" t="s">
        <v>936</v>
      </c>
      <c r="H294" s="333">
        <v>24</v>
      </c>
      <c r="I294" s="333">
        <v>362</v>
      </c>
      <c r="J294" s="333" t="s">
        <v>102</v>
      </c>
      <c r="K294" s="332" t="s">
        <v>69</v>
      </c>
      <c r="L294" s="332"/>
      <c r="M294" s="333"/>
      <c r="N294" s="333"/>
      <c r="O294" s="333"/>
      <c r="P294" s="375"/>
      <c r="Q294" s="333"/>
      <c r="R294" s="333"/>
      <c r="S294" s="373"/>
      <c r="T294" s="373"/>
      <c r="U294" s="373"/>
      <c r="V294" s="373"/>
      <c r="W294" s="346"/>
      <c r="X294" s="373"/>
      <c r="Y294" s="336" t="str">
        <f t="shared" ref="Y294:Y325" ca="1" si="6">IF(P294="","",IF(W294="",TODAY()-P294,W294-P294))</f>
        <v/>
      </c>
      <c r="Z294" s="373"/>
      <c r="AA294" s="336"/>
      <c r="AB294" s="373"/>
    </row>
    <row r="295" spans="1:28" s="338" customFormat="1" ht="12.75" customHeight="1" x14ac:dyDescent="0.25">
      <c r="A295" s="347" t="s">
        <v>937</v>
      </c>
      <c r="B295" s="376">
        <v>45190</v>
      </c>
      <c r="C295" s="425" t="s">
        <v>60</v>
      </c>
      <c r="D295" s="333" t="s">
        <v>880</v>
      </c>
      <c r="E295" s="333" t="s">
        <v>938</v>
      </c>
      <c r="F295" s="374" t="s">
        <v>939</v>
      </c>
      <c r="G295" s="372" t="s">
        <v>940</v>
      </c>
      <c r="H295" s="333">
        <v>1</v>
      </c>
      <c r="I295" s="333">
        <v>362</v>
      </c>
      <c r="J295" s="333" t="s">
        <v>102</v>
      </c>
      <c r="K295" s="332" t="s">
        <v>69</v>
      </c>
      <c r="L295" s="332"/>
      <c r="M295" s="333"/>
      <c r="N295" s="333"/>
      <c r="O295" s="333"/>
      <c r="P295" s="375"/>
      <c r="Q295" s="333"/>
      <c r="R295" s="333"/>
      <c r="S295" s="373"/>
      <c r="T295" s="373"/>
      <c r="U295" s="373"/>
      <c r="V295" s="373"/>
      <c r="W295" s="346"/>
      <c r="X295" s="373"/>
      <c r="Y295" s="336" t="str">
        <f t="shared" ca="1" si="6"/>
        <v/>
      </c>
      <c r="Z295" s="373"/>
      <c r="AA295" s="336"/>
      <c r="AB295" s="373"/>
    </row>
    <row r="296" spans="1:28" s="338" customFormat="1" ht="12.75" customHeight="1" x14ac:dyDescent="0.25">
      <c r="A296" s="347" t="s">
        <v>941</v>
      </c>
      <c r="B296" s="376">
        <v>45181</v>
      </c>
      <c r="C296" s="425" t="s">
        <v>35</v>
      </c>
      <c r="D296" s="333" t="s">
        <v>36</v>
      </c>
      <c r="E296" s="333" t="s">
        <v>33</v>
      </c>
      <c r="F296" s="374" t="s">
        <v>942</v>
      </c>
      <c r="G296" s="372" t="s">
        <v>943</v>
      </c>
      <c r="H296" s="333">
        <v>60</v>
      </c>
      <c r="I296" s="333" t="s">
        <v>944</v>
      </c>
      <c r="J296" s="333" t="s">
        <v>46</v>
      </c>
      <c r="K296" s="332" t="s">
        <v>32</v>
      </c>
      <c r="L296" s="332"/>
      <c r="M296" s="333" t="s">
        <v>33</v>
      </c>
      <c r="N296" s="333"/>
      <c r="O296" s="333"/>
      <c r="P296" s="375">
        <v>45181</v>
      </c>
      <c r="Q296" s="333"/>
      <c r="R296" s="333"/>
      <c r="S296" s="373"/>
      <c r="T296" s="373"/>
      <c r="U296" s="373"/>
      <c r="V296" s="373"/>
      <c r="W296" s="346"/>
      <c r="X296" s="373"/>
      <c r="Y296" s="336">
        <f t="shared" ca="1" si="6"/>
        <v>405</v>
      </c>
      <c r="Z296" s="373"/>
      <c r="AA296" s="336"/>
      <c r="AB296" s="373"/>
    </row>
    <row r="297" spans="1:28" s="338" customFormat="1" ht="12.75" customHeight="1" x14ac:dyDescent="0.25">
      <c r="A297" s="347" t="s">
        <v>945</v>
      </c>
      <c r="B297" s="376">
        <v>45204</v>
      </c>
      <c r="C297" s="425" t="s">
        <v>60</v>
      </c>
      <c r="D297" s="333" t="s">
        <v>880</v>
      </c>
      <c r="E297" s="333" t="s">
        <v>946</v>
      </c>
      <c r="F297" s="374"/>
      <c r="G297" s="372" t="s">
        <v>947</v>
      </c>
      <c r="H297" s="333">
        <v>1</v>
      </c>
      <c r="I297" s="333">
        <v>360</v>
      </c>
      <c r="J297" s="333" t="s">
        <v>265</v>
      </c>
      <c r="K297" s="332" t="s">
        <v>32</v>
      </c>
      <c r="L297" s="332"/>
      <c r="M297" s="333" t="s">
        <v>33</v>
      </c>
      <c r="N297" s="333"/>
      <c r="O297" s="333"/>
      <c r="P297" s="375">
        <v>45205</v>
      </c>
      <c r="Q297" s="333"/>
      <c r="R297" s="333"/>
      <c r="S297" s="373"/>
      <c r="T297" s="373"/>
      <c r="U297" s="373"/>
      <c r="V297" s="373"/>
      <c r="W297" s="346"/>
      <c r="X297" s="373"/>
      <c r="Y297" s="336">
        <f t="shared" ca="1" si="6"/>
        <v>381</v>
      </c>
      <c r="Z297" s="373"/>
      <c r="AA297" s="336"/>
      <c r="AB297" s="373"/>
    </row>
    <row r="298" spans="1:28" s="338" customFormat="1" ht="12.75" customHeight="1" x14ac:dyDescent="0.25">
      <c r="A298" s="347" t="s">
        <v>948</v>
      </c>
      <c r="B298" s="376">
        <v>45204</v>
      </c>
      <c r="C298" s="425" t="s">
        <v>60</v>
      </c>
      <c r="D298" s="333" t="s">
        <v>880</v>
      </c>
      <c r="E298" s="333"/>
      <c r="F298" s="374" t="s">
        <v>949</v>
      </c>
      <c r="G298" s="372" t="s">
        <v>950</v>
      </c>
      <c r="H298" s="333">
        <v>1</v>
      </c>
      <c r="I298" s="333">
        <v>363</v>
      </c>
      <c r="J298" s="333" t="s">
        <v>31</v>
      </c>
      <c r="K298" s="332" t="s">
        <v>32</v>
      </c>
      <c r="L298" s="332"/>
      <c r="M298" s="333" t="s">
        <v>33</v>
      </c>
      <c r="N298" s="333"/>
      <c r="O298" s="333"/>
      <c r="P298" s="375">
        <v>45204</v>
      </c>
      <c r="Q298" s="333"/>
      <c r="R298" s="333"/>
      <c r="S298" s="373"/>
      <c r="T298" s="373"/>
      <c r="U298" s="401"/>
      <c r="V298" s="401"/>
      <c r="W298" s="402"/>
      <c r="X298" s="401"/>
      <c r="Y298" s="336">
        <f t="shared" ca="1" si="6"/>
        <v>382</v>
      </c>
      <c r="Z298" s="401"/>
      <c r="AA298" s="336"/>
      <c r="AB298" s="401"/>
    </row>
    <row r="299" spans="1:28" s="338" customFormat="1" ht="12.75" customHeight="1" x14ac:dyDescent="0.25">
      <c r="A299" s="347" t="s">
        <v>951</v>
      </c>
      <c r="B299" s="376">
        <v>45204</v>
      </c>
      <c r="C299" s="425" t="s">
        <v>60</v>
      </c>
      <c r="D299" s="333" t="s">
        <v>880</v>
      </c>
      <c r="E299" s="333"/>
      <c r="F299" s="374" t="s">
        <v>952</v>
      </c>
      <c r="G299" s="372" t="s">
        <v>953</v>
      </c>
      <c r="H299" s="333">
        <v>2</v>
      </c>
      <c r="I299" s="333">
        <v>363</v>
      </c>
      <c r="J299" s="333" t="s">
        <v>46</v>
      </c>
      <c r="K299" s="332" t="s">
        <v>32</v>
      </c>
      <c r="L299" s="332"/>
      <c r="M299" s="333" t="s">
        <v>33</v>
      </c>
      <c r="N299" s="333"/>
      <c r="O299" s="333"/>
      <c r="P299" s="375">
        <v>45205</v>
      </c>
      <c r="Q299" s="333"/>
      <c r="R299" s="333"/>
      <c r="S299" s="373"/>
      <c r="T299" s="373"/>
      <c r="U299" s="373"/>
      <c r="V299" s="373"/>
      <c r="W299" s="346">
        <v>45268</v>
      </c>
      <c r="X299" s="373">
        <v>48</v>
      </c>
      <c r="Y299" s="336">
        <f t="shared" ca="1" si="6"/>
        <v>63</v>
      </c>
      <c r="Z299" s="373"/>
      <c r="AA299" s="336"/>
      <c r="AB299" s="373"/>
    </row>
    <row r="300" spans="1:28" s="338" customFormat="1" ht="12.75" customHeight="1" x14ac:dyDescent="0.25">
      <c r="A300" s="347" t="s">
        <v>954</v>
      </c>
      <c r="B300" s="376">
        <v>45230</v>
      </c>
      <c r="C300" s="425" t="s">
        <v>60</v>
      </c>
      <c r="D300" s="333" t="s">
        <v>880</v>
      </c>
      <c r="E300" s="333" t="s">
        <v>955</v>
      </c>
      <c r="F300" s="374" t="s">
        <v>956</v>
      </c>
      <c r="G300" s="372" t="s">
        <v>957</v>
      </c>
      <c r="H300" s="333">
        <v>2</v>
      </c>
      <c r="I300" s="333">
        <v>365</v>
      </c>
      <c r="J300" s="333" t="s">
        <v>68</v>
      </c>
      <c r="K300" s="332" t="s">
        <v>69</v>
      </c>
      <c r="L300" s="332"/>
      <c r="M300" s="333"/>
      <c r="N300" s="333"/>
      <c r="O300" s="333"/>
      <c r="P300" s="343">
        <v>45230</v>
      </c>
      <c r="Q300" s="333"/>
      <c r="R300" s="333"/>
      <c r="S300" s="373"/>
      <c r="T300" s="373"/>
      <c r="U300" s="373"/>
      <c r="V300" s="373"/>
      <c r="W300" s="346">
        <v>45303</v>
      </c>
      <c r="X300" s="373"/>
      <c r="Y300" s="336">
        <f t="shared" ca="1" si="6"/>
        <v>73</v>
      </c>
      <c r="Z300" s="373"/>
      <c r="AA300" s="336"/>
      <c r="AB300" s="373"/>
    </row>
    <row r="301" spans="1:28" s="338" customFormat="1" ht="12.75" customHeight="1" x14ac:dyDescent="0.25">
      <c r="A301" s="347" t="s">
        <v>958</v>
      </c>
      <c r="B301" s="376">
        <v>45231</v>
      </c>
      <c r="C301" s="425" t="s">
        <v>60</v>
      </c>
      <c r="D301" s="333" t="s">
        <v>880</v>
      </c>
      <c r="E301" s="333" t="s">
        <v>33</v>
      </c>
      <c r="F301" s="374" t="s">
        <v>959</v>
      </c>
      <c r="G301" s="372" t="s">
        <v>960</v>
      </c>
      <c r="H301" s="333">
        <v>1</v>
      </c>
      <c r="I301" s="333">
        <v>365</v>
      </c>
      <c r="J301" s="333" t="s">
        <v>46</v>
      </c>
      <c r="K301" s="332" t="s">
        <v>32</v>
      </c>
      <c r="L301" s="332"/>
      <c r="M301" s="333" t="s">
        <v>33</v>
      </c>
      <c r="N301" s="333"/>
      <c r="O301" s="333"/>
      <c r="P301" s="343">
        <v>45232</v>
      </c>
      <c r="Q301" s="333"/>
      <c r="R301" s="333"/>
      <c r="S301" s="373"/>
      <c r="T301" s="373"/>
      <c r="U301" s="373"/>
      <c r="V301" s="373"/>
      <c r="W301" s="346">
        <v>45275</v>
      </c>
      <c r="X301" s="373"/>
      <c r="Y301" s="336">
        <f t="shared" ca="1" si="6"/>
        <v>43</v>
      </c>
      <c r="Z301" s="373"/>
      <c r="AA301" s="336"/>
      <c r="AB301" s="373"/>
    </row>
    <row r="302" spans="1:28" s="338" customFormat="1" ht="12.75" customHeight="1" x14ac:dyDescent="0.25">
      <c r="A302" s="347" t="s">
        <v>961</v>
      </c>
      <c r="B302" s="376">
        <v>45181</v>
      </c>
      <c r="C302" s="425" t="s">
        <v>35</v>
      </c>
      <c r="D302" s="333" t="s">
        <v>83</v>
      </c>
      <c r="E302" s="333" t="s">
        <v>33</v>
      </c>
      <c r="F302" s="374" t="s">
        <v>962</v>
      </c>
      <c r="G302" s="372" t="s">
        <v>963</v>
      </c>
      <c r="H302" s="333">
        <v>1</v>
      </c>
      <c r="I302" s="333"/>
      <c r="J302" s="333" t="s">
        <v>102</v>
      </c>
      <c r="K302" s="332" t="s">
        <v>69</v>
      </c>
      <c r="L302" s="332"/>
      <c r="M302" s="333" t="s">
        <v>751</v>
      </c>
      <c r="N302" s="333"/>
      <c r="O302" s="333"/>
      <c r="P302" s="375">
        <v>45188</v>
      </c>
      <c r="Q302" s="333"/>
      <c r="R302" s="333"/>
      <c r="S302" s="373"/>
      <c r="T302" s="373"/>
      <c r="U302" s="373"/>
      <c r="V302" s="373"/>
      <c r="W302" s="346">
        <v>45362</v>
      </c>
      <c r="X302" s="373"/>
      <c r="Y302" s="336">
        <f t="shared" ca="1" si="6"/>
        <v>174</v>
      </c>
      <c r="Z302" s="373"/>
      <c r="AA302" s="336"/>
      <c r="AB302" s="373"/>
    </row>
    <row r="303" spans="1:28" s="338" customFormat="1" ht="12.75" customHeight="1" x14ac:dyDescent="0.25">
      <c r="A303" s="347" t="s">
        <v>964</v>
      </c>
      <c r="B303" s="376">
        <v>45181</v>
      </c>
      <c r="C303" s="425" t="s">
        <v>35</v>
      </c>
      <c r="D303" s="333" t="s">
        <v>83</v>
      </c>
      <c r="E303" s="333" t="s">
        <v>33</v>
      </c>
      <c r="F303" s="374" t="s">
        <v>309</v>
      </c>
      <c r="G303" s="372" t="s">
        <v>965</v>
      </c>
      <c r="H303" s="333">
        <v>1</v>
      </c>
      <c r="I303" s="333"/>
      <c r="J303" s="333" t="s">
        <v>102</v>
      </c>
      <c r="K303" s="332" t="s">
        <v>69</v>
      </c>
      <c r="L303" s="332"/>
      <c r="M303" s="333" t="s">
        <v>751</v>
      </c>
      <c r="N303" s="333"/>
      <c r="O303" s="333"/>
      <c r="P303" s="375">
        <v>45188</v>
      </c>
      <c r="Q303" s="333"/>
      <c r="R303" s="333"/>
      <c r="S303" s="373"/>
      <c r="T303" s="373"/>
      <c r="U303" s="373"/>
      <c r="V303" s="373"/>
      <c r="W303" s="346">
        <v>45362</v>
      </c>
      <c r="X303" s="373"/>
      <c r="Y303" s="336">
        <f t="shared" ca="1" si="6"/>
        <v>174</v>
      </c>
      <c r="Z303" s="373"/>
      <c r="AA303" s="336"/>
      <c r="AB303" s="373"/>
    </row>
    <row r="304" spans="1:28" s="338" customFormat="1" ht="12.75" customHeight="1" x14ac:dyDescent="0.25">
      <c r="A304" s="347" t="s">
        <v>966</v>
      </c>
      <c r="B304" s="376">
        <v>45181</v>
      </c>
      <c r="C304" s="425" t="s">
        <v>26</v>
      </c>
      <c r="D304" s="333" t="s">
        <v>65</v>
      </c>
      <c r="E304" s="333">
        <v>2022792</v>
      </c>
      <c r="F304" s="374">
        <v>2642201</v>
      </c>
      <c r="G304" s="372" t="s">
        <v>967</v>
      </c>
      <c r="H304" s="333">
        <v>1</v>
      </c>
      <c r="I304" s="333"/>
      <c r="J304" s="333" t="s">
        <v>31</v>
      </c>
      <c r="K304" s="332" t="s">
        <v>32</v>
      </c>
      <c r="L304" s="332"/>
      <c r="M304" s="333"/>
      <c r="N304" s="333"/>
      <c r="O304" s="333"/>
      <c r="P304" s="334">
        <v>45181</v>
      </c>
      <c r="Q304" s="333"/>
      <c r="R304" s="333"/>
      <c r="S304" s="373"/>
      <c r="T304" s="373"/>
      <c r="U304" s="373"/>
      <c r="V304" s="373"/>
      <c r="W304" s="346">
        <v>45214</v>
      </c>
      <c r="X304" s="373"/>
      <c r="Y304" s="336">
        <f t="shared" ca="1" si="6"/>
        <v>33</v>
      </c>
      <c r="Z304" s="373"/>
      <c r="AA304" s="336"/>
      <c r="AB304" s="373"/>
    </row>
    <row r="305" spans="1:28" s="338" customFormat="1" ht="12.75" customHeight="1" x14ac:dyDescent="0.25">
      <c r="A305" s="347" t="s">
        <v>968</v>
      </c>
      <c r="B305" s="376">
        <v>45181</v>
      </c>
      <c r="C305" s="425" t="s">
        <v>26</v>
      </c>
      <c r="D305" s="333" t="s">
        <v>65</v>
      </c>
      <c r="E305" s="333" t="s">
        <v>33</v>
      </c>
      <c r="F305" s="374">
        <v>2655792</v>
      </c>
      <c r="G305" s="372" t="s">
        <v>969</v>
      </c>
      <c r="H305" s="333">
        <v>2</v>
      </c>
      <c r="I305" s="333" t="s">
        <v>970</v>
      </c>
      <c r="J305" s="333" t="s">
        <v>102</v>
      </c>
      <c r="K305" s="332" t="s">
        <v>69</v>
      </c>
      <c r="L305" s="332"/>
      <c r="M305" s="333"/>
      <c r="N305" s="333"/>
      <c r="O305" s="333"/>
      <c r="P305" s="334">
        <v>45181</v>
      </c>
      <c r="Q305" s="333"/>
      <c r="R305" s="333"/>
      <c r="S305" s="373"/>
      <c r="T305" s="373"/>
      <c r="U305" s="373"/>
      <c r="V305" s="373"/>
      <c r="W305" s="341" t="s">
        <v>933</v>
      </c>
      <c r="X305" s="373"/>
      <c r="Y305" s="336" t="e">
        <f t="shared" ca="1" si="6"/>
        <v>#VALUE!</v>
      </c>
      <c r="Z305" s="373"/>
      <c r="AA305" s="336"/>
      <c r="AB305" s="373"/>
    </row>
    <row r="306" spans="1:28" s="338" customFormat="1" ht="12.75" customHeight="1" x14ac:dyDescent="0.25">
      <c r="A306" s="347" t="s">
        <v>971</v>
      </c>
      <c r="B306" s="376">
        <v>45181</v>
      </c>
      <c r="C306" s="425" t="s">
        <v>26</v>
      </c>
      <c r="D306" s="333" t="s">
        <v>65</v>
      </c>
      <c r="E306" s="333" t="s">
        <v>33</v>
      </c>
      <c r="F306" s="374">
        <v>2211860</v>
      </c>
      <c r="G306" s="372" t="s">
        <v>972</v>
      </c>
      <c r="H306" s="333">
        <v>1</v>
      </c>
      <c r="I306" s="333"/>
      <c r="J306" s="333" t="s">
        <v>31</v>
      </c>
      <c r="K306" s="332" t="s">
        <v>32</v>
      </c>
      <c r="L306" s="332"/>
      <c r="M306" s="333"/>
      <c r="N306" s="333"/>
      <c r="O306" s="333"/>
      <c r="P306" s="334">
        <v>45181</v>
      </c>
      <c r="Q306" s="333"/>
      <c r="R306" s="333"/>
      <c r="S306" s="373"/>
      <c r="T306" s="373"/>
      <c r="U306" s="373"/>
      <c r="V306" s="373"/>
      <c r="W306" s="346">
        <v>45214</v>
      </c>
      <c r="X306" s="373"/>
      <c r="Y306" s="336">
        <f t="shared" ca="1" si="6"/>
        <v>33</v>
      </c>
      <c r="Z306" s="373"/>
      <c r="AA306" s="336"/>
      <c r="AB306" s="373"/>
    </row>
    <row r="307" spans="1:28" s="338" customFormat="1" ht="12.75" customHeight="1" x14ac:dyDescent="0.25">
      <c r="A307" s="347" t="s">
        <v>973</v>
      </c>
      <c r="B307" s="376">
        <v>45181</v>
      </c>
      <c r="C307" s="425" t="s">
        <v>26</v>
      </c>
      <c r="D307" s="333" t="s">
        <v>65</v>
      </c>
      <c r="E307" s="333">
        <v>4044660</v>
      </c>
      <c r="F307" s="374"/>
      <c r="G307" s="372" t="s">
        <v>974</v>
      </c>
      <c r="H307" s="333">
        <v>1</v>
      </c>
      <c r="I307" s="333"/>
      <c r="J307" s="333" t="s">
        <v>541</v>
      </c>
      <c r="K307" s="332" t="s">
        <v>32</v>
      </c>
      <c r="L307" s="332"/>
      <c r="M307" s="333"/>
      <c r="N307" s="333"/>
      <c r="O307" s="333"/>
      <c r="P307" s="343">
        <v>45181</v>
      </c>
      <c r="Q307" s="333"/>
      <c r="R307" s="333"/>
      <c r="S307" s="373"/>
      <c r="T307" s="373"/>
      <c r="U307" s="373"/>
      <c r="V307" s="373"/>
      <c r="W307" s="346">
        <v>45214</v>
      </c>
      <c r="X307" s="373"/>
      <c r="Y307" s="336">
        <f t="shared" ca="1" si="6"/>
        <v>33</v>
      </c>
      <c r="Z307" s="373"/>
      <c r="AA307" s="336"/>
      <c r="AB307" s="373"/>
    </row>
    <row r="308" spans="1:28" s="338" customFormat="1" ht="12.75" customHeight="1" x14ac:dyDescent="0.25">
      <c r="A308" s="347" t="s">
        <v>975</v>
      </c>
      <c r="B308" s="376">
        <v>45181</v>
      </c>
      <c r="C308" s="425" t="s">
        <v>26</v>
      </c>
      <c r="D308" s="333" t="s">
        <v>65</v>
      </c>
      <c r="E308" s="333">
        <v>4037809</v>
      </c>
      <c r="F308" s="374"/>
      <c r="G308" s="372" t="s">
        <v>976</v>
      </c>
      <c r="H308" s="333">
        <v>1</v>
      </c>
      <c r="I308" s="333"/>
      <c r="J308" s="333" t="s">
        <v>31</v>
      </c>
      <c r="K308" s="332" t="s">
        <v>32</v>
      </c>
      <c r="L308" s="332"/>
      <c r="M308" s="333"/>
      <c r="N308" s="333"/>
      <c r="O308" s="333"/>
      <c r="P308" s="343">
        <v>45181</v>
      </c>
      <c r="Q308" s="333"/>
      <c r="R308" s="333"/>
      <c r="S308" s="373"/>
      <c r="T308" s="373"/>
      <c r="U308" s="373"/>
      <c r="V308" s="373"/>
      <c r="W308" s="346">
        <v>45214</v>
      </c>
      <c r="X308" s="373"/>
      <c r="Y308" s="336">
        <f t="shared" ca="1" si="6"/>
        <v>33</v>
      </c>
      <c r="Z308" s="373"/>
      <c r="AA308" s="336"/>
      <c r="AB308" s="373"/>
    </row>
    <row r="309" spans="1:28" s="338" customFormat="1" ht="12.75" customHeight="1" x14ac:dyDescent="0.25">
      <c r="A309" s="347" t="s">
        <v>977</v>
      </c>
      <c r="B309" s="376">
        <v>45146</v>
      </c>
      <c r="C309" s="425" t="s">
        <v>26</v>
      </c>
      <c r="D309" s="333" t="s">
        <v>65</v>
      </c>
      <c r="E309" s="333" t="s">
        <v>33</v>
      </c>
      <c r="F309" s="374">
        <v>10561</v>
      </c>
      <c r="G309" s="372" t="s">
        <v>978</v>
      </c>
      <c r="H309" s="333">
        <v>1</v>
      </c>
      <c r="I309" s="333"/>
      <c r="J309" s="333" t="s">
        <v>31</v>
      </c>
      <c r="K309" s="332" t="s">
        <v>32</v>
      </c>
      <c r="L309" s="332"/>
      <c r="M309" s="333"/>
      <c r="N309" s="333"/>
      <c r="O309" s="333"/>
      <c r="P309" s="375">
        <v>45146</v>
      </c>
      <c r="Q309" s="333"/>
      <c r="R309" s="333"/>
      <c r="S309" s="373"/>
      <c r="T309" s="373"/>
      <c r="U309" s="373"/>
      <c r="V309" s="373"/>
      <c r="W309" s="346">
        <v>45214</v>
      </c>
      <c r="X309" s="373"/>
      <c r="Y309" s="336">
        <f t="shared" ca="1" si="6"/>
        <v>68</v>
      </c>
      <c r="Z309" s="373"/>
      <c r="AA309" s="336"/>
      <c r="AB309" s="373"/>
    </row>
    <row r="310" spans="1:28" s="338" customFormat="1" ht="12.75" customHeight="1" x14ac:dyDescent="0.25">
      <c r="A310" s="347" t="s">
        <v>979</v>
      </c>
      <c r="B310" s="376">
        <v>45146</v>
      </c>
      <c r="C310" s="425" t="s">
        <v>26</v>
      </c>
      <c r="D310" s="333" t="s">
        <v>65</v>
      </c>
      <c r="E310" s="333" t="s">
        <v>33</v>
      </c>
      <c r="F310" s="374" t="s">
        <v>980</v>
      </c>
      <c r="G310" s="372" t="s">
        <v>981</v>
      </c>
      <c r="H310" s="333">
        <v>1</v>
      </c>
      <c r="I310" s="333" t="s">
        <v>982</v>
      </c>
      <c r="J310" s="333" t="s">
        <v>43</v>
      </c>
      <c r="K310" s="332" t="s">
        <v>32</v>
      </c>
      <c r="L310" s="332"/>
      <c r="M310" s="333"/>
      <c r="N310" s="333"/>
      <c r="O310" s="333"/>
      <c r="P310" s="375">
        <v>45146</v>
      </c>
      <c r="Q310" s="333"/>
      <c r="R310" s="333"/>
      <c r="S310" s="373"/>
      <c r="T310" s="373"/>
      <c r="U310" s="373"/>
      <c r="V310" s="373"/>
      <c r="W310" s="346">
        <v>45214</v>
      </c>
      <c r="X310" s="373"/>
      <c r="Y310" s="336">
        <f t="shared" ca="1" si="6"/>
        <v>68</v>
      </c>
      <c r="Z310" s="373"/>
      <c r="AA310" s="336"/>
      <c r="AB310" s="373"/>
    </row>
    <row r="311" spans="1:28" s="338" customFormat="1" ht="12.75" customHeight="1" x14ac:dyDescent="0.25">
      <c r="A311" s="347" t="s">
        <v>983</v>
      </c>
      <c r="B311" s="376">
        <v>45252</v>
      </c>
      <c r="C311" s="425" t="s">
        <v>60</v>
      </c>
      <c r="D311" s="333" t="s">
        <v>880</v>
      </c>
      <c r="E311" s="333" t="s">
        <v>984</v>
      </c>
      <c r="F311" s="374" t="s">
        <v>985</v>
      </c>
      <c r="G311" s="372" t="s">
        <v>986</v>
      </c>
      <c r="H311" s="333">
        <v>3</v>
      </c>
      <c r="I311" s="333">
        <v>371</v>
      </c>
      <c r="J311" s="333" t="s">
        <v>31</v>
      </c>
      <c r="K311" s="332" t="s">
        <v>32</v>
      </c>
      <c r="L311" s="332"/>
      <c r="M311" s="333"/>
      <c r="N311" s="333"/>
      <c r="O311" s="333"/>
      <c r="P311" s="343"/>
      <c r="Q311" s="333"/>
      <c r="R311" s="333"/>
      <c r="S311" s="373"/>
      <c r="T311" s="373"/>
      <c r="U311" s="373"/>
      <c r="V311" s="373"/>
      <c r="W311" s="346"/>
      <c r="X311" s="373"/>
      <c r="Y311" s="336" t="str">
        <f t="shared" ca="1" si="6"/>
        <v/>
      </c>
      <c r="Z311" s="373"/>
      <c r="AA311" s="336"/>
      <c r="AB311" s="373"/>
    </row>
    <row r="312" spans="1:28" s="338" customFormat="1" ht="12.75" customHeight="1" x14ac:dyDescent="0.25">
      <c r="A312" s="347" t="s">
        <v>987</v>
      </c>
      <c r="B312" s="376">
        <v>45184</v>
      </c>
      <c r="C312" s="425" t="s">
        <v>26</v>
      </c>
      <c r="D312" s="333" t="s">
        <v>988</v>
      </c>
      <c r="E312" s="333">
        <v>4047621</v>
      </c>
      <c r="F312" s="374">
        <v>2959054</v>
      </c>
      <c r="G312" s="372" t="s">
        <v>989</v>
      </c>
      <c r="H312" s="333">
        <v>1</v>
      </c>
      <c r="I312" s="333" t="s">
        <v>990</v>
      </c>
      <c r="J312" s="333" t="s">
        <v>43</v>
      </c>
      <c r="K312" s="332" t="s">
        <v>32</v>
      </c>
      <c r="L312" s="332"/>
      <c r="M312" s="333"/>
      <c r="N312" s="333"/>
      <c r="O312" s="333"/>
      <c r="P312" s="375">
        <v>45217</v>
      </c>
      <c r="Q312" s="333"/>
      <c r="R312" s="333"/>
      <c r="S312" s="373"/>
      <c r="T312" s="373"/>
      <c r="U312" s="373"/>
      <c r="V312" s="373"/>
      <c r="W312" s="346">
        <v>45214</v>
      </c>
      <c r="X312" s="373"/>
      <c r="Y312" s="336">
        <f t="shared" ca="1" si="6"/>
        <v>-3</v>
      </c>
      <c r="Z312" s="373"/>
      <c r="AA312" s="336"/>
      <c r="AB312" s="373"/>
    </row>
    <row r="313" spans="1:28" s="338" customFormat="1" ht="12.75" customHeight="1" x14ac:dyDescent="0.25">
      <c r="A313" s="347" t="s">
        <v>991</v>
      </c>
      <c r="B313" s="376">
        <v>45252</v>
      </c>
      <c r="C313" s="425" t="s">
        <v>60</v>
      </c>
      <c r="D313" s="333" t="s">
        <v>880</v>
      </c>
      <c r="E313" s="333"/>
      <c r="F313" s="374" t="s">
        <v>992</v>
      </c>
      <c r="G313" s="372" t="s">
        <v>993</v>
      </c>
      <c r="H313" s="333">
        <v>1</v>
      </c>
      <c r="I313" s="333">
        <v>372</v>
      </c>
      <c r="J313" s="333" t="s">
        <v>46</v>
      </c>
      <c r="K313" s="332" t="s">
        <v>32</v>
      </c>
      <c r="L313" s="332"/>
      <c r="M313" s="333"/>
      <c r="N313" s="333"/>
      <c r="O313" s="333"/>
      <c r="P313" s="343">
        <v>45274</v>
      </c>
      <c r="Q313" s="333"/>
      <c r="R313" s="333"/>
      <c r="S313" s="373"/>
      <c r="T313" s="373"/>
      <c r="U313" s="373"/>
      <c r="V313" s="373"/>
      <c r="W313" s="346">
        <v>45303</v>
      </c>
      <c r="X313" s="373"/>
      <c r="Y313" s="336">
        <f t="shared" ca="1" si="6"/>
        <v>29</v>
      </c>
      <c r="Z313" s="373"/>
      <c r="AA313" s="336"/>
      <c r="AB313" s="373" t="s">
        <v>994</v>
      </c>
    </row>
    <row r="314" spans="1:28" s="338" customFormat="1" ht="12.75" customHeight="1" x14ac:dyDescent="0.25">
      <c r="A314" s="347" t="s">
        <v>995</v>
      </c>
      <c r="B314" s="376">
        <v>45257</v>
      </c>
      <c r="C314" s="425" t="s">
        <v>60</v>
      </c>
      <c r="D314" s="333" t="s">
        <v>880</v>
      </c>
      <c r="E314" s="333"/>
      <c r="F314" s="374" t="s">
        <v>996</v>
      </c>
      <c r="G314" s="372" t="s">
        <v>997</v>
      </c>
      <c r="H314" s="333">
        <v>12</v>
      </c>
      <c r="I314" s="333">
        <v>369</v>
      </c>
      <c r="J314" s="333" t="s">
        <v>46</v>
      </c>
      <c r="K314" s="332" t="s">
        <v>32</v>
      </c>
      <c r="L314" s="332"/>
      <c r="M314" s="333"/>
      <c r="N314" s="333"/>
      <c r="O314" s="333"/>
      <c r="P314" s="343"/>
      <c r="Q314" s="333"/>
      <c r="R314" s="333"/>
      <c r="S314" s="373"/>
      <c r="T314" s="373"/>
      <c r="U314" s="373"/>
      <c r="V314" s="373"/>
      <c r="W314" s="346">
        <v>45303</v>
      </c>
      <c r="X314" s="373"/>
      <c r="Y314" s="336" t="str">
        <f t="shared" ca="1" si="6"/>
        <v/>
      </c>
      <c r="Z314" s="373"/>
      <c r="AA314" s="336"/>
      <c r="AB314" s="373"/>
    </row>
    <row r="315" spans="1:28" s="338" customFormat="1" ht="12.75" customHeight="1" x14ac:dyDescent="0.25">
      <c r="A315" s="347" t="s">
        <v>998</v>
      </c>
      <c r="B315" s="376">
        <v>45257</v>
      </c>
      <c r="C315" s="425" t="s">
        <v>60</v>
      </c>
      <c r="D315" s="333" t="s">
        <v>880</v>
      </c>
      <c r="E315" s="333"/>
      <c r="F315" s="374" t="s">
        <v>999</v>
      </c>
      <c r="G315" s="372" t="s">
        <v>1000</v>
      </c>
      <c r="H315" s="333">
        <v>1</v>
      </c>
      <c r="I315" s="333">
        <v>371</v>
      </c>
      <c r="J315" s="333" t="s">
        <v>43</v>
      </c>
      <c r="K315" s="332" t="s">
        <v>32</v>
      </c>
      <c r="L315" s="332"/>
      <c r="M315" s="333"/>
      <c r="N315" s="333"/>
      <c r="O315" s="333"/>
      <c r="P315" s="343">
        <v>45257</v>
      </c>
      <c r="Q315" s="333"/>
      <c r="R315" s="333"/>
      <c r="S315" s="373"/>
      <c r="T315" s="373"/>
      <c r="U315" s="373"/>
      <c r="V315" s="373"/>
      <c r="W315" s="346">
        <v>45299</v>
      </c>
      <c r="X315" s="373">
        <v>1</v>
      </c>
      <c r="Y315" s="336">
        <f t="shared" ca="1" si="6"/>
        <v>42</v>
      </c>
      <c r="Z315" s="373"/>
      <c r="AA315" s="336"/>
      <c r="AB315" s="373" t="s">
        <v>1001</v>
      </c>
    </row>
    <row r="316" spans="1:28" s="338" customFormat="1" ht="12.75" customHeight="1" x14ac:dyDescent="0.25">
      <c r="A316" s="347" t="s">
        <v>1002</v>
      </c>
      <c r="B316" s="376">
        <v>45257</v>
      </c>
      <c r="C316" s="425" t="s">
        <v>60</v>
      </c>
      <c r="D316" s="333" t="s">
        <v>880</v>
      </c>
      <c r="E316" s="333"/>
      <c r="F316" s="374" t="s">
        <v>1003</v>
      </c>
      <c r="G316" s="372" t="s">
        <v>1004</v>
      </c>
      <c r="H316" s="333">
        <v>2</v>
      </c>
      <c r="I316" s="333" t="s">
        <v>1005</v>
      </c>
      <c r="J316" s="333" t="s">
        <v>46</v>
      </c>
      <c r="K316" s="332" t="s">
        <v>32</v>
      </c>
      <c r="L316" s="332"/>
      <c r="M316" s="333"/>
      <c r="N316" s="333"/>
      <c r="O316" s="333"/>
      <c r="P316" s="343"/>
      <c r="Q316" s="333"/>
      <c r="R316" s="333"/>
      <c r="S316" s="373"/>
      <c r="T316" s="373"/>
      <c r="U316" s="373"/>
      <c r="V316" s="373"/>
      <c r="W316" s="346"/>
      <c r="X316" s="373"/>
      <c r="Y316" s="336" t="str">
        <f t="shared" ca="1" si="6"/>
        <v/>
      </c>
      <c r="Z316" s="373"/>
      <c r="AA316" s="336"/>
      <c r="AB316" s="373"/>
    </row>
    <row r="317" spans="1:28" s="338" customFormat="1" ht="12.75" customHeight="1" x14ac:dyDescent="0.25">
      <c r="A317" s="347" t="s">
        <v>1006</v>
      </c>
      <c r="B317" s="376">
        <v>45187</v>
      </c>
      <c r="C317" s="425" t="s">
        <v>26</v>
      </c>
      <c r="D317" s="333" t="s">
        <v>1007</v>
      </c>
      <c r="E317" s="333" t="s">
        <v>33</v>
      </c>
      <c r="F317" s="374">
        <v>2379581</v>
      </c>
      <c r="G317" s="372" t="s">
        <v>1008</v>
      </c>
      <c r="H317" s="333">
        <v>2</v>
      </c>
      <c r="I317" s="333" t="s">
        <v>1009</v>
      </c>
      <c r="J317" s="333" t="s">
        <v>46</v>
      </c>
      <c r="K317" s="332" t="s">
        <v>32</v>
      </c>
      <c r="L317" s="332"/>
      <c r="M317" s="333"/>
      <c r="N317" s="333"/>
      <c r="O317" s="333"/>
      <c r="P317" s="375">
        <v>45187</v>
      </c>
      <c r="Q317" s="333"/>
      <c r="R317" s="333"/>
      <c r="S317" s="373"/>
      <c r="T317" s="373"/>
      <c r="U317" s="373"/>
      <c r="V317" s="373"/>
      <c r="W317" s="346">
        <v>45329</v>
      </c>
      <c r="X317" s="373"/>
      <c r="Y317" s="336">
        <f t="shared" ca="1" si="6"/>
        <v>142</v>
      </c>
      <c r="Z317" s="373"/>
      <c r="AA317" s="336"/>
      <c r="AB317" s="373"/>
    </row>
    <row r="318" spans="1:28" s="338" customFormat="1" ht="12.75" customHeight="1" x14ac:dyDescent="0.25">
      <c r="A318" s="347" t="s">
        <v>1010</v>
      </c>
      <c r="B318" s="376">
        <v>45187</v>
      </c>
      <c r="C318" s="425" t="s">
        <v>35</v>
      </c>
      <c r="D318" s="333" t="s">
        <v>36</v>
      </c>
      <c r="E318" s="333" t="s">
        <v>33</v>
      </c>
      <c r="F318" s="374" t="s">
        <v>1011</v>
      </c>
      <c r="G318" s="372" t="s">
        <v>1012</v>
      </c>
      <c r="H318" s="333">
        <v>1</v>
      </c>
      <c r="I318" s="333" t="s">
        <v>1013</v>
      </c>
      <c r="J318" s="333" t="s">
        <v>102</v>
      </c>
      <c r="K318" s="332" t="s">
        <v>69</v>
      </c>
      <c r="L318" s="332"/>
      <c r="M318" s="333"/>
      <c r="N318" s="333"/>
      <c r="O318" s="333"/>
      <c r="P318" s="375"/>
      <c r="Q318" s="333"/>
      <c r="R318" s="333"/>
      <c r="S318" s="373"/>
      <c r="T318" s="373"/>
      <c r="U318" s="373"/>
      <c r="V318" s="373"/>
      <c r="W318" s="346"/>
      <c r="X318" s="373"/>
      <c r="Y318" s="336" t="str">
        <f t="shared" ca="1" si="6"/>
        <v/>
      </c>
      <c r="Z318" s="373"/>
      <c r="AA318" s="336"/>
      <c r="AB318" s="373"/>
    </row>
    <row r="319" spans="1:28" s="338" customFormat="1" ht="12.75" customHeight="1" x14ac:dyDescent="0.25">
      <c r="A319" s="347" t="s">
        <v>1014</v>
      </c>
      <c r="B319" s="376">
        <v>45187</v>
      </c>
      <c r="C319" s="425" t="s">
        <v>35</v>
      </c>
      <c r="D319" s="333" t="s">
        <v>83</v>
      </c>
      <c r="E319" s="333" t="s">
        <v>33</v>
      </c>
      <c r="F319" s="374" t="s">
        <v>1015</v>
      </c>
      <c r="G319" s="372" t="s">
        <v>1016</v>
      </c>
      <c r="H319" s="333">
        <v>2</v>
      </c>
      <c r="I319" s="333" t="s">
        <v>1017</v>
      </c>
      <c r="J319" s="333" t="s">
        <v>68</v>
      </c>
      <c r="K319" s="332" t="s">
        <v>69</v>
      </c>
      <c r="L319" s="332"/>
      <c r="M319" s="333" t="s">
        <v>751</v>
      </c>
      <c r="N319" s="333"/>
      <c r="O319" s="333"/>
      <c r="P319" s="375">
        <v>45188</v>
      </c>
      <c r="Q319" s="333"/>
      <c r="R319" s="333"/>
      <c r="S319" s="373"/>
      <c r="T319" s="373"/>
      <c r="U319" s="373"/>
      <c r="V319" s="373"/>
      <c r="W319" s="346">
        <v>45362</v>
      </c>
      <c r="X319" s="373"/>
      <c r="Y319" s="336">
        <f t="shared" ca="1" si="6"/>
        <v>174</v>
      </c>
      <c r="Z319" s="373"/>
      <c r="AA319" s="336"/>
      <c r="AB319" s="373"/>
    </row>
    <row r="320" spans="1:28" s="338" customFormat="1" ht="12.75" customHeight="1" x14ac:dyDescent="0.25">
      <c r="A320" s="347" t="s">
        <v>1018</v>
      </c>
      <c r="B320" s="376">
        <v>45187</v>
      </c>
      <c r="C320" s="425" t="s">
        <v>26</v>
      </c>
      <c r="D320" s="333" t="s">
        <v>1007</v>
      </c>
      <c r="E320" s="333" t="s">
        <v>33</v>
      </c>
      <c r="F320" s="374">
        <v>2338619</v>
      </c>
      <c r="G320" s="372" t="s">
        <v>1019</v>
      </c>
      <c r="H320" s="333">
        <v>4</v>
      </c>
      <c r="I320" s="333" t="s">
        <v>1009</v>
      </c>
      <c r="J320" s="333" t="s">
        <v>46</v>
      </c>
      <c r="K320" s="332" t="s">
        <v>32</v>
      </c>
      <c r="L320" s="332"/>
      <c r="M320" s="333"/>
      <c r="N320" s="333"/>
      <c r="O320" s="333"/>
      <c r="P320" s="375">
        <v>45187</v>
      </c>
      <c r="Q320" s="333"/>
      <c r="R320" s="333"/>
      <c r="S320" s="373"/>
      <c r="T320" s="373"/>
      <c r="U320" s="373"/>
      <c r="V320" s="373"/>
      <c r="W320" s="346" t="s">
        <v>1020</v>
      </c>
      <c r="X320" s="373"/>
      <c r="Y320" s="336" t="e">
        <f t="shared" ca="1" si="6"/>
        <v>#VALUE!</v>
      </c>
      <c r="Z320" s="373"/>
      <c r="AA320" s="336"/>
      <c r="AB320" s="373"/>
    </row>
    <row r="321" spans="1:28" s="338" customFormat="1" ht="12.75" customHeight="1" x14ac:dyDescent="0.25">
      <c r="A321" s="347" t="s">
        <v>1021</v>
      </c>
      <c r="B321" s="376">
        <v>45188</v>
      </c>
      <c r="C321" s="425" t="s">
        <v>26</v>
      </c>
      <c r="D321" s="333" t="s">
        <v>1007</v>
      </c>
      <c r="E321" s="333" t="s">
        <v>33</v>
      </c>
      <c r="F321" s="374">
        <v>2030493</v>
      </c>
      <c r="G321" s="372" t="s">
        <v>1022</v>
      </c>
      <c r="H321" s="333">
        <v>1</v>
      </c>
      <c r="I321" s="333" t="s">
        <v>1009</v>
      </c>
      <c r="J321" s="333" t="s">
        <v>46</v>
      </c>
      <c r="K321" s="332" t="s">
        <v>32</v>
      </c>
      <c r="L321" s="332"/>
      <c r="M321" s="333"/>
      <c r="N321" s="333"/>
      <c r="O321" s="333"/>
      <c r="P321" s="343">
        <v>45188</v>
      </c>
      <c r="Q321" s="333"/>
      <c r="R321" s="333"/>
      <c r="S321" s="373"/>
      <c r="T321" s="373"/>
      <c r="U321" s="373"/>
      <c r="V321" s="373"/>
      <c r="W321" s="346">
        <v>45217</v>
      </c>
      <c r="X321" s="373"/>
      <c r="Y321" s="336">
        <f t="shared" ca="1" si="6"/>
        <v>29</v>
      </c>
      <c r="Z321" s="373"/>
      <c r="AA321" s="336"/>
      <c r="AB321" s="373"/>
    </row>
    <row r="322" spans="1:28" s="338" customFormat="1" ht="12.75" customHeight="1" x14ac:dyDescent="0.25">
      <c r="A322" s="347" t="s">
        <v>1023</v>
      </c>
      <c r="B322" s="376">
        <v>45193</v>
      </c>
      <c r="C322" s="425" t="s">
        <v>26</v>
      </c>
      <c r="D322" s="333" t="s">
        <v>1007</v>
      </c>
      <c r="E322" s="333" t="s">
        <v>33</v>
      </c>
      <c r="F322" s="374">
        <v>1878891</v>
      </c>
      <c r="G322" s="372" t="s">
        <v>1024</v>
      </c>
      <c r="H322" s="333">
        <v>6</v>
      </c>
      <c r="I322" s="333" t="s">
        <v>1025</v>
      </c>
      <c r="J322" s="333" t="s">
        <v>46</v>
      </c>
      <c r="K322" s="332" t="s">
        <v>32</v>
      </c>
      <c r="L322" s="332"/>
      <c r="M322" s="333"/>
      <c r="N322" s="333"/>
      <c r="O322" s="333"/>
      <c r="P322" s="375">
        <v>45193</v>
      </c>
      <c r="Q322" s="333"/>
      <c r="R322" s="333"/>
      <c r="S322" s="373"/>
      <c r="T322" s="373"/>
      <c r="U322" s="373"/>
      <c r="V322" s="373"/>
      <c r="W322" s="346">
        <v>45271</v>
      </c>
      <c r="X322" s="373"/>
      <c r="Y322" s="336">
        <f t="shared" ca="1" si="6"/>
        <v>78</v>
      </c>
      <c r="Z322" s="373"/>
      <c r="AA322" s="336"/>
      <c r="AB322" s="373"/>
    </row>
    <row r="323" spans="1:28" s="338" customFormat="1" ht="12.75" customHeight="1" x14ac:dyDescent="0.25">
      <c r="A323" s="347" t="s">
        <v>1026</v>
      </c>
      <c r="B323" s="376">
        <v>45191</v>
      </c>
      <c r="C323" s="425" t="s">
        <v>26</v>
      </c>
      <c r="D323" s="333" t="s">
        <v>988</v>
      </c>
      <c r="E323" s="333" t="s">
        <v>33</v>
      </c>
      <c r="F323" s="374">
        <v>6749</v>
      </c>
      <c r="G323" s="372" t="s">
        <v>1027</v>
      </c>
      <c r="H323" s="333">
        <v>1</v>
      </c>
      <c r="I323" s="333" t="s">
        <v>990</v>
      </c>
      <c r="J323" s="333" t="s">
        <v>46</v>
      </c>
      <c r="K323" s="332" t="s">
        <v>32</v>
      </c>
      <c r="L323" s="332"/>
      <c r="M323" s="333"/>
      <c r="N323" s="333"/>
      <c r="O323" s="333"/>
      <c r="P323" s="343">
        <v>45191</v>
      </c>
      <c r="Q323" s="333"/>
      <c r="R323" s="333"/>
      <c r="S323" s="373"/>
      <c r="T323" s="373"/>
      <c r="U323" s="373"/>
      <c r="V323" s="373"/>
      <c r="W323" s="346">
        <v>45217</v>
      </c>
      <c r="X323" s="373"/>
      <c r="Y323" s="336">
        <f t="shared" ca="1" si="6"/>
        <v>26</v>
      </c>
      <c r="Z323" s="373"/>
      <c r="AA323" s="336"/>
      <c r="AB323" s="373"/>
    </row>
    <row r="324" spans="1:28" s="338" customFormat="1" ht="12.75" customHeight="1" x14ac:dyDescent="0.25">
      <c r="A324" s="347" t="s">
        <v>1028</v>
      </c>
      <c r="B324" s="376">
        <v>45191</v>
      </c>
      <c r="C324" s="425" t="s">
        <v>26</v>
      </c>
      <c r="D324" s="333" t="s">
        <v>988</v>
      </c>
      <c r="E324" s="333" t="s">
        <v>33</v>
      </c>
      <c r="F324" s="374">
        <v>6749</v>
      </c>
      <c r="G324" s="372" t="s">
        <v>1029</v>
      </c>
      <c r="H324" s="333">
        <v>1</v>
      </c>
      <c r="I324" s="333" t="s">
        <v>990</v>
      </c>
      <c r="J324" s="333" t="s">
        <v>46</v>
      </c>
      <c r="K324" s="332" t="s">
        <v>32</v>
      </c>
      <c r="L324" s="332"/>
      <c r="M324" s="333"/>
      <c r="N324" s="333"/>
      <c r="O324" s="333"/>
      <c r="P324" s="343">
        <v>45191</v>
      </c>
      <c r="Q324" s="333"/>
      <c r="R324" s="333"/>
      <c r="S324" s="373"/>
      <c r="T324" s="373"/>
      <c r="U324" s="373"/>
      <c r="V324" s="373"/>
      <c r="W324" s="346">
        <v>45217</v>
      </c>
      <c r="X324" s="373"/>
      <c r="Y324" s="336">
        <f t="shared" ca="1" si="6"/>
        <v>26</v>
      </c>
      <c r="Z324" s="373"/>
      <c r="AA324" s="336"/>
      <c r="AB324" s="373"/>
    </row>
    <row r="325" spans="1:28" s="447" customFormat="1" ht="12.75" customHeight="1" x14ac:dyDescent="0.25">
      <c r="A325" s="347" t="s">
        <v>1030</v>
      </c>
      <c r="B325" s="438">
        <v>45191</v>
      </c>
      <c r="C325" s="439" t="s">
        <v>35</v>
      </c>
      <c r="D325" s="390" t="s">
        <v>83</v>
      </c>
      <c r="E325" s="440">
        <v>6980286</v>
      </c>
      <c r="F325" s="389" t="s">
        <v>748</v>
      </c>
      <c r="G325" s="390" t="s">
        <v>1031</v>
      </c>
      <c r="H325" s="390">
        <v>1</v>
      </c>
      <c r="I325" s="390" t="s">
        <v>1032</v>
      </c>
      <c r="J325" s="390" t="s">
        <v>68</v>
      </c>
      <c r="K325" s="441" t="s">
        <v>69</v>
      </c>
      <c r="L325" s="442"/>
      <c r="M325" s="440" t="s">
        <v>751</v>
      </c>
      <c r="N325" s="440"/>
      <c r="O325" s="440"/>
      <c r="P325" s="443">
        <v>45196</v>
      </c>
      <c r="Q325" s="390"/>
      <c r="R325" s="440"/>
      <c r="S325" s="444"/>
      <c r="T325" s="444"/>
      <c r="U325" s="444"/>
      <c r="V325" s="444"/>
      <c r="W325" s="346">
        <v>45362</v>
      </c>
      <c r="X325" s="445"/>
      <c r="Y325" s="336">
        <f t="shared" ca="1" si="6"/>
        <v>166</v>
      </c>
      <c r="Z325" s="445"/>
      <c r="AA325" s="446"/>
      <c r="AB325" s="445"/>
    </row>
    <row r="326" spans="1:28" s="410" customFormat="1" ht="12.75" customHeight="1" x14ac:dyDescent="0.25">
      <c r="A326" s="347" t="s">
        <v>1033</v>
      </c>
      <c r="B326" s="407">
        <v>45191</v>
      </c>
      <c r="C326" s="448" t="s">
        <v>35</v>
      </c>
      <c r="D326" s="372" t="s">
        <v>83</v>
      </c>
      <c r="E326" s="333">
        <v>6980286</v>
      </c>
      <c r="F326" s="374" t="s">
        <v>1034</v>
      </c>
      <c r="G326" s="372" t="s">
        <v>499</v>
      </c>
      <c r="H326" s="372">
        <v>1</v>
      </c>
      <c r="I326" s="372" t="s">
        <v>1032</v>
      </c>
      <c r="J326" s="372" t="s">
        <v>68</v>
      </c>
      <c r="K326" s="399" t="s">
        <v>69</v>
      </c>
      <c r="L326" s="332"/>
      <c r="M326" s="333" t="s">
        <v>751</v>
      </c>
      <c r="N326" s="333"/>
      <c r="O326" s="333"/>
      <c r="P326" s="400">
        <v>45196</v>
      </c>
      <c r="Q326" s="372"/>
      <c r="R326" s="333"/>
      <c r="S326" s="373"/>
      <c r="T326" s="373"/>
      <c r="U326" s="373"/>
      <c r="V326" s="373"/>
      <c r="W326" s="402"/>
      <c r="X326" s="401"/>
      <c r="Y326" s="336">
        <f t="shared" ref="Y326:Y357" ca="1" si="7">IF(P326="","",IF(W326="",TODAY()-P326,W326-P326))</f>
        <v>390</v>
      </c>
      <c r="Z326" s="401"/>
      <c r="AA326" s="409"/>
      <c r="AB326" s="401"/>
    </row>
    <row r="327" spans="1:28" s="338" customFormat="1" ht="12.75" customHeight="1" x14ac:dyDescent="0.25">
      <c r="A327" s="347" t="s">
        <v>1035</v>
      </c>
      <c r="B327" s="376">
        <v>45191</v>
      </c>
      <c r="C327" s="425" t="s">
        <v>35</v>
      </c>
      <c r="D327" s="333" t="s">
        <v>36</v>
      </c>
      <c r="E327" s="333">
        <v>5633941</v>
      </c>
      <c r="F327" s="374" t="s">
        <v>1036</v>
      </c>
      <c r="G327" s="372" t="s">
        <v>1037</v>
      </c>
      <c r="H327" s="333">
        <v>1</v>
      </c>
      <c r="I327" s="333" t="s">
        <v>1038</v>
      </c>
      <c r="J327" s="333" t="s">
        <v>102</v>
      </c>
      <c r="K327" s="332" t="s">
        <v>69</v>
      </c>
      <c r="L327" s="332"/>
      <c r="M327" s="333"/>
      <c r="N327" s="333"/>
      <c r="O327" s="333"/>
      <c r="P327" s="375"/>
      <c r="Q327" s="333"/>
      <c r="R327" s="333"/>
      <c r="S327" s="373"/>
      <c r="T327" s="373"/>
      <c r="U327" s="373"/>
      <c r="V327" s="373"/>
      <c r="W327" s="346">
        <v>45306</v>
      </c>
      <c r="X327" s="373"/>
      <c r="Y327" s="336" t="str">
        <f t="shared" ca="1" si="7"/>
        <v/>
      </c>
      <c r="Z327" s="373"/>
      <c r="AA327" s="336"/>
      <c r="AB327" s="373"/>
    </row>
    <row r="328" spans="1:28" s="338" customFormat="1" ht="12.75" customHeight="1" x14ac:dyDescent="0.25">
      <c r="A328" s="347" t="s">
        <v>1039</v>
      </c>
      <c r="B328" s="376">
        <v>45191</v>
      </c>
      <c r="C328" s="425" t="s">
        <v>35</v>
      </c>
      <c r="D328" s="333" t="s">
        <v>36</v>
      </c>
      <c r="E328" s="333">
        <v>5633941</v>
      </c>
      <c r="F328" s="374" t="s">
        <v>1040</v>
      </c>
      <c r="G328" s="372" t="s">
        <v>1037</v>
      </c>
      <c r="H328" s="333">
        <v>1</v>
      </c>
      <c r="I328" s="333" t="s">
        <v>1038</v>
      </c>
      <c r="J328" s="333" t="s">
        <v>102</v>
      </c>
      <c r="K328" s="332" t="s">
        <v>69</v>
      </c>
      <c r="L328" s="332"/>
      <c r="M328" s="333"/>
      <c r="N328" s="333"/>
      <c r="O328" s="333"/>
      <c r="P328" s="375"/>
      <c r="Q328" s="333"/>
      <c r="R328" s="333"/>
      <c r="S328" s="373"/>
      <c r="T328" s="373"/>
      <c r="U328" s="373"/>
      <c r="V328" s="373"/>
      <c r="W328" s="346"/>
      <c r="X328" s="373"/>
      <c r="Y328" s="336" t="str">
        <f t="shared" ca="1" si="7"/>
        <v/>
      </c>
      <c r="Z328" s="373"/>
      <c r="AA328" s="336"/>
      <c r="AB328" s="373"/>
    </row>
    <row r="329" spans="1:28" s="338" customFormat="1" ht="12.75" customHeight="1" x14ac:dyDescent="0.25">
      <c r="A329" s="347" t="s">
        <v>1041</v>
      </c>
      <c r="B329" s="376">
        <v>45191</v>
      </c>
      <c r="C329" s="425" t="s">
        <v>35</v>
      </c>
      <c r="D329" s="333" t="s">
        <v>36</v>
      </c>
      <c r="E329" s="333">
        <v>5633941</v>
      </c>
      <c r="F329" s="374" t="s">
        <v>1042</v>
      </c>
      <c r="G329" s="372" t="s">
        <v>1043</v>
      </c>
      <c r="H329" s="333">
        <v>4</v>
      </c>
      <c r="I329" s="333" t="s">
        <v>1038</v>
      </c>
      <c r="J329" s="333" t="s">
        <v>102</v>
      </c>
      <c r="K329" s="332" t="s">
        <v>69</v>
      </c>
      <c r="L329" s="332"/>
      <c r="M329" s="333"/>
      <c r="N329" s="333"/>
      <c r="O329" s="333"/>
      <c r="P329" s="375"/>
      <c r="Q329" s="333"/>
      <c r="R329" s="333"/>
      <c r="S329" s="373"/>
      <c r="T329" s="373"/>
      <c r="U329" s="373"/>
      <c r="V329" s="373"/>
      <c r="W329" s="346"/>
      <c r="X329" s="373"/>
      <c r="Y329" s="336" t="str">
        <f t="shared" ca="1" si="7"/>
        <v/>
      </c>
      <c r="Z329" s="373"/>
      <c r="AA329" s="336"/>
      <c r="AB329" s="373"/>
    </row>
    <row r="330" spans="1:28" s="338" customFormat="1" ht="12.75" customHeight="1" x14ac:dyDescent="0.25">
      <c r="A330" s="347" t="s">
        <v>1044</v>
      </c>
      <c r="B330" s="376">
        <v>45191</v>
      </c>
      <c r="C330" s="425" t="s">
        <v>35</v>
      </c>
      <c r="D330" s="333" t="s">
        <v>36</v>
      </c>
      <c r="E330" s="333" t="s">
        <v>33</v>
      </c>
      <c r="F330" s="374" t="s">
        <v>1045</v>
      </c>
      <c r="G330" s="372" t="s">
        <v>1046</v>
      </c>
      <c r="H330" s="333">
        <v>1</v>
      </c>
      <c r="I330" s="333" t="s">
        <v>1047</v>
      </c>
      <c r="J330" s="333" t="s">
        <v>102</v>
      </c>
      <c r="K330" s="332" t="s">
        <v>69</v>
      </c>
      <c r="L330" s="332"/>
      <c r="M330" s="333"/>
      <c r="N330" s="333"/>
      <c r="O330" s="333"/>
      <c r="P330" s="375"/>
      <c r="Q330" s="333"/>
      <c r="R330" s="333"/>
      <c r="S330" s="373"/>
      <c r="T330" s="373"/>
      <c r="U330" s="373"/>
      <c r="V330" s="373"/>
      <c r="W330" s="346"/>
      <c r="X330" s="373"/>
      <c r="Y330" s="336" t="str">
        <f t="shared" ca="1" si="7"/>
        <v/>
      </c>
      <c r="Z330" s="373"/>
      <c r="AA330" s="336"/>
      <c r="AB330" s="373"/>
    </row>
    <row r="331" spans="1:28" s="338" customFormat="1" ht="12.75" customHeight="1" x14ac:dyDescent="0.25">
      <c r="A331" s="347" t="s">
        <v>1048</v>
      </c>
      <c r="B331" s="376">
        <v>45191</v>
      </c>
      <c r="C331" s="425" t="s">
        <v>26</v>
      </c>
      <c r="D331" s="333" t="s">
        <v>1007</v>
      </c>
      <c r="E331" s="333">
        <v>4046576</v>
      </c>
      <c r="F331" s="374">
        <v>814841</v>
      </c>
      <c r="G331" s="372" t="s">
        <v>1049</v>
      </c>
      <c r="H331" s="333">
        <v>24</v>
      </c>
      <c r="I331" s="333" t="s">
        <v>1025</v>
      </c>
      <c r="J331" s="333" t="s">
        <v>46</v>
      </c>
      <c r="K331" s="332" t="s">
        <v>32</v>
      </c>
      <c r="L331" s="332"/>
      <c r="M331" s="333"/>
      <c r="N331" s="333"/>
      <c r="O331" s="333"/>
      <c r="P331" s="343">
        <v>45191</v>
      </c>
      <c r="Q331" s="333"/>
      <c r="R331" s="333"/>
      <c r="S331" s="373"/>
      <c r="T331" s="373"/>
      <c r="U331" s="373"/>
      <c r="V331" s="373"/>
      <c r="W331" s="346">
        <v>45217</v>
      </c>
      <c r="X331" s="373"/>
      <c r="Y331" s="336">
        <f t="shared" ca="1" si="7"/>
        <v>26</v>
      </c>
      <c r="Z331" s="373"/>
      <c r="AA331" s="336"/>
      <c r="AB331" s="373"/>
    </row>
    <row r="332" spans="1:28" s="338" customFormat="1" ht="12.75" customHeight="1" x14ac:dyDescent="0.25">
      <c r="A332" s="347" t="s">
        <v>1050</v>
      </c>
      <c r="B332" s="376">
        <v>45191</v>
      </c>
      <c r="C332" s="425" t="s">
        <v>26</v>
      </c>
      <c r="D332" s="333" t="s">
        <v>1007</v>
      </c>
      <c r="E332" s="333">
        <v>4046574</v>
      </c>
      <c r="F332" s="374">
        <v>1878322</v>
      </c>
      <c r="G332" s="372" t="s">
        <v>1051</v>
      </c>
      <c r="H332" s="333">
        <v>12</v>
      </c>
      <c r="I332" s="333" t="s">
        <v>1025</v>
      </c>
      <c r="J332" s="333" t="s">
        <v>46</v>
      </c>
      <c r="K332" s="332" t="s">
        <v>32</v>
      </c>
      <c r="L332" s="332"/>
      <c r="M332" s="333"/>
      <c r="N332" s="333"/>
      <c r="O332" s="333"/>
      <c r="P332" s="343">
        <v>45191</v>
      </c>
      <c r="Q332" s="333"/>
      <c r="R332" s="333"/>
      <c r="S332" s="373"/>
      <c r="T332" s="373"/>
      <c r="U332" s="373"/>
      <c r="V332" s="373"/>
      <c r="W332" s="346">
        <v>45217</v>
      </c>
      <c r="X332" s="373"/>
      <c r="Y332" s="336">
        <f t="shared" ca="1" si="7"/>
        <v>26</v>
      </c>
      <c r="Z332" s="373"/>
      <c r="AA332" s="336"/>
      <c r="AB332" s="373"/>
    </row>
    <row r="333" spans="1:28" s="338" customFormat="1" ht="12.75" customHeight="1" x14ac:dyDescent="0.25">
      <c r="A333" s="347" t="s">
        <v>1052</v>
      </c>
      <c r="B333" s="376">
        <v>45191</v>
      </c>
      <c r="C333" s="425" t="s">
        <v>26</v>
      </c>
      <c r="D333" s="333" t="s">
        <v>1007</v>
      </c>
      <c r="E333" s="333">
        <v>4046574</v>
      </c>
      <c r="F333" s="374">
        <v>1367370</v>
      </c>
      <c r="G333" s="372" t="s">
        <v>1051</v>
      </c>
      <c r="H333" s="333">
        <v>48</v>
      </c>
      <c r="I333" s="333" t="s">
        <v>1025</v>
      </c>
      <c r="J333" s="333" t="s">
        <v>31</v>
      </c>
      <c r="K333" s="332" t="s">
        <v>32</v>
      </c>
      <c r="L333" s="332"/>
      <c r="M333" s="333"/>
      <c r="N333" s="333"/>
      <c r="O333" s="333"/>
      <c r="P333" s="343">
        <v>45191</v>
      </c>
      <c r="Q333" s="333"/>
      <c r="R333" s="333"/>
      <c r="S333" s="373"/>
      <c r="T333" s="373"/>
      <c r="U333" s="373"/>
      <c r="V333" s="373"/>
      <c r="W333" s="346">
        <v>45217</v>
      </c>
      <c r="X333" s="373"/>
      <c r="Y333" s="336">
        <f t="shared" ca="1" si="7"/>
        <v>26</v>
      </c>
      <c r="Z333" s="373"/>
      <c r="AA333" s="336"/>
      <c r="AB333" s="373"/>
    </row>
    <row r="334" spans="1:28" s="338" customFormat="1" ht="12.75" customHeight="1" x14ac:dyDescent="0.25">
      <c r="A334" s="347" t="s">
        <v>1053</v>
      </c>
      <c r="B334" s="376">
        <v>45191</v>
      </c>
      <c r="C334" s="425" t="s">
        <v>26</v>
      </c>
      <c r="D334" s="333" t="s">
        <v>1007</v>
      </c>
      <c r="E334" s="333">
        <v>4046571</v>
      </c>
      <c r="F334" s="374">
        <v>1536792</v>
      </c>
      <c r="G334" s="372" t="s">
        <v>1054</v>
      </c>
      <c r="H334" s="333">
        <v>48</v>
      </c>
      <c r="I334" s="333" t="s">
        <v>1025</v>
      </c>
      <c r="J334" s="333" t="s">
        <v>31</v>
      </c>
      <c r="K334" s="332" t="s">
        <v>32</v>
      </c>
      <c r="L334" s="332"/>
      <c r="M334" s="333"/>
      <c r="N334" s="333"/>
      <c r="O334" s="333"/>
      <c r="P334" s="343">
        <v>45191</v>
      </c>
      <c r="Q334" s="333"/>
      <c r="R334" s="333"/>
      <c r="S334" s="373"/>
      <c r="T334" s="373"/>
      <c r="U334" s="373"/>
      <c r="V334" s="373"/>
      <c r="W334" s="346">
        <v>45213</v>
      </c>
      <c r="X334" s="373"/>
      <c r="Y334" s="336">
        <f t="shared" ca="1" si="7"/>
        <v>22</v>
      </c>
      <c r="Z334" s="373"/>
      <c r="AA334" s="336"/>
      <c r="AB334" s="373"/>
    </row>
    <row r="335" spans="1:28" s="338" customFormat="1" ht="12.75" customHeight="1" x14ac:dyDescent="0.25">
      <c r="A335" s="347" t="s">
        <v>1055</v>
      </c>
      <c r="B335" s="376">
        <v>45257</v>
      </c>
      <c r="C335" s="425" t="s">
        <v>60</v>
      </c>
      <c r="D335" s="333" t="s">
        <v>880</v>
      </c>
      <c r="E335" s="333" t="s">
        <v>1056</v>
      </c>
      <c r="F335" s="374" t="s">
        <v>956</v>
      </c>
      <c r="G335" s="372" t="s">
        <v>1057</v>
      </c>
      <c r="H335" s="333">
        <v>1</v>
      </c>
      <c r="I335" s="333">
        <v>369</v>
      </c>
      <c r="J335" s="333" t="s">
        <v>68</v>
      </c>
      <c r="K335" s="332" t="s">
        <v>69</v>
      </c>
      <c r="L335" s="332"/>
      <c r="M335" s="333"/>
      <c r="N335" s="417"/>
      <c r="O335" s="417"/>
      <c r="P335" s="343"/>
      <c r="Q335" s="333"/>
      <c r="R335" s="333"/>
      <c r="S335" s="373"/>
      <c r="T335" s="373"/>
      <c r="U335" s="373"/>
      <c r="V335" s="373"/>
      <c r="W335" s="346">
        <v>45303</v>
      </c>
      <c r="X335" s="373"/>
      <c r="Y335" s="336" t="str">
        <f t="shared" ca="1" si="7"/>
        <v/>
      </c>
      <c r="Z335" s="373"/>
      <c r="AA335" s="336"/>
      <c r="AB335" s="373"/>
    </row>
    <row r="336" spans="1:28" s="338" customFormat="1" ht="12.75" customHeight="1" x14ac:dyDescent="0.25">
      <c r="A336" s="347" t="s">
        <v>1058</v>
      </c>
      <c r="B336" s="376">
        <v>45154</v>
      </c>
      <c r="C336" s="425" t="s">
        <v>26</v>
      </c>
      <c r="D336" s="333" t="s">
        <v>65</v>
      </c>
      <c r="E336" s="333" t="s">
        <v>33</v>
      </c>
      <c r="F336" s="374">
        <v>2773351</v>
      </c>
      <c r="G336" s="372" t="s">
        <v>1059</v>
      </c>
      <c r="H336" s="333">
        <v>6</v>
      </c>
      <c r="I336" s="333" t="s">
        <v>33</v>
      </c>
      <c r="J336" s="333" t="s">
        <v>46</v>
      </c>
      <c r="K336" s="332" t="s">
        <v>32</v>
      </c>
      <c r="L336" s="332"/>
      <c r="M336" s="333" t="s">
        <v>33</v>
      </c>
      <c r="N336" s="333"/>
      <c r="O336" s="333"/>
      <c r="P336" s="375">
        <v>45155</v>
      </c>
      <c r="Q336" s="333"/>
      <c r="R336" s="333"/>
      <c r="S336" s="373"/>
      <c r="T336" s="373"/>
      <c r="U336" s="373"/>
      <c r="V336" s="373"/>
      <c r="W336" s="346">
        <v>45195</v>
      </c>
      <c r="X336" s="373">
        <v>5</v>
      </c>
      <c r="Y336" s="336">
        <f t="shared" ca="1" si="7"/>
        <v>40</v>
      </c>
      <c r="Z336" s="373"/>
      <c r="AA336" s="336"/>
      <c r="AB336" s="373"/>
    </row>
    <row r="337" spans="1:28" s="338" customFormat="1" ht="12.75" customHeight="1" x14ac:dyDescent="0.25">
      <c r="A337" s="347" t="s">
        <v>1060</v>
      </c>
      <c r="B337" s="376">
        <v>45191</v>
      </c>
      <c r="C337" s="425" t="s">
        <v>35</v>
      </c>
      <c r="D337" s="333" t="s">
        <v>83</v>
      </c>
      <c r="E337" s="333">
        <v>6980320</v>
      </c>
      <c r="F337" s="374" t="s">
        <v>1061</v>
      </c>
      <c r="G337" s="372" t="s">
        <v>1062</v>
      </c>
      <c r="H337" s="333">
        <v>1</v>
      </c>
      <c r="I337" s="333">
        <v>321</v>
      </c>
      <c r="J337" s="333" t="s">
        <v>43</v>
      </c>
      <c r="K337" s="332" t="s">
        <v>32</v>
      </c>
      <c r="L337" s="332"/>
      <c r="M337" s="333"/>
      <c r="N337" s="333"/>
      <c r="O337" s="333"/>
      <c r="P337" s="375">
        <v>45196</v>
      </c>
      <c r="Q337" s="333"/>
      <c r="R337" s="333"/>
      <c r="S337" s="373"/>
      <c r="T337" s="373"/>
      <c r="U337" s="373"/>
      <c r="V337" s="373"/>
      <c r="W337" s="346">
        <v>45362</v>
      </c>
      <c r="X337" s="373"/>
      <c r="Y337" s="336">
        <f t="shared" ca="1" si="7"/>
        <v>166</v>
      </c>
      <c r="Z337" s="373"/>
      <c r="AA337" s="336"/>
      <c r="AB337" s="373"/>
    </row>
    <row r="338" spans="1:28" s="338" customFormat="1" ht="12.75" customHeight="1" x14ac:dyDescent="0.25">
      <c r="A338" s="347" t="s">
        <v>1063</v>
      </c>
      <c r="B338" s="363">
        <v>45259</v>
      </c>
      <c r="C338" s="425" t="s">
        <v>60</v>
      </c>
      <c r="D338" s="333" t="s">
        <v>880</v>
      </c>
      <c r="E338" s="333" t="s">
        <v>1064</v>
      </c>
      <c r="F338" s="365" t="s">
        <v>1065</v>
      </c>
      <c r="G338" s="366" t="s">
        <v>1066</v>
      </c>
      <c r="H338" s="364">
        <v>1</v>
      </c>
      <c r="I338" s="364">
        <v>371</v>
      </c>
      <c r="J338" s="364" t="s">
        <v>265</v>
      </c>
      <c r="K338" s="332" t="s">
        <v>32</v>
      </c>
      <c r="L338" s="332"/>
      <c r="M338" s="333"/>
      <c r="N338" s="333"/>
      <c r="O338" s="333"/>
      <c r="P338" s="343"/>
      <c r="Q338" s="333"/>
      <c r="R338" s="333"/>
      <c r="S338" s="369"/>
      <c r="T338" s="369"/>
      <c r="U338" s="369"/>
      <c r="V338" s="369"/>
      <c r="W338" s="370">
        <v>45443</v>
      </c>
      <c r="X338" s="369"/>
      <c r="Y338" s="336" t="str">
        <f t="shared" ca="1" si="7"/>
        <v/>
      </c>
      <c r="Z338" s="369"/>
      <c r="AA338" s="336"/>
      <c r="AB338" s="373"/>
    </row>
    <row r="339" spans="1:28" s="338" customFormat="1" ht="12.75" customHeight="1" x14ac:dyDescent="0.25">
      <c r="A339" s="347" t="s">
        <v>1067</v>
      </c>
      <c r="B339" s="376">
        <v>45259</v>
      </c>
      <c r="C339" s="425" t="s">
        <v>60</v>
      </c>
      <c r="D339" s="333" t="s">
        <v>880</v>
      </c>
      <c r="E339" s="333" t="s">
        <v>1068</v>
      </c>
      <c r="F339" s="374" t="s">
        <v>33</v>
      </c>
      <c r="G339" s="372" t="s">
        <v>1069</v>
      </c>
      <c r="H339" s="333">
        <v>1</v>
      </c>
      <c r="I339" s="333">
        <v>368</v>
      </c>
      <c r="J339" s="333" t="s">
        <v>68</v>
      </c>
      <c r="K339" s="332" t="s">
        <v>69</v>
      </c>
      <c r="L339" s="332"/>
      <c r="M339" s="333"/>
      <c r="N339" s="417"/>
      <c r="O339" s="417"/>
      <c r="P339" s="343"/>
      <c r="Q339" s="429"/>
      <c r="R339" s="429"/>
      <c r="S339" s="373"/>
      <c r="T339" s="373"/>
      <c r="U339" s="373"/>
      <c r="V339" s="373"/>
      <c r="W339" s="346"/>
      <c r="X339" s="373"/>
      <c r="Y339" s="336" t="str">
        <f t="shared" ca="1" si="7"/>
        <v/>
      </c>
      <c r="Z339" s="373"/>
      <c r="AA339" s="336"/>
      <c r="AB339" s="373"/>
    </row>
    <row r="340" spans="1:28" s="338" customFormat="1" ht="12.75" customHeight="1" x14ac:dyDescent="0.25">
      <c r="A340" s="347" t="s">
        <v>1070</v>
      </c>
      <c r="B340" s="376">
        <v>45259</v>
      </c>
      <c r="C340" s="425" t="s">
        <v>60</v>
      </c>
      <c r="D340" s="333" t="s">
        <v>880</v>
      </c>
      <c r="E340" s="333"/>
      <c r="F340" s="374" t="s">
        <v>1071</v>
      </c>
      <c r="G340" s="372" t="s">
        <v>1072</v>
      </c>
      <c r="H340" s="333">
        <v>1</v>
      </c>
      <c r="I340" s="333">
        <v>371</v>
      </c>
      <c r="J340" s="333" t="s">
        <v>31</v>
      </c>
      <c r="K340" s="332" t="s">
        <v>32</v>
      </c>
      <c r="L340" s="332"/>
      <c r="M340" s="333"/>
      <c r="N340" s="333"/>
      <c r="O340" s="333"/>
      <c r="P340" s="343">
        <v>45259</v>
      </c>
      <c r="Q340" s="429"/>
      <c r="R340" s="429"/>
      <c r="S340" s="373"/>
      <c r="T340" s="373"/>
      <c r="U340" s="373"/>
      <c r="V340" s="373"/>
      <c r="W340" s="346">
        <v>45299</v>
      </c>
      <c r="X340" s="373">
        <v>1</v>
      </c>
      <c r="Y340" s="336">
        <f t="shared" ca="1" si="7"/>
        <v>40</v>
      </c>
      <c r="Z340" s="373"/>
      <c r="AA340" s="336"/>
      <c r="AB340" s="373" t="s">
        <v>1073</v>
      </c>
    </row>
    <row r="341" spans="1:28" s="338" customFormat="1" ht="12.75" customHeight="1" x14ac:dyDescent="0.25">
      <c r="A341" s="347" t="s">
        <v>1074</v>
      </c>
      <c r="B341" s="376">
        <v>45265</v>
      </c>
      <c r="C341" s="425" t="s">
        <v>60</v>
      </c>
      <c r="D341" s="333" t="s">
        <v>880</v>
      </c>
      <c r="E341" s="333"/>
      <c r="F341" s="374" t="s">
        <v>33</v>
      </c>
      <c r="G341" s="372" t="s">
        <v>499</v>
      </c>
      <c r="H341" s="333">
        <v>1</v>
      </c>
      <c r="I341" s="333">
        <v>371</v>
      </c>
      <c r="J341" s="333" t="s">
        <v>68</v>
      </c>
      <c r="K341" s="332" t="s">
        <v>69</v>
      </c>
      <c r="L341" s="332"/>
      <c r="M341" s="333"/>
      <c r="N341" s="333"/>
      <c r="O341" s="333"/>
      <c r="P341" s="343"/>
      <c r="Q341" s="429"/>
      <c r="R341" s="429"/>
      <c r="S341" s="373"/>
      <c r="T341" s="373"/>
      <c r="U341" s="373"/>
      <c r="V341" s="373"/>
      <c r="W341" s="346"/>
      <c r="X341" s="373"/>
      <c r="Y341" s="336" t="str">
        <f t="shared" ca="1" si="7"/>
        <v/>
      </c>
      <c r="Z341" s="373"/>
      <c r="AA341" s="336"/>
      <c r="AB341" s="373"/>
    </row>
    <row r="342" spans="1:28" s="338" customFormat="1" ht="12.75" customHeight="1" x14ac:dyDescent="0.25">
      <c r="A342" s="347" t="s">
        <v>1075</v>
      </c>
      <c r="B342" s="407">
        <v>45295</v>
      </c>
      <c r="C342" s="448" t="s">
        <v>60</v>
      </c>
      <c r="D342" s="372" t="s">
        <v>880</v>
      </c>
      <c r="E342" s="372"/>
      <c r="F342" s="374" t="s">
        <v>1076</v>
      </c>
      <c r="G342" s="372" t="s">
        <v>1077</v>
      </c>
      <c r="H342" s="372">
        <v>1</v>
      </c>
      <c r="I342" s="372">
        <v>375</v>
      </c>
      <c r="J342" s="372" t="s">
        <v>265</v>
      </c>
      <c r="K342" s="399" t="s">
        <v>32</v>
      </c>
      <c r="L342" s="399"/>
      <c r="M342" s="372"/>
      <c r="N342" s="449"/>
      <c r="O342" s="449"/>
      <c r="P342" s="450"/>
      <c r="Q342" s="451"/>
      <c r="R342" s="451"/>
      <c r="S342" s="401"/>
      <c r="T342" s="401"/>
      <c r="U342" s="401"/>
      <c r="V342" s="401"/>
      <c r="W342" s="402"/>
      <c r="X342" s="401"/>
      <c r="Y342" s="336" t="str">
        <f t="shared" ca="1" si="7"/>
        <v/>
      </c>
      <c r="Z342" s="401"/>
      <c r="AA342" s="409"/>
      <c r="AB342" s="401"/>
    </row>
    <row r="343" spans="1:28" s="338" customFormat="1" ht="12.75" customHeight="1" x14ac:dyDescent="0.25">
      <c r="A343" s="347" t="s">
        <v>1078</v>
      </c>
      <c r="B343" s="376">
        <v>45295</v>
      </c>
      <c r="C343" s="425" t="s">
        <v>60</v>
      </c>
      <c r="D343" s="333" t="s">
        <v>880</v>
      </c>
      <c r="E343" s="333"/>
      <c r="F343" s="374" t="s">
        <v>1079</v>
      </c>
      <c r="G343" s="372" t="s">
        <v>1080</v>
      </c>
      <c r="H343" s="333">
        <v>2</v>
      </c>
      <c r="I343" s="333">
        <v>11</v>
      </c>
      <c r="J343" s="333" t="s">
        <v>31</v>
      </c>
      <c r="K343" s="332" t="s">
        <v>32</v>
      </c>
      <c r="L343" s="332"/>
      <c r="M343" s="333"/>
      <c r="N343" s="417"/>
      <c r="O343" s="417"/>
      <c r="P343" s="343">
        <v>45301</v>
      </c>
      <c r="Q343" s="429"/>
      <c r="R343" s="429"/>
      <c r="S343" s="373"/>
      <c r="T343" s="373"/>
      <c r="U343" s="373"/>
      <c r="V343" s="373"/>
      <c r="W343" s="346"/>
      <c r="X343" s="373"/>
      <c r="Y343" s="336">
        <f t="shared" ca="1" si="7"/>
        <v>285</v>
      </c>
      <c r="Z343" s="373"/>
      <c r="AA343" s="336"/>
      <c r="AB343" s="373" t="s">
        <v>1081</v>
      </c>
    </row>
    <row r="344" spans="1:28" s="410" customFormat="1" ht="12.75" customHeight="1" x14ac:dyDescent="0.25">
      <c r="A344" s="347" t="s">
        <v>1082</v>
      </c>
      <c r="B344" s="407">
        <v>45194</v>
      </c>
      <c r="C344" s="448" t="s">
        <v>35</v>
      </c>
      <c r="D344" s="372" t="s">
        <v>83</v>
      </c>
      <c r="E344" s="452">
        <v>6980306</v>
      </c>
      <c r="F344" s="374" t="s">
        <v>1083</v>
      </c>
      <c r="G344" s="372" t="s">
        <v>1084</v>
      </c>
      <c r="H344" s="372">
        <v>2</v>
      </c>
      <c r="I344" s="372" t="s">
        <v>1085</v>
      </c>
      <c r="J344" s="372" t="s">
        <v>68</v>
      </c>
      <c r="K344" s="399" t="s">
        <v>69</v>
      </c>
      <c r="L344" s="453"/>
      <c r="M344" s="452" t="s">
        <v>751</v>
      </c>
      <c r="N344" s="452"/>
      <c r="O344" s="452"/>
      <c r="P344" s="400">
        <v>45196</v>
      </c>
      <c r="Q344" s="451"/>
      <c r="R344" s="454"/>
      <c r="S344" s="455"/>
      <c r="T344" s="455"/>
      <c r="U344" s="455"/>
      <c r="V344" s="455"/>
      <c r="W344" s="402">
        <v>45362</v>
      </c>
      <c r="X344" s="401"/>
      <c r="Y344" s="336">
        <f t="shared" ca="1" si="7"/>
        <v>166</v>
      </c>
      <c r="Z344" s="401"/>
      <c r="AA344" s="409"/>
      <c r="AB344" s="401"/>
    </row>
    <row r="345" spans="1:28" s="410" customFormat="1" ht="12.75" customHeight="1" x14ac:dyDescent="0.25">
      <c r="A345" s="347" t="s">
        <v>1086</v>
      </c>
      <c r="B345" s="407">
        <v>45196</v>
      </c>
      <c r="C345" s="448" t="s">
        <v>35</v>
      </c>
      <c r="D345" s="372" t="s">
        <v>83</v>
      </c>
      <c r="E345" s="452"/>
      <c r="F345" s="374" t="s">
        <v>748</v>
      </c>
      <c r="G345" s="372" t="s">
        <v>1031</v>
      </c>
      <c r="H345" s="372">
        <v>1</v>
      </c>
      <c r="I345" s="372" t="s">
        <v>1087</v>
      </c>
      <c r="J345" s="372" t="s">
        <v>68</v>
      </c>
      <c r="K345" s="399" t="s">
        <v>69</v>
      </c>
      <c r="L345" s="453"/>
      <c r="M345" s="452" t="s">
        <v>751</v>
      </c>
      <c r="N345" s="452"/>
      <c r="O345" s="452"/>
      <c r="P345" s="400">
        <v>45196</v>
      </c>
      <c r="Q345" s="451"/>
      <c r="R345" s="454"/>
      <c r="S345" s="455"/>
      <c r="T345" s="455"/>
      <c r="U345" s="455"/>
      <c r="V345" s="455"/>
      <c r="W345" s="402">
        <v>45362</v>
      </c>
      <c r="X345" s="401"/>
      <c r="Y345" s="336">
        <f t="shared" ca="1" si="7"/>
        <v>166</v>
      </c>
      <c r="Z345" s="401"/>
      <c r="AA345" s="409"/>
      <c r="AB345" s="401"/>
    </row>
    <row r="346" spans="1:28" s="338" customFormat="1" ht="12.75" customHeight="1" x14ac:dyDescent="0.25">
      <c r="A346" s="347" t="s">
        <v>1088</v>
      </c>
      <c r="B346" s="376">
        <v>45197</v>
      </c>
      <c r="C346" s="425" t="s">
        <v>35</v>
      </c>
      <c r="D346" s="333" t="s">
        <v>36</v>
      </c>
      <c r="E346" s="333"/>
      <c r="F346" s="374" t="s">
        <v>1089</v>
      </c>
      <c r="G346" s="372" t="s">
        <v>1090</v>
      </c>
      <c r="H346" s="333">
        <v>2</v>
      </c>
      <c r="I346" s="333" t="s">
        <v>1091</v>
      </c>
      <c r="J346" s="333" t="s">
        <v>265</v>
      </c>
      <c r="K346" s="332" t="s">
        <v>32</v>
      </c>
      <c r="L346" s="332"/>
      <c r="M346" s="333"/>
      <c r="N346" s="333"/>
      <c r="O346" s="333"/>
      <c r="P346" s="375"/>
      <c r="Q346" s="429"/>
      <c r="R346" s="429"/>
      <c r="S346" s="373"/>
      <c r="T346" s="373"/>
      <c r="U346" s="373"/>
      <c r="V346" s="373"/>
      <c r="W346" s="346"/>
      <c r="X346" s="373"/>
      <c r="Y346" s="336" t="str">
        <f t="shared" ca="1" si="7"/>
        <v/>
      </c>
      <c r="Z346" s="373"/>
      <c r="AA346" s="336"/>
      <c r="AB346" s="373"/>
    </row>
    <row r="347" spans="1:28" s="338" customFormat="1" ht="12.75" customHeight="1" x14ac:dyDescent="0.25">
      <c r="A347" s="347" t="s">
        <v>1092</v>
      </c>
      <c r="B347" s="376">
        <v>45296</v>
      </c>
      <c r="C347" s="425" t="s">
        <v>60</v>
      </c>
      <c r="D347" s="333" t="s">
        <v>880</v>
      </c>
      <c r="E347" s="333"/>
      <c r="F347" s="349" t="s">
        <v>1093</v>
      </c>
      <c r="G347" s="372" t="s">
        <v>1094</v>
      </c>
      <c r="H347" s="333">
        <v>2</v>
      </c>
      <c r="I347" s="333">
        <v>375</v>
      </c>
      <c r="J347" s="333" t="s">
        <v>43</v>
      </c>
      <c r="K347" s="332" t="s">
        <v>32</v>
      </c>
      <c r="L347" s="332"/>
      <c r="M347" s="333"/>
      <c r="N347" s="417"/>
      <c r="O347" s="417"/>
      <c r="P347" s="343">
        <v>45301</v>
      </c>
      <c r="Q347" s="429"/>
      <c r="R347" s="429"/>
      <c r="S347" s="373"/>
      <c r="T347" s="373"/>
      <c r="U347" s="373"/>
      <c r="V347" s="373"/>
      <c r="W347" s="346"/>
      <c r="X347" s="373"/>
      <c r="Y347" s="336">
        <f t="shared" ca="1" si="7"/>
        <v>285</v>
      </c>
      <c r="Z347" s="373"/>
      <c r="AA347" s="336"/>
      <c r="AB347" s="373" t="s">
        <v>1095</v>
      </c>
    </row>
    <row r="348" spans="1:28" s="338" customFormat="1" ht="12.75" customHeight="1" x14ac:dyDescent="0.25">
      <c r="A348" s="347" t="s">
        <v>1096</v>
      </c>
      <c r="B348" s="376">
        <v>45266</v>
      </c>
      <c r="C348" s="425" t="s">
        <v>60</v>
      </c>
      <c r="D348" s="333" t="s">
        <v>880</v>
      </c>
      <c r="E348" s="333"/>
      <c r="F348" s="374" t="s">
        <v>1097</v>
      </c>
      <c r="G348" s="372" t="s">
        <v>1098</v>
      </c>
      <c r="H348" s="333">
        <v>1</v>
      </c>
      <c r="I348" s="333">
        <v>374</v>
      </c>
      <c r="J348" s="333"/>
      <c r="K348" s="332"/>
      <c r="L348" s="332"/>
      <c r="M348" s="333"/>
      <c r="N348" s="417"/>
      <c r="O348" s="417"/>
      <c r="P348" s="343"/>
      <c r="Q348" s="429"/>
      <c r="R348" s="429"/>
      <c r="S348" s="373"/>
      <c r="T348" s="373"/>
      <c r="U348" s="373"/>
      <c r="V348" s="373"/>
      <c r="W348" s="346">
        <v>45303</v>
      </c>
      <c r="X348" s="373"/>
      <c r="Y348" s="336" t="str">
        <f t="shared" ca="1" si="7"/>
        <v/>
      </c>
      <c r="Z348" s="373"/>
      <c r="AA348" s="336"/>
      <c r="AB348" s="373"/>
    </row>
    <row r="349" spans="1:28" s="338" customFormat="1" ht="12.75" customHeight="1" x14ac:dyDescent="0.25">
      <c r="A349" s="347" t="s">
        <v>1099</v>
      </c>
      <c r="B349" s="376">
        <v>45155</v>
      </c>
      <c r="C349" s="425" t="s">
        <v>60</v>
      </c>
      <c r="D349" s="333" t="s">
        <v>1100</v>
      </c>
      <c r="E349" s="333" t="s">
        <v>1101</v>
      </c>
      <c r="F349" s="374" t="s">
        <v>1102</v>
      </c>
      <c r="G349" s="372" t="s">
        <v>1051</v>
      </c>
      <c r="H349" s="333">
        <v>80</v>
      </c>
      <c r="I349" s="333">
        <v>28</v>
      </c>
      <c r="J349" s="333" t="s">
        <v>46</v>
      </c>
      <c r="K349" s="332" t="s">
        <v>32</v>
      </c>
      <c r="L349" s="332"/>
      <c r="M349" s="333" t="s">
        <v>33</v>
      </c>
      <c r="N349" s="333"/>
      <c r="O349" s="333"/>
      <c r="P349" s="375">
        <v>45160</v>
      </c>
      <c r="Q349" s="429"/>
      <c r="R349" s="429"/>
      <c r="S349" s="373"/>
      <c r="T349" s="373"/>
      <c r="U349" s="373"/>
      <c r="V349" s="373"/>
      <c r="W349" s="346">
        <v>45303</v>
      </c>
      <c r="X349" s="373"/>
      <c r="Y349" s="336">
        <f t="shared" ca="1" si="7"/>
        <v>143</v>
      </c>
      <c r="Z349" s="373"/>
      <c r="AA349" s="336"/>
      <c r="AB349" s="373"/>
    </row>
    <row r="350" spans="1:28" s="338" customFormat="1" ht="12.75" customHeight="1" x14ac:dyDescent="0.25">
      <c r="A350" s="347" t="s">
        <v>1103</v>
      </c>
      <c r="B350" s="376">
        <v>45160</v>
      </c>
      <c r="C350" s="425" t="s">
        <v>60</v>
      </c>
      <c r="D350" s="333" t="s">
        <v>1100</v>
      </c>
      <c r="E350" s="333" t="s">
        <v>1104</v>
      </c>
      <c r="F350" s="374" t="s">
        <v>1105</v>
      </c>
      <c r="G350" s="372" t="s">
        <v>1106</v>
      </c>
      <c r="H350" s="333">
        <v>1</v>
      </c>
      <c r="I350" s="333">
        <v>28</v>
      </c>
      <c r="J350" s="333" t="s">
        <v>46</v>
      </c>
      <c r="K350" s="332" t="s">
        <v>32</v>
      </c>
      <c r="L350" s="332"/>
      <c r="M350" s="333" t="s">
        <v>33</v>
      </c>
      <c r="N350" s="333"/>
      <c r="O350" s="333"/>
      <c r="P350" s="375">
        <v>45160</v>
      </c>
      <c r="Q350" s="429"/>
      <c r="R350" s="429"/>
      <c r="S350" s="373"/>
      <c r="T350" s="373"/>
      <c r="U350" s="373"/>
      <c r="V350" s="373"/>
      <c r="W350" s="346">
        <v>45303</v>
      </c>
      <c r="X350" s="373"/>
      <c r="Y350" s="336">
        <f t="shared" ca="1" si="7"/>
        <v>143</v>
      </c>
      <c r="Z350" s="373"/>
      <c r="AA350" s="336"/>
      <c r="AB350" s="373"/>
    </row>
    <row r="351" spans="1:28" s="338" customFormat="1" ht="12.75" customHeight="1" x14ac:dyDescent="0.25">
      <c r="A351" s="347" t="s">
        <v>1107</v>
      </c>
      <c r="B351" s="376">
        <v>45160</v>
      </c>
      <c r="C351" s="425" t="s">
        <v>60</v>
      </c>
      <c r="D351" s="333" t="s">
        <v>1100</v>
      </c>
      <c r="E351" s="333" t="s">
        <v>1108</v>
      </c>
      <c r="F351" s="374" t="s">
        <v>1105</v>
      </c>
      <c r="G351" s="372" t="s">
        <v>1109</v>
      </c>
      <c r="H351" s="333">
        <v>1</v>
      </c>
      <c r="I351" s="333">
        <v>28</v>
      </c>
      <c r="J351" s="333" t="s">
        <v>46</v>
      </c>
      <c r="K351" s="332" t="s">
        <v>32</v>
      </c>
      <c r="L351" s="332"/>
      <c r="M351" s="333" t="s">
        <v>33</v>
      </c>
      <c r="N351" s="333"/>
      <c r="O351" s="333"/>
      <c r="P351" s="375">
        <v>45160</v>
      </c>
      <c r="Q351" s="429"/>
      <c r="R351" s="429"/>
      <c r="S351" s="373"/>
      <c r="T351" s="373"/>
      <c r="U351" s="373"/>
      <c r="V351" s="373"/>
      <c r="W351" s="346">
        <v>45303</v>
      </c>
      <c r="X351" s="373"/>
      <c r="Y351" s="336">
        <f t="shared" ca="1" si="7"/>
        <v>143</v>
      </c>
      <c r="Z351" s="373"/>
      <c r="AA351" s="336"/>
      <c r="AB351" s="373"/>
    </row>
    <row r="352" spans="1:28" s="338" customFormat="1" ht="12.75" customHeight="1" x14ac:dyDescent="0.25">
      <c r="A352" s="347" t="s">
        <v>1110</v>
      </c>
      <c r="B352" s="376">
        <v>45160</v>
      </c>
      <c r="C352" s="425" t="s">
        <v>60</v>
      </c>
      <c r="D352" s="333" t="s">
        <v>1100</v>
      </c>
      <c r="E352" s="333" t="s">
        <v>1111</v>
      </c>
      <c r="F352" s="374" t="s">
        <v>1112</v>
      </c>
      <c r="G352" s="372" t="s">
        <v>1051</v>
      </c>
      <c r="H352" s="333">
        <v>80</v>
      </c>
      <c r="I352" s="333">
        <v>28</v>
      </c>
      <c r="J352" s="333" t="s">
        <v>46</v>
      </c>
      <c r="K352" s="332" t="s">
        <v>32</v>
      </c>
      <c r="L352" s="332"/>
      <c r="M352" s="333" t="s">
        <v>33</v>
      </c>
      <c r="N352" s="333"/>
      <c r="O352" s="333"/>
      <c r="P352" s="375">
        <v>45160</v>
      </c>
      <c r="Q352" s="429"/>
      <c r="R352" s="429"/>
      <c r="S352" s="373"/>
      <c r="T352" s="373"/>
      <c r="U352" s="373"/>
      <c r="V352" s="373"/>
      <c r="W352" s="346"/>
      <c r="X352" s="373"/>
      <c r="Y352" s="336">
        <f t="shared" ca="1" si="7"/>
        <v>426</v>
      </c>
      <c r="Z352" s="373"/>
      <c r="AA352" s="336"/>
      <c r="AB352" s="373"/>
    </row>
    <row r="353" spans="1:35" ht="12.75" customHeight="1" x14ac:dyDescent="0.25">
      <c r="A353" s="347" t="s">
        <v>1113</v>
      </c>
      <c r="B353" s="376">
        <v>45204</v>
      </c>
      <c r="C353" s="425" t="s">
        <v>35</v>
      </c>
      <c r="D353" s="333" t="s">
        <v>71</v>
      </c>
      <c r="E353" s="333">
        <v>7740040</v>
      </c>
      <c r="F353" s="374" t="s">
        <v>1114</v>
      </c>
      <c r="G353" s="372" t="s">
        <v>1115</v>
      </c>
      <c r="H353" s="333">
        <v>1</v>
      </c>
      <c r="I353" s="372" t="s">
        <v>1116</v>
      </c>
      <c r="J353" s="372" t="s">
        <v>68</v>
      </c>
      <c r="K353" s="399" t="s">
        <v>69</v>
      </c>
      <c r="L353" s="332"/>
      <c r="M353" s="333"/>
      <c r="N353" s="333"/>
      <c r="O353" s="333"/>
      <c r="P353" s="375">
        <v>45232</v>
      </c>
      <c r="S353" s="373"/>
      <c r="T353" s="373"/>
      <c r="U353" s="373"/>
      <c r="V353" s="373"/>
      <c r="W353" s="346">
        <v>45036</v>
      </c>
      <c r="X353" s="373"/>
      <c r="Y353" s="336">
        <f t="shared" ca="1" si="7"/>
        <v>-196</v>
      </c>
      <c r="Z353" s="373"/>
      <c r="AA353" s="336"/>
      <c r="AB353" s="373"/>
      <c r="AD353" s="338"/>
    </row>
    <row r="354" spans="1:35" ht="12.75" customHeight="1" x14ac:dyDescent="0.25">
      <c r="A354" s="347" t="s">
        <v>1117</v>
      </c>
      <c r="B354" s="376">
        <v>45167</v>
      </c>
      <c r="C354" s="425" t="s">
        <v>60</v>
      </c>
      <c r="D354" s="333" t="s">
        <v>1100</v>
      </c>
      <c r="E354" s="333" t="s">
        <v>1118</v>
      </c>
      <c r="F354" s="374" t="s">
        <v>1119</v>
      </c>
      <c r="G354" s="372" t="s">
        <v>1120</v>
      </c>
      <c r="H354" s="333">
        <v>24</v>
      </c>
      <c r="I354" s="333">
        <v>28</v>
      </c>
      <c r="J354" s="333" t="s">
        <v>46</v>
      </c>
      <c r="K354" s="332" t="s">
        <v>32</v>
      </c>
      <c r="L354" s="332"/>
      <c r="M354" s="333" t="s">
        <v>33</v>
      </c>
      <c r="N354" s="333"/>
      <c r="O354" s="333"/>
      <c r="P354" s="375">
        <v>45169</v>
      </c>
      <c r="S354" s="373"/>
      <c r="T354" s="373"/>
      <c r="U354" s="373"/>
      <c r="V354" s="373"/>
      <c r="W354" s="346"/>
      <c r="X354" s="373"/>
      <c r="Y354" s="336">
        <f t="shared" ca="1" si="7"/>
        <v>417</v>
      </c>
      <c r="Z354" s="373"/>
      <c r="AA354" s="336"/>
      <c r="AB354" s="373"/>
      <c r="AD354" s="338"/>
    </row>
    <row r="355" spans="1:35" ht="12.75" customHeight="1" x14ac:dyDescent="0.25">
      <c r="A355" s="347" t="s">
        <v>1121</v>
      </c>
      <c r="B355" s="376">
        <v>45167</v>
      </c>
      <c r="C355" s="425" t="s">
        <v>60</v>
      </c>
      <c r="D355" s="333" t="s">
        <v>1100</v>
      </c>
      <c r="E355" s="333" t="s">
        <v>1118</v>
      </c>
      <c r="F355" s="374" t="s">
        <v>1122</v>
      </c>
      <c r="G355" s="372" t="s">
        <v>1123</v>
      </c>
      <c r="H355" s="333">
        <v>1</v>
      </c>
      <c r="I355" s="333">
        <v>28</v>
      </c>
      <c r="J355" s="333" t="s">
        <v>31</v>
      </c>
      <c r="K355" s="332" t="s">
        <v>32</v>
      </c>
      <c r="L355" s="332"/>
      <c r="M355" s="333" t="s">
        <v>33</v>
      </c>
      <c r="N355" s="333"/>
      <c r="O355" s="333"/>
      <c r="P355" s="375">
        <v>45169</v>
      </c>
      <c r="S355" s="373"/>
      <c r="T355" s="373"/>
      <c r="U355" s="373"/>
      <c r="V355" s="373"/>
      <c r="W355" s="346"/>
      <c r="X355" s="373"/>
      <c r="Y355" s="336">
        <f t="shared" ca="1" si="7"/>
        <v>417</v>
      </c>
      <c r="Z355" s="373"/>
      <c r="AA355" s="336"/>
      <c r="AB355" s="373"/>
      <c r="AD355" s="338"/>
    </row>
    <row r="356" spans="1:35" ht="12.75" customHeight="1" x14ac:dyDescent="0.25">
      <c r="A356" s="347" t="s">
        <v>1124</v>
      </c>
      <c r="B356" s="376">
        <v>45253</v>
      </c>
      <c r="C356" s="425" t="s">
        <v>60</v>
      </c>
      <c r="D356" s="333" t="s">
        <v>1125</v>
      </c>
      <c r="E356" s="333" t="s">
        <v>1126</v>
      </c>
      <c r="F356" s="374" t="s">
        <v>1127</v>
      </c>
      <c r="G356" s="372" t="s">
        <v>1128</v>
      </c>
      <c r="H356" s="333">
        <v>6</v>
      </c>
      <c r="I356" s="333">
        <v>1</v>
      </c>
      <c r="J356" s="333" t="s">
        <v>43</v>
      </c>
      <c r="K356" s="332" t="s">
        <v>32</v>
      </c>
      <c r="L356" s="332"/>
      <c r="M356" s="333"/>
      <c r="N356" s="333"/>
      <c r="O356" s="333"/>
      <c r="P356" s="343" t="s">
        <v>1129</v>
      </c>
      <c r="S356" s="373"/>
      <c r="T356" s="373"/>
      <c r="U356" s="373"/>
      <c r="V356" s="373"/>
      <c r="W356" s="346"/>
      <c r="X356" s="373"/>
      <c r="Y356" s="336" t="e">
        <f t="shared" ca="1" si="7"/>
        <v>#VALUE!</v>
      </c>
      <c r="Z356" s="373"/>
      <c r="AA356" s="336"/>
      <c r="AB356" s="373"/>
      <c r="AD356" s="338"/>
    </row>
    <row r="357" spans="1:35" ht="12.75" customHeight="1" x14ac:dyDescent="0.25">
      <c r="A357" s="347" t="s">
        <v>1130</v>
      </c>
      <c r="B357" s="456">
        <v>45125</v>
      </c>
      <c r="C357" s="425" t="s">
        <v>60</v>
      </c>
      <c r="D357" s="425" t="s">
        <v>1131</v>
      </c>
      <c r="E357" s="333" t="s">
        <v>1132</v>
      </c>
      <c r="F357" s="374" t="s">
        <v>1133</v>
      </c>
      <c r="G357" s="372" t="s">
        <v>1134</v>
      </c>
      <c r="H357" s="333">
        <v>3</v>
      </c>
      <c r="I357" s="333">
        <v>84</v>
      </c>
      <c r="J357" s="333" t="s">
        <v>46</v>
      </c>
      <c r="K357" s="332" t="s">
        <v>32</v>
      </c>
      <c r="L357" s="332"/>
      <c r="M357" s="333" t="s">
        <v>33</v>
      </c>
      <c r="N357" s="333"/>
      <c r="O357" s="333"/>
      <c r="P357" s="334">
        <v>45191</v>
      </c>
      <c r="S357" s="373"/>
      <c r="T357" s="373"/>
      <c r="U357" s="373"/>
      <c r="V357" s="373"/>
      <c r="W357" s="346"/>
      <c r="X357" s="373"/>
      <c r="Y357" s="336">
        <f t="shared" ca="1" si="7"/>
        <v>395</v>
      </c>
      <c r="Z357" s="373"/>
      <c r="AA357" s="336"/>
      <c r="AB357" s="373"/>
      <c r="AD357" s="338"/>
    </row>
    <row r="358" spans="1:35" ht="12.75" customHeight="1" x14ac:dyDescent="0.25">
      <c r="A358" s="347" t="s">
        <v>1135</v>
      </c>
      <c r="B358" s="456">
        <v>45124</v>
      </c>
      <c r="C358" s="425" t="s">
        <v>60</v>
      </c>
      <c r="D358" s="425" t="s">
        <v>1131</v>
      </c>
      <c r="E358" s="333" t="s">
        <v>1136</v>
      </c>
      <c r="F358" s="374" t="s">
        <v>1137</v>
      </c>
      <c r="G358" s="372" t="s">
        <v>1138</v>
      </c>
      <c r="H358" s="333">
        <v>6</v>
      </c>
      <c r="I358" s="333">
        <v>84</v>
      </c>
      <c r="J358" s="333" t="s">
        <v>46</v>
      </c>
      <c r="K358" s="332" t="s">
        <v>32</v>
      </c>
      <c r="L358" s="332"/>
      <c r="M358" s="333" t="s">
        <v>33</v>
      </c>
      <c r="N358" s="333"/>
      <c r="O358" s="333"/>
      <c r="P358" s="375"/>
      <c r="S358" s="373"/>
      <c r="T358" s="373"/>
      <c r="U358" s="373"/>
      <c r="V358" s="373"/>
      <c r="W358" s="346"/>
      <c r="X358" s="373"/>
      <c r="Y358" s="336" t="str">
        <f t="shared" ref="Y358:Y389" ca="1" si="8">IF(P358="","",IF(W358="",TODAY()-P358,W358-P358))</f>
        <v/>
      </c>
      <c r="Z358" s="373"/>
      <c r="AA358" s="336"/>
      <c r="AB358" s="373"/>
      <c r="AD358" s="338"/>
    </row>
    <row r="359" spans="1:35" ht="12.75" customHeight="1" x14ac:dyDescent="0.25">
      <c r="A359" s="347" t="s">
        <v>1139</v>
      </c>
      <c r="B359" s="456">
        <v>45131</v>
      </c>
      <c r="C359" s="425" t="s">
        <v>60</v>
      </c>
      <c r="D359" s="425" t="s">
        <v>1140</v>
      </c>
      <c r="E359" s="333">
        <v>3323</v>
      </c>
      <c r="F359" s="374" t="s">
        <v>1141</v>
      </c>
      <c r="G359" s="372" t="s">
        <v>1142</v>
      </c>
      <c r="H359" s="333">
        <v>2</v>
      </c>
      <c r="I359" s="333">
        <v>84</v>
      </c>
      <c r="J359" s="333" t="s">
        <v>68</v>
      </c>
      <c r="K359" s="332" t="s">
        <v>69</v>
      </c>
      <c r="L359" s="332"/>
      <c r="M359" s="333" t="s">
        <v>1143</v>
      </c>
      <c r="N359" s="333"/>
      <c r="O359" s="333"/>
      <c r="P359" s="375"/>
      <c r="S359" s="373"/>
      <c r="T359" s="373"/>
      <c r="U359" s="373"/>
      <c r="V359" s="373"/>
      <c r="W359" s="346"/>
      <c r="X359" s="373"/>
      <c r="Y359" s="336" t="str">
        <f t="shared" ca="1" si="8"/>
        <v/>
      </c>
      <c r="Z359" s="373"/>
      <c r="AA359" s="336"/>
      <c r="AB359" s="373"/>
      <c r="AD359" s="338"/>
    </row>
    <row r="360" spans="1:35" ht="12.75" customHeight="1" x14ac:dyDescent="0.25">
      <c r="A360" s="347" t="s">
        <v>1144</v>
      </c>
      <c r="B360" s="456">
        <v>45127</v>
      </c>
      <c r="C360" s="425" t="s">
        <v>60</v>
      </c>
      <c r="D360" s="425" t="s">
        <v>1131</v>
      </c>
      <c r="E360" s="333" t="s">
        <v>33</v>
      </c>
      <c r="F360" s="374" t="s">
        <v>1145</v>
      </c>
      <c r="G360" s="372" t="s">
        <v>1146</v>
      </c>
      <c r="H360" s="333">
        <v>1</v>
      </c>
      <c r="I360" s="333">
        <v>84</v>
      </c>
      <c r="J360" s="333" t="s">
        <v>68</v>
      </c>
      <c r="K360" s="332" t="s">
        <v>69</v>
      </c>
      <c r="L360" s="332"/>
      <c r="M360" s="333" t="s">
        <v>1143</v>
      </c>
      <c r="N360" s="333"/>
      <c r="O360" s="333"/>
      <c r="P360" s="375"/>
      <c r="S360" s="373"/>
      <c r="T360" s="373"/>
      <c r="U360" s="373"/>
      <c r="V360" s="373"/>
      <c r="W360" s="346"/>
      <c r="X360" s="373"/>
      <c r="Y360" s="336" t="str">
        <f t="shared" ca="1" si="8"/>
        <v/>
      </c>
      <c r="Z360" s="373"/>
      <c r="AA360" s="336"/>
      <c r="AB360" s="373"/>
      <c r="AD360" s="338"/>
    </row>
    <row r="361" spans="1:35" ht="12.75" customHeight="1" x14ac:dyDescent="0.25">
      <c r="A361" s="347" t="s">
        <v>1147</v>
      </c>
      <c r="B361" s="376">
        <v>45240</v>
      </c>
      <c r="C361" s="425" t="s">
        <v>60</v>
      </c>
      <c r="D361" s="333" t="s">
        <v>1148</v>
      </c>
      <c r="E361" s="333"/>
      <c r="F361" s="374">
        <v>5516</v>
      </c>
      <c r="G361" s="372" t="s">
        <v>1149</v>
      </c>
      <c r="H361" s="333">
        <v>84</v>
      </c>
      <c r="I361" s="333">
        <v>18</v>
      </c>
      <c r="J361" s="333" t="s">
        <v>46</v>
      </c>
      <c r="K361" s="332" t="s">
        <v>32</v>
      </c>
      <c r="L361" s="332"/>
      <c r="M361" s="452"/>
      <c r="N361" s="333"/>
      <c r="O361" s="333"/>
      <c r="P361" s="343"/>
      <c r="S361" s="373"/>
      <c r="T361" s="373"/>
      <c r="U361" s="373"/>
      <c r="V361" s="373"/>
      <c r="W361" s="346"/>
      <c r="X361" s="373"/>
      <c r="Y361" s="336" t="str">
        <f t="shared" ca="1" si="8"/>
        <v/>
      </c>
      <c r="Z361" s="373"/>
      <c r="AA361" s="336"/>
      <c r="AB361" s="373"/>
      <c r="AD361" s="338"/>
    </row>
    <row r="362" spans="1:35" ht="12.75" customHeight="1" x14ac:dyDescent="0.25">
      <c r="A362" s="347" t="s">
        <v>1150</v>
      </c>
      <c r="B362" s="376">
        <v>45240</v>
      </c>
      <c r="C362" s="425" t="s">
        <v>60</v>
      </c>
      <c r="D362" s="333" t="s">
        <v>1148</v>
      </c>
      <c r="E362" s="333"/>
      <c r="F362" s="374">
        <v>5517</v>
      </c>
      <c r="G362" s="372" t="s">
        <v>1151</v>
      </c>
      <c r="H362" s="333">
        <v>84</v>
      </c>
      <c r="I362" s="333">
        <v>18</v>
      </c>
      <c r="J362" s="333" t="s">
        <v>46</v>
      </c>
      <c r="K362" s="332" t="s">
        <v>32</v>
      </c>
      <c r="L362" s="332"/>
      <c r="M362" s="333"/>
      <c r="N362" s="333"/>
      <c r="O362" s="333"/>
      <c r="P362" s="343"/>
      <c r="S362" s="373"/>
      <c r="T362" s="373"/>
      <c r="U362" s="373"/>
      <c r="V362" s="373"/>
      <c r="W362" s="346"/>
      <c r="X362" s="373"/>
      <c r="Y362" s="336" t="str">
        <f t="shared" ca="1" si="8"/>
        <v/>
      </c>
      <c r="Z362" s="373"/>
      <c r="AA362" s="336"/>
      <c r="AB362" s="373"/>
      <c r="AC362" s="410"/>
      <c r="AD362" s="410"/>
      <c r="AE362" s="410"/>
      <c r="AF362" s="410"/>
      <c r="AG362" s="410"/>
      <c r="AH362" s="410"/>
      <c r="AI362" s="410"/>
    </row>
    <row r="363" spans="1:35" ht="12.75" customHeight="1" x14ac:dyDescent="0.25">
      <c r="A363" s="347" t="s">
        <v>1152</v>
      </c>
      <c r="B363" s="376">
        <v>45240</v>
      </c>
      <c r="C363" s="425" t="s">
        <v>60</v>
      </c>
      <c r="D363" s="333" t="s">
        <v>1148</v>
      </c>
      <c r="E363" s="333"/>
      <c r="F363" s="374" t="s">
        <v>1153</v>
      </c>
      <c r="G363" s="372" t="s">
        <v>1154</v>
      </c>
      <c r="H363" s="333">
        <v>84</v>
      </c>
      <c r="I363" s="333">
        <v>36</v>
      </c>
      <c r="J363" s="333" t="s">
        <v>46</v>
      </c>
      <c r="K363" s="332" t="s">
        <v>32</v>
      </c>
      <c r="L363" s="332"/>
      <c r="M363" s="333"/>
      <c r="N363" s="333"/>
      <c r="O363" s="333"/>
      <c r="P363" s="343"/>
      <c r="S363" s="373"/>
      <c r="T363" s="373"/>
      <c r="U363" s="373"/>
      <c r="V363" s="373"/>
      <c r="W363" s="346"/>
      <c r="X363" s="373"/>
      <c r="Y363" s="336" t="str">
        <f t="shared" ca="1" si="8"/>
        <v/>
      </c>
      <c r="Z363" s="373"/>
      <c r="AA363" s="336"/>
      <c r="AB363" s="373"/>
      <c r="AC363" s="410"/>
      <c r="AD363" s="410"/>
      <c r="AE363" s="410"/>
      <c r="AF363" s="410"/>
      <c r="AG363" s="410"/>
      <c r="AH363" s="410"/>
      <c r="AI363" s="410"/>
    </row>
    <row r="364" spans="1:35" ht="12.75" customHeight="1" x14ac:dyDescent="0.25">
      <c r="A364" s="347" t="s">
        <v>1155</v>
      </c>
      <c r="B364" s="376">
        <v>45240</v>
      </c>
      <c r="C364" s="425" t="s">
        <v>60</v>
      </c>
      <c r="D364" s="333" t="s">
        <v>1148</v>
      </c>
      <c r="E364" s="333"/>
      <c r="F364" s="374" t="s">
        <v>1156</v>
      </c>
      <c r="G364" s="372" t="s">
        <v>1157</v>
      </c>
      <c r="H364" s="333">
        <v>84</v>
      </c>
      <c r="I364" s="333">
        <v>12</v>
      </c>
      <c r="J364" s="333" t="s">
        <v>46</v>
      </c>
      <c r="K364" s="332" t="s">
        <v>32</v>
      </c>
      <c r="L364" s="332"/>
      <c r="M364" s="333"/>
      <c r="N364" s="333"/>
      <c r="O364" s="333"/>
      <c r="P364" s="343"/>
      <c r="S364" s="373"/>
      <c r="T364" s="373"/>
      <c r="U364" s="373"/>
      <c r="V364" s="373"/>
      <c r="W364" s="346"/>
      <c r="X364" s="373"/>
      <c r="Y364" s="336" t="str">
        <f t="shared" ca="1" si="8"/>
        <v/>
      </c>
      <c r="Z364" s="373"/>
      <c r="AA364" s="336"/>
      <c r="AB364" s="373"/>
      <c r="AD364" s="338"/>
    </row>
    <row r="365" spans="1:35" ht="12.75" customHeight="1" x14ac:dyDescent="0.25">
      <c r="A365" s="347" t="s">
        <v>1158</v>
      </c>
      <c r="B365" s="376">
        <v>45208</v>
      </c>
      <c r="C365" s="425" t="s">
        <v>35</v>
      </c>
      <c r="D365" s="333" t="s">
        <v>1159</v>
      </c>
      <c r="E365" s="333"/>
      <c r="F365" s="374" t="s">
        <v>1160</v>
      </c>
      <c r="G365" s="372" t="s">
        <v>1161</v>
      </c>
      <c r="H365" s="333">
        <v>4</v>
      </c>
      <c r="I365" s="333" t="s">
        <v>1162</v>
      </c>
      <c r="J365" s="333" t="s">
        <v>68</v>
      </c>
      <c r="K365" s="332" t="s">
        <v>69</v>
      </c>
      <c r="L365" s="332"/>
      <c r="M365" s="333" t="s">
        <v>1163</v>
      </c>
      <c r="N365" s="333"/>
      <c r="O365" s="333"/>
      <c r="P365" s="375">
        <v>45208</v>
      </c>
      <c r="S365" s="373"/>
      <c r="T365" s="373"/>
      <c r="U365" s="373"/>
      <c r="V365" s="373"/>
      <c r="W365" s="346" t="s">
        <v>1164</v>
      </c>
      <c r="X365" s="373"/>
      <c r="Y365" s="336">
        <f t="shared" ca="1" si="8"/>
        <v>378</v>
      </c>
      <c r="Z365" s="373"/>
      <c r="AA365" s="336"/>
      <c r="AB365" s="373"/>
      <c r="AD365" s="338"/>
    </row>
    <row r="366" spans="1:35" ht="12.75" customHeight="1" x14ac:dyDescent="0.25">
      <c r="A366" s="347" t="s">
        <v>1165</v>
      </c>
      <c r="B366" s="376">
        <v>45208</v>
      </c>
      <c r="C366" s="425" t="s">
        <v>35</v>
      </c>
      <c r="D366" s="333" t="s">
        <v>1159</v>
      </c>
      <c r="E366" s="333"/>
      <c r="F366" s="374"/>
      <c r="G366" s="372" t="s">
        <v>1166</v>
      </c>
      <c r="H366" s="333">
        <v>24</v>
      </c>
      <c r="I366" s="333" t="s">
        <v>1162</v>
      </c>
      <c r="J366" s="333" t="s">
        <v>68</v>
      </c>
      <c r="K366" s="332" t="s">
        <v>69</v>
      </c>
      <c r="L366" s="332"/>
      <c r="M366" s="333" t="s">
        <v>1163</v>
      </c>
      <c r="N366" s="333"/>
      <c r="O366" s="333"/>
      <c r="P366" s="375">
        <v>45208</v>
      </c>
      <c r="S366" s="373"/>
      <c r="T366" s="373"/>
      <c r="U366" s="373"/>
      <c r="V366" s="373"/>
      <c r="W366" s="346" t="s">
        <v>1164</v>
      </c>
      <c r="X366" s="373"/>
      <c r="Y366" s="336">
        <f t="shared" ca="1" si="8"/>
        <v>378</v>
      </c>
      <c r="Z366" s="373"/>
      <c r="AA366" s="336"/>
      <c r="AB366" s="373"/>
      <c r="AD366" s="338"/>
    </row>
    <row r="367" spans="1:35" ht="12.75" customHeight="1" x14ac:dyDescent="0.25">
      <c r="A367" s="347" t="s">
        <v>1167</v>
      </c>
      <c r="B367" s="376">
        <v>45208</v>
      </c>
      <c r="C367" s="425" t="s">
        <v>35</v>
      </c>
      <c r="D367" s="333" t="s">
        <v>1159</v>
      </c>
      <c r="E367" s="333"/>
      <c r="F367" s="374" t="s">
        <v>1168</v>
      </c>
      <c r="G367" s="372" t="s">
        <v>1169</v>
      </c>
      <c r="H367" s="333">
        <v>1</v>
      </c>
      <c r="I367" s="333" t="s">
        <v>1162</v>
      </c>
      <c r="J367" s="333" t="s">
        <v>68</v>
      </c>
      <c r="K367" s="332" t="s">
        <v>69</v>
      </c>
      <c r="L367" s="332"/>
      <c r="M367" s="333" t="s">
        <v>1163</v>
      </c>
      <c r="N367" s="333"/>
      <c r="O367" s="333"/>
      <c r="P367" s="375">
        <v>45208</v>
      </c>
      <c r="S367" s="373"/>
      <c r="T367" s="373"/>
      <c r="U367" s="373"/>
      <c r="V367" s="373"/>
      <c r="W367" s="346">
        <v>45303</v>
      </c>
      <c r="X367" s="373"/>
      <c r="Y367" s="336">
        <f t="shared" ca="1" si="8"/>
        <v>95</v>
      </c>
      <c r="Z367" s="373"/>
      <c r="AA367" s="336"/>
      <c r="AB367" s="373"/>
      <c r="AD367" s="338"/>
    </row>
    <row r="368" spans="1:35" ht="12.75" customHeight="1" x14ac:dyDescent="0.25">
      <c r="A368" s="347" t="s">
        <v>1170</v>
      </c>
      <c r="B368" s="376">
        <v>45208</v>
      </c>
      <c r="C368" s="425" t="s">
        <v>35</v>
      </c>
      <c r="D368" s="333" t="s">
        <v>1159</v>
      </c>
      <c r="E368" s="333"/>
      <c r="F368" s="374" t="s">
        <v>1171</v>
      </c>
      <c r="G368" s="372" t="s">
        <v>1172</v>
      </c>
      <c r="H368" s="333">
        <v>2</v>
      </c>
      <c r="I368" s="333" t="s">
        <v>1162</v>
      </c>
      <c r="J368" s="333" t="s">
        <v>68</v>
      </c>
      <c r="K368" s="332" t="s">
        <v>69</v>
      </c>
      <c r="L368" s="332"/>
      <c r="M368" s="333" t="s">
        <v>1163</v>
      </c>
      <c r="N368" s="333"/>
      <c r="O368" s="333"/>
      <c r="P368" s="375">
        <v>45208</v>
      </c>
      <c r="S368" s="373"/>
      <c r="T368" s="373"/>
      <c r="U368" s="373"/>
      <c r="V368" s="373"/>
      <c r="W368" s="346">
        <v>45303</v>
      </c>
      <c r="X368" s="373"/>
      <c r="Y368" s="336">
        <f t="shared" ca="1" si="8"/>
        <v>95</v>
      </c>
      <c r="Z368" s="373"/>
      <c r="AA368" s="336"/>
      <c r="AB368" s="373"/>
      <c r="AD368" s="338"/>
    </row>
    <row r="369" spans="1:28" s="338" customFormat="1" ht="12.75" customHeight="1" x14ac:dyDescent="0.25">
      <c r="A369" s="347" t="s">
        <v>1173</v>
      </c>
      <c r="B369" s="376">
        <v>45208</v>
      </c>
      <c r="C369" s="425" t="s">
        <v>35</v>
      </c>
      <c r="D369" s="333" t="s">
        <v>1159</v>
      </c>
      <c r="E369" s="333"/>
      <c r="F369" s="374" t="s">
        <v>1174</v>
      </c>
      <c r="G369" s="372" t="s">
        <v>1175</v>
      </c>
      <c r="H369" s="333">
        <v>1</v>
      </c>
      <c r="I369" s="333" t="s">
        <v>1162</v>
      </c>
      <c r="J369" s="333" t="s">
        <v>68</v>
      </c>
      <c r="K369" s="332" t="s">
        <v>69</v>
      </c>
      <c r="L369" s="332"/>
      <c r="M369" s="333" t="s">
        <v>1163</v>
      </c>
      <c r="N369" s="333"/>
      <c r="O369" s="333"/>
      <c r="P369" s="375">
        <v>45208</v>
      </c>
      <c r="Q369" s="429"/>
      <c r="R369" s="429"/>
      <c r="S369" s="373"/>
      <c r="T369" s="373"/>
      <c r="U369" s="373"/>
      <c r="V369" s="373"/>
      <c r="W369" s="346">
        <v>45303</v>
      </c>
      <c r="X369" s="373"/>
      <c r="Y369" s="336">
        <f t="shared" ca="1" si="8"/>
        <v>95</v>
      </c>
      <c r="Z369" s="373"/>
      <c r="AA369" s="336"/>
      <c r="AB369" s="373"/>
    </row>
    <row r="370" spans="1:28" s="338" customFormat="1" ht="12.75" customHeight="1" x14ac:dyDescent="0.25">
      <c r="A370" s="347" t="s">
        <v>1176</v>
      </c>
      <c r="B370" s="376">
        <v>45208</v>
      </c>
      <c r="C370" s="425" t="s">
        <v>35</v>
      </c>
      <c r="D370" s="333" t="s">
        <v>1159</v>
      </c>
      <c r="E370" s="333"/>
      <c r="F370" s="374" t="s">
        <v>1177</v>
      </c>
      <c r="G370" s="372" t="s">
        <v>1178</v>
      </c>
      <c r="H370" s="333">
        <v>2</v>
      </c>
      <c r="I370" s="333" t="s">
        <v>1162</v>
      </c>
      <c r="J370" s="333" t="s">
        <v>68</v>
      </c>
      <c r="K370" s="332" t="s">
        <v>69</v>
      </c>
      <c r="L370" s="332"/>
      <c r="M370" s="333" t="s">
        <v>1163</v>
      </c>
      <c r="N370" s="333"/>
      <c r="O370" s="333"/>
      <c r="P370" s="375">
        <v>45208</v>
      </c>
      <c r="Q370" s="429"/>
      <c r="R370" s="429"/>
      <c r="S370" s="373"/>
      <c r="T370" s="373"/>
      <c r="U370" s="373"/>
      <c r="V370" s="373"/>
      <c r="W370" s="346">
        <v>45303</v>
      </c>
      <c r="X370" s="373"/>
      <c r="Y370" s="336">
        <f t="shared" ca="1" si="8"/>
        <v>95</v>
      </c>
      <c r="Z370" s="373"/>
      <c r="AA370" s="336"/>
      <c r="AB370" s="373"/>
    </row>
    <row r="371" spans="1:28" s="338" customFormat="1" ht="12.75" customHeight="1" x14ac:dyDescent="0.25">
      <c r="A371" s="347" t="s">
        <v>1179</v>
      </c>
      <c r="B371" s="376">
        <v>45208</v>
      </c>
      <c r="C371" s="425" t="s">
        <v>35</v>
      </c>
      <c r="D371" s="333" t="s">
        <v>1159</v>
      </c>
      <c r="E371" s="333"/>
      <c r="F371" s="374" t="s">
        <v>1180</v>
      </c>
      <c r="G371" s="372" t="s">
        <v>1181</v>
      </c>
      <c r="H371" s="333">
        <v>2</v>
      </c>
      <c r="I371" s="333" t="s">
        <v>1162</v>
      </c>
      <c r="J371" s="333" t="s">
        <v>68</v>
      </c>
      <c r="K371" s="332" t="s">
        <v>69</v>
      </c>
      <c r="L371" s="332"/>
      <c r="M371" s="333" t="s">
        <v>1163</v>
      </c>
      <c r="N371" s="333"/>
      <c r="O371" s="333"/>
      <c r="P371" s="375">
        <v>45208</v>
      </c>
      <c r="Q371" s="429"/>
      <c r="R371" s="429"/>
      <c r="S371" s="373"/>
      <c r="T371" s="373"/>
      <c r="U371" s="373"/>
      <c r="V371" s="373"/>
      <c r="W371" s="346" t="s">
        <v>1164</v>
      </c>
      <c r="X371" s="373"/>
      <c r="Y371" s="336">
        <f t="shared" ca="1" si="8"/>
        <v>378</v>
      </c>
      <c r="Z371" s="373"/>
      <c r="AA371" s="336"/>
      <c r="AB371" s="373"/>
    </row>
    <row r="372" spans="1:28" s="338" customFormat="1" ht="12.75" customHeight="1" x14ac:dyDescent="0.25">
      <c r="A372" s="347" t="s">
        <v>1182</v>
      </c>
      <c r="B372" s="376">
        <v>45208</v>
      </c>
      <c r="C372" s="425" t="s">
        <v>35</v>
      </c>
      <c r="D372" s="333" t="s">
        <v>1159</v>
      </c>
      <c r="E372" s="333"/>
      <c r="F372" s="374" t="s">
        <v>1183</v>
      </c>
      <c r="G372" s="372" t="s">
        <v>1184</v>
      </c>
      <c r="H372" s="333">
        <v>1</v>
      </c>
      <c r="I372" s="333" t="s">
        <v>1162</v>
      </c>
      <c r="J372" s="333" t="s">
        <v>68</v>
      </c>
      <c r="K372" s="332" t="s">
        <v>69</v>
      </c>
      <c r="L372" s="332"/>
      <c r="M372" s="333" t="s">
        <v>1163</v>
      </c>
      <c r="N372" s="333"/>
      <c r="O372" s="333"/>
      <c r="P372" s="375">
        <v>45208</v>
      </c>
      <c r="Q372" s="429"/>
      <c r="R372" s="429"/>
      <c r="S372" s="373"/>
      <c r="T372" s="373"/>
      <c r="U372" s="373"/>
      <c r="V372" s="373"/>
      <c r="W372" s="346">
        <v>45303</v>
      </c>
      <c r="X372" s="373"/>
      <c r="Y372" s="336">
        <f t="shared" ca="1" si="8"/>
        <v>95</v>
      </c>
      <c r="Z372" s="373"/>
      <c r="AA372" s="336"/>
      <c r="AB372" s="373"/>
    </row>
    <row r="373" spans="1:28" s="338" customFormat="1" ht="12.75" customHeight="1" x14ac:dyDescent="0.25">
      <c r="A373" s="347" t="s">
        <v>1185</v>
      </c>
      <c r="B373" s="376">
        <v>45208</v>
      </c>
      <c r="C373" s="425" t="s">
        <v>35</v>
      </c>
      <c r="D373" s="333" t="s">
        <v>1159</v>
      </c>
      <c r="E373" s="333"/>
      <c r="F373" s="374">
        <v>81.58</v>
      </c>
      <c r="G373" s="372" t="s">
        <v>1186</v>
      </c>
      <c r="H373" s="333">
        <v>2</v>
      </c>
      <c r="I373" s="333" t="s">
        <v>1162</v>
      </c>
      <c r="J373" s="333" t="s">
        <v>68</v>
      </c>
      <c r="K373" s="332" t="s">
        <v>69</v>
      </c>
      <c r="L373" s="332"/>
      <c r="M373" s="333" t="s">
        <v>1163</v>
      </c>
      <c r="N373" s="333"/>
      <c r="O373" s="333"/>
      <c r="P373" s="375">
        <v>45208</v>
      </c>
      <c r="Q373" s="429"/>
      <c r="R373" s="429"/>
      <c r="S373" s="373"/>
      <c r="T373" s="373"/>
      <c r="U373" s="373"/>
      <c r="V373" s="373"/>
      <c r="W373" s="346" t="s">
        <v>1164</v>
      </c>
      <c r="X373" s="373"/>
      <c r="Y373" s="336">
        <f t="shared" ca="1" si="8"/>
        <v>378</v>
      </c>
      <c r="Z373" s="373"/>
      <c r="AA373" s="336"/>
      <c r="AB373" s="373"/>
    </row>
    <row r="374" spans="1:28" s="338" customFormat="1" ht="12.75" customHeight="1" x14ac:dyDescent="0.25">
      <c r="A374" s="347" t="s">
        <v>1187</v>
      </c>
      <c r="B374" s="376">
        <v>45208</v>
      </c>
      <c r="C374" s="425" t="s">
        <v>35</v>
      </c>
      <c r="D374" s="333" t="s">
        <v>1159</v>
      </c>
      <c r="E374" s="333"/>
      <c r="F374" s="374" t="s">
        <v>1188</v>
      </c>
      <c r="G374" s="372" t="s">
        <v>1189</v>
      </c>
      <c r="H374" s="333">
        <v>16</v>
      </c>
      <c r="I374" s="333" t="s">
        <v>1162</v>
      </c>
      <c r="J374" s="333" t="s">
        <v>68</v>
      </c>
      <c r="K374" s="332" t="s">
        <v>69</v>
      </c>
      <c r="L374" s="332"/>
      <c r="M374" s="333" t="s">
        <v>1163</v>
      </c>
      <c r="N374" s="333"/>
      <c r="O374" s="333"/>
      <c r="P374" s="375">
        <v>45208</v>
      </c>
      <c r="Q374" s="429"/>
      <c r="R374" s="429"/>
      <c r="S374" s="373"/>
      <c r="T374" s="373"/>
      <c r="U374" s="373"/>
      <c r="V374" s="373"/>
      <c r="W374" s="346">
        <v>45303</v>
      </c>
      <c r="X374" s="373"/>
      <c r="Y374" s="336">
        <f t="shared" ca="1" si="8"/>
        <v>95</v>
      </c>
      <c r="Z374" s="373"/>
      <c r="AA374" s="336"/>
      <c r="AB374" s="373"/>
    </row>
    <row r="375" spans="1:28" s="338" customFormat="1" ht="12.75" customHeight="1" x14ac:dyDescent="0.25">
      <c r="A375" s="347" t="s">
        <v>1190</v>
      </c>
      <c r="B375" s="376">
        <v>45208</v>
      </c>
      <c r="C375" s="426" t="s">
        <v>35</v>
      </c>
      <c r="D375" s="364" t="s">
        <v>1159</v>
      </c>
      <c r="E375" s="364"/>
      <c r="F375" s="365" t="s">
        <v>1191</v>
      </c>
      <c r="G375" s="366" t="s">
        <v>1192</v>
      </c>
      <c r="H375" s="364">
        <v>2</v>
      </c>
      <c r="I375" s="364" t="s">
        <v>1162</v>
      </c>
      <c r="J375" s="333" t="s">
        <v>68</v>
      </c>
      <c r="K375" s="332" t="s">
        <v>69</v>
      </c>
      <c r="L375" s="368"/>
      <c r="M375" s="333" t="s">
        <v>1163</v>
      </c>
      <c r="N375" s="333"/>
      <c r="O375" s="333"/>
      <c r="P375" s="375">
        <v>45208</v>
      </c>
      <c r="Q375" s="429"/>
      <c r="R375" s="429"/>
      <c r="S375" s="373"/>
      <c r="T375" s="373"/>
      <c r="U375" s="373"/>
      <c r="V375" s="373"/>
      <c r="W375" s="370">
        <v>45191</v>
      </c>
      <c r="X375" s="369"/>
      <c r="Y375" s="336">
        <f t="shared" ca="1" si="8"/>
        <v>-17</v>
      </c>
      <c r="Z375" s="369"/>
      <c r="AA375" s="336"/>
      <c r="AB375" s="369"/>
    </row>
    <row r="376" spans="1:28" s="338" customFormat="1" ht="12.75" customHeight="1" x14ac:dyDescent="0.25">
      <c r="A376" s="347" t="s">
        <v>1193</v>
      </c>
      <c r="B376" s="376">
        <v>45208</v>
      </c>
      <c r="C376" s="425" t="s">
        <v>35</v>
      </c>
      <c r="D376" s="333" t="s">
        <v>1159</v>
      </c>
      <c r="E376" s="333"/>
      <c r="F376" s="374" t="s">
        <v>1194</v>
      </c>
      <c r="G376" s="372" t="s">
        <v>1195</v>
      </c>
      <c r="H376" s="333">
        <v>1</v>
      </c>
      <c r="I376" s="333" t="s">
        <v>1162</v>
      </c>
      <c r="J376" s="333" t="s">
        <v>68</v>
      </c>
      <c r="K376" s="332" t="s">
        <v>69</v>
      </c>
      <c r="L376" s="332"/>
      <c r="M376" s="333" t="s">
        <v>1163</v>
      </c>
      <c r="N376" s="333"/>
      <c r="O376" s="333"/>
      <c r="P376" s="375">
        <v>45208</v>
      </c>
      <c r="Q376" s="429"/>
      <c r="R376" s="429"/>
      <c r="S376" s="373"/>
      <c r="T376" s="373"/>
      <c r="U376" s="373"/>
      <c r="V376" s="373"/>
      <c r="W376" s="346" t="s">
        <v>1164</v>
      </c>
      <c r="X376" s="373"/>
      <c r="Y376" s="336">
        <f t="shared" ca="1" si="8"/>
        <v>378</v>
      </c>
      <c r="Z376" s="373"/>
      <c r="AA376" s="336"/>
      <c r="AB376" s="373"/>
    </row>
    <row r="377" spans="1:28" s="338" customFormat="1" ht="12.75" customHeight="1" x14ac:dyDescent="0.25">
      <c r="A377" s="347" t="s">
        <v>1196</v>
      </c>
      <c r="B377" s="376">
        <v>45208</v>
      </c>
      <c r="C377" s="425" t="s">
        <v>35</v>
      </c>
      <c r="D377" s="333" t="s">
        <v>1159</v>
      </c>
      <c r="E377" s="333"/>
      <c r="F377" s="374" t="s">
        <v>1197</v>
      </c>
      <c r="G377" s="372" t="s">
        <v>1198</v>
      </c>
      <c r="H377" s="333">
        <v>1</v>
      </c>
      <c r="I377" s="333" t="s">
        <v>1162</v>
      </c>
      <c r="J377" s="333" t="s">
        <v>68</v>
      </c>
      <c r="K377" s="332" t="s">
        <v>69</v>
      </c>
      <c r="L377" s="332"/>
      <c r="M377" s="333" t="s">
        <v>1163</v>
      </c>
      <c r="N377" s="333"/>
      <c r="O377" s="333"/>
      <c r="P377" s="375">
        <v>45208</v>
      </c>
      <c r="Q377" s="429"/>
      <c r="R377" s="429"/>
      <c r="S377" s="373"/>
      <c r="T377" s="373"/>
      <c r="U377" s="373"/>
      <c r="V377" s="373"/>
      <c r="W377" s="346" t="s">
        <v>1164</v>
      </c>
      <c r="X377" s="373"/>
      <c r="Y377" s="336">
        <f t="shared" ca="1" si="8"/>
        <v>378</v>
      </c>
      <c r="Z377" s="373"/>
      <c r="AA377" s="336"/>
      <c r="AB377" s="373"/>
    </row>
    <row r="378" spans="1:28" s="338" customFormat="1" ht="12.75" customHeight="1" x14ac:dyDescent="0.25">
      <c r="A378" s="347" t="s">
        <v>1199</v>
      </c>
      <c r="B378" s="376">
        <v>45208</v>
      </c>
      <c r="C378" s="425" t="s">
        <v>35</v>
      </c>
      <c r="D378" s="333" t="s">
        <v>1159</v>
      </c>
      <c r="E378" s="333"/>
      <c r="F378" s="374" t="s">
        <v>1200</v>
      </c>
      <c r="G378" s="372" t="s">
        <v>1201</v>
      </c>
      <c r="H378" s="333">
        <v>4</v>
      </c>
      <c r="I378" s="333" t="s">
        <v>1162</v>
      </c>
      <c r="J378" s="333" t="s">
        <v>68</v>
      </c>
      <c r="K378" s="332" t="s">
        <v>69</v>
      </c>
      <c r="L378" s="332"/>
      <c r="M378" s="333" t="s">
        <v>1163</v>
      </c>
      <c r="N378" s="333"/>
      <c r="O378" s="333"/>
      <c r="P378" s="375">
        <v>45208</v>
      </c>
      <c r="Q378" s="429"/>
      <c r="R378" s="429"/>
      <c r="S378" s="373"/>
      <c r="T378" s="373"/>
      <c r="U378" s="373"/>
      <c r="V378" s="373"/>
      <c r="W378" s="346">
        <v>45303</v>
      </c>
      <c r="X378" s="373"/>
      <c r="Y378" s="336">
        <f t="shared" ca="1" si="8"/>
        <v>95</v>
      </c>
      <c r="Z378" s="373"/>
      <c r="AA378" s="336"/>
      <c r="AB378" s="373"/>
    </row>
    <row r="379" spans="1:28" s="338" customFormat="1" ht="12.75" customHeight="1" x14ac:dyDescent="0.25">
      <c r="A379" s="347" t="s">
        <v>1202</v>
      </c>
      <c r="B379" s="376">
        <v>45208</v>
      </c>
      <c r="C379" s="425" t="s">
        <v>35</v>
      </c>
      <c r="D379" s="333" t="s">
        <v>1159</v>
      </c>
      <c r="E379" s="333"/>
      <c r="F379" s="374">
        <v>62.21</v>
      </c>
      <c r="G379" s="372" t="s">
        <v>1203</v>
      </c>
      <c r="H379" s="333">
        <v>2</v>
      </c>
      <c r="I379" s="333" t="s">
        <v>1162</v>
      </c>
      <c r="J379" s="333" t="s">
        <v>68</v>
      </c>
      <c r="K379" s="332" t="s">
        <v>69</v>
      </c>
      <c r="L379" s="332"/>
      <c r="M379" s="333" t="s">
        <v>1163</v>
      </c>
      <c r="N379" s="333"/>
      <c r="O379" s="333"/>
      <c r="P379" s="375">
        <v>45208</v>
      </c>
      <c r="Q379" s="429"/>
      <c r="R379" s="429"/>
      <c r="S379" s="373"/>
      <c r="T379" s="373"/>
      <c r="U379" s="373"/>
      <c r="V379" s="373"/>
      <c r="W379" s="346" t="s">
        <v>1164</v>
      </c>
      <c r="X379" s="373"/>
      <c r="Y379" s="336">
        <f t="shared" ca="1" si="8"/>
        <v>378</v>
      </c>
      <c r="Z379" s="373"/>
      <c r="AA379" s="336"/>
      <c r="AB379" s="373"/>
    </row>
    <row r="380" spans="1:28" s="338" customFormat="1" ht="12.75" customHeight="1" x14ac:dyDescent="0.25">
      <c r="A380" s="347" t="s">
        <v>1204</v>
      </c>
      <c r="B380" s="376">
        <v>45208</v>
      </c>
      <c r="C380" s="425" t="s">
        <v>35</v>
      </c>
      <c r="D380" s="333" t="s">
        <v>1159</v>
      </c>
      <c r="E380" s="333"/>
      <c r="F380" s="374">
        <v>6.2220000000000002E+44</v>
      </c>
      <c r="G380" s="372" t="s">
        <v>1205</v>
      </c>
      <c r="H380" s="333">
        <v>2</v>
      </c>
      <c r="I380" s="333" t="s">
        <v>1162</v>
      </c>
      <c r="J380" s="333" t="s">
        <v>68</v>
      </c>
      <c r="K380" s="332" t="s">
        <v>69</v>
      </c>
      <c r="L380" s="332"/>
      <c r="M380" s="333" t="s">
        <v>1163</v>
      </c>
      <c r="N380" s="333"/>
      <c r="O380" s="333"/>
      <c r="P380" s="375">
        <v>45208</v>
      </c>
      <c r="Q380" s="429"/>
      <c r="R380" s="429"/>
      <c r="S380" s="373"/>
      <c r="T380" s="373"/>
      <c r="U380" s="373"/>
      <c r="V380" s="373"/>
      <c r="W380" s="346" t="s">
        <v>1164</v>
      </c>
      <c r="X380" s="373"/>
      <c r="Y380" s="336">
        <f t="shared" ca="1" si="8"/>
        <v>378</v>
      </c>
      <c r="Z380" s="373"/>
      <c r="AA380" s="336"/>
      <c r="AB380" s="373"/>
    </row>
    <row r="381" spans="1:28" s="338" customFormat="1" ht="12.75" customHeight="1" x14ac:dyDescent="0.25">
      <c r="A381" s="347" t="s">
        <v>1206</v>
      </c>
      <c r="B381" s="376">
        <v>45208</v>
      </c>
      <c r="C381" s="425" t="s">
        <v>35</v>
      </c>
      <c r="D381" s="333" t="s">
        <v>1159</v>
      </c>
      <c r="E381" s="333"/>
      <c r="F381" s="374" t="s">
        <v>1207</v>
      </c>
      <c r="G381" s="372" t="s">
        <v>1208</v>
      </c>
      <c r="H381" s="333">
        <v>1</v>
      </c>
      <c r="I381" s="333" t="s">
        <v>1162</v>
      </c>
      <c r="J381" s="333" t="s">
        <v>68</v>
      </c>
      <c r="K381" s="332" t="s">
        <v>69</v>
      </c>
      <c r="L381" s="332"/>
      <c r="M381" s="333" t="s">
        <v>1163</v>
      </c>
      <c r="N381" s="333"/>
      <c r="O381" s="333"/>
      <c r="P381" s="375">
        <v>45208</v>
      </c>
      <c r="Q381" s="429"/>
      <c r="R381" s="429"/>
      <c r="S381" s="373"/>
      <c r="T381" s="373"/>
      <c r="U381" s="373"/>
      <c r="V381" s="373"/>
      <c r="W381" s="346" t="s">
        <v>1164</v>
      </c>
      <c r="X381" s="373"/>
      <c r="Y381" s="336">
        <f t="shared" ca="1" si="8"/>
        <v>378</v>
      </c>
      <c r="Z381" s="373"/>
      <c r="AA381" s="336"/>
      <c r="AB381" s="373"/>
    </row>
    <row r="382" spans="1:28" s="338" customFormat="1" ht="12.75" customHeight="1" x14ac:dyDescent="0.25">
      <c r="A382" s="347" t="s">
        <v>1209</v>
      </c>
      <c r="B382" s="376">
        <v>45208</v>
      </c>
      <c r="C382" s="425" t="s">
        <v>35</v>
      </c>
      <c r="D382" s="333" t="s">
        <v>1159</v>
      </c>
      <c r="E382" s="333"/>
      <c r="F382" s="374" t="s">
        <v>1210</v>
      </c>
      <c r="G382" s="372" t="s">
        <v>1186</v>
      </c>
      <c r="H382" s="333">
        <v>2</v>
      </c>
      <c r="I382" s="333" t="s">
        <v>1162</v>
      </c>
      <c r="J382" s="333" t="s">
        <v>68</v>
      </c>
      <c r="K382" s="332" t="s">
        <v>69</v>
      </c>
      <c r="L382" s="332"/>
      <c r="M382" s="333" t="s">
        <v>1163</v>
      </c>
      <c r="N382" s="333"/>
      <c r="O382" s="333"/>
      <c r="P382" s="375">
        <v>45208</v>
      </c>
      <c r="Q382" s="429"/>
      <c r="R382" s="429"/>
      <c r="S382" s="373"/>
      <c r="T382" s="373"/>
      <c r="U382" s="373"/>
      <c r="V382" s="373"/>
      <c r="W382" s="346">
        <v>45303</v>
      </c>
      <c r="X382" s="373"/>
      <c r="Y382" s="336">
        <f t="shared" ca="1" si="8"/>
        <v>95</v>
      </c>
      <c r="Z382" s="373"/>
      <c r="AA382" s="336"/>
      <c r="AB382" s="373"/>
    </row>
    <row r="383" spans="1:28" s="338" customFormat="1" ht="12.75" customHeight="1" x14ac:dyDescent="0.25">
      <c r="A383" s="347" t="s">
        <v>1211</v>
      </c>
      <c r="B383" s="376">
        <v>45208</v>
      </c>
      <c r="C383" s="425" t="s">
        <v>35</v>
      </c>
      <c r="D383" s="333" t="s">
        <v>1159</v>
      </c>
      <c r="E383" s="333"/>
      <c r="F383" s="374" t="s">
        <v>1212</v>
      </c>
      <c r="G383" s="372" t="s">
        <v>1213</v>
      </c>
      <c r="H383" s="333">
        <v>1</v>
      </c>
      <c r="I383" s="333" t="s">
        <v>1162</v>
      </c>
      <c r="J383" s="333" t="s">
        <v>68</v>
      </c>
      <c r="K383" s="332" t="s">
        <v>69</v>
      </c>
      <c r="L383" s="332"/>
      <c r="M383" s="333" t="s">
        <v>1163</v>
      </c>
      <c r="N383" s="333"/>
      <c r="O383" s="333"/>
      <c r="P383" s="375">
        <v>45208</v>
      </c>
      <c r="Q383" s="429"/>
      <c r="R383" s="429"/>
      <c r="S383" s="373"/>
      <c r="T383" s="373"/>
      <c r="U383" s="373"/>
      <c r="V383" s="373"/>
      <c r="W383" s="346" t="s">
        <v>1164</v>
      </c>
      <c r="X383" s="373"/>
      <c r="Y383" s="336">
        <f t="shared" ca="1" si="8"/>
        <v>378</v>
      </c>
      <c r="Z383" s="373"/>
      <c r="AA383" s="336"/>
      <c r="AB383" s="373"/>
    </row>
    <row r="384" spans="1:28" s="338" customFormat="1" ht="12.75" customHeight="1" x14ac:dyDescent="0.25">
      <c r="A384" s="347" t="s">
        <v>1214</v>
      </c>
      <c r="B384" s="376">
        <v>45208</v>
      </c>
      <c r="C384" s="425" t="s">
        <v>35</v>
      </c>
      <c r="D384" s="333" t="s">
        <v>1215</v>
      </c>
      <c r="E384" s="333"/>
      <c r="F384" s="374" t="s">
        <v>1216</v>
      </c>
      <c r="G384" s="372" t="s">
        <v>1217</v>
      </c>
      <c r="H384" s="333">
        <v>1</v>
      </c>
      <c r="I384" s="333" t="s">
        <v>1218</v>
      </c>
      <c r="J384" s="333" t="s">
        <v>68</v>
      </c>
      <c r="K384" s="332" t="s">
        <v>69</v>
      </c>
      <c r="L384" s="332"/>
      <c r="M384" s="333" t="s">
        <v>1163</v>
      </c>
      <c r="N384" s="333"/>
      <c r="O384" s="333"/>
      <c r="P384" s="375">
        <v>45208</v>
      </c>
      <c r="Q384" s="429"/>
      <c r="R384" s="429"/>
      <c r="S384" s="373"/>
      <c r="T384" s="373"/>
      <c r="U384" s="373"/>
      <c r="V384" s="373"/>
      <c r="W384" s="346">
        <v>45303</v>
      </c>
      <c r="X384" s="373"/>
      <c r="Y384" s="336">
        <f t="shared" ca="1" si="8"/>
        <v>95</v>
      </c>
      <c r="Z384" s="373"/>
      <c r="AA384" s="336"/>
      <c r="AB384" s="373"/>
    </row>
    <row r="385" spans="1:28" s="338" customFormat="1" ht="12.75" customHeight="1" x14ac:dyDescent="0.25">
      <c r="A385" s="347" t="s">
        <v>1219</v>
      </c>
      <c r="B385" s="376">
        <v>45208</v>
      </c>
      <c r="C385" s="425" t="s">
        <v>35</v>
      </c>
      <c r="D385" s="333" t="s">
        <v>1215</v>
      </c>
      <c r="E385" s="333"/>
      <c r="F385" s="374"/>
      <c r="G385" s="372" t="s">
        <v>1220</v>
      </c>
      <c r="H385" s="333">
        <v>1</v>
      </c>
      <c r="I385" s="333" t="s">
        <v>1218</v>
      </c>
      <c r="J385" s="333" t="s">
        <v>68</v>
      </c>
      <c r="K385" s="332" t="s">
        <v>69</v>
      </c>
      <c r="L385" s="332"/>
      <c r="M385" s="333" t="s">
        <v>1163</v>
      </c>
      <c r="N385" s="333"/>
      <c r="O385" s="333"/>
      <c r="P385" s="375">
        <v>45208</v>
      </c>
      <c r="Q385" s="429"/>
      <c r="R385" s="429"/>
      <c r="S385" s="373"/>
      <c r="T385" s="373"/>
      <c r="U385" s="373"/>
      <c r="V385" s="373"/>
      <c r="W385" s="346" t="s">
        <v>1164</v>
      </c>
      <c r="X385" s="373"/>
      <c r="Y385" s="336">
        <f t="shared" ca="1" si="8"/>
        <v>378</v>
      </c>
      <c r="Z385" s="373"/>
      <c r="AA385" s="336"/>
      <c r="AB385" s="373"/>
    </row>
    <row r="386" spans="1:28" s="338" customFormat="1" ht="12.75" customHeight="1" x14ac:dyDescent="0.25">
      <c r="A386" s="347" t="s">
        <v>1221</v>
      </c>
      <c r="B386" s="376">
        <v>45208</v>
      </c>
      <c r="C386" s="425" t="s">
        <v>35</v>
      </c>
      <c r="D386" s="333" t="s">
        <v>1159</v>
      </c>
      <c r="E386" s="333"/>
      <c r="F386" s="374"/>
      <c r="G386" s="372" t="s">
        <v>1222</v>
      </c>
      <c r="H386" s="333">
        <v>1</v>
      </c>
      <c r="I386" s="333" t="s">
        <v>1162</v>
      </c>
      <c r="J386" s="333" t="s">
        <v>68</v>
      </c>
      <c r="K386" s="332" t="s">
        <v>69</v>
      </c>
      <c r="L386" s="332"/>
      <c r="M386" s="333" t="s">
        <v>1163</v>
      </c>
      <c r="N386" s="333"/>
      <c r="O386" s="333"/>
      <c r="P386" s="375">
        <v>45208</v>
      </c>
      <c r="Q386" s="429"/>
      <c r="R386" s="429"/>
      <c r="S386" s="373"/>
      <c r="T386" s="373"/>
      <c r="U386" s="373"/>
      <c r="V386" s="373"/>
      <c r="W386" s="346" t="s">
        <v>1164</v>
      </c>
      <c r="X386" s="373"/>
      <c r="Y386" s="336">
        <f t="shared" ca="1" si="8"/>
        <v>378</v>
      </c>
      <c r="Z386" s="373"/>
      <c r="AA386" s="336"/>
      <c r="AB386" s="373"/>
    </row>
    <row r="387" spans="1:28" s="338" customFormat="1" ht="12.75" customHeight="1" x14ac:dyDescent="0.25">
      <c r="A387" s="347" t="s">
        <v>1223</v>
      </c>
      <c r="B387" s="376">
        <v>45240</v>
      </c>
      <c r="C387" s="425" t="s">
        <v>60</v>
      </c>
      <c r="D387" s="333" t="s">
        <v>1148</v>
      </c>
      <c r="E387" s="333"/>
      <c r="F387" s="374" t="s">
        <v>1224</v>
      </c>
      <c r="G387" s="372" t="s">
        <v>1225</v>
      </c>
      <c r="H387" s="333">
        <v>84</v>
      </c>
      <c r="I387" s="333">
        <v>12</v>
      </c>
      <c r="J387" s="333" t="s">
        <v>46</v>
      </c>
      <c r="K387" s="333" t="s">
        <v>32</v>
      </c>
      <c r="L387" s="332"/>
      <c r="M387" s="333"/>
      <c r="N387" s="333"/>
      <c r="O387" s="333"/>
      <c r="P387" s="343"/>
      <c r="Q387" s="429"/>
      <c r="R387" s="429"/>
      <c r="W387" s="346"/>
      <c r="X387" s="373"/>
      <c r="Y387" s="336" t="str">
        <f t="shared" ca="1" si="8"/>
        <v/>
      </c>
      <c r="Z387" s="373"/>
      <c r="AA387" s="336"/>
      <c r="AB387" s="373"/>
    </row>
    <row r="388" spans="1:28" s="338" customFormat="1" ht="12.75" customHeight="1" x14ac:dyDescent="0.25">
      <c r="A388" s="347" t="s">
        <v>1226</v>
      </c>
      <c r="B388" s="457">
        <v>45211</v>
      </c>
      <c r="C388" s="458" t="s">
        <v>35</v>
      </c>
      <c r="D388" s="359" t="s">
        <v>177</v>
      </c>
      <c r="E388" s="359"/>
      <c r="F388" s="419" t="s">
        <v>53</v>
      </c>
      <c r="G388" s="420" t="s">
        <v>1227</v>
      </c>
      <c r="H388" s="359">
        <v>30</v>
      </c>
      <c r="I388" s="359" t="s">
        <v>1228</v>
      </c>
      <c r="J388" s="359" t="s">
        <v>46</v>
      </c>
      <c r="K388" s="359" t="s">
        <v>32</v>
      </c>
      <c r="L388" s="358"/>
      <c r="M388" s="359" t="s">
        <v>33</v>
      </c>
      <c r="N388" s="359"/>
      <c r="O388" s="359"/>
      <c r="P388" s="459">
        <v>45212</v>
      </c>
      <c r="Q388" s="460"/>
      <c r="R388" s="460"/>
      <c r="S388" s="422"/>
      <c r="T388" s="422"/>
      <c r="U388" s="422"/>
      <c r="V388" s="422"/>
      <c r="W388" s="346">
        <v>45257</v>
      </c>
      <c r="X388" s="422">
        <v>500</v>
      </c>
      <c r="Y388" s="336">
        <f t="shared" ca="1" si="8"/>
        <v>45</v>
      </c>
      <c r="Z388" s="422"/>
      <c r="AA388" s="361"/>
      <c r="AB388" s="422"/>
    </row>
    <row r="389" spans="1:28" s="338" customFormat="1" ht="12.75" customHeight="1" x14ac:dyDescent="0.25">
      <c r="A389" s="347" t="s">
        <v>1229</v>
      </c>
      <c r="B389" s="457">
        <v>45211</v>
      </c>
      <c r="C389" s="458" t="s">
        <v>35</v>
      </c>
      <c r="D389" s="359" t="s">
        <v>177</v>
      </c>
      <c r="E389" s="359"/>
      <c r="F389" s="419" t="s">
        <v>1230</v>
      </c>
      <c r="G389" s="420" t="s">
        <v>1231</v>
      </c>
      <c r="H389" s="359">
        <v>15</v>
      </c>
      <c r="I389" s="359" t="s">
        <v>1232</v>
      </c>
      <c r="J389" s="359" t="s">
        <v>541</v>
      </c>
      <c r="K389" s="359" t="s">
        <v>32</v>
      </c>
      <c r="L389" s="332"/>
      <c r="M389" s="333" t="s">
        <v>33</v>
      </c>
      <c r="N389" s="333"/>
      <c r="O389" s="333"/>
      <c r="P389" s="459">
        <v>45212</v>
      </c>
      <c r="Q389" s="429"/>
      <c r="R389" s="429"/>
      <c r="S389" s="373"/>
      <c r="T389" s="373"/>
      <c r="U389" s="373"/>
      <c r="V389" s="373"/>
      <c r="W389" s="346">
        <v>45245</v>
      </c>
      <c r="X389" s="422">
        <v>20</v>
      </c>
      <c r="Y389" s="336">
        <f t="shared" ca="1" si="8"/>
        <v>33</v>
      </c>
      <c r="Z389" s="422"/>
      <c r="AA389" s="361"/>
      <c r="AB389" s="422"/>
    </row>
    <row r="390" spans="1:28" s="338" customFormat="1" ht="12.75" customHeight="1" x14ac:dyDescent="0.25">
      <c r="A390" s="347" t="s">
        <v>1233</v>
      </c>
      <c r="B390" s="457">
        <v>45211</v>
      </c>
      <c r="C390" s="458" t="s">
        <v>35</v>
      </c>
      <c r="D390" s="359" t="s">
        <v>177</v>
      </c>
      <c r="E390" s="359"/>
      <c r="F390" s="419" t="s">
        <v>1234</v>
      </c>
      <c r="G390" s="420" t="s">
        <v>1235</v>
      </c>
      <c r="H390" s="359">
        <v>15</v>
      </c>
      <c r="I390" s="359" t="s">
        <v>1232</v>
      </c>
      <c r="J390" s="359" t="s">
        <v>541</v>
      </c>
      <c r="K390" s="359" t="s">
        <v>32</v>
      </c>
      <c r="L390" s="332"/>
      <c r="M390" s="333" t="s">
        <v>33</v>
      </c>
      <c r="N390" s="333"/>
      <c r="O390" s="333"/>
      <c r="P390" s="459">
        <v>45212</v>
      </c>
      <c r="Q390" s="429"/>
      <c r="R390" s="429"/>
      <c r="S390" s="373"/>
      <c r="T390" s="373"/>
      <c r="U390" s="373"/>
      <c r="V390" s="373"/>
      <c r="W390" s="346">
        <v>45245</v>
      </c>
      <c r="X390" s="422">
        <v>20</v>
      </c>
      <c r="Y390" s="336">
        <f t="shared" ref="Y390:Y404" ca="1" si="9">IF(P390="","",IF(W390="",TODAY()-P390,W390-P390))</f>
        <v>33</v>
      </c>
      <c r="Z390" s="422"/>
      <c r="AA390" s="361"/>
      <c r="AB390" s="422"/>
    </row>
    <row r="391" spans="1:28" s="338" customFormat="1" ht="12.75" customHeight="1" x14ac:dyDescent="0.25">
      <c r="A391" s="347" t="s">
        <v>1236</v>
      </c>
      <c r="B391" s="376">
        <v>45211</v>
      </c>
      <c r="C391" s="425" t="s">
        <v>35</v>
      </c>
      <c r="D391" s="333" t="s">
        <v>177</v>
      </c>
      <c r="E391" s="333"/>
      <c r="F391" s="374" t="s">
        <v>33</v>
      </c>
      <c r="G391" s="372" t="s">
        <v>1237</v>
      </c>
      <c r="H391" s="333">
        <v>1</v>
      </c>
      <c r="I391" s="333" t="s">
        <v>1238</v>
      </c>
      <c r="J391" s="333" t="s">
        <v>46</v>
      </c>
      <c r="K391" s="333" t="s">
        <v>32</v>
      </c>
      <c r="L391" s="332"/>
      <c r="M391" s="333" t="s">
        <v>33</v>
      </c>
      <c r="N391" s="333"/>
      <c r="O391" s="333"/>
      <c r="P391" s="375">
        <v>45212</v>
      </c>
      <c r="Q391" s="429"/>
      <c r="R391" s="429"/>
      <c r="S391" s="373"/>
      <c r="T391" s="373"/>
      <c r="U391" s="373"/>
      <c r="V391" s="373"/>
      <c r="W391" s="346"/>
      <c r="X391" s="373"/>
      <c r="Y391" s="336">
        <f t="shared" ca="1" si="9"/>
        <v>374</v>
      </c>
      <c r="Z391" s="373"/>
      <c r="AA391" s="336"/>
      <c r="AB391" s="373"/>
    </row>
    <row r="392" spans="1:28" s="338" customFormat="1" ht="12.75" customHeight="1" x14ac:dyDescent="0.25">
      <c r="A392" s="347" t="s">
        <v>1239</v>
      </c>
      <c r="B392" s="376">
        <v>45212</v>
      </c>
      <c r="C392" s="425" t="s">
        <v>35</v>
      </c>
      <c r="D392" s="333" t="s">
        <v>36</v>
      </c>
      <c r="E392" s="333"/>
      <c r="F392" s="374" t="s">
        <v>1240</v>
      </c>
      <c r="G392" s="372" t="s">
        <v>1241</v>
      </c>
      <c r="H392" s="333">
        <v>18</v>
      </c>
      <c r="I392" s="333" t="s">
        <v>1242</v>
      </c>
      <c r="J392" s="333" t="s">
        <v>31</v>
      </c>
      <c r="K392" s="333" t="s">
        <v>32</v>
      </c>
      <c r="L392" s="332"/>
      <c r="M392" s="333" t="s">
        <v>33</v>
      </c>
      <c r="N392" s="333"/>
      <c r="O392" s="333"/>
      <c r="P392" s="375">
        <v>45212</v>
      </c>
      <c r="Q392" s="429"/>
      <c r="R392" s="429"/>
      <c r="S392" s="373"/>
      <c r="T392" s="373"/>
      <c r="U392" s="373"/>
      <c r="V392" s="373"/>
      <c r="W392" s="346">
        <v>45179</v>
      </c>
      <c r="X392" s="373"/>
      <c r="Y392" s="336">
        <f t="shared" ca="1" si="9"/>
        <v>-33</v>
      </c>
      <c r="Z392" s="373"/>
      <c r="AA392" s="336"/>
      <c r="AB392" s="373"/>
    </row>
    <row r="393" spans="1:28" s="338" customFormat="1" ht="12.75" customHeight="1" x14ac:dyDescent="0.25">
      <c r="A393" s="347" t="s">
        <v>1243</v>
      </c>
      <c r="B393" s="376">
        <v>45212</v>
      </c>
      <c r="C393" s="425" t="s">
        <v>35</v>
      </c>
      <c r="D393" s="333" t="s">
        <v>36</v>
      </c>
      <c r="E393" s="333"/>
      <c r="F393" s="374" t="s">
        <v>1244</v>
      </c>
      <c r="G393" s="372" t="s">
        <v>1245</v>
      </c>
      <c r="H393" s="333">
        <v>6</v>
      </c>
      <c r="I393" s="333" t="s">
        <v>1246</v>
      </c>
      <c r="J393" s="333" t="s">
        <v>31</v>
      </c>
      <c r="K393" s="333" t="s">
        <v>32</v>
      </c>
      <c r="L393" s="332"/>
      <c r="M393" s="333" t="s">
        <v>33</v>
      </c>
      <c r="N393" s="333"/>
      <c r="O393" s="333"/>
      <c r="P393" s="375">
        <v>45212</v>
      </c>
      <c r="Q393" s="429"/>
      <c r="R393" s="429"/>
      <c r="S393" s="373"/>
      <c r="T393" s="373"/>
      <c r="U393" s="373"/>
      <c r="V393" s="373"/>
      <c r="W393" s="346"/>
      <c r="X393" s="373"/>
      <c r="Y393" s="336">
        <f t="shared" ca="1" si="9"/>
        <v>374</v>
      </c>
      <c r="Z393" s="373"/>
      <c r="AA393" s="336"/>
      <c r="AB393" s="373"/>
    </row>
    <row r="394" spans="1:28" s="338" customFormat="1" ht="12.75" customHeight="1" x14ac:dyDescent="0.25">
      <c r="A394" s="347" t="s">
        <v>1247</v>
      </c>
      <c r="B394" s="376">
        <v>45212</v>
      </c>
      <c r="C394" s="425" t="s">
        <v>35</v>
      </c>
      <c r="D394" s="333" t="s">
        <v>177</v>
      </c>
      <c r="E394" s="333"/>
      <c r="F394" s="374" t="s">
        <v>33</v>
      </c>
      <c r="G394" s="372" t="s">
        <v>1248</v>
      </c>
      <c r="H394" s="333">
        <v>1</v>
      </c>
      <c r="I394" s="333" t="s">
        <v>1238</v>
      </c>
      <c r="J394" s="333" t="s">
        <v>43</v>
      </c>
      <c r="K394" s="333" t="s">
        <v>32</v>
      </c>
      <c r="L394" s="332"/>
      <c r="M394" s="333" t="s">
        <v>33</v>
      </c>
      <c r="N394" s="333"/>
      <c r="O394" s="333"/>
      <c r="P394" s="375">
        <v>45212</v>
      </c>
      <c r="Q394" s="429"/>
      <c r="R394" s="429"/>
      <c r="S394" s="373"/>
      <c r="T394" s="373"/>
      <c r="U394" s="373"/>
      <c r="V394" s="373"/>
      <c r="W394" s="346"/>
      <c r="X394" s="373"/>
      <c r="Y394" s="336">
        <f t="shared" ca="1" si="9"/>
        <v>374</v>
      </c>
      <c r="Z394" s="373"/>
      <c r="AA394" s="336"/>
      <c r="AB394" s="373"/>
    </row>
    <row r="395" spans="1:28" s="338" customFormat="1" ht="12.75" customHeight="1" x14ac:dyDescent="0.25">
      <c r="A395" s="347" t="s">
        <v>1249</v>
      </c>
      <c r="B395" s="376">
        <v>45240</v>
      </c>
      <c r="C395" s="425" t="s">
        <v>60</v>
      </c>
      <c r="D395" s="333" t="s">
        <v>1148</v>
      </c>
      <c r="E395" s="333"/>
      <c r="F395" s="374" t="s">
        <v>1250</v>
      </c>
      <c r="G395" s="372" t="s">
        <v>1251</v>
      </c>
      <c r="H395" s="333">
        <v>84</v>
      </c>
      <c r="I395" s="333">
        <v>42</v>
      </c>
      <c r="J395" s="333" t="s">
        <v>46</v>
      </c>
      <c r="K395" s="333" t="s">
        <v>32</v>
      </c>
      <c r="L395" s="332"/>
      <c r="M395" s="333"/>
      <c r="N395" s="333"/>
      <c r="O395" s="333"/>
      <c r="P395" s="343"/>
      <c r="Q395" s="429"/>
      <c r="R395" s="429"/>
      <c r="W395" s="346"/>
      <c r="X395" s="373"/>
      <c r="Y395" s="336" t="str">
        <f t="shared" ca="1" si="9"/>
        <v/>
      </c>
      <c r="Z395" s="373"/>
      <c r="AA395" s="336"/>
      <c r="AB395" s="373"/>
    </row>
    <row r="396" spans="1:28" s="338" customFormat="1" ht="12.75" customHeight="1" x14ac:dyDescent="0.25">
      <c r="A396" s="347" t="s">
        <v>1252</v>
      </c>
      <c r="B396" s="376">
        <v>45240</v>
      </c>
      <c r="C396" s="425" t="s">
        <v>60</v>
      </c>
      <c r="D396" s="333" t="s">
        <v>1148</v>
      </c>
      <c r="E396" s="333"/>
      <c r="F396" s="374" t="s">
        <v>1253</v>
      </c>
      <c r="G396" s="372" t="s">
        <v>1254</v>
      </c>
      <c r="H396" s="333">
        <v>84</v>
      </c>
      <c r="I396" s="333">
        <v>2</v>
      </c>
      <c r="J396" s="333" t="s">
        <v>46</v>
      </c>
      <c r="K396" s="333" t="s">
        <v>32</v>
      </c>
      <c r="L396" s="332"/>
      <c r="M396" s="333"/>
      <c r="N396" s="333"/>
      <c r="O396" s="333"/>
      <c r="P396" s="343"/>
      <c r="Q396" s="429"/>
      <c r="R396" s="429"/>
      <c r="W396" s="346"/>
      <c r="X396" s="373"/>
      <c r="Y396" s="336" t="str">
        <f t="shared" ca="1" si="9"/>
        <v/>
      </c>
      <c r="Z396" s="373"/>
      <c r="AA396" s="336"/>
      <c r="AB396" s="373"/>
    </row>
    <row r="397" spans="1:28" s="338" customFormat="1" ht="12.75" customHeight="1" x14ac:dyDescent="0.25">
      <c r="A397" s="347" t="s">
        <v>1255</v>
      </c>
      <c r="B397" s="376">
        <v>45240</v>
      </c>
      <c r="C397" s="425" t="s">
        <v>60</v>
      </c>
      <c r="D397" s="333" t="s">
        <v>1148</v>
      </c>
      <c r="E397" s="333"/>
      <c r="F397" s="374" t="s">
        <v>1256</v>
      </c>
      <c r="G397" s="372" t="s">
        <v>1257</v>
      </c>
      <c r="H397" s="333">
        <v>84</v>
      </c>
      <c r="I397" s="333">
        <v>42</v>
      </c>
      <c r="J397" s="333" t="s">
        <v>46</v>
      </c>
      <c r="K397" s="333" t="s">
        <v>32</v>
      </c>
      <c r="L397" s="332"/>
      <c r="M397" s="333"/>
      <c r="N397" s="333"/>
      <c r="O397" s="333"/>
      <c r="P397" s="343"/>
      <c r="Q397" s="429"/>
      <c r="R397" s="429"/>
      <c r="W397" s="346"/>
      <c r="X397" s="373"/>
      <c r="Y397" s="336" t="str">
        <f t="shared" ca="1" si="9"/>
        <v/>
      </c>
      <c r="Z397" s="373"/>
      <c r="AA397" s="336"/>
      <c r="AB397" s="373"/>
    </row>
    <row r="398" spans="1:28" s="338" customFormat="1" ht="12.75" customHeight="1" x14ac:dyDescent="0.25">
      <c r="A398" s="347" t="s">
        <v>1258</v>
      </c>
      <c r="B398" s="376">
        <v>45205</v>
      </c>
      <c r="C398" s="425" t="s">
        <v>26</v>
      </c>
      <c r="D398" s="333" t="s">
        <v>1259</v>
      </c>
      <c r="E398" s="333">
        <v>4032228</v>
      </c>
      <c r="F398" s="374">
        <v>256171</v>
      </c>
      <c r="G398" s="372" t="s">
        <v>1260</v>
      </c>
      <c r="H398" s="333">
        <v>1</v>
      </c>
      <c r="I398" s="333" t="s">
        <v>1261</v>
      </c>
      <c r="J398" s="333" t="s">
        <v>31</v>
      </c>
      <c r="K398" s="333" t="s">
        <v>32</v>
      </c>
      <c r="L398" s="332"/>
      <c r="M398" s="333"/>
      <c r="N398" s="333"/>
      <c r="O398" s="333"/>
      <c r="P398" s="334">
        <v>45205</v>
      </c>
      <c r="Q398" s="429"/>
      <c r="R398" s="429"/>
      <c r="W398" s="346">
        <v>45195</v>
      </c>
      <c r="X398" s="373"/>
      <c r="Y398" s="336">
        <f t="shared" ca="1" si="9"/>
        <v>-10</v>
      </c>
      <c r="Z398" s="373"/>
      <c r="AA398" s="336"/>
      <c r="AB398" s="373"/>
    </row>
    <row r="399" spans="1:28" s="338" customFormat="1" ht="12.75" customHeight="1" x14ac:dyDescent="0.25">
      <c r="A399" s="347" t="s">
        <v>1262</v>
      </c>
      <c r="B399" s="376">
        <v>45205</v>
      </c>
      <c r="C399" s="425" t="s">
        <v>26</v>
      </c>
      <c r="D399" s="333" t="s">
        <v>1007</v>
      </c>
      <c r="E399" s="333" t="s">
        <v>1263</v>
      </c>
      <c r="F399" s="374"/>
      <c r="G399" s="372" t="s">
        <v>1264</v>
      </c>
      <c r="H399" s="333">
        <v>12</v>
      </c>
      <c r="I399" s="333" t="s">
        <v>1265</v>
      </c>
      <c r="J399" s="333" t="s">
        <v>541</v>
      </c>
      <c r="K399" s="333" t="s">
        <v>32</v>
      </c>
      <c r="L399" s="332"/>
      <c r="M399" s="333"/>
      <c r="N399" s="333"/>
      <c r="O399" s="333"/>
      <c r="P399" s="334">
        <v>45205</v>
      </c>
      <c r="Q399" s="429"/>
      <c r="R399" s="429"/>
      <c r="W399" s="346">
        <v>45195</v>
      </c>
      <c r="X399" s="373"/>
      <c r="Y399" s="336">
        <f t="shared" ca="1" si="9"/>
        <v>-10</v>
      </c>
      <c r="Z399" s="373"/>
      <c r="AA399" s="336"/>
      <c r="AB399" s="373"/>
    </row>
    <row r="400" spans="1:28" s="338" customFormat="1" ht="12.75" customHeight="1" x14ac:dyDescent="0.25">
      <c r="A400" s="347" t="s">
        <v>1266</v>
      </c>
      <c r="B400" s="376">
        <v>45240</v>
      </c>
      <c r="C400" s="425" t="s">
        <v>60</v>
      </c>
      <c r="D400" s="333" t="s">
        <v>1148</v>
      </c>
      <c r="E400" s="333"/>
      <c r="F400" s="374" t="s">
        <v>1256</v>
      </c>
      <c r="G400" s="372" t="s">
        <v>1267</v>
      </c>
      <c r="H400" s="333">
        <v>84</v>
      </c>
      <c r="I400" s="333">
        <v>84</v>
      </c>
      <c r="J400" s="333" t="s">
        <v>46</v>
      </c>
      <c r="K400" s="333" t="s">
        <v>32</v>
      </c>
      <c r="L400" s="332"/>
      <c r="M400" s="333"/>
      <c r="N400" s="333"/>
      <c r="O400" s="333"/>
      <c r="P400" s="343"/>
      <c r="Q400" s="429"/>
      <c r="R400" s="429"/>
      <c r="W400" s="346"/>
      <c r="X400" s="373"/>
      <c r="Y400" s="336" t="str">
        <f t="shared" ca="1" si="9"/>
        <v/>
      </c>
      <c r="Z400" s="373"/>
      <c r="AA400" s="336"/>
      <c r="AB400" s="373"/>
    </row>
    <row r="401" spans="1:28" s="338" customFormat="1" ht="12.75" customHeight="1" x14ac:dyDescent="0.25">
      <c r="A401" s="347" t="s">
        <v>1268</v>
      </c>
      <c r="B401" s="376">
        <v>45258</v>
      </c>
      <c r="C401" s="425" t="s">
        <v>60</v>
      </c>
      <c r="D401" s="333" t="s">
        <v>1148</v>
      </c>
      <c r="E401" s="333"/>
      <c r="F401" s="374" t="s">
        <v>1269</v>
      </c>
      <c r="G401" s="372" t="s">
        <v>1270</v>
      </c>
      <c r="H401" s="333">
        <v>1</v>
      </c>
      <c r="I401" s="333">
        <v>85</v>
      </c>
      <c r="J401" s="333" t="s">
        <v>46</v>
      </c>
      <c r="K401" s="333" t="s">
        <v>32</v>
      </c>
      <c r="L401" s="332"/>
      <c r="M401" s="333"/>
      <c r="N401" s="333"/>
      <c r="O401" s="333"/>
      <c r="P401" s="343">
        <v>45259</v>
      </c>
      <c r="Q401" s="429"/>
      <c r="R401" s="429"/>
      <c r="W401" s="346">
        <v>45299</v>
      </c>
      <c r="X401" s="373">
        <v>1</v>
      </c>
      <c r="Y401" s="336">
        <f t="shared" ca="1" si="9"/>
        <v>40</v>
      </c>
      <c r="Z401" s="373"/>
      <c r="AA401" s="336"/>
      <c r="AB401" s="373" t="s">
        <v>1271</v>
      </c>
    </row>
    <row r="402" spans="1:28" s="338" customFormat="1" ht="12.75" customHeight="1" x14ac:dyDescent="0.25">
      <c r="A402" s="347" t="s">
        <v>1272</v>
      </c>
      <c r="B402" s="376">
        <v>45216</v>
      </c>
      <c r="C402" s="425" t="s">
        <v>219</v>
      </c>
      <c r="D402" s="333" t="s">
        <v>1273</v>
      </c>
      <c r="E402" s="333" t="s">
        <v>1274</v>
      </c>
      <c r="F402" s="374">
        <v>282131207120</v>
      </c>
      <c r="G402" s="372" t="s">
        <v>1275</v>
      </c>
      <c r="H402" s="333">
        <v>1</v>
      </c>
      <c r="I402" s="333" t="s">
        <v>1276</v>
      </c>
      <c r="J402" s="333" t="s">
        <v>43</v>
      </c>
      <c r="K402" s="333" t="s">
        <v>32</v>
      </c>
      <c r="L402" s="332"/>
      <c r="M402" s="333"/>
      <c r="N402" s="333"/>
      <c r="O402" s="333"/>
      <c r="P402" s="375">
        <v>45216</v>
      </c>
      <c r="Q402" s="429"/>
      <c r="R402" s="429"/>
      <c r="W402" s="346">
        <v>45274</v>
      </c>
      <c r="X402" s="373">
        <v>1</v>
      </c>
      <c r="Y402" s="336">
        <f t="shared" ca="1" si="9"/>
        <v>58</v>
      </c>
      <c r="Z402" s="373"/>
      <c r="AA402" s="336"/>
      <c r="AB402" s="373"/>
    </row>
    <row r="403" spans="1:28" s="338" customFormat="1" ht="12.75" customHeight="1" x14ac:dyDescent="0.25">
      <c r="A403" s="347" t="s">
        <v>1277</v>
      </c>
      <c r="B403" s="376">
        <v>45217</v>
      </c>
      <c r="C403" s="425" t="s">
        <v>219</v>
      </c>
      <c r="D403" s="333" t="s">
        <v>1273</v>
      </c>
      <c r="E403" s="333" t="s">
        <v>1274</v>
      </c>
      <c r="F403" s="374">
        <v>265181100125</v>
      </c>
      <c r="G403" s="372" t="s">
        <v>1278</v>
      </c>
      <c r="H403" s="333">
        <v>1</v>
      </c>
      <c r="I403" s="333" t="s">
        <v>1279</v>
      </c>
      <c r="J403" s="333" t="s">
        <v>31</v>
      </c>
      <c r="K403" s="333" t="s">
        <v>32</v>
      </c>
      <c r="L403" s="332"/>
      <c r="M403" s="333"/>
      <c r="N403" s="333"/>
      <c r="O403" s="333"/>
      <c r="P403" s="375">
        <v>45209</v>
      </c>
      <c r="Q403" s="429"/>
      <c r="R403" s="429"/>
      <c r="W403" s="346">
        <v>45274</v>
      </c>
      <c r="X403" s="373">
        <v>1</v>
      </c>
      <c r="Y403" s="336">
        <f t="shared" ca="1" si="9"/>
        <v>65</v>
      </c>
      <c r="Z403" s="373"/>
      <c r="AA403" s="336"/>
      <c r="AB403" s="373"/>
    </row>
    <row r="404" spans="1:28" s="338" customFormat="1" ht="12.75" customHeight="1" x14ac:dyDescent="0.25">
      <c r="A404" s="347" t="s">
        <v>1280</v>
      </c>
      <c r="B404" s="376">
        <v>45217</v>
      </c>
      <c r="C404" s="425" t="s">
        <v>35</v>
      </c>
      <c r="D404" s="333" t="s">
        <v>83</v>
      </c>
      <c r="E404" s="333" t="s">
        <v>33</v>
      </c>
      <c r="F404" s="374" t="s">
        <v>1281</v>
      </c>
      <c r="G404" s="372" t="s">
        <v>1282</v>
      </c>
      <c r="H404" s="333">
        <v>1</v>
      </c>
      <c r="I404" s="333" t="s">
        <v>1283</v>
      </c>
      <c r="J404" s="333" t="s">
        <v>68</v>
      </c>
      <c r="K404" s="333" t="s">
        <v>32</v>
      </c>
      <c r="L404" s="332"/>
      <c r="M404" s="333"/>
      <c r="N404" s="333"/>
      <c r="O404" s="333"/>
      <c r="P404" s="375">
        <v>45232</v>
      </c>
      <c r="Q404" s="429"/>
      <c r="R404" s="429"/>
      <c r="W404" s="346"/>
      <c r="X404" s="373"/>
      <c r="Y404" s="336">
        <f t="shared" ca="1" si="9"/>
        <v>354</v>
      </c>
      <c r="Z404" s="373"/>
      <c r="AA404" s="336"/>
      <c r="AB404" s="373"/>
    </row>
    <row r="405" spans="1:28" s="338" customFormat="1" ht="12.75" customHeight="1" x14ac:dyDescent="0.25">
      <c r="A405" s="347" t="s">
        <v>1284</v>
      </c>
      <c r="B405" s="407">
        <v>45261</v>
      </c>
      <c r="C405" s="448" t="s">
        <v>60</v>
      </c>
      <c r="D405" s="372" t="s">
        <v>1148</v>
      </c>
      <c r="E405" s="372"/>
      <c r="F405" s="374" t="s">
        <v>1285</v>
      </c>
      <c r="G405" s="372" t="s">
        <v>1286</v>
      </c>
      <c r="H405" s="372">
        <v>6</v>
      </c>
      <c r="I405" s="372">
        <v>86</v>
      </c>
      <c r="J405" s="372" t="s">
        <v>541</v>
      </c>
      <c r="K405" s="372" t="s">
        <v>32</v>
      </c>
      <c r="L405" s="399"/>
      <c r="M405" s="372"/>
      <c r="N405" s="372"/>
      <c r="O405" s="372"/>
      <c r="P405" s="450">
        <v>45299</v>
      </c>
      <c r="Q405" s="451"/>
      <c r="R405" s="451"/>
      <c r="S405" s="410"/>
      <c r="T405" s="410"/>
      <c r="U405" s="410"/>
      <c r="V405" s="410"/>
      <c r="W405" s="402">
        <v>45275</v>
      </c>
      <c r="X405" s="401">
        <v>6</v>
      </c>
      <c r="Y405" s="336"/>
      <c r="Z405" s="401"/>
      <c r="AA405" s="409"/>
      <c r="AB405" s="401" t="s">
        <v>1287</v>
      </c>
    </row>
    <row r="406" spans="1:28" s="338" customFormat="1" ht="12.75" customHeight="1" x14ac:dyDescent="0.25">
      <c r="A406" s="347" t="s">
        <v>1288</v>
      </c>
      <c r="B406" s="376">
        <v>45197</v>
      </c>
      <c r="C406" s="425" t="s">
        <v>35</v>
      </c>
      <c r="D406" s="333" t="s">
        <v>71</v>
      </c>
      <c r="E406" s="333">
        <v>7740040</v>
      </c>
      <c r="F406" s="374" t="s">
        <v>1289</v>
      </c>
      <c r="G406" s="372" t="s">
        <v>1290</v>
      </c>
      <c r="H406" s="333">
        <v>2</v>
      </c>
      <c r="I406" s="452" t="s">
        <v>1116</v>
      </c>
      <c r="J406" s="452" t="s">
        <v>1291</v>
      </c>
      <c r="K406" s="452" t="s">
        <v>32</v>
      </c>
      <c r="L406" s="332"/>
      <c r="M406" s="333"/>
      <c r="N406" s="333"/>
      <c r="O406" s="333"/>
      <c r="P406" s="375">
        <v>45232</v>
      </c>
      <c r="Q406" s="429"/>
      <c r="R406" s="429"/>
      <c r="S406" s="373"/>
      <c r="T406" s="373"/>
      <c r="U406" s="373"/>
      <c r="V406" s="373"/>
      <c r="W406" s="346">
        <v>45322</v>
      </c>
      <c r="X406" s="373"/>
      <c r="Y406" s="336">
        <f t="shared" ref="Y406:Y423" ca="1" si="10">IF(P406="","",IF(W406="",TODAY()-P406,W406-P406))</f>
        <v>90</v>
      </c>
      <c r="Z406" s="373"/>
      <c r="AA406" s="336"/>
      <c r="AB406" s="373"/>
    </row>
    <row r="407" spans="1:28" s="338" customFormat="1" ht="12.75" customHeight="1" x14ac:dyDescent="0.25">
      <c r="A407" s="347" t="s">
        <v>1292</v>
      </c>
      <c r="B407" s="376">
        <v>45197</v>
      </c>
      <c r="C407" s="425" t="s">
        <v>35</v>
      </c>
      <c r="D407" s="333" t="s">
        <v>71</v>
      </c>
      <c r="E407" s="333" t="s">
        <v>33</v>
      </c>
      <c r="F407" s="374" t="s">
        <v>663</v>
      </c>
      <c r="G407" s="372" t="s">
        <v>1293</v>
      </c>
      <c r="H407" s="333">
        <v>1</v>
      </c>
      <c r="I407" s="333" t="s">
        <v>1294</v>
      </c>
      <c r="J407" s="333" t="s">
        <v>68</v>
      </c>
      <c r="K407" s="333" t="s">
        <v>69</v>
      </c>
      <c r="L407" s="332"/>
      <c r="M407" s="333"/>
      <c r="N407" s="333"/>
      <c r="O407" s="333"/>
      <c r="P407" s="375">
        <v>45232</v>
      </c>
      <c r="Q407" s="429"/>
      <c r="R407" s="429"/>
      <c r="S407" s="373"/>
      <c r="T407" s="373"/>
      <c r="U407" s="373"/>
      <c r="V407" s="373"/>
      <c r="W407" s="370">
        <v>45257</v>
      </c>
      <c r="X407" s="373">
        <v>1</v>
      </c>
      <c r="Y407" s="336">
        <f t="shared" ca="1" si="10"/>
        <v>25</v>
      </c>
      <c r="Z407" s="373"/>
      <c r="AA407" s="336"/>
      <c r="AB407" s="373"/>
    </row>
    <row r="408" spans="1:28" s="338" customFormat="1" ht="12.75" customHeight="1" x14ac:dyDescent="0.25">
      <c r="A408" s="347" t="s">
        <v>1295</v>
      </c>
      <c r="B408" s="376">
        <v>45197</v>
      </c>
      <c r="C408" s="425" t="s">
        <v>35</v>
      </c>
      <c r="D408" s="333" t="s">
        <v>71</v>
      </c>
      <c r="E408" s="333">
        <v>7740354</v>
      </c>
      <c r="F408" s="374" t="s">
        <v>1296</v>
      </c>
      <c r="G408" s="372" t="s">
        <v>1297</v>
      </c>
      <c r="H408" s="333">
        <v>1</v>
      </c>
      <c r="I408" s="333" t="s">
        <v>1294</v>
      </c>
      <c r="J408" s="333" t="s">
        <v>102</v>
      </c>
      <c r="K408" s="333" t="s">
        <v>69</v>
      </c>
      <c r="L408" s="332"/>
      <c r="M408" s="333"/>
      <c r="N408" s="333"/>
      <c r="O408" s="333"/>
      <c r="P408" s="375">
        <v>45232</v>
      </c>
      <c r="Q408" s="429"/>
      <c r="R408" s="429"/>
      <c r="S408" s="373"/>
      <c r="T408" s="373"/>
      <c r="U408" s="373"/>
      <c r="V408" s="373"/>
      <c r="W408" s="346">
        <v>45322</v>
      </c>
      <c r="X408" s="373"/>
      <c r="Y408" s="336">
        <f t="shared" ca="1" si="10"/>
        <v>90</v>
      </c>
      <c r="Z408" s="373"/>
      <c r="AA408" s="336"/>
      <c r="AB408" s="373"/>
    </row>
    <row r="409" spans="1:28" s="338" customFormat="1" ht="12.75" customHeight="1" x14ac:dyDescent="0.25">
      <c r="A409" s="347" t="s">
        <v>1298</v>
      </c>
      <c r="B409" s="376">
        <v>45197</v>
      </c>
      <c r="C409" s="425" t="s">
        <v>35</v>
      </c>
      <c r="D409" s="333" t="s">
        <v>71</v>
      </c>
      <c r="E409" s="333">
        <v>7740354</v>
      </c>
      <c r="F409" s="374" t="s">
        <v>1299</v>
      </c>
      <c r="G409" s="372" t="s">
        <v>1300</v>
      </c>
      <c r="H409" s="333">
        <v>1</v>
      </c>
      <c r="I409" s="333" t="s">
        <v>1294</v>
      </c>
      <c r="J409" s="333" t="s">
        <v>68</v>
      </c>
      <c r="K409" s="333" t="s">
        <v>69</v>
      </c>
      <c r="L409" s="332"/>
      <c r="M409" s="333"/>
      <c r="N409" s="333"/>
      <c r="O409" s="333"/>
      <c r="P409" s="375">
        <v>45232</v>
      </c>
      <c r="Q409" s="429"/>
      <c r="R409" s="429"/>
      <c r="S409" s="373"/>
      <c r="T409" s="373"/>
      <c r="U409" s="373"/>
      <c r="V409" s="373"/>
      <c r="W409" s="346"/>
      <c r="X409" s="373"/>
      <c r="Y409" s="336">
        <f t="shared" ca="1" si="10"/>
        <v>354</v>
      </c>
      <c r="Z409" s="373"/>
      <c r="AA409" s="336"/>
      <c r="AB409" s="373"/>
    </row>
    <row r="410" spans="1:28" s="338" customFormat="1" ht="12.75" customHeight="1" x14ac:dyDescent="0.25">
      <c r="A410" s="347" t="s">
        <v>1301</v>
      </c>
      <c r="B410" s="376">
        <v>45197</v>
      </c>
      <c r="C410" s="425" t="s">
        <v>35</v>
      </c>
      <c r="D410" s="333" t="s">
        <v>71</v>
      </c>
      <c r="E410" s="333">
        <v>7740354</v>
      </c>
      <c r="F410" s="374" t="s">
        <v>1114</v>
      </c>
      <c r="G410" s="372" t="s">
        <v>1115</v>
      </c>
      <c r="H410" s="333">
        <v>1</v>
      </c>
      <c r="I410" s="333" t="s">
        <v>1294</v>
      </c>
      <c r="J410" s="333" t="s">
        <v>68</v>
      </c>
      <c r="K410" s="333" t="s">
        <v>69</v>
      </c>
      <c r="L410" s="332"/>
      <c r="M410" s="333"/>
      <c r="N410" s="333"/>
      <c r="O410" s="333"/>
      <c r="P410" s="375">
        <v>45232</v>
      </c>
      <c r="Q410" s="429"/>
      <c r="R410" s="429"/>
      <c r="S410" s="373"/>
      <c r="T410" s="373"/>
      <c r="U410" s="373"/>
      <c r="V410" s="373"/>
      <c r="W410" s="346">
        <v>45036</v>
      </c>
      <c r="X410" s="373"/>
      <c r="Y410" s="336">
        <f t="shared" ca="1" si="10"/>
        <v>-196</v>
      </c>
      <c r="Z410" s="373"/>
      <c r="AA410" s="336"/>
      <c r="AB410" s="373"/>
    </row>
    <row r="411" spans="1:28" s="338" customFormat="1" ht="12.75" customHeight="1" x14ac:dyDescent="0.25">
      <c r="A411" s="347" t="s">
        <v>1302</v>
      </c>
      <c r="B411" s="376">
        <v>45197</v>
      </c>
      <c r="C411" s="425" t="s">
        <v>35</v>
      </c>
      <c r="D411" s="333" t="s">
        <v>71</v>
      </c>
      <c r="E411" s="333">
        <v>7740354</v>
      </c>
      <c r="F411" s="374" t="s">
        <v>84</v>
      </c>
      <c r="G411" s="372" t="s">
        <v>1303</v>
      </c>
      <c r="H411" s="333">
        <v>5</v>
      </c>
      <c r="I411" s="333" t="s">
        <v>1294</v>
      </c>
      <c r="J411" s="333" t="s">
        <v>68</v>
      </c>
      <c r="K411" s="333" t="s">
        <v>69</v>
      </c>
      <c r="L411" s="332"/>
      <c r="M411" s="333"/>
      <c r="N411" s="333"/>
      <c r="O411" s="333"/>
      <c r="P411" s="375">
        <v>45232</v>
      </c>
      <c r="Q411" s="429"/>
      <c r="R411" s="429"/>
      <c r="S411" s="373"/>
      <c r="T411" s="373"/>
      <c r="U411" s="373"/>
      <c r="V411" s="373"/>
      <c r="W411" s="346">
        <v>45322</v>
      </c>
      <c r="X411" s="373">
        <v>5</v>
      </c>
      <c r="Y411" s="336">
        <f t="shared" ca="1" si="10"/>
        <v>90</v>
      </c>
      <c r="Z411" s="373"/>
      <c r="AA411" s="336"/>
      <c r="AB411" s="373"/>
    </row>
    <row r="412" spans="1:28" s="338" customFormat="1" ht="12.75" customHeight="1" x14ac:dyDescent="0.25">
      <c r="A412" s="347" t="s">
        <v>1304</v>
      </c>
      <c r="B412" s="376">
        <v>45197</v>
      </c>
      <c r="C412" s="425" t="s">
        <v>35</v>
      </c>
      <c r="D412" s="333" t="s">
        <v>71</v>
      </c>
      <c r="E412" s="333">
        <v>7740354</v>
      </c>
      <c r="F412" s="374" t="s">
        <v>675</v>
      </c>
      <c r="G412" s="372" t="s">
        <v>1305</v>
      </c>
      <c r="H412" s="333">
        <v>1</v>
      </c>
      <c r="I412" s="333" t="s">
        <v>1294</v>
      </c>
      <c r="J412" s="333" t="s">
        <v>68</v>
      </c>
      <c r="K412" s="333" t="s">
        <v>69</v>
      </c>
      <c r="L412" s="332"/>
      <c r="M412" s="333"/>
      <c r="N412" s="333"/>
      <c r="O412" s="333"/>
      <c r="P412" s="375">
        <v>45232</v>
      </c>
      <c r="Q412" s="429"/>
      <c r="R412" s="429"/>
      <c r="S412" s="373"/>
      <c r="T412" s="373"/>
      <c r="U412" s="373"/>
      <c r="V412" s="373"/>
      <c r="W412" s="346">
        <v>45322</v>
      </c>
      <c r="X412" s="373"/>
      <c r="Y412" s="336">
        <f t="shared" ca="1" si="10"/>
        <v>90</v>
      </c>
      <c r="Z412" s="373"/>
      <c r="AA412" s="336"/>
      <c r="AB412" s="373"/>
    </row>
    <row r="413" spans="1:28" s="338" customFormat="1" ht="12.75" customHeight="1" x14ac:dyDescent="0.25">
      <c r="A413" s="347" t="s">
        <v>1306</v>
      </c>
      <c r="B413" s="376">
        <v>45197</v>
      </c>
      <c r="C413" s="425" t="s">
        <v>35</v>
      </c>
      <c r="D413" s="333" t="s">
        <v>71</v>
      </c>
      <c r="E413" s="333">
        <v>7740354</v>
      </c>
      <c r="F413" s="374" t="s">
        <v>1307</v>
      </c>
      <c r="G413" s="372" t="s">
        <v>1308</v>
      </c>
      <c r="H413" s="333">
        <v>1</v>
      </c>
      <c r="I413" s="333" t="s">
        <v>1294</v>
      </c>
      <c r="J413" s="333" t="s">
        <v>68</v>
      </c>
      <c r="K413" s="333" t="s">
        <v>69</v>
      </c>
      <c r="L413" s="332"/>
      <c r="M413" s="333"/>
      <c r="N413" s="333"/>
      <c r="O413" s="333"/>
      <c r="P413" s="375">
        <v>45232</v>
      </c>
      <c r="Q413" s="429"/>
      <c r="R413" s="429"/>
      <c r="S413" s="373"/>
      <c r="T413" s="373"/>
      <c r="U413" s="373"/>
      <c r="V413" s="373"/>
      <c r="W413" s="346">
        <v>45322</v>
      </c>
      <c r="X413" s="373"/>
      <c r="Y413" s="336">
        <f t="shared" ca="1" si="10"/>
        <v>90</v>
      </c>
      <c r="Z413" s="373"/>
      <c r="AA413" s="336"/>
      <c r="AB413" s="373"/>
    </row>
    <row r="414" spans="1:28" s="338" customFormat="1" ht="12.75" customHeight="1" x14ac:dyDescent="0.25">
      <c r="A414" s="347" t="s">
        <v>1309</v>
      </c>
      <c r="B414" s="376">
        <v>45197</v>
      </c>
      <c r="C414" s="425" t="s">
        <v>35</v>
      </c>
      <c r="D414" s="333" t="s">
        <v>71</v>
      </c>
      <c r="E414" s="333">
        <v>7740354</v>
      </c>
      <c r="F414" s="374" t="s">
        <v>1310</v>
      </c>
      <c r="G414" s="372" t="s">
        <v>1311</v>
      </c>
      <c r="H414" s="333">
        <v>1</v>
      </c>
      <c r="I414" s="333" t="s">
        <v>1294</v>
      </c>
      <c r="J414" s="333" t="s">
        <v>102</v>
      </c>
      <c r="K414" s="333" t="s">
        <v>69</v>
      </c>
      <c r="L414" s="332"/>
      <c r="M414" s="333"/>
      <c r="N414" s="333"/>
      <c r="O414" s="333"/>
      <c r="P414" s="375">
        <v>45232</v>
      </c>
      <c r="Q414" s="429"/>
      <c r="R414" s="429"/>
      <c r="S414" s="373"/>
      <c r="T414" s="373"/>
      <c r="U414" s="373"/>
      <c r="V414" s="373"/>
      <c r="W414" s="346">
        <v>45322</v>
      </c>
      <c r="X414" s="373"/>
      <c r="Y414" s="336">
        <f t="shared" ca="1" si="10"/>
        <v>90</v>
      </c>
      <c r="Z414" s="373"/>
      <c r="AA414" s="336"/>
      <c r="AB414" s="373"/>
    </row>
    <row r="415" spans="1:28" s="338" customFormat="1" ht="12.75" customHeight="1" x14ac:dyDescent="0.25">
      <c r="A415" s="347" t="s">
        <v>1312</v>
      </c>
      <c r="B415" s="376">
        <v>45217</v>
      </c>
      <c r="C415" s="425" t="s">
        <v>219</v>
      </c>
      <c r="D415" s="333" t="s">
        <v>1273</v>
      </c>
      <c r="E415" s="333"/>
      <c r="F415" s="374">
        <v>264189106307</v>
      </c>
      <c r="G415" s="372" t="s">
        <v>1313</v>
      </c>
      <c r="H415" s="333">
        <v>18</v>
      </c>
      <c r="I415" s="333" t="s">
        <v>1314</v>
      </c>
      <c r="J415" s="333" t="s">
        <v>46</v>
      </c>
      <c r="K415" s="333" t="s">
        <v>32</v>
      </c>
      <c r="L415" s="333"/>
      <c r="M415" s="415"/>
      <c r="N415" s="415"/>
      <c r="O415" s="415"/>
      <c r="P415" s="461">
        <v>45209</v>
      </c>
      <c r="Q415" s="429"/>
      <c r="R415" s="429"/>
      <c r="W415" s="346">
        <v>45274</v>
      </c>
      <c r="X415" s="373">
        <v>18</v>
      </c>
      <c r="Y415" s="336">
        <f t="shared" ca="1" si="10"/>
        <v>65</v>
      </c>
      <c r="Z415" s="373"/>
      <c r="AA415" s="336"/>
      <c r="AB415" s="373"/>
    </row>
    <row r="416" spans="1:28" s="338" customFormat="1" ht="12.75" customHeight="1" x14ac:dyDescent="0.25">
      <c r="A416" s="347" t="s">
        <v>1315</v>
      </c>
      <c r="B416" s="376">
        <v>45261</v>
      </c>
      <c r="C416" s="425" t="s">
        <v>60</v>
      </c>
      <c r="D416" s="333" t="s">
        <v>1148</v>
      </c>
      <c r="E416" s="333"/>
      <c r="F416" s="374" t="s">
        <v>1102</v>
      </c>
      <c r="G416" s="372" t="s">
        <v>1316</v>
      </c>
      <c r="H416" s="333">
        <v>60</v>
      </c>
      <c r="I416" s="333">
        <v>86</v>
      </c>
      <c r="J416" s="333" t="s">
        <v>46</v>
      </c>
      <c r="K416" s="333" t="s">
        <v>32</v>
      </c>
      <c r="L416" s="333"/>
      <c r="M416" s="333"/>
      <c r="N416" s="333"/>
      <c r="O416" s="333"/>
      <c r="P416" s="462"/>
      <c r="Q416" s="429"/>
      <c r="R416" s="429"/>
      <c r="W416" s="346">
        <v>45303</v>
      </c>
      <c r="X416" s="373"/>
      <c r="Y416" s="336" t="str">
        <f t="shared" ca="1" si="10"/>
        <v/>
      </c>
      <c r="Z416" s="373"/>
      <c r="AA416" s="336"/>
      <c r="AB416" s="373"/>
    </row>
    <row r="417" spans="1:28" s="338" customFormat="1" ht="12.75" customHeight="1" x14ac:dyDescent="0.25">
      <c r="A417" s="347" t="s">
        <v>1317</v>
      </c>
      <c r="B417" s="376">
        <v>45218</v>
      </c>
      <c r="C417" s="425" t="s">
        <v>219</v>
      </c>
      <c r="D417" s="333">
        <v>1216</v>
      </c>
      <c r="E417" s="333"/>
      <c r="F417" s="374">
        <v>264130100169</v>
      </c>
      <c r="G417" s="372" t="s">
        <v>1318</v>
      </c>
      <c r="H417" s="372">
        <v>1</v>
      </c>
      <c r="I417" s="372" t="s">
        <v>1319</v>
      </c>
      <c r="J417" s="372" t="s">
        <v>46</v>
      </c>
      <c r="K417" s="333" t="s">
        <v>32</v>
      </c>
      <c r="L417" s="333"/>
      <c r="M417" s="333" t="s">
        <v>33</v>
      </c>
      <c r="N417" s="333"/>
      <c r="O417" s="333"/>
      <c r="P417" s="463">
        <v>45238</v>
      </c>
      <c r="Q417" s="333"/>
      <c r="R417" s="333"/>
      <c r="W417" s="402">
        <v>45356</v>
      </c>
      <c r="X417" s="373">
        <v>1</v>
      </c>
      <c r="Y417" s="336">
        <f t="shared" ca="1" si="10"/>
        <v>118</v>
      </c>
      <c r="Z417" s="373"/>
      <c r="AA417" s="336"/>
      <c r="AB417" s="373"/>
    </row>
    <row r="418" spans="1:28" s="338" customFormat="1" ht="12.75" customHeight="1" x14ac:dyDescent="0.25">
      <c r="A418" s="347" t="s">
        <v>1320</v>
      </c>
      <c r="B418" s="464">
        <v>45261</v>
      </c>
      <c r="C418" s="465" t="s">
        <v>60</v>
      </c>
      <c r="D418" s="452" t="s">
        <v>1148</v>
      </c>
      <c r="E418" s="333"/>
      <c r="F418" s="374" t="s">
        <v>1321</v>
      </c>
      <c r="G418" s="372" t="s">
        <v>1322</v>
      </c>
      <c r="H418" s="452">
        <v>24</v>
      </c>
      <c r="I418" s="452" t="s">
        <v>1323</v>
      </c>
      <c r="J418" s="452" t="s">
        <v>43</v>
      </c>
      <c r="K418" s="333" t="s">
        <v>32</v>
      </c>
      <c r="L418" s="333"/>
      <c r="M418" s="333"/>
      <c r="N418" s="333"/>
      <c r="O418" s="333"/>
      <c r="P418" s="466"/>
      <c r="Q418" s="454"/>
      <c r="R418" s="454"/>
      <c r="S418" s="467"/>
      <c r="T418" s="467"/>
      <c r="U418" s="467"/>
      <c r="V418" s="467"/>
      <c r="W418" s="468"/>
      <c r="X418" s="455"/>
      <c r="Y418" s="336" t="str">
        <f t="shared" ca="1" si="10"/>
        <v/>
      </c>
      <c r="Z418" s="455"/>
      <c r="AA418" s="469"/>
      <c r="AB418" s="455"/>
    </row>
    <row r="419" spans="1:28" s="338" customFormat="1" ht="12.75" customHeight="1" x14ac:dyDescent="0.25">
      <c r="A419" s="347" t="s">
        <v>1324</v>
      </c>
      <c r="B419" s="376">
        <v>45264</v>
      </c>
      <c r="C419" s="425" t="s">
        <v>60</v>
      </c>
      <c r="D419" s="333" t="s">
        <v>1148</v>
      </c>
      <c r="E419" s="333"/>
      <c r="F419" s="374" t="s">
        <v>1325</v>
      </c>
      <c r="G419" s="372" t="s">
        <v>1326</v>
      </c>
      <c r="H419" s="333">
        <v>6</v>
      </c>
      <c r="I419" s="333">
        <v>85</v>
      </c>
      <c r="J419" s="333" t="s">
        <v>102</v>
      </c>
      <c r="K419" s="333" t="s">
        <v>69</v>
      </c>
      <c r="L419" s="333"/>
      <c r="M419" s="333"/>
      <c r="N419" s="333"/>
      <c r="O419" s="333"/>
      <c r="P419" s="462"/>
      <c r="Q419" s="429"/>
      <c r="R419" s="429"/>
      <c r="W419" s="346"/>
      <c r="X419" s="373"/>
      <c r="Y419" s="336" t="str">
        <f t="shared" ca="1" si="10"/>
        <v/>
      </c>
      <c r="Z419" s="373"/>
      <c r="AA419" s="336"/>
      <c r="AB419" s="373"/>
    </row>
    <row r="420" spans="1:28" s="338" customFormat="1" ht="12.75" customHeight="1" x14ac:dyDescent="0.25">
      <c r="A420" s="347" t="s">
        <v>1327</v>
      </c>
      <c r="B420" s="376">
        <v>45222</v>
      </c>
      <c r="C420" s="458" t="s">
        <v>35</v>
      </c>
      <c r="D420" s="359" t="s">
        <v>36</v>
      </c>
      <c r="E420" s="359">
        <v>5635060</v>
      </c>
      <c r="F420" s="419" t="s">
        <v>1328</v>
      </c>
      <c r="G420" s="420" t="s">
        <v>1329</v>
      </c>
      <c r="H420" s="359">
        <v>2</v>
      </c>
      <c r="I420" s="359" t="s">
        <v>1330</v>
      </c>
      <c r="J420" s="359" t="s">
        <v>102</v>
      </c>
      <c r="K420" s="359" t="s">
        <v>69</v>
      </c>
      <c r="L420" s="359"/>
      <c r="M420" s="359"/>
      <c r="N420" s="359"/>
      <c r="O420" s="359"/>
      <c r="P420" s="470"/>
      <c r="Q420" s="460"/>
      <c r="R420" s="460"/>
      <c r="S420" s="422"/>
      <c r="T420" s="422"/>
      <c r="U420" s="422"/>
      <c r="V420" s="422"/>
      <c r="W420" s="346">
        <v>45252</v>
      </c>
      <c r="X420" s="422">
        <v>2</v>
      </c>
      <c r="Y420" s="336" t="str">
        <f t="shared" ca="1" si="10"/>
        <v/>
      </c>
      <c r="Z420" s="422"/>
      <c r="AA420" s="361"/>
      <c r="AB420" s="422"/>
    </row>
    <row r="421" spans="1:28" s="338" customFormat="1" ht="12.75" customHeight="1" x14ac:dyDescent="0.25">
      <c r="A421" s="347" t="s">
        <v>1331</v>
      </c>
      <c r="B421" s="376">
        <v>45222</v>
      </c>
      <c r="C421" s="425" t="s">
        <v>26</v>
      </c>
      <c r="D421" s="333" t="s">
        <v>1007</v>
      </c>
      <c r="E421" s="333">
        <v>4048263</v>
      </c>
      <c r="F421" s="374">
        <v>2211860</v>
      </c>
      <c r="G421" s="372" t="s">
        <v>1332</v>
      </c>
      <c r="H421" s="333">
        <v>1</v>
      </c>
      <c r="I421" s="333" t="s">
        <v>1333</v>
      </c>
      <c r="J421" s="333" t="s">
        <v>31</v>
      </c>
      <c r="K421" s="333" t="s">
        <v>32</v>
      </c>
      <c r="L421" s="333"/>
      <c r="M421" s="333"/>
      <c r="N421" s="333"/>
      <c r="O421" s="333"/>
      <c r="P421" s="462"/>
      <c r="Q421" s="429"/>
      <c r="R421" s="429"/>
      <c r="W421" s="346">
        <v>45195</v>
      </c>
      <c r="X421" s="373"/>
      <c r="Y421" s="336" t="str">
        <f t="shared" ca="1" si="10"/>
        <v/>
      </c>
      <c r="Z421" s="373"/>
      <c r="AA421" s="336"/>
      <c r="AB421" s="373"/>
    </row>
    <row r="422" spans="1:28" s="338" customFormat="1" ht="12.75" customHeight="1" x14ac:dyDescent="0.25">
      <c r="A422" s="347" t="s">
        <v>1334</v>
      </c>
      <c r="B422" s="376">
        <v>45160</v>
      </c>
      <c r="C422" s="425" t="s">
        <v>60</v>
      </c>
      <c r="D422" s="333" t="s">
        <v>1335</v>
      </c>
      <c r="E422" s="333" t="s">
        <v>1336</v>
      </c>
      <c r="F422" s="374" t="s">
        <v>1337</v>
      </c>
      <c r="G422" s="372" t="s">
        <v>1338</v>
      </c>
      <c r="H422" s="333">
        <v>1</v>
      </c>
      <c r="I422" s="333">
        <v>2</v>
      </c>
      <c r="J422" s="333" t="s">
        <v>265</v>
      </c>
      <c r="K422" s="333" t="s">
        <v>32</v>
      </c>
      <c r="L422" s="333"/>
      <c r="M422" s="333" t="s">
        <v>33</v>
      </c>
      <c r="N422" s="333"/>
      <c r="O422" s="333"/>
      <c r="P422" s="461">
        <v>45160</v>
      </c>
      <c r="Q422" s="429"/>
      <c r="R422" s="429"/>
      <c r="W422" s="346"/>
      <c r="X422" s="373"/>
      <c r="Y422" s="336">
        <f t="shared" ca="1" si="10"/>
        <v>426</v>
      </c>
      <c r="Z422" s="373"/>
      <c r="AA422" s="336"/>
      <c r="AB422" s="373"/>
    </row>
    <row r="423" spans="1:28" s="338" customFormat="1" ht="12.75" customHeight="1" x14ac:dyDescent="0.25">
      <c r="A423" s="347" t="s">
        <v>1339</v>
      </c>
      <c r="B423" s="376">
        <v>45160</v>
      </c>
      <c r="C423" s="425" t="s">
        <v>60</v>
      </c>
      <c r="D423" s="333" t="s">
        <v>1340</v>
      </c>
      <c r="E423" s="333" t="s">
        <v>1341</v>
      </c>
      <c r="F423" s="374" t="s">
        <v>1133</v>
      </c>
      <c r="G423" s="372" t="s">
        <v>1342</v>
      </c>
      <c r="H423" s="333">
        <v>2</v>
      </c>
      <c r="I423" s="333">
        <v>2</v>
      </c>
      <c r="J423" s="333" t="s">
        <v>1343</v>
      </c>
      <c r="K423" s="333" t="s">
        <v>32</v>
      </c>
      <c r="L423" s="333"/>
      <c r="M423" s="333" t="s">
        <v>33</v>
      </c>
      <c r="N423" s="333"/>
      <c r="O423" s="333"/>
      <c r="P423" s="461">
        <v>45160</v>
      </c>
      <c r="Q423" s="429"/>
      <c r="R423" s="429"/>
      <c r="W423" s="346"/>
      <c r="X423" s="373"/>
      <c r="Y423" s="336">
        <f t="shared" ca="1" si="10"/>
        <v>426</v>
      </c>
      <c r="Z423" s="373"/>
      <c r="AA423" s="336"/>
      <c r="AB423" s="373"/>
    </row>
    <row r="424" spans="1:28" s="338" customFormat="1" ht="12.75" customHeight="1" x14ac:dyDescent="0.25">
      <c r="A424" s="347" t="s">
        <v>1344</v>
      </c>
      <c r="B424" s="376">
        <v>45160</v>
      </c>
      <c r="C424" s="425" t="s">
        <v>60</v>
      </c>
      <c r="D424" s="333" t="s">
        <v>1340</v>
      </c>
      <c r="E424" s="333" t="s">
        <v>1336</v>
      </c>
      <c r="F424" s="374" t="s">
        <v>1345</v>
      </c>
      <c r="G424" s="372" t="s">
        <v>1346</v>
      </c>
      <c r="H424" s="333">
        <v>6</v>
      </c>
      <c r="I424" s="333">
        <v>2</v>
      </c>
      <c r="J424" s="333" t="s">
        <v>46</v>
      </c>
      <c r="K424" s="333" t="s">
        <v>32</v>
      </c>
      <c r="L424" s="333"/>
      <c r="M424" s="333" t="s">
        <v>33</v>
      </c>
      <c r="N424" s="333"/>
      <c r="O424" s="333"/>
      <c r="P424" s="461">
        <v>45160</v>
      </c>
      <c r="Q424" s="429"/>
      <c r="R424" s="429"/>
      <c r="W424" s="346">
        <v>45144</v>
      </c>
      <c r="X424" s="373"/>
      <c r="Y424" s="336"/>
      <c r="Z424" s="373"/>
      <c r="AA424" s="336"/>
      <c r="AB424" s="373"/>
    </row>
    <row r="425" spans="1:28" s="338" customFormat="1" ht="12.75" customHeight="1" x14ac:dyDescent="0.25">
      <c r="A425" s="347" t="s">
        <v>1347</v>
      </c>
      <c r="B425" s="376">
        <v>45160</v>
      </c>
      <c r="C425" s="425" t="s">
        <v>60</v>
      </c>
      <c r="D425" s="333" t="s">
        <v>1340</v>
      </c>
      <c r="E425" s="333" t="s">
        <v>1336</v>
      </c>
      <c r="F425" s="374" t="s">
        <v>1348</v>
      </c>
      <c r="G425" s="372" t="s">
        <v>1349</v>
      </c>
      <c r="H425" s="333">
        <v>6</v>
      </c>
      <c r="I425" s="333">
        <v>2</v>
      </c>
      <c r="J425" s="333" t="s">
        <v>43</v>
      </c>
      <c r="K425" s="333" t="s">
        <v>32</v>
      </c>
      <c r="L425" s="333"/>
      <c r="M425" s="333" t="s">
        <v>33</v>
      </c>
      <c r="N425" s="333"/>
      <c r="O425" s="333"/>
      <c r="P425" s="461">
        <v>45160</v>
      </c>
      <c r="Q425" s="429"/>
      <c r="R425" s="429"/>
      <c r="W425" s="346">
        <v>45144</v>
      </c>
      <c r="X425" s="373"/>
      <c r="Y425" s="336"/>
      <c r="Z425" s="373"/>
      <c r="AA425" s="336"/>
      <c r="AB425" s="373"/>
    </row>
    <row r="426" spans="1:28" s="338" customFormat="1" ht="12.75" customHeight="1" x14ac:dyDescent="0.25">
      <c r="A426" s="347" t="s">
        <v>1350</v>
      </c>
      <c r="B426" s="376">
        <v>45160</v>
      </c>
      <c r="C426" s="425" t="s">
        <v>60</v>
      </c>
      <c r="D426" s="333" t="s">
        <v>1340</v>
      </c>
      <c r="E426" s="333" t="s">
        <v>1336</v>
      </c>
      <c r="F426" s="374" t="s">
        <v>1351</v>
      </c>
      <c r="G426" s="372" t="s">
        <v>1352</v>
      </c>
      <c r="H426" s="333">
        <v>48</v>
      </c>
      <c r="I426" s="333">
        <v>2</v>
      </c>
      <c r="J426" s="333" t="s">
        <v>46</v>
      </c>
      <c r="K426" s="333" t="s">
        <v>32</v>
      </c>
      <c r="L426" s="333"/>
      <c r="M426" s="333" t="s">
        <v>33</v>
      </c>
      <c r="N426" s="333"/>
      <c r="O426" s="333"/>
      <c r="P426" s="461">
        <v>45160</v>
      </c>
      <c r="Q426" s="429"/>
      <c r="R426" s="429"/>
      <c r="W426" s="346"/>
      <c r="X426" s="373"/>
      <c r="Y426" s="336">
        <f t="shared" ref="Y426:Y454" ca="1" si="11">IF(P426="","",IF(W426="",TODAY()-P426,W426-P426))</f>
        <v>426</v>
      </c>
      <c r="Z426" s="373"/>
      <c r="AA426" s="336"/>
      <c r="AB426" s="373"/>
    </row>
    <row r="427" spans="1:28" s="338" customFormat="1" ht="12.75" customHeight="1" x14ac:dyDescent="0.25">
      <c r="A427" s="347" t="s">
        <v>1353</v>
      </c>
      <c r="B427" s="376">
        <v>45160</v>
      </c>
      <c r="C427" s="425" t="s">
        <v>60</v>
      </c>
      <c r="D427" s="333" t="s">
        <v>1340</v>
      </c>
      <c r="E427" s="333" t="s">
        <v>1336</v>
      </c>
      <c r="F427" s="374" t="s">
        <v>1354</v>
      </c>
      <c r="G427" s="372" t="s">
        <v>307</v>
      </c>
      <c r="H427" s="333">
        <v>6</v>
      </c>
      <c r="I427" s="333">
        <v>2</v>
      </c>
      <c r="J427" s="333" t="s">
        <v>46</v>
      </c>
      <c r="K427" s="333" t="s">
        <v>32</v>
      </c>
      <c r="L427" s="333"/>
      <c r="M427" s="333" t="s">
        <v>33</v>
      </c>
      <c r="N427" s="333"/>
      <c r="O427" s="333"/>
      <c r="P427" s="461">
        <v>45160</v>
      </c>
      <c r="Q427" s="429"/>
      <c r="R427" s="429"/>
      <c r="W427" s="346"/>
      <c r="X427" s="373"/>
      <c r="Y427" s="336">
        <f t="shared" ca="1" si="11"/>
        <v>426</v>
      </c>
      <c r="Z427" s="373"/>
      <c r="AA427" s="336"/>
      <c r="AB427" s="373"/>
    </row>
    <row r="428" spans="1:28" s="338" customFormat="1" ht="12.75" customHeight="1" x14ac:dyDescent="0.25">
      <c r="A428" s="347" t="s">
        <v>1355</v>
      </c>
      <c r="B428" s="376">
        <v>45160</v>
      </c>
      <c r="C428" s="425" t="s">
        <v>60</v>
      </c>
      <c r="D428" s="333" t="s">
        <v>1340</v>
      </c>
      <c r="E428" s="333" t="s">
        <v>1336</v>
      </c>
      <c r="F428" s="374" t="s">
        <v>1356</v>
      </c>
      <c r="G428" s="372" t="s">
        <v>1357</v>
      </c>
      <c r="H428" s="333">
        <v>6</v>
      </c>
      <c r="I428" s="333">
        <v>2</v>
      </c>
      <c r="J428" s="333" t="s">
        <v>46</v>
      </c>
      <c r="K428" s="333" t="s">
        <v>32</v>
      </c>
      <c r="L428" s="333"/>
      <c r="M428" s="333" t="s">
        <v>33</v>
      </c>
      <c r="N428" s="333"/>
      <c r="O428" s="333"/>
      <c r="P428" s="461">
        <v>45160</v>
      </c>
      <c r="Q428" s="429"/>
      <c r="R428" s="429"/>
      <c r="W428" s="346"/>
      <c r="X428" s="373"/>
      <c r="Y428" s="336">
        <f t="shared" ca="1" si="11"/>
        <v>426</v>
      </c>
      <c r="Z428" s="373"/>
      <c r="AA428" s="336"/>
      <c r="AB428" s="373"/>
    </row>
    <row r="429" spans="1:28" s="338" customFormat="1" ht="12.75" customHeight="1" x14ac:dyDescent="0.25">
      <c r="A429" s="347" t="s">
        <v>1358</v>
      </c>
      <c r="B429" s="376">
        <v>45160</v>
      </c>
      <c r="C429" s="425" t="s">
        <v>60</v>
      </c>
      <c r="D429" s="333" t="s">
        <v>1340</v>
      </c>
      <c r="E429" s="333" t="s">
        <v>1336</v>
      </c>
      <c r="F429" s="374" t="s">
        <v>1359</v>
      </c>
      <c r="G429" s="372" t="s">
        <v>1322</v>
      </c>
      <c r="H429" s="333">
        <v>125</v>
      </c>
      <c r="I429" s="333">
        <v>2</v>
      </c>
      <c r="J429" s="333" t="s">
        <v>46</v>
      </c>
      <c r="K429" s="333" t="s">
        <v>32</v>
      </c>
      <c r="L429" s="333"/>
      <c r="M429" s="333" t="s">
        <v>33</v>
      </c>
      <c r="N429" s="333"/>
      <c r="O429" s="333"/>
      <c r="P429" s="461">
        <v>45160</v>
      </c>
      <c r="Q429" s="429"/>
      <c r="R429" s="429"/>
      <c r="W429" s="346"/>
      <c r="X429" s="373"/>
      <c r="Y429" s="336">
        <f t="shared" ca="1" si="11"/>
        <v>426</v>
      </c>
      <c r="Z429" s="373"/>
      <c r="AA429" s="336"/>
      <c r="AB429" s="373"/>
    </row>
    <row r="430" spans="1:28" s="338" customFormat="1" ht="12.75" customHeight="1" x14ac:dyDescent="0.25">
      <c r="A430" s="347" t="s">
        <v>1360</v>
      </c>
      <c r="B430" s="376">
        <v>45217</v>
      </c>
      <c r="C430" s="425" t="s">
        <v>219</v>
      </c>
      <c r="D430" s="333" t="s">
        <v>1273</v>
      </c>
      <c r="E430" s="333" t="s">
        <v>1361</v>
      </c>
      <c r="F430" s="374">
        <v>282143900213</v>
      </c>
      <c r="G430" s="372" t="s">
        <v>1362</v>
      </c>
      <c r="H430" s="333">
        <v>18</v>
      </c>
      <c r="I430" s="333" t="s">
        <v>1314</v>
      </c>
      <c r="J430" s="333" t="s">
        <v>31</v>
      </c>
      <c r="K430" s="333" t="s">
        <v>32</v>
      </c>
      <c r="L430" s="333"/>
      <c r="M430" s="333"/>
      <c r="N430" s="333"/>
      <c r="O430" s="333"/>
      <c r="P430" s="462">
        <v>45209</v>
      </c>
      <c r="Q430" s="429"/>
      <c r="R430" s="429"/>
      <c r="W430" s="471"/>
      <c r="X430" s="373">
        <v>18</v>
      </c>
      <c r="Y430" s="336">
        <f t="shared" ca="1" si="11"/>
        <v>377</v>
      </c>
      <c r="Z430" s="373"/>
      <c r="AA430" s="336"/>
      <c r="AB430" s="373" t="s">
        <v>1363</v>
      </c>
    </row>
    <row r="431" spans="1:28" s="338" customFormat="1" ht="12.75" customHeight="1" x14ac:dyDescent="0.25">
      <c r="A431" s="347" t="s">
        <v>1364</v>
      </c>
      <c r="B431" s="376">
        <v>45225</v>
      </c>
      <c r="C431" s="425" t="s">
        <v>35</v>
      </c>
      <c r="D431" s="333" t="s">
        <v>177</v>
      </c>
      <c r="E431" s="333">
        <v>631944</v>
      </c>
      <c r="F431" s="374" t="s">
        <v>1365</v>
      </c>
      <c r="G431" s="372" t="s">
        <v>1366</v>
      </c>
      <c r="H431" s="333">
        <v>1</v>
      </c>
      <c r="I431" s="333" t="s">
        <v>548</v>
      </c>
      <c r="J431" s="333" t="s">
        <v>102</v>
      </c>
      <c r="K431" s="333" t="s">
        <v>69</v>
      </c>
      <c r="L431" s="333"/>
      <c r="M431" s="333" t="s">
        <v>33</v>
      </c>
      <c r="N431" s="333"/>
      <c r="O431" s="333"/>
      <c r="P431" s="462">
        <v>45232</v>
      </c>
      <c r="Q431" s="429"/>
      <c r="R431" s="429"/>
      <c r="S431" s="373"/>
      <c r="T431" s="373"/>
      <c r="U431" s="373"/>
      <c r="V431" s="373"/>
      <c r="W431" s="346">
        <v>45306</v>
      </c>
      <c r="X431" s="373">
        <v>1</v>
      </c>
      <c r="Y431" s="336">
        <f t="shared" ca="1" si="11"/>
        <v>74</v>
      </c>
      <c r="Z431" s="373"/>
      <c r="AA431" s="336"/>
      <c r="AB431" s="373"/>
    </row>
    <row r="432" spans="1:28" s="338" customFormat="1" ht="12.75" customHeight="1" x14ac:dyDescent="0.25">
      <c r="A432" s="347" t="s">
        <v>1367</v>
      </c>
      <c r="B432" s="376">
        <v>45225</v>
      </c>
      <c r="C432" s="425" t="s">
        <v>35</v>
      </c>
      <c r="D432" s="333" t="s">
        <v>177</v>
      </c>
      <c r="E432" s="333">
        <v>631944</v>
      </c>
      <c r="F432" s="374" t="s">
        <v>1368</v>
      </c>
      <c r="G432" s="372" t="s">
        <v>1369</v>
      </c>
      <c r="H432" s="333">
        <v>1</v>
      </c>
      <c r="I432" s="333" t="s">
        <v>548</v>
      </c>
      <c r="J432" s="333" t="s">
        <v>541</v>
      </c>
      <c r="K432" s="333" t="s">
        <v>32</v>
      </c>
      <c r="L432" s="333"/>
      <c r="M432" s="333" t="s">
        <v>33</v>
      </c>
      <c r="N432" s="333"/>
      <c r="O432" s="333"/>
      <c r="P432" s="462">
        <v>45232</v>
      </c>
      <c r="Q432" s="429"/>
      <c r="R432" s="429"/>
      <c r="S432" s="373"/>
      <c r="T432" s="373"/>
      <c r="U432" s="373"/>
      <c r="V432" s="373"/>
      <c r="W432" s="346"/>
      <c r="X432" s="373"/>
      <c r="Y432" s="336">
        <f t="shared" ca="1" si="11"/>
        <v>354</v>
      </c>
      <c r="Z432" s="373"/>
      <c r="AA432" s="336"/>
      <c r="AB432" s="373"/>
    </row>
    <row r="433" spans="1:28" s="338" customFormat="1" ht="12.75" customHeight="1" x14ac:dyDescent="0.25">
      <c r="A433" s="347" t="s">
        <v>1370</v>
      </c>
      <c r="B433" s="376">
        <v>45225</v>
      </c>
      <c r="C433" s="425" t="s">
        <v>35</v>
      </c>
      <c r="D433" s="333" t="s">
        <v>177</v>
      </c>
      <c r="E433" s="333">
        <v>631944</v>
      </c>
      <c r="F433" s="374" t="s">
        <v>1371</v>
      </c>
      <c r="G433" s="372" t="s">
        <v>1372</v>
      </c>
      <c r="H433" s="333">
        <v>1</v>
      </c>
      <c r="I433" s="333" t="s">
        <v>548</v>
      </c>
      <c r="J433" s="333" t="s">
        <v>541</v>
      </c>
      <c r="K433" s="333" t="s">
        <v>32</v>
      </c>
      <c r="L433" s="333"/>
      <c r="M433" s="333" t="s">
        <v>33</v>
      </c>
      <c r="N433" s="333"/>
      <c r="O433" s="333"/>
      <c r="P433" s="462">
        <v>45232</v>
      </c>
      <c r="Q433" s="429"/>
      <c r="R433" s="429"/>
      <c r="S433" s="373"/>
      <c r="T433" s="373"/>
      <c r="U433" s="373"/>
      <c r="V433" s="373"/>
      <c r="W433" s="346">
        <v>45306</v>
      </c>
      <c r="X433" s="373"/>
      <c r="Y433" s="336">
        <f t="shared" ca="1" si="11"/>
        <v>74</v>
      </c>
      <c r="Z433" s="373"/>
      <c r="AA433" s="336"/>
      <c r="AB433" s="373"/>
    </row>
    <row r="434" spans="1:28" s="338" customFormat="1" ht="12.75" customHeight="1" x14ac:dyDescent="0.25">
      <c r="A434" s="347" t="s">
        <v>1373</v>
      </c>
      <c r="B434" s="464">
        <v>45233</v>
      </c>
      <c r="C434" s="465" t="s">
        <v>35</v>
      </c>
      <c r="D434" s="452" t="s">
        <v>36</v>
      </c>
      <c r="E434" s="452"/>
      <c r="F434" s="374" t="s">
        <v>1374</v>
      </c>
      <c r="G434" s="372" t="s">
        <v>1375</v>
      </c>
      <c r="H434" s="452">
        <v>1</v>
      </c>
      <c r="I434" s="452"/>
      <c r="J434" s="452" t="s">
        <v>68</v>
      </c>
      <c r="K434" s="452" t="s">
        <v>32</v>
      </c>
      <c r="L434" s="452"/>
      <c r="M434" s="452"/>
      <c r="N434" s="452"/>
      <c r="O434" s="452"/>
      <c r="P434" s="466">
        <v>45233</v>
      </c>
      <c r="Q434" s="454"/>
      <c r="R434" s="454"/>
      <c r="S434" s="467"/>
      <c r="T434" s="467"/>
      <c r="U434" s="467"/>
      <c r="V434" s="467"/>
      <c r="W434" s="468">
        <v>45306</v>
      </c>
      <c r="X434" s="455">
        <v>1</v>
      </c>
      <c r="Y434" s="336">
        <f t="shared" ca="1" si="11"/>
        <v>73</v>
      </c>
      <c r="Z434" s="373"/>
      <c r="AA434" s="336"/>
      <c r="AB434" s="373"/>
    </row>
    <row r="435" spans="1:28" s="338" customFormat="1" ht="12.75" customHeight="1" x14ac:dyDescent="0.25">
      <c r="A435" s="347" t="s">
        <v>1376</v>
      </c>
      <c r="B435" s="376">
        <v>45230</v>
      </c>
      <c r="C435" s="425" t="s">
        <v>26</v>
      </c>
      <c r="D435" s="333" t="s">
        <v>1377</v>
      </c>
      <c r="E435" s="333" t="s">
        <v>1378</v>
      </c>
      <c r="F435" s="374">
        <v>2728344</v>
      </c>
      <c r="G435" s="372" t="s">
        <v>1379</v>
      </c>
      <c r="H435" s="333">
        <v>4</v>
      </c>
      <c r="I435" s="333" t="s">
        <v>1380</v>
      </c>
      <c r="J435" s="333" t="s">
        <v>102</v>
      </c>
      <c r="K435" s="333" t="s">
        <v>69</v>
      </c>
      <c r="L435" s="333"/>
      <c r="M435" s="333"/>
      <c r="N435" s="333"/>
      <c r="O435" s="333"/>
      <c r="P435" s="376">
        <v>45230</v>
      </c>
      <c r="Q435" s="429"/>
      <c r="R435" s="429"/>
      <c r="W435" s="346">
        <v>45300</v>
      </c>
      <c r="X435" s="373">
        <v>8</v>
      </c>
      <c r="Y435" s="336">
        <f t="shared" ca="1" si="11"/>
        <v>70</v>
      </c>
      <c r="Z435" s="373"/>
      <c r="AA435" s="336"/>
      <c r="AB435" s="373"/>
    </row>
    <row r="436" spans="1:28" s="338" customFormat="1" ht="12.75" customHeight="1" x14ac:dyDescent="0.25">
      <c r="A436" s="347" t="s">
        <v>1381</v>
      </c>
      <c r="B436" s="376">
        <v>45230</v>
      </c>
      <c r="C436" s="425" t="s">
        <v>26</v>
      </c>
      <c r="D436" s="333" t="s">
        <v>1377</v>
      </c>
      <c r="E436" s="333">
        <v>4031670</v>
      </c>
      <c r="F436" s="374">
        <v>2334728</v>
      </c>
      <c r="G436" s="372" t="s">
        <v>1382</v>
      </c>
      <c r="H436" s="333">
        <v>1</v>
      </c>
      <c r="I436" s="333" t="s">
        <v>1380</v>
      </c>
      <c r="J436" s="333" t="s">
        <v>102</v>
      </c>
      <c r="K436" s="333" t="s">
        <v>69</v>
      </c>
      <c r="L436" s="333"/>
      <c r="M436" s="333"/>
      <c r="N436" s="333"/>
      <c r="O436" s="333"/>
      <c r="P436" s="376">
        <v>45230</v>
      </c>
      <c r="Q436" s="429"/>
      <c r="R436" s="429"/>
      <c r="S436" s="373"/>
      <c r="T436" s="373"/>
      <c r="U436" s="373"/>
      <c r="V436" s="373"/>
      <c r="W436" s="472" t="s">
        <v>1383</v>
      </c>
      <c r="X436" s="373"/>
      <c r="Y436" s="336" t="e">
        <f t="shared" ca="1" si="11"/>
        <v>#VALUE!</v>
      </c>
      <c r="Z436" s="373"/>
      <c r="AA436" s="336"/>
      <c r="AB436" s="373"/>
    </row>
    <row r="437" spans="1:28" s="338" customFormat="1" ht="12.75" customHeight="1" x14ac:dyDescent="0.25">
      <c r="A437" s="347" t="s">
        <v>1384</v>
      </c>
      <c r="B437" s="376">
        <v>45230</v>
      </c>
      <c r="C437" s="425" t="s">
        <v>26</v>
      </c>
      <c r="D437" s="333" t="s">
        <v>1377</v>
      </c>
      <c r="E437" s="333">
        <v>4031670</v>
      </c>
      <c r="F437" s="374">
        <v>2244332</v>
      </c>
      <c r="G437" s="372" t="s">
        <v>1385</v>
      </c>
      <c r="H437" s="333">
        <v>1</v>
      </c>
      <c r="I437" s="333" t="s">
        <v>1380</v>
      </c>
      <c r="J437" s="333" t="s">
        <v>102</v>
      </c>
      <c r="K437" s="333" t="s">
        <v>69</v>
      </c>
      <c r="L437" s="333"/>
      <c r="M437" s="333"/>
      <c r="N437" s="333"/>
      <c r="O437" s="333"/>
      <c r="P437" s="376">
        <v>45230</v>
      </c>
      <c r="Q437" s="429"/>
      <c r="R437" s="429"/>
      <c r="S437" s="373"/>
      <c r="T437" s="373"/>
      <c r="U437" s="373"/>
      <c r="V437" s="373"/>
      <c r="W437" s="472">
        <v>45300</v>
      </c>
      <c r="X437" s="373"/>
      <c r="Y437" s="336">
        <f t="shared" ca="1" si="11"/>
        <v>70</v>
      </c>
      <c r="Z437" s="373"/>
      <c r="AA437" s="336"/>
      <c r="AB437" s="373"/>
    </row>
    <row r="438" spans="1:28" s="338" customFormat="1" ht="12.75" customHeight="1" x14ac:dyDescent="0.25">
      <c r="A438" s="347" t="s">
        <v>1386</v>
      </c>
      <c r="B438" s="376">
        <v>45230</v>
      </c>
      <c r="C438" s="425" t="s">
        <v>26</v>
      </c>
      <c r="D438" s="333" t="s">
        <v>1377</v>
      </c>
      <c r="E438" s="333">
        <v>4036789</v>
      </c>
      <c r="F438" s="374" t="s">
        <v>1387</v>
      </c>
      <c r="G438" s="372" t="s">
        <v>1388</v>
      </c>
      <c r="H438" s="333">
        <v>1</v>
      </c>
      <c r="I438" s="333" t="s">
        <v>1389</v>
      </c>
      <c r="J438" s="333" t="s">
        <v>102</v>
      </c>
      <c r="K438" s="333" t="s">
        <v>69</v>
      </c>
      <c r="L438" s="333"/>
      <c r="M438" s="333"/>
      <c r="N438" s="333"/>
      <c r="O438" s="333"/>
      <c r="P438" s="376">
        <v>45230</v>
      </c>
      <c r="Q438" s="429"/>
      <c r="R438" s="429"/>
      <c r="S438" s="373"/>
      <c r="T438" s="373"/>
      <c r="U438" s="373"/>
      <c r="V438" s="373"/>
      <c r="W438" s="472">
        <v>45300</v>
      </c>
      <c r="X438" s="373"/>
      <c r="Y438" s="336">
        <f t="shared" ca="1" si="11"/>
        <v>70</v>
      </c>
      <c r="Z438" s="373"/>
      <c r="AA438" s="336"/>
      <c r="AB438" s="373"/>
    </row>
    <row r="439" spans="1:28" s="338" customFormat="1" ht="12.75" customHeight="1" x14ac:dyDescent="0.25">
      <c r="A439" s="347" t="s">
        <v>1390</v>
      </c>
      <c r="B439" s="376">
        <v>45230</v>
      </c>
      <c r="C439" s="425" t="s">
        <v>26</v>
      </c>
      <c r="D439" s="333" t="s">
        <v>1377</v>
      </c>
      <c r="E439" s="333">
        <v>4031670</v>
      </c>
      <c r="F439" s="374" t="s">
        <v>1391</v>
      </c>
      <c r="G439" s="372" t="s">
        <v>1392</v>
      </c>
      <c r="H439" s="333">
        <v>1</v>
      </c>
      <c r="I439" s="333" t="s">
        <v>1380</v>
      </c>
      <c r="J439" s="333" t="s">
        <v>102</v>
      </c>
      <c r="K439" s="333" t="s">
        <v>69</v>
      </c>
      <c r="L439" s="333"/>
      <c r="M439" s="333"/>
      <c r="N439" s="333"/>
      <c r="O439" s="333"/>
      <c r="P439" s="376">
        <v>45229</v>
      </c>
      <c r="Q439" s="429"/>
      <c r="R439" s="429"/>
      <c r="S439" s="373"/>
      <c r="T439" s="373"/>
      <c r="U439" s="373"/>
      <c r="V439" s="373"/>
      <c r="W439" s="472">
        <v>45300</v>
      </c>
      <c r="X439" s="373"/>
      <c r="Y439" s="336">
        <f t="shared" ca="1" si="11"/>
        <v>71</v>
      </c>
      <c r="Z439" s="373"/>
      <c r="AA439" s="336"/>
      <c r="AB439" s="373"/>
    </row>
    <row r="440" spans="1:28" s="338" customFormat="1" ht="12.75" customHeight="1" x14ac:dyDescent="0.25">
      <c r="A440" s="347" t="s">
        <v>1393</v>
      </c>
      <c r="B440" s="376">
        <v>45229</v>
      </c>
      <c r="C440" s="425" t="s">
        <v>26</v>
      </c>
      <c r="D440" s="333" t="s">
        <v>988</v>
      </c>
      <c r="E440" s="333" t="s">
        <v>1394</v>
      </c>
      <c r="F440" s="374">
        <v>2402592</v>
      </c>
      <c r="G440" s="372" t="s">
        <v>1395</v>
      </c>
      <c r="H440" s="333">
        <v>2</v>
      </c>
      <c r="I440" s="333" t="s">
        <v>1396</v>
      </c>
      <c r="J440" s="333" t="s">
        <v>102</v>
      </c>
      <c r="K440" s="333" t="s">
        <v>69</v>
      </c>
      <c r="L440" s="333"/>
      <c r="M440" s="333"/>
      <c r="N440" s="333"/>
      <c r="O440" s="333"/>
      <c r="P440" s="376">
        <v>45227</v>
      </c>
      <c r="Q440" s="429"/>
      <c r="R440" s="429"/>
      <c r="S440" s="373"/>
      <c r="T440" s="373"/>
      <c r="U440" s="373"/>
      <c r="V440" s="373"/>
      <c r="W440" s="472">
        <v>45300</v>
      </c>
      <c r="X440" s="373"/>
      <c r="Y440" s="336">
        <f t="shared" ca="1" si="11"/>
        <v>73</v>
      </c>
      <c r="Z440" s="373"/>
      <c r="AA440" s="336"/>
      <c r="AB440" s="373"/>
    </row>
    <row r="441" spans="1:28" s="338" customFormat="1" ht="12.75" customHeight="1" x14ac:dyDescent="0.25">
      <c r="A441" s="347" t="s">
        <v>1397</v>
      </c>
      <c r="B441" s="376">
        <v>45227</v>
      </c>
      <c r="C441" s="425" t="s">
        <v>26</v>
      </c>
      <c r="D441" s="333" t="s">
        <v>1007</v>
      </c>
      <c r="E441" s="333"/>
      <c r="F441" s="374">
        <v>2211859</v>
      </c>
      <c r="G441" s="372" t="s">
        <v>1398</v>
      </c>
      <c r="H441" s="333">
        <v>1</v>
      </c>
      <c r="I441" s="333" t="s">
        <v>1265</v>
      </c>
      <c r="J441" s="333" t="s">
        <v>31</v>
      </c>
      <c r="K441" s="333" t="s">
        <v>32</v>
      </c>
      <c r="L441" s="333"/>
      <c r="M441" s="333"/>
      <c r="N441" s="333"/>
      <c r="O441" s="333"/>
      <c r="P441" s="376">
        <v>45230</v>
      </c>
      <c r="Q441" s="429"/>
      <c r="R441" s="429"/>
      <c r="S441" s="373"/>
      <c r="T441" s="373"/>
      <c r="U441" s="373"/>
      <c r="V441" s="373"/>
      <c r="W441" s="472" t="s">
        <v>1399</v>
      </c>
      <c r="X441" s="373"/>
      <c r="Y441" s="336" t="e">
        <f t="shared" ca="1" si="11"/>
        <v>#VALUE!</v>
      </c>
      <c r="Z441" s="373"/>
      <c r="AA441" s="336"/>
      <c r="AB441" s="373"/>
    </row>
    <row r="442" spans="1:28" s="338" customFormat="1" ht="12.75" customHeight="1" x14ac:dyDescent="0.25">
      <c r="A442" s="347" t="s">
        <v>1400</v>
      </c>
      <c r="B442" s="376">
        <v>45230</v>
      </c>
      <c r="C442" s="425" t="s">
        <v>26</v>
      </c>
      <c r="D442" s="333" t="s">
        <v>1377</v>
      </c>
      <c r="E442" s="333">
        <v>4031670</v>
      </c>
      <c r="F442" s="374" t="s">
        <v>33</v>
      </c>
      <c r="G442" s="372" t="s">
        <v>1401</v>
      </c>
      <c r="H442" s="333">
        <v>1</v>
      </c>
      <c r="I442" s="333" t="s">
        <v>1380</v>
      </c>
      <c r="J442" s="333" t="s">
        <v>102</v>
      </c>
      <c r="K442" s="333" t="s">
        <v>69</v>
      </c>
      <c r="L442" s="333"/>
      <c r="M442" s="333"/>
      <c r="N442" s="333"/>
      <c r="O442" s="333"/>
      <c r="P442" s="376">
        <v>45230</v>
      </c>
      <c r="Q442" s="429"/>
      <c r="R442" s="429"/>
      <c r="S442" s="373"/>
      <c r="T442" s="373"/>
      <c r="U442" s="373"/>
      <c r="V442" s="373"/>
      <c r="W442" s="472">
        <v>45300</v>
      </c>
      <c r="X442" s="373"/>
      <c r="Y442" s="336">
        <f t="shared" ca="1" si="11"/>
        <v>70</v>
      </c>
      <c r="Z442" s="373"/>
      <c r="AA442" s="336"/>
      <c r="AB442" s="373"/>
    </row>
    <row r="443" spans="1:28" s="338" customFormat="1" ht="12.75" customHeight="1" x14ac:dyDescent="0.25">
      <c r="A443" s="347" t="s">
        <v>1402</v>
      </c>
      <c r="B443" s="376">
        <v>45230</v>
      </c>
      <c r="C443" s="425" t="s">
        <v>26</v>
      </c>
      <c r="D443" s="333" t="s">
        <v>1377</v>
      </c>
      <c r="E443" s="333">
        <v>4031670</v>
      </c>
      <c r="F443" s="374">
        <v>2116023</v>
      </c>
      <c r="G443" s="372" t="s">
        <v>1403</v>
      </c>
      <c r="H443" s="333">
        <v>1</v>
      </c>
      <c r="I443" s="333" t="s">
        <v>1389</v>
      </c>
      <c r="J443" s="333" t="s">
        <v>102</v>
      </c>
      <c r="K443" s="333" t="s">
        <v>69</v>
      </c>
      <c r="L443" s="333"/>
      <c r="M443" s="333"/>
      <c r="N443" s="333"/>
      <c r="O443" s="333"/>
      <c r="P443" s="462">
        <v>45230</v>
      </c>
      <c r="Q443" s="429"/>
      <c r="R443" s="429"/>
      <c r="S443" s="373"/>
      <c r="T443" s="373"/>
      <c r="U443" s="373"/>
      <c r="V443" s="373"/>
      <c r="W443" s="472">
        <v>45300</v>
      </c>
      <c r="X443" s="373"/>
      <c r="Y443" s="336">
        <f t="shared" ca="1" si="11"/>
        <v>70</v>
      </c>
      <c r="Z443" s="373"/>
      <c r="AA443" s="336"/>
      <c r="AB443" s="373"/>
    </row>
    <row r="444" spans="1:28" s="338" customFormat="1" ht="12.75" customHeight="1" x14ac:dyDescent="0.25">
      <c r="A444" s="347" t="s">
        <v>1404</v>
      </c>
      <c r="B444" s="376">
        <v>45301</v>
      </c>
      <c r="C444" s="425" t="s">
        <v>60</v>
      </c>
      <c r="D444" s="333" t="s">
        <v>1340</v>
      </c>
      <c r="E444" s="333"/>
      <c r="F444" s="374" t="s">
        <v>1405</v>
      </c>
      <c r="G444" s="372" t="s">
        <v>1406</v>
      </c>
      <c r="H444" s="333">
        <v>24</v>
      </c>
      <c r="I444" s="333">
        <v>3</v>
      </c>
      <c r="J444" s="333" t="s">
        <v>46</v>
      </c>
      <c r="K444" s="333" t="s">
        <v>32</v>
      </c>
      <c r="L444" s="333"/>
      <c r="M444" s="333"/>
      <c r="N444" s="417"/>
      <c r="O444" s="417"/>
      <c r="P444" s="462"/>
      <c r="Q444" s="429"/>
      <c r="R444" s="429"/>
      <c r="S444" s="373"/>
      <c r="T444" s="373"/>
      <c r="U444" s="373"/>
      <c r="V444" s="373"/>
      <c r="W444" s="472"/>
      <c r="X444" s="373"/>
      <c r="Y444" s="336" t="str">
        <f t="shared" ca="1" si="11"/>
        <v/>
      </c>
      <c r="Z444" s="373"/>
      <c r="AA444" s="336"/>
      <c r="AB444" s="373"/>
    </row>
    <row r="445" spans="1:28" s="338" customFormat="1" ht="12.75" customHeight="1" x14ac:dyDescent="0.25">
      <c r="A445" s="347" t="s">
        <v>1407</v>
      </c>
      <c r="B445" s="457">
        <v>45231</v>
      </c>
      <c r="C445" s="458" t="s">
        <v>35</v>
      </c>
      <c r="D445" s="359" t="s">
        <v>177</v>
      </c>
      <c r="E445" s="359">
        <v>632390</v>
      </c>
      <c r="F445" s="419" t="s">
        <v>1408</v>
      </c>
      <c r="G445" s="420" t="s">
        <v>1409</v>
      </c>
      <c r="H445" s="359">
        <v>1</v>
      </c>
      <c r="I445" s="359" t="s">
        <v>1410</v>
      </c>
      <c r="J445" s="359" t="s">
        <v>43</v>
      </c>
      <c r="K445" s="359" t="s">
        <v>32</v>
      </c>
      <c r="L445" s="359"/>
      <c r="M445" s="359" t="s">
        <v>33</v>
      </c>
      <c r="N445" s="359"/>
      <c r="O445" s="359"/>
      <c r="P445" s="473">
        <v>45232</v>
      </c>
      <c r="Q445" s="460"/>
      <c r="R445" s="460"/>
      <c r="S445" s="422"/>
      <c r="T445" s="422"/>
      <c r="U445" s="422"/>
      <c r="V445" s="422"/>
      <c r="W445" s="472">
        <v>45252</v>
      </c>
      <c r="X445" s="422">
        <v>1</v>
      </c>
      <c r="Y445" s="336">
        <f t="shared" ca="1" si="11"/>
        <v>20</v>
      </c>
      <c r="Z445" s="422"/>
      <c r="AA445" s="361"/>
      <c r="AB445" s="422"/>
    </row>
    <row r="446" spans="1:28" s="338" customFormat="1" ht="12.75" customHeight="1" x14ac:dyDescent="0.25">
      <c r="A446" s="347" t="s">
        <v>1411</v>
      </c>
      <c r="B446" s="457">
        <v>45231</v>
      </c>
      <c r="C446" s="458" t="s">
        <v>35</v>
      </c>
      <c r="D446" s="359" t="s">
        <v>177</v>
      </c>
      <c r="E446" s="359">
        <v>632504</v>
      </c>
      <c r="F446" s="419" t="s">
        <v>1412</v>
      </c>
      <c r="G446" s="420" t="s">
        <v>1413</v>
      </c>
      <c r="H446" s="359">
        <v>1</v>
      </c>
      <c r="I446" s="359" t="s">
        <v>1410</v>
      </c>
      <c r="J446" s="359" t="s">
        <v>31</v>
      </c>
      <c r="K446" s="359" t="s">
        <v>32</v>
      </c>
      <c r="L446" s="359"/>
      <c r="M446" s="359" t="s">
        <v>33</v>
      </c>
      <c r="N446" s="359"/>
      <c r="O446" s="359"/>
      <c r="P446" s="473">
        <v>45232</v>
      </c>
      <c r="Q446" s="460"/>
      <c r="R446" s="460"/>
      <c r="S446" s="422"/>
      <c r="T446" s="422"/>
      <c r="U446" s="422"/>
      <c r="V446" s="422"/>
      <c r="W446" s="472">
        <v>45252</v>
      </c>
      <c r="X446" s="422">
        <v>1</v>
      </c>
      <c r="Y446" s="336">
        <f t="shared" ca="1" si="11"/>
        <v>20</v>
      </c>
      <c r="Z446" s="422"/>
      <c r="AA446" s="361"/>
      <c r="AB446" s="422"/>
    </row>
    <row r="447" spans="1:28" s="338" customFormat="1" ht="12.75" customHeight="1" x14ac:dyDescent="0.25">
      <c r="A447" s="347" t="s">
        <v>1414</v>
      </c>
      <c r="B447" s="457">
        <v>45231</v>
      </c>
      <c r="C447" s="458" t="s">
        <v>35</v>
      </c>
      <c r="D447" s="359" t="s">
        <v>177</v>
      </c>
      <c r="E447" s="359">
        <v>632514</v>
      </c>
      <c r="F447" s="419" t="s">
        <v>1415</v>
      </c>
      <c r="G447" s="420" t="s">
        <v>1416</v>
      </c>
      <c r="H447" s="359">
        <v>1</v>
      </c>
      <c r="I447" s="359" t="s">
        <v>1417</v>
      </c>
      <c r="J447" s="359" t="s">
        <v>265</v>
      </c>
      <c r="K447" s="359" t="s">
        <v>32</v>
      </c>
      <c r="L447" s="359"/>
      <c r="M447" s="359" t="s">
        <v>33</v>
      </c>
      <c r="N447" s="359"/>
      <c r="O447" s="359"/>
      <c r="P447" s="473">
        <v>45232</v>
      </c>
      <c r="Q447" s="460"/>
      <c r="R447" s="460"/>
      <c r="S447" s="422"/>
      <c r="T447" s="422"/>
      <c r="U447" s="422"/>
      <c r="V447" s="422"/>
      <c r="W447" s="472">
        <v>45252</v>
      </c>
      <c r="X447" s="422">
        <v>1</v>
      </c>
      <c r="Y447" s="336">
        <f t="shared" ca="1" si="11"/>
        <v>20</v>
      </c>
      <c r="Z447" s="422"/>
      <c r="AA447" s="361"/>
      <c r="AB447" s="422"/>
    </row>
    <row r="448" spans="1:28" s="338" customFormat="1" ht="12.75" customHeight="1" x14ac:dyDescent="0.25">
      <c r="A448" s="347" t="s">
        <v>1418</v>
      </c>
      <c r="B448" s="376">
        <v>45231</v>
      </c>
      <c r="C448" s="425" t="s">
        <v>26</v>
      </c>
      <c r="D448" s="333" t="s">
        <v>1007</v>
      </c>
      <c r="E448" s="333" t="s">
        <v>757</v>
      </c>
      <c r="F448" s="374">
        <v>1527120</v>
      </c>
      <c r="G448" s="372" t="s">
        <v>1297</v>
      </c>
      <c r="H448" s="333">
        <v>16</v>
      </c>
      <c r="I448" s="333" t="s">
        <v>1419</v>
      </c>
      <c r="J448" s="333" t="s">
        <v>541</v>
      </c>
      <c r="K448" s="333" t="s">
        <v>32</v>
      </c>
      <c r="L448" s="333"/>
      <c r="M448" s="333" t="s">
        <v>33</v>
      </c>
      <c r="N448" s="333"/>
      <c r="O448" s="333"/>
      <c r="P448" s="462">
        <v>45231</v>
      </c>
      <c r="Q448" s="429"/>
      <c r="R448" s="429"/>
      <c r="S448" s="373"/>
      <c r="T448" s="373"/>
      <c r="U448" s="373"/>
      <c r="V448" s="373"/>
      <c r="W448" s="472">
        <v>45301</v>
      </c>
      <c r="X448" s="373">
        <v>2</v>
      </c>
      <c r="Y448" s="336">
        <f t="shared" ca="1" si="11"/>
        <v>70</v>
      </c>
      <c r="Z448" s="373"/>
      <c r="AA448" s="336"/>
      <c r="AB448" s="373" t="s">
        <v>1420</v>
      </c>
    </row>
    <row r="449" spans="1:50" ht="12.75" customHeight="1" x14ac:dyDescent="0.25">
      <c r="A449" s="347" t="s">
        <v>1421</v>
      </c>
      <c r="B449" s="376">
        <v>45231</v>
      </c>
      <c r="C449" s="425" t="s">
        <v>26</v>
      </c>
      <c r="D449" s="333" t="s">
        <v>1007</v>
      </c>
      <c r="E449" s="333" t="s">
        <v>1422</v>
      </c>
      <c r="F449" s="374">
        <v>1885303</v>
      </c>
      <c r="G449" s="372" t="s">
        <v>1423</v>
      </c>
      <c r="H449" s="333">
        <v>4</v>
      </c>
      <c r="I449" s="333" t="s">
        <v>1419</v>
      </c>
      <c r="J449" s="333" t="s">
        <v>46</v>
      </c>
      <c r="K449" s="333" t="s">
        <v>32</v>
      </c>
      <c r="L449" s="333"/>
      <c r="M449" s="333" t="s">
        <v>33</v>
      </c>
      <c r="N449" s="333"/>
      <c r="O449" s="333"/>
      <c r="P449" s="462">
        <v>45231</v>
      </c>
      <c r="S449" s="373"/>
      <c r="T449" s="373"/>
      <c r="U449" s="373"/>
      <c r="V449" s="373"/>
      <c r="W449" s="472">
        <v>45301</v>
      </c>
      <c r="X449" s="373"/>
      <c r="Y449" s="336">
        <f t="shared" ca="1" si="11"/>
        <v>70</v>
      </c>
      <c r="Z449" s="373"/>
      <c r="AA449" s="336"/>
      <c r="AB449" s="373"/>
      <c r="AD449" s="338"/>
    </row>
    <row r="450" spans="1:50" ht="12.75" customHeight="1" x14ac:dyDescent="0.25">
      <c r="A450" s="347" t="s">
        <v>1424</v>
      </c>
      <c r="B450" s="376">
        <v>45231</v>
      </c>
      <c r="C450" s="425" t="s">
        <v>26</v>
      </c>
      <c r="D450" s="333" t="s">
        <v>1007</v>
      </c>
      <c r="E450" s="333" t="s">
        <v>1425</v>
      </c>
      <c r="F450" s="374">
        <v>816122</v>
      </c>
      <c r="G450" s="372" t="s">
        <v>1426</v>
      </c>
      <c r="H450" s="333">
        <v>7</v>
      </c>
      <c r="I450" s="333" t="s">
        <v>1025</v>
      </c>
      <c r="J450" s="333" t="s">
        <v>46</v>
      </c>
      <c r="K450" s="333" t="s">
        <v>32</v>
      </c>
      <c r="L450" s="333"/>
      <c r="M450" s="333" t="s">
        <v>33</v>
      </c>
      <c r="N450" s="333"/>
      <c r="O450" s="333"/>
      <c r="P450" s="462">
        <v>45231</v>
      </c>
      <c r="S450" s="373"/>
      <c r="T450" s="373"/>
      <c r="U450" s="373"/>
      <c r="V450" s="373"/>
      <c r="W450" s="472">
        <v>45301</v>
      </c>
      <c r="X450" s="373"/>
      <c r="Y450" s="336">
        <f t="shared" ca="1" si="11"/>
        <v>70</v>
      </c>
      <c r="Z450" s="373"/>
      <c r="AA450" s="336"/>
      <c r="AB450" s="373"/>
      <c r="AD450" s="338"/>
    </row>
    <row r="451" spans="1:50" ht="12.75" customHeight="1" x14ac:dyDescent="0.25">
      <c r="A451" s="347" t="s">
        <v>1427</v>
      </c>
      <c r="B451" s="376">
        <v>45222</v>
      </c>
      <c r="C451" s="425" t="s">
        <v>219</v>
      </c>
      <c r="D451" s="333">
        <v>1216</v>
      </c>
      <c r="E451" s="333" t="s">
        <v>33</v>
      </c>
      <c r="F451" s="374">
        <v>265181100125</v>
      </c>
      <c r="G451" s="372" t="s">
        <v>1428</v>
      </c>
      <c r="H451" s="372">
        <v>1</v>
      </c>
      <c r="I451" s="372" t="s">
        <v>1319</v>
      </c>
      <c r="J451" s="372" t="s">
        <v>31</v>
      </c>
      <c r="K451" s="333" t="s">
        <v>32</v>
      </c>
      <c r="L451" s="333"/>
      <c r="M451" s="333" t="s">
        <v>33</v>
      </c>
      <c r="N451" s="333"/>
      <c r="O451" s="333"/>
      <c r="P451" s="463">
        <v>45238</v>
      </c>
      <c r="Q451" s="333"/>
      <c r="R451" s="333"/>
      <c r="S451" s="416"/>
      <c r="T451" s="373"/>
      <c r="U451" s="373"/>
      <c r="V451" s="474"/>
      <c r="W451" s="346">
        <v>45274</v>
      </c>
      <c r="X451" s="416">
        <v>1</v>
      </c>
      <c r="Y451" s="336">
        <f t="shared" ca="1" si="11"/>
        <v>36</v>
      </c>
      <c r="Z451" s="373"/>
      <c r="AA451" s="336"/>
      <c r="AB451" s="373"/>
      <c r="AD451" s="338"/>
    </row>
    <row r="452" spans="1:50" ht="12.75" customHeight="1" x14ac:dyDescent="0.25">
      <c r="A452" s="347" t="s">
        <v>1429</v>
      </c>
      <c r="B452" s="376">
        <v>45299</v>
      </c>
      <c r="C452" s="425" t="s">
        <v>60</v>
      </c>
      <c r="D452" s="333" t="s">
        <v>1340</v>
      </c>
      <c r="E452" s="333"/>
      <c r="F452" s="374" t="s">
        <v>1430</v>
      </c>
      <c r="G452" s="372" t="s">
        <v>1431</v>
      </c>
      <c r="H452" s="333">
        <v>6</v>
      </c>
      <c r="I452" s="333">
        <v>3</v>
      </c>
      <c r="J452" s="333" t="s">
        <v>46</v>
      </c>
      <c r="K452" s="333" t="s">
        <v>32</v>
      </c>
      <c r="L452" s="333"/>
      <c r="M452" s="333"/>
      <c r="N452" s="417"/>
      <c r="O452" s="417"/>
      <c r="P452" s="462">
        <v>45301</v>
      </c>
      <c r="S452" s="373"/>
      <c r="T452" s="373"/>
      <c r="U452" s="373"/>
      <c r="V452" s="373"/>
      <c r="W452" s="475"/>
      <c r="X452" s="373"/>
      <c r="Y452" s="336">
        <f t="shared" ca="1" si="11"/>
        <v>285</v>
      </c>
      <c r="Z452" s="373"/>
      <c r="AA452" s="336"/>
      <c r="AB452" s="373" t="s">
        <v>1432</v>
      </c>
      <c r="AD452" s="338"/>
    </row>
    <row r="453" spans="1:50" ht="12.75" customHeight="1" x14ac:dyDescent="0.25">
      <c r="A453" s="347" t="s">
        <v>1433</v>
      </c>
      <c r="B453" s="376">
        <v>45222</v>
      </c>
      <c r="C453" s="425" t="s">
        <v>219</v>
      </c>
      <c r="D453" s="333">
        <v>1216</v>
      </c>
      <c r="E453" s="333"/>
      <c r="F453" s="374">
        <v>264169500307</v>
      </c>
      <c r="G453" s="372" t="s">
        <v>1434</v>
      </c>
      <c r="H453" s="372">
        <v>1</v>
      </c>
      <c r="I453" s="372" t="s">
        <v>1319</v>
      </c>
      <c r="J453" s="372" t="s">
        <v>68</v>
      </c>
      <c r="K453" s="333" t="s">
        <v>69</v>
      </c>
      <c r="L453" s="333"/>
      <c r="M453" s="333" t="s">
        <v>33</v>
      </c>
      <c r="N453" s="333"/>
      <c r="O453" s="333"/>
      <c r="P453" s="463">
        <v>45238</v>
      </c>
      <c r="Q453" s="333"/>
      <c r="R453" s="333"/>
      <c r="S453" s="416"/>
      <c r="T453" s="373"/>
      <c r="U453" s="373"/>
      <c r="V453" s="474"/>
      <c r="W453" s="468"/>
      <c r="X453" s="416">
        <v>1</v>
      </c>
      <c r="Y453" s="336">
        <f t="shared" ca="1" si="11"/>
        <v>348</v>
      </c>
      <c r="Z453" s="373"/>
      <c r="AA453" s="336"/>
      <c r="AB453" s="373"/>
      <c r="AD453" s="338"/>
      <c r="AS453" s="338" t="s">
        <v>1435</v>
      </c>
      <c r="AT453" s="338" t="s">
        <v>1436</v>
      </c>
      <c r="AU453" s="338" t="s">
        <v>1437</v>
      </c>
      <c r="AV453" s="338" t="s">
        <v>1438</v>
      </c>
      <c r="AW453" s="338" t="s">
        <v>1439</v>
      </c>
      <c r="AX453" s="338" t="s">
        <v>1440</v>
      </c>
    </row>
    <row r="454" spans="1:50" ht="12.75" customHeight="1" x14ac:dyDescent="0.25">
      <c r="A454" s="347" t="s">
        <v>1441</v>
      </c>
      <c r="B454" s="376">
        <v>45222</v>
      </c>
      <c r="C454" s="425" t="s">
        <v>219</v>
      </c>
      <c r="D454" s="333">
        <v>1216</v>
      </c>
      <c r="E454" s="333"/>
      <c r="F454" s="374">
        <v>274781100140</v>
      </c>
      <c r="G454" s="372" t="s">
        <v>1442</v>
      </c>
      <c r="H454" s="372">
        <v>1</v>
      </c>
      <c r="I454" s="372" t="s">
        <v>1319</v>
      </c>
      <c r="J454" s="372" t="s">
        <v>265</v>
      </c>
      <c r="K454" s="333" t="s">
        <v>32</v>
      </c>
      <c r="L454" s="333"/>
      <c r="M454" s="333" t="s">
        <v>33</v>
      </c>
      <c r="N454" s="333"/>
      <c r="O454" s="333"/>
      <c r="P454" s="463">
        <v>45238</v>
      </c>
      <c r="Q454" s="333"/>
      <c r="R454" s="333"/>
      <c r="S454" s="416"/>
      <c r="T454" s="373"/>
      <c r="U454" s="373"/>
      <c r="V454" s="474"/>
      <c r="W454" s="468"/>
      <c r="X454" s="416">
        <v>1</v>
      </c>
      <c r="Y454" s="336">
        <f t="shared" ca="1" si="11"/>
        <v>348</v>
      </c>
      <c r="Z454" s="373"/>
      <c r="AA454" s="336"/>
      <c r="AB454" s="373"/>
      <c r="AD454" s="338"/>
      <c r="AU454" s="338">
        <v>1</v>
      </c>
      <c r="AV454" s="338" t="s">
        <v>1443</v>
      </c>
      <c r="AW454" s="338">
        <v>0</v>
      </c>
      <c r="AX454" s="338">
        <v>0</v>
      </c>
    </row>
    <row r="455" spans="1:50" ht="12.75" customHeight="1" x14ac:dyDescent="0.25">
      <c r="A455" s="347" t="s">
        <v>1444</v>
      </c>
      <c r="B455" s="376">
        <v>45301</v>
      </c>
      <c r="C455" s="425" t="s">
        <v>60</v>
      </c>
      <c r="D455" s="333" t="s">
        <v>1340</v>
      </c>
      <c r="E455" s="333"/>
      <c r="F455" s="374" t="s">
        <v>1285</v>
      </c>
      <c r="G455" s="372" t="s">
        <v>1445</v>
      </c>
      <c r="H455" s="333">
        <v>2</v>
      </c>
      <c r="I455" s="333">
        <v>3</v>
      </c>
      <c r="J455" s="333" t="s">
        <v>43</v>
      </c>
      <c r="K455" s="333" t="s">
        <v>32</v>
      </c>
      <c r="L455" s="333"/>
      <c r="M455" s="333"/>
      <c r="N455" s="417"/>
      <c r="O455" s="417"/>
      <c r="P455" s="462">
        <v>45301</v>
      </c>
      <c r="S455" s="373"/>
      <c r="T455" s="373"/>
      <c r="U455" s="373"/>
      <c r="V455" s="373"/>
      <c r="W455" s="475">
        <v>45275</v>
      </c>
      <c r="X455" s="373"/>
      <c r="Y455" s="336"/>
      <c r="Z455" s="373"/>
      <c r="AA455" s="336"/>
      <c r="AB455" s="373" t="s">
        <v>1446</v>
      </c>
      <c r="AD455" s="338"/>
      <c r="AU455" s="338">
        <v>1</v>
      </c>
      <c r="AV455" s="338" t="s">
        <v>1447</v>
      </c>
      <c r="AW455" s="338">
        <v>10</v>
      </c>
      <c r="AX455" s="338">
        <v>5</v>
      </c>
    </row>
    <row r="456" spans="1:50" ht="12.75" customHeight="1" x14ac:dyDescent="0.25">
      <c r="A456" s="347" t="s">
        <v>1448</v>
      </c>
      <c r="B456" s="376">
        <v>45232</v>
      </c>
      <c r="C456" s="425" t="s">
        <v>219</v>
      </c>
      <c r="D456" s="333">
        <v>1216</v>
      </c>
      <c r="E456" s="333" t="s">
        <v>1449</v>
      </c>
      <c r="F456" s="374">
        <v>244168908236</v>
      </c>
      <c r="G456" s="372" t="s">
        <v>1450</v>
      </c>
      <c r="H456" s="372">
        <v>24</v>
      </c>
      <c r="I456" s="372" t="s">
        <v>1451</v>
      </c>
      <c r="J456" s="372" t="s">
        <v>43</v>
      </c>
      <c r="K456" s="333" t="s">
        <v>32</v>
      </c>
      <c r="L456" s="333"/>
      <c r="M456" s="333" t="s">
        <v>33</v>
      </c>
      <c r="N456" s="333"/>
      <c r="O456" s="333"/>
      <c r="P456" s="463">
        <v>45238</v>
      </c>
      <c r="Q456" s="333"/>
      <c r="R456" s="333"/>
      <c r="S456" s="416"/>
      <c r="T456" s="373"/>
      <c r="U456" s="373"/>
      <c r="V456" s="474"/>
      <c r="W456" s="346">
        <v>45267</v>
      </c>
      <c r="X456" s="416">
        <v>24</v>
      </c>
      <c r="Y456" s="336">
        <f t="shared" ref="Y456:Y519" ca="1" si="12">IF(P456="","",IF(W456="",TODAY()-P456,W456-P456))</f>
        <v>29</v>
      </c>
      <c r="Z456" s="373"/>
      <c r="AA456" s="336"/>
      <c r="AB456" s="373"/>
      <c r="AD456" s="338"/>
      <c r="AU456" s="338">
        <v>1</v>
      </c>
      <c r="AW456" s="338">
        <v>5</v>
      </c>
      <c r="AX456" s="338">
        <v>1</v>
      </c>
    </row>
    <row r="457" spans="1:50" ht="12.75" customHeight="1" x14ac:dyDescent="0.25">
      <c r="A457" s="347" t="s">
        <v>1452</v>
      </c>
      <c r="B457" s="376">
        <v>45251</v>
      </c>
      <c r="C457" s="425" t="s">
        <v>60</v>
      </c>
      <c r="D457" s="333" t="s">
        <v>1453</v>
      </c>
      <c r="E457" s="333" t="s">
        <v>1454</v>
      </c>
      <c r="F457" s="374" t="s">
        <v>1455</v>
      </c>
      <c r="G457" s="372" t="s">
        <v>1456</v>
      </c>
      <c r="H457" s="333">
        <v>24</v>
      </c>
      <c r="I457" s="333">
        <v>2</v>
      </c>
      <c r="J457" s="333" t="s">
        <v>46</v>
      </c>
      <c r="K457" s="333" t="s">
        <v>32</v>
      </c>
      <c r="L457" s="333"/>
      <c r="M457" s="333"/>
      <c r="N457" s="333"/>
      <c r="O457" s="333"/>
      <c r="P457" s="462"/>
      <c r="S457" s="373"/>
      <c r="T457" s="373"/>
      <c r="U457" s="373"/>
      <c r="V457" s="373"/>
      <c r="W457" s="476"/>
      <c r="X457" s="373"/>
      <c r="Y457" s="336" t="str">
        <f t="shared" ca="1" si="12"/>
        <v/>
      </c>
      <c r="Z457" s="373"/>
      <c r="AA457" s="336"/>
      <c r="AB457" s="373"/>
      <c r="AD457" s="338"/>
      <c r="AU457" s="338">
        <v>1</v>
      </c>
      <c r="AW457" s="338">
        <v>5</v>
      </c>
      <c r="AX457" s="338">
        <v>2</v>
      </c>
    </row>
    <row r="458" spans="1:50" ht="12.75" customHeight="1" x14ac:dyDescent="0.25">
      <c r="A458" s="347" t="s">
        <v>1457</v>
      </c>
      <c r="B458" s="376">
        <v>45240</v>
      </c>
      <c r="C458" s="425" t="s">
        <v>60</v>
      </c>
      <c r="D458" s="333" t="s">
        <v>1453</v>
      </c>
      <c r="E458" s="333"/>
      <c r="F458" s="374">
        <v>5516</v>
      </c>
      <c r="G458" s="372" t="s">
        <v>1149</v>
      </c>
      <c r="H458" s="333">
        <v>54</v>
      </c>
      <c r="I458" s="333">
        <v>2</v>
      </c>
      <c r="J458" s="333" t="s">
        <v>46</v>
      </c>
      <c r="K458" s="333" t="s">
        <v>32</v>
      </c>
      <c r="L458" s="333"/>
      <c r="M458" s="333"/>
      <c r="N458" s="333"/>
      <c r="O458" s="333"/>
      <c r="P458" s="462"/>
      <c r="S458" s="373"/>
      <c r="T458" s="373"/>
      <c r="U458" s="373"/>
      <c r="V458" s="373"/>
      <c r="W458" s="472"/>
      <c r="X458" s="373"/>
      <c r="Y458" s="336" t="str">
        <f t="shared" ca="1" si="12"/>
        <v/>
      </c>
      <c r="Z458" s="373"/>
      <c r="AA458" s="336"/>
      <c r="AB458" s="373"/>
      <c r="AD458" s="338"/>
      <c r="AU458" s="338">
        <v>1</v>
      </c>
      <c r="AW458" s="338">
        <v>1</v>
      </c>
      <c r="AX458" s="338">
        <v>3</v>
      </c>
    </row>
    <row r="459" spans="1:50" ht="12.75" customHeight="1" x14ac:dyDescent="0.25">
      <c r="A459" s="347" t="s">
        <v>1458</v>
      </c>
      <c r="B459" s="376">
        <v>45240</v>
      </c>
      <c r="C459" s="425" t="s">
        <v>60</v>
      </c>
      <c r="D459" s="333" t="s">
        <v>1453</v>
      </c>
      <c r="E459" s="333"/>
      <c r="F459" s="374">
        <v>5717</v>
      </c>
      <c r="G459" s="372" t="s">
        <v>1151</v>
      </c>
      <c r="H459" s="333">
        <v>32</v>
      </c>
      <c r="I459" s="333">
        <v>2</v>
      </c>
      <c r="J459" s="333" t="s">
        <v>46</v>
      </c>
      <c r="K459" s="333" t="s">
        <v>32</v>
      </c>
      <c r="L459" s="333"/>
      <c r="M459" s="333"/>
      <c r="N459" s="333"/>
      <c r="O459" s="333"/>
      <c r="P459" s="462"/>
      <c r="S459" s="373"/>
      <c r="T459" s="373"/>
      <c r="U459" s="373"/>
      <c r="V459" s="373"/>
      <c r="W459" s="472"/>
      <c r="X459" s="373"/>
      <c r="Y459" s="336" t="str">
        <f t="shared" ca="1" si="12"/>
        <v/>
      </c>
      <c r="Z459" s="373"/>
      <c r="AA459" s="336"/>
      <c r="AB459" s="373"/>
      <c r="AD459" s="338"/>
    </row>
    <row r="460" spans="1:50" ht="12.75" customHeight="1" x14ac:dyDescent="0.25">
      <c r="A460" s="347" t="s">
        <v>1459</v>
      </c>
      <c r="B460" s="376">
        <v>45240</v>
      </c>
      <c r="C460" s="425" t="s">
        <v>60</v>
      </c>
      <c r="D460" s="333" t="s">
        <v>1453</v>
      </c>
      <c r="E460" s="333"/>
      <c r="F460" s="374">
        <v>5721</v>
      </c>
      <c r="G460" s="372" t="s">
        <v>1151</v>
      </c>
      <c r="H460" s="333">
        <v>32</v>
      </c>
      <c r="I460" s="333">
        <v>2</v>
      </c>
      <c r="J460" s="333" t="s">
        <v>46</v>
      </c>
      <c r="K460" s="333" t="s">
        <v>32</v>
      </c>
      <c r="L460" s="333"/>
      <c r="M460" s="333"/>
      <c r="N460" s="333"/>
      <c r="O460" s="333"/>
      <c r="P460" s="462"/>
      <c r="S460" s="373"/>
      <c r="T460" s="373"/>
      <c r="U460" s="373"/>
      <c r="V460" s="373"/>
      <c r="W460" s="472"/>
      <c r="X460" s="373"/>
      <c r="Y460" s="336" t="str">
        <f t="shared" ca="1" si="12"/>
        <v/>
      </c>
      <c r="Z460" s="373"/>
      <c r="AA460" s="336"/>
      <c r="AB460" s="373"/>
      <c r="AD460" s="338"/>
    </row>
    <row r="461" spans="1:50" ht="12.75" customHeight="1" x14ac:dyDescent="0.25">
      <c r="A461" s="347" t="s">
        <v>1460</v>
      </c>
      <c r="B461" s="376">
        <v>45240</v>
      </c>
      <c r="C461" s="425" t="s">
        <v>60</v>
      </c>
      <c r="D461" s="333" t="s">
        <v>1453</v>
      </c>
      <c r="E461" s="333"/>
      <c r="F461" s="374" t="s">
        <v>33</v>
      </c>
      <c r="G461" s="372" t="s">
        <v>1461</v>
      </c>
      <c r="H461" s="333">
        <v>16</v>
      </c>
      <c r="I461" s="333">
        <v>2</v>
      </c>
      <c r="J461" s="333" t="s">
        <v>46</v>
      </c>
      <c r="K461" s="333" t="s">
        <v>32</v>
      </c>
      <c r="L461" s="333"/>
      <c r="M461" s="333"/>
      <c r="N461" s="333"/>
      <c r="O461" s="333"/>
      <c r="P461" s="462"/>
      <c r="S461" s="373"/>
      <c r="T461" s="373"/>
      <c r="U461" s="373"/>
      <c r="V461" s="373"/>
      <c r="W461" s="472"/>
      <c r="X461" s="373"/>
      <c r="Y461" s="336" t="str">
        <f t="shared" ca="1" si="12"/>
        <v/>
      </c>
      <c r="Z461" s="373"/>
      <c r="AA461" s="336"/>
      <c r="AB461" s="373"/>
      <c r="AD461" s="338"/>
    </row>
    <row r="462" spans="1:50" ht="12.75" customHeight="1" x14ac:dyDescent="0.25">
      <c r="A462" s="347" t="s">
        <v>1462</v>
      </c>
      <c r="B462" s="376">
        <v>45252</v>
      </c>
      <c r="C462" s="425" t="s">
        <v>60</v>
      </c>
      <c r="D462" s="333" t="s">
        <v>1453</v>
      </c>
      <c r="E462" s="333" t="s">
        <v>33</v>
      </c>
      <c r="F462" s="374" t="s">
        <v>1463</v>
      </c>
      <c r="G462" s="372" t="s">
        <v>1464</v>
      </c>
      <c r="H462" s="333">
        <v>1</v>
      </c>
      <c r="I462" s="333">
        <v>2</v>
      </c>
      <c r="J462" s="333" t="s">
        <v>43</v>
      </c>
      <c r="K462" s="333" t="s">
        <v>32</v>
      </c>
      <c r="L462" s="333"/>
      <c r="M462" s="333"/>
      <c r="N462" s="333"/>
      <c r="O462" s="333"/>
      <c r="P462" s="462">
        <v>45252</v>
      </c>
      <c r="S462" s="373"/>
      <c r="T462" s="373"/>
      <c r="U462" s="373"/>
      <c r="V462" s="373"/>
      <c r="W462" s="472">
        <v>45299</v>
      </c>
      <c r="X462" s="373">
        <v>1</v>
      </c>
      <c r="Y462" s="336">
        <f t="shared" ca="1" si="12"/>
        <v>47</v>
      </c>
      <c r="Z462" s="373"/>
      <c r="AA462" s="336"/>
      <c r="AB462" s="373" t="s">
        <v>1465</v>
      </c>
      <c r="AD462" s="338"/>
    </row>
    <row r="463" spans="1:50" ht="12.75" customHeight="1" x14ac:dyDescent="0.25">
      <c r="A463" s="347" t="s">
        <v>1466</v>
      </c>
      <c r="B463" s="376">
        <v>45252</v>
      </c>
      <c r="C463" s="425" t="s">
        <v>60</v>
      </c>
      <c r="D463" s="333" t="s">
        <v>1453</v>
      </c>
      <c r="E463" s="333" t="s">
        <v>33</v>
      </c>
      <c r="F463" s="374" t="s">
        <v>1467</v>
      </c>
      <c r="G463" s="372" t="s">
        <v>1468</v>
      </c>
      <c r="H463" s="333">
        <v>6</v>
      </c>
      <c r="I463" s="333">
        <v>2</v>
      </c>
      <c r="J463" s="333" t="s">
        <v>46</v>
      </c>
      <c r="K463" s="333" t="s">
        <v>32</v>
      </c>
      <c r="L463" s="333"/>
      <c r="M463" s="333"/>
      <c r="N463" s="333"/>
      <c r="O463" s="333"/>
      <c r="P463" s="462">
        <v>45252</v>
      </c>
      <c r="S463" s="373"/>
      <c r="T463" s="373"/>
      <c r="U463" s="373"/>
      <c r="V463" s="373"/>
      <c r="W463" s="472">
        <v>45299</v>
      </c>
      <c r="X463" s="373">
        <v>6</v>
      </c>
      <c r="Y463" s="336">
        <f t="shared" ca="1" si="12"/>
        <v>47</v>
      </c>
      <c r="Z463" s="373"/>
      <c r="AA463" s="336"/>
      <c r="AB463" s="373" t="s">
        <v>1469</v>
      </c>
      <c r="AD463" s="338"/>
    </row>
    <row r="464" spans="1:50" ht="12.75" customHeight="1" x14ac:dyDescent="0.25">
      <c r="A464" s="347" t="s">
        <v>1470</v>
      </c>
      <c r="B464" s="376">
        <v>45253</v>
      </c>
      <c r="C464" s="425" t="s">
        <v>60</v>
      </c>
      <c r="D464" s="333" t="s">
        <v>1453</v>
      </c>
      <c r="E464" s="333" t="s">
        <v>1471</v>
      </c>
      <c r="F464" s="374" t="s">
        <v>1472</v>
      </c>
      <c r="G464" s="372" t="s">
        <v>1473</v>
      </c>
      <c r="H464" s="333">
        <v>2</v>
      </c>
      <c r="I464" s="333">
        <v>2</v>
      </c>
      <c r="J464" s="333" t="s">
        <v>46</v>
      </c>
      <c r="K464" s="333" t="s">
        <v>32</v>
      </c>
      <c r="L464" s="333"/>
      <c r="M464" s="333"/>
      <c r="N464" s="333"/>
      <c r="O464" s="333"/>
      <c r="P464" s="462">
        <v>45259</v>
      </c>
      <c r="S464" s="373"/>
      <c r="T464" s="373"/>
      <c r="U464" s="373"/>
      <c r="V464" s="373"/>
      <c r="W464" s="472">
        <v>45299</v>
      </c>
      <c r="X464" s="373">
        <v>2</v>
      </c>
      <c r="Y464" s="336">
        <f t="shared" ca="1" si="12"/>
        <v>40</v>
      </c>
      <c r="Z464" s="373"/>
      <c r="AA464" s="336"/>
      <c r="AB464" s="373" t="s">
        <v>1474</v>
      </c>
      <c r="AD464" s="338"/>
    </row>
    <row r="465" spans="1:28" s="338" customFormat="1" ht="12.75" customHeight="1" x14ac:dyDescent="0.25">
      <c r="A465" s="347" t="s">
        <v>1475</v>
      </c>
      <c r="B465" s="376">
        <v>45253</v>
      </c>
      <c r="C465" s="425" t="s">
        <v>60</v>
      </c>
      <c r="D465" s="333" t="s">
        <v>1453</v>
      </c>
      <c r="E465" s="333" t="s">
        <v>1471</v>
      </c>
      <c r="F465" s="374" t="s">
        <v>1476</v>
      </c>
      <c r="G465" s="372" t="s">
        <v>1477</v>
      </c>
      <c r="H465" s="333">
        <v>6</v>
      </c>
      <c r="I465" s="333">
        <v>2</v>
      </c>
      <c r="J465" s="333" t="s">
        <v>43</v>
      </c>
      <c r="K465" s="333" t="s">
        <v>32</v>
      </c>
      <c r="L465" s="333"/>
      <c r="M465" s="333"/>
      <c r="N465" s="333"/>
      <c r="O465" s="333"/>
      <c r="P465" s="462"/>
      <c r="Q465" s="429"/>
      <c r="R465" s="429"/>
      <c r="S465" s="373"/>
      <c r="T465" s="373"/>
      <c r="U465" s="373"/>
      <c r="V465" s="373"/>
      <c r="W465" s="472"/>
      <c r="X465" s="373"/>
      <c r="Y465" s="336" t="str">
        <f t="shared" ca="1" si="12"/>
        <v/>
      </c>
      <c r="Z465" s="373"/>
      <c r="AA465" s="336"/>
      <c r="AB465" s="373"/>
    </row>
    <row r="466" spans="1:28" s="338" customFormat="1" ht="12.75" customHeight="1" x14ac:dyDescent="0.25">
      <c r="A466" s="347" t="s">
        <v>1478</v>
      </c>
      <c r="B466" s="376">
        <v>45175</v>
      </c>
      <c r="C466" s="425" t="s">
        <v>60</v>
      </c>
      <c r="D466" s="333" t="s">
        <v>1479</v>
      </c>
      <c r="E466" s="333" t="s">
        <v>33</v>
      </c>
      <c r="F466" s="374" t="s">
        <v>1480</v>
      </c>
      <c r="G466" s="372" t="s">
        <v>1481</v>
      </c>
      <c r="H466" s="333">
        <v>4</v>
      </c>
      <c r="I466" s="333">
        <v>319</v>
      </c>
      <c r="J466" s="333" t="s">
        <v>265</v>
      </c>
      <c r="K466" s="333" t="s">
        <v>32</v>
      </c>
      <c r="L466" s="333"/>
      <c r="M466" s="333" t="s">
        <v>33</v>
      </c>
      <c r="N466" s="333"/>
      <c r="O466" s="333"/>
      <c r="P466" s="461">
        <v>45174</v>
      </c>
      <c r="Q466" s="429"/>
      <c r="R466" s="429"/>
      <c r="S466" s="373"/>
      <c r="T466" s="373"/>
      <c r="U466" s="373"/>
      <c r="V466" s="373"/>
      <c r="W466" s="472"/>
      <c r="X466" s="373"/>
      <c r="Y466" s="336">
        <f t="shared" ca="1" si="12"/>
        <v>412</v>
      </c>
      <c r="Z466" s="373"/>
      <c r="AA466" s="336"/>
      <c r="AB466" s="373"/>
    </row>
    <row r="467" spans="1:28" s="338" customFormat="1" ht="12.75" customHeight="1" x14ac:dyDescent="0.25">
      <c r="A467" s="347" t="s">
        <v>1482</v>
      </c>
      <c r="B467" s="376">
        <v>45175</v>
      </c>
      <c r="C467" s="425" t="s">
        <v>60</v>
      </c>
      <c r="D467" s="333" t="s">
        <v>1479</v>
      </c>
      <c r="E467" s="333" t="s">
        <v>1483</v>
      </c>
      <c r="F467" s="374" t="s">
        <v>1484</v>
      </c>
      <c r="G467" s="372" t="s">
        <v>1485</v>
      </c>
      <c r="H467" s="333">
        <v>4</v>
      </c>
      <c r="I467" s="333">
        <v>320</v>
      </c>
      <c r="J467" s="333" t="s">
        <v>43</v>
      </c>
      <c r="K467" s="333" t="s">
        <v>32</v>
      </c>
      <c r="L467" s="333"/>
      <c r="M467" s="333" t="s">
        <v>33</v>
      </c>
      <c r="N467" s="333"/>
      <c r="O467" s="333"/>
      <c r="P467" s="461">
        <v>45174</v>
      </c>
      <c r="Q467" s="429"/>
      <c r="R467" s="429"/>
      <c r="S467" s="373"/>
      <c r="T467" s="373"/>
      <c r="U467" s="373"/>
      <c r="V467" s="373"/>
      <c r="W467" s="472"/>
      <c r="X467" s="373"/>
      <c r="Y467" s="336">
        <f t="shared" ca="1" si="12"/>
        <v>412</v>
      </c>
      <c r="Z467" s="373"/>
      <c r="AA467" s="336"/>
      <c r="AB467" s="373"/>
    </row>
    <row r="468" spans="1:28" s="338" customFormat="1" ht="12.75" customHeight="1" x14ac:dyDescent="0.25">
      <c r="A468" s="347" t="s">
        <v>1486</v>
      </c>
      <c r="B468" s="376">
        <v>45178</v>
      </c>
      <c r="C468" s="425" t="s">
        <v>60</v>
      </c>
      <c r="D468" s="333" t="s">
        <v>1479</v>
      </c>
      <c r="E468" s="333" t="s">
        <v>1487</v>
      </c>
      <c r="F468" s="374" t="s">
        <v>1488</v>
      </c>
      <c r="G468" s="372" t="s">
        <v>1489</v>
      </c>
      <c r="H468" s="333">
        <v>1</v>
      </c>
      <c r="I468" s="333">
        <v>1</v>
      </c>
      <c r="J468" s="333" t="s">
        <v>68</v>
      </c>
      <c r="K468" s="333" t="s">
        <v>69</v>
      </c>
      <c r="L468" s="333"/>
      <c r="M468" s="333"/>
      <c r="N468" s="333"/>
      <c r="O468" s="333"/>
      <c r="P468" s="461">
        <v>45180</v>
      </c>
      <c r="Q468" s="429"/>
      <c r="R468" s="429"/>
      <c r="S468" s="373"/>
      <c r="T468" s="373"/>
      <c r="U468" s="373"/>
      <c r="V468" s="373"/>
      <c r="W468" s="472">
        <v>45387</v>
      </c>
      <c r="X468" s="373">
        <v>1</v>
      </c>
      <c r="Y468" s="336">
        <f t="shared" ca="1" si="12"/>
        <v>207</v>
      </c>
      <c r="Z468" s="373"/>
      <c r="AA468" s="336"/>
      <c r="AB468" s="373"/>
    </row>
    <row r="469" spans="1:28" s="338" customFormat="1" ht="12.75" customHeight="1" x14ac:dyDescent="0.25">
      <c r="A469" s="347" t="s">
        <v>1490</v>
      </c>
      <c r="B469" s="376">
        <v>45204</v>
      </c>
      <c r="C469" s="425" t="s">
        <v>60</v>
      </c>
      <c r="D469" s="333" t="s">
        <v>1479</v>
      </c>
      <c r="E469" s="333" t="s">
        <v>1491</v>
      </c>
      <c r="F469" s="374" t="s">
        <v>1492</v>
      </c>
      <c r="G469" s="372" t="s">
        <v>1493</v>
      </c>
      <c r="H469" s="333">
        <v>16</v>
      </c>
      <c r="I469" s="333" t="s">
        <v>1494</v>
      </c>
      <c r="J469" s="333" t="s">
        <v>68</v>
      </c>
      <c r="K469" s="333" t="s">
        <v>69</v>
      </c>
      <c r="L469" s="333"/>
      <c r="M469" s="333"/>
      <c r="N469" s="333"/>
      <c r="O469" s="333"/>
      <c r="P469" s="461">
        <v>45274</v>
      </c>
      <c r="Q469" s="429"/>
      <c r="R469" s="429"/>
      <c r="S469" s="373"/>
      <c r="T469" s="373"/>
      <c r="U469" s="373"/>
      <c r="V469" s="373"/>
      <c r="W469" s="472">
        <v>45387</v>
      </c>
      <c r="X469" s="373">
        <v>16</v>
      </c>
      <c r="Y469" s="336">
        <f t="shared" ca="1" si="12"/>
        <v>113</v>
      </c>
      <c r="Z469" s="373"/>
      <c r="AA469" s="336"/>
      <c r="AB469" s="373"/>
    </row>
    <row r="470" spans="1:28" s="338" customFormat="1" ht="12.75" customHeight="1" x14ac:dyDescent="0.25">
      <c r="A470" s="347" t="s">
        <v>1495</v>
      </c>
      <c r="B470" s="376">
        <v>45204</v>
      </c>
      <c r="C470" s="425" t="s">
        <v>60</v>
      </c>
      <c r="D470" s="333" t="s">
        <v>1479</v>
      </c>
      <c r="E470" s="333" t="s">
        <v>1496</v>
      </c>
      <c r="F470" s="374" t="s">
        <v>1497</v>
      </c>
      <c r="G470" s="372" t="s">
        <v>1498</v>
      </c>
      <c r="H470" s="333">
        <v>1</v>
      </c>
      <c r="I470" s="333"/>
      <c r="J470" s="333" t="s">
        <v>68</v>
      </c>
      <c r="K470" s="333" t="s">
        <v>69</v>
      </c>
      <c r="L470" s="333"/>
      <c r="M470" s="333"/>
      <c r="N470" s="333"/>
      <c r="O470" s="333"/>
      <c r="P470" s="461">
        <v>45274</v>
      </c>
      <c r="Q470" s="429"/>
      <c r="R470" s="429"/>
      <c r="S470" s="373"/>
      <c r="T470" s="373"/>
      <c r="U470" s="373"/>
      <c r="V470" s="373"/>
      <c r="W470" s="472">
        <v>45387</v>
      </c>
      <c r="X470" s="373">
        <v>1</v>
      </c>
      <c r="Y470" s="336">
        <f t="shared" ca="1" si="12"/>
        <v>113</v>
      </c>
      <c r="Z470" s="373"/>
      <c r="AA470" s="336"/>
      <c r="AB470" s="373"/>
    </row>
    <row r="471" spans="1:28" s="338" customFormat="1" ht="12.75" customHeight="1" x14ac:dyDescent="0.25">
      <c r="A471" s="347" t="s">
        <v>1499</v>
      </c>
      <c r="B471" s="376">
        <v>45208</v>
      </c>
      <c r="C471" s="425" t="s">
        <v>60</v>
      </c>
      <c r="D471" s="333" t="s">
        <v>1479</v>
      </c>
      <c r="E471" s="333" t="s">
        <v>33</v>
      </c>
      <c r="F471" s="374" t="s">
        <v>1500</v>
      </c>
      <c r="G471" s="372" t="s">
        <v>1501</v>
      </c>
      <c r="H471" s="333">
        <v>1</v>
      </c>
      <c r="I471" s="333">
        <v>323</v>
      </c>
      <c r="J471" s="333" t="s">
        <v>31</v>
      </c>
      <c r="K471" s="333" t="s">
        <v>32</v>
      </c>
      <c r="L471" s="333"/>
      <c r="M471" s="333"/>
      <c r="N471" s="333"/>
      <c r="O471" s="333"/>
      <c r="P471" s="461">
        <v>45274</v>
      </c>
      <c r="Q471" s="429"/>
      <c r="R471" s="429"/>
      <c r="S471" s="373"/>
      <c r="T471" s="373"/>
      <c r="U471" s="373"/>
      <c r="V471" s="373"/>
      <c r="W471" s="472"/>
      <c r="X471" s="373"/>
      <c r="Y471" s="336">
        <f t="shared" ca="1" si="12"/>
        <v>312</v>
      </c>
      <c r="Z471" s="373"/>
      <c r="AA471" s="336"/>
      <c r="AB471" s="373"/>
    </row>
    <row r="472" spans="1:28" s="338" customFormat="1" ht="12.75" customHeight="1" x14ac:dyDescent="0.25">
      <c r="A472" s="347" t="s">
        <v>1502</v>
      </c>
      <c r="B472" s="376">
        <v>45179</v>
      </c>
      <c r="C472" s="425" t="s">
        <v>60</v>
      </c>
      <c r="D472" s="333" t="s">
        <v>1479</v>
      </c>
      <c r="E472" s="333" t="s">
        <v>33</v>
      </c>
      <c r="F472" s="374" t="s">
        <v>1503</v>
      </c>
      <c r="G472" s="372" t="s">
        <v>1504</v>
      </c>
      <c r="H472" s="333">
        <v>12</v>
      </c>
      <c r="I472" s="398">
        <v>323321322323</v>
      </c>
      <c r="J472" s="333" t="s">
        <v>43</v>
      </c>
      <c r="K472" s="333" t="s">
        <v>32</v>
      </c>
      <c r="L472" s="333"/>
      <c r="M472" s="333"/>
      <c r="N472" s="333"/>
      <c r="O472" s="333"/>
      <c r="P472" s="461">
        <v>45274</v>
      </c>
      <c r="Q472" s="429"/>
      <c r="R472" s="429"/>
      <c r="S472" s="373"/>
      <c r="T472" s="373"/>
      <c r="U472" s="373"/>
      <c r="V472" s="373"/>
      <c r="W472" s="472"/>
      <c r="X472" s="373"/>
      <c r="Y472" s="336">
        <f t="shared" ca="1" si="12"/>
        <v>312</v>
      </c>
      <c r="Z472" s="373"/>
      <c r="AA472" s="336"/>
      <c r="AB472" s="373"/>
    </row>
    <row r="473" spans="1:28" s="338" customFormat="1" ht="12.75" customHeight="1" x14ac:dyDescent="0.25">
      <c r="A473" s="347" t="s">
        <v>1505</v>
      </c>
      <c r="B473" s="376">
        <v>45232</v>
      </c>
      <c r="C473" s="425" t="s">
        <v>35</v>
      </c>
      <c r="D473" s="333" t="s">
        <v>1506</v>
      </c>
      <c r="E473" s="333"/>
      <c r="F473" s="374" t="s">
        <v>1507</v>
      </c>
      <c r="G473" s="372" t="s">
        <v>1161</v>
      </c>
      <c r="H473" s="333">
        <v>4</v>
      </c>
      <c r="I473" s="333"/>
      <c r="J473" s="333" t="s">
        <v>102</v>
      </c>
      <c r="K473" s="333" t="s">
        <v>69</v>
      </c>
      <c r="L473" s="333"/>
      <c r="M473" s="333" t="s">
        <v>1508</v>
      </c>
      <c r="N473" s="417"/>
      <c r="O473" s="417">
        <v>5426.16</v>
      </c>
      <c r="P473" s="462">
        <v>45232</v>
      </c>
      <c r="Q473" s="429"/>
      <c r="R473" s="429"/>
      <c r="S473" s="373"/>
      <c r="T473" s="373"/>
      <c r="U473" s="373"/>
      <c r="V473" s="373"/>
      <c r="W473" s="472">
        <v>45303</v>
      </c>
      <c r="X473" s="373"/>
      <c r="Y473" s="336">
        <f t="shared" ca="1" si="12"/>
        <v>71</v>
      </c>
      <c r="Z473" s="373"/>
      <c r="AA473" s="336"/>
      <c r="AB473" s="373"/>
    </row>
    <row r="474" spans="1:28" s="338" customFormat="1" ht="12.75" customHeight="1" x14ac:dyDescent="0.25">
      <c r="A474" s="347" t="s">
        <v>1509</v>
      </c>
      <c r="B474" s="376">
        <v>45232</v>
      </c>
      <c r="C474" s="425" t="s">
        <v>35</v>
      </c>
      <c r="D474" s="333" t="s">
        <v>1506</v>
      </c>
      <c r="E474" s="333"/>
      <c r="F474" s="374" t="s">
        <v>1510</v>
      </c>
      <c r="G474" s="372" t="s">
        <v>1511</v>
      </c>
      <c r="H474" s="333">
        <v>24</v>
      </c>
      <c r="I474" s="333"/>
      <c r="J474" s="333" t="s">
        <v>102</v>
      </c>
      <c r="K474" s="333" t="s">
        <v>69</v>
      </c>
      <c r="L474" s="333"/>
      <c r="M474" s="333" t="s">
        <v>1508</v>
      </c>
      <c r="N474" s="417"/>
      <c r="O474" s="417">
        <v>10015.68</v>
      </c>
      <c r="P474" s="462">
        <v>45232</v>
      </c>
      <c r="Q474" s="429"/>
      <c r="R474" s="429"/>
      <c r="S474" s="373"/>
      <c r="T474" s="373"/>
      <c r="U474" s="373"/>
      <c r="V474" s="373"/>
      <c r="W474" s="472"/>
      <c r="X474" s="373"/>
      <c r="Y474" s="336">
        <f t="shared" ca="1" si="12"/>
        <v>354</v>
      </c>
      <c r="Z474" s="373"/>
      <c r="AA474" s="336"/>
      <c r="AB474" s="373"/>
    </row>
    <row r="475" spans="1:28" s="338" customFormat="1" ht="12.75" customHeight="1" x14ac:dyDescent="0.25">
      <c r="A475" s="347" t="s">
        <v>1512</v>
      </c>
      <c r="B475" s="376">
        <v>45232</v>
      </c>
      <c r="C475" s="425" t="s">
        <v>35</v>
      </c>
      <c r="D475" s="333" t="s">
        <v>1506</v>
      </c>
      <c r="E475" s="333"/>
      <c r="F475" s="374" t="s">
        <v>1168</v>
      </c>
      <c r="G475" s="372" t="s">
        <v>1169</v>
      </c>
      <c r="H475" s="333">
        <v>1</v>
      </c>
      <c r="I475" s="333"/>
      <c r="J475" s="333" t="s">
        <v>102</v>
      </c>
      <c r="K475" s="333" t="s">
        <v>69</v>
      </c>
      <c r="L475" s="333"/>
      <c r="M475" s="333" t="s">
        <v>1508</v>
      </c>
      <c r="N475" s="417"/>
      <c r="O475" s="417">
        <v>20761.669999999998</v>
      </c>
      <c r="P475" s="462">
        <v>45232</v>
      </c>
      <c r="Q475" s="429"/>
      <c r="R475" s="429"/>
      <c r="S475" s="373"/>
      <c r="T475" s="373"/>
      <c r="U475" s="373"/>
      <c r="V475" s="373"/>
      <c r="W475" s="472">
        <v>45303</v>
      </c>
      <c r="X475" s="373"/>
      <c r="Y475" s="336">
        <f t="shared" ca="1" si="12"/>
        <v>71</v>
      </c>
      <c r="Z475" s="373"/>
      <c r="AA475" s="336"/>
      <c r="AB475" s="373"/>
    </row>
    <row r="476" spans="1:28" s="338" customFormat="1" ht="12.75" customHeight="1" x14ac:dyDescent="0.25">
      <c r="A476" s="347" t="s">
        <v>1513</v>
      </c>
      <c r="B476" s="376">
        <v>45232</v>
      </c>
      <c r="C476" s="425" t="s">
        <v>35</v>
      </c>
      <c r="D476" s="333" t="s">
        <v>1506</v>
      </c>
      <c r="E476" s="333"/>
      <c r="F476" s="374" t="s">
        <v>1171</v>
      </c>
      <c r="G476" s="372" t="s">
        <v>1172</v>
      </c>
      <c r="H476" s="333">
        <v>2</v>
      </c>
      <c r="I476" s="333"/>
      <c r="J476" s="333" t="s">
        <v>102</v>
      </c>
      <c r="K476" s="333" t="s">
        <v>69</v>
      </c>
      <c r="L476" s="333"/>
      <c r="M476" s="333" t="s">
        <v>1508</v>
      </c>
      <c r="N476" s="417"/>
      <c r="O476" s="417">
        <v>2921.24</v>
      </c>
      <c r="P476" s="462">
        <v>45232</v>
      </c>
      <c r="Q476" s="429"/>
      <c r="R476" s="429"/>
      <c r="S476" s="373"/>
      <c r="T476" s="373"/>
      <c r="U476" s="373"/>
      <c r="V476" s="373"/>
      <c r="W476" s="472">
        <v>45303</v>
      </c>
      <c r="X476" s="373"/>
      <c r="Y476" s="336">
        <f t="shared" ca="1" si="12"/>
        <v>71</v>
      </c>
      <c r="Z476" s="373"/>
      <c r="AA476" s="336"/>
      <c r="AB476" s="373"/>
    </row>
    <row r="477" spans="1:28" s="338" customFormat="1" ht="12.75" customHeight="1" x14ac:dyDescent="0.25">
      <c r="A477" s="347" t="s">
        <v>1514</v>
      </c>
      <c r="B477" s="376">
        <v>45232</v>
      </c>
      <c r="C477" s="425" t="s">
        <v>35</v>
      </c>
      <c r="D477" s="333" t="s">
        <v>1506</v>
      </c>
      <c r="E477" s="333"/>
      <c r="F477" s="374" t="s">
        <v>1174</v>
      </c>
      <c r="G477" s="372" t="s">
        <v>1175</v>
      </c>
      <c r="H477" s="333">
        <v>1</v>
      </c>
      <c r="I477" s="333"/>
      <c r="J477" s="333" t="s">
        <v>102</v>
      </c>
      <c r="K477" s="333" t="s">
        <v>69</v>
      </c>
      <c r="L477" s="333"/>
      <c r="M477" s="333" t="s">
        <v>1508</v>
      </c>
      <c r="N477" s="417"/>
      <c r="O477" s="417">
        <v>521.65</v>
      </c>
      <c r="P477" s="462">
        <v>45232</v>
      </c>
      <c r="Q477" s="429"/>
      <c r="R477" s="429"/>
      <c r="S477" s="373"/>
      <c r="T477" s="373"/>
      <c r="U477" s="373"/>
      <c r="V477" s="373"/>
      <c r="W477" s="472">
        <v>45303</v>
      </c>
      <c r="X477" s="373"/>
      <c r="Y477" s="336">
        <f t="shared" ca="1" si="12"/>
        <v>71</v>
      </c>
      <c r="Z477" s="373"/>
      <c r="AA477" s="336"/>
      <c r="AB477" s="373"/>
    </row>
    <row r="478" spans="1:28" s="338" customFormat="1" ht="12.75" customHeight="1" x14ac:dyDescent="0.25">
      <c r="A478" s="347" t="s">
        <v>1515</v>
      </c>
      <c r="B478" s="376">
        <v>45232</v>
      </c>
      <c r="C478" s="425" t="s">
        <v>35</v>
      </c>
      <c r="D478" s="333" t="s">
        <v>1506</v>
      </c>
      <c r="E478" s="333"/>
      <c r="F478" s="374" t="s">
        <v>1177</v>
      </c>
      <c r="G478" s="372" t="s">
        <v>1178</v>
      </c>
      <c r="H478" s="333">
        <v>2</v>
      </c>
      <c r="I478" s="333"/>
      <c r="J478" s="333" t="s">
        <v>102</v>
      </c>
      <c r="K478" s="333" t="s">
        <v>69</v>
      </c>
      <c r="L478" s="333"/>
      <c r="M478" s="333" t="s">
        <v>1508</v>
      </c>
      <c r="N478" s="417"/>
      <c r="O478" s="417">
        <v>834.64</v>
      </c>
      <c r="P478" s="462">
        <v>45232</v>
      </c>
      <c r="Q478" s="429"/>
      <c r="R478" s="429"/>
      <c r="S478" s="373"/>
      <c r="T478" s="373"/>
      <c r="U478" s="373"/>
      <c r="V478" s="373"/>
      <c r="W478" s="472">
        <v>45303</v>
      </c>
      <c r="X478" s="373"/>
      <c r="Y478" s="336">
        <f t="shared" ca="1" si="12"/>
        <v>71</v>
      </c>
      <c r="Z478" s="373"/>
      <c r="AA478" s="336"/>
      <c r="AB478" s="373"/>
    </row>
    <row r="479" spans="1:28" s="338" customFormat="1" ht="12.75" customHeight="1" x14ac:dyDescent="0.25">
      <c r="A479" s="347" t="s">
        <v>1516</v>
      </c>
      <c r="B479" s="376">
        <v>45232</v>
      </c>
      <c r="C479" s="425" t="s">
        <v>35</v>
      </c>
      <c r="D479" s="333" t="s">
        <v>1506</v>
      </c>
      <c r="E479" s="333"/>
      <c r="F479" s="374" t="s">
        <v>1180</v>
      </c>
      <c r="G479" s="372" t="s">
        <v>1181</v>
      </c>
      <c r="H479" s="333">
        <v>2</v>
      </c>
      <c r="I479" s="333"/>
      <c r="J479" s="333" t="s">
        <v>102</v>
      </c>
      <c r="K479" s="333" t="s">
        <v>69</v>
      </c>
      <c r="L479" s="333"/>
      <c r="M479" s="333" t="s">
        <v>1508</v>
      </c>
      <c r="N479" s="417"/>
      <c r="O479" s="417">
        <v>208.66</v>
      </c>
      <c r="P479" s="462">
        <v>45232</v>
      </c>
      <c r="Q479" s="429"/>
      <c r="R479" s="429"/>
      <c r="S479" s="373"/>
      <c r="T479" s="373"/>
      <c r="U479" s="373"/>
      <c r="V479" s="373"/>
      <c r="W479" s="472"/>
      <c r="X479" s="373"/>
      <c r="Y479" s="336">
        <f t="shared" ca="1" si="12"/>
        <v>354</v>
      </c>
      <c r="Z479" s="373"/>
      <c r="AA479" s="336"/>
      <c r="AB479" s="373"/>
    </row>
    <row r="480" spans="1:28" s="338" customFormat="1" ht="12.75" customHeight="1" x14ac:dyDescent="0.25">
      <c r="A480" s="347" t="s">
        <v>1517</v>
      </c>
      <c r="B480" s="376">
        <v>45232</v>
      </c>
      <c r="C480" s="425" t="s">
        <v>35</v>
      </c>
      <c r="D480" s="333" t="s">
        <v>1506</v>
      </c>
      <c r="E480" s="333"/>
      <c r="F480" s="374" t="s">
        <v>1183</v>
      </c>
      <c r="G480" s="372" t="s">
        <v>1184</v>
      </c>
      <c r="H480" s="333">
        <v>1</v>
      </c>
      <c r="I480" s="333"/>
      <c r="J480" s="333" t="s">
        <v>102</v>
      </c>
      <c r="K480" s="333" t="s">
        <v>69</v>
      </c>
      <c r="L480" s="333"/>
      <c r="M480" s="333" t="s">
        <v>1508</v>
      </c>
      <c r="N480" s="417"/>
      <c r="O480" s="417">
        <v>10745.99</v>
      </c>
      <c r="P480" s="462">
        <v>45232</v>
      </c>
      <c r="Q480" s="429"/>
      <c r="R480" s="429"/>
      <c r="S480" s="373"/>
      <c r="T480" s="373"/>
      <c r="U480" s="373"/>
      <c r="V480" s="373"/>
      <c r="W480" s="472">
        <v>45303</v>
      </c>
      <c r="X480" s="373"/>
      <c r="Y480" s="336">
        <f t="shared" ca="1" si="12"/>
        <v>71</v>
      </c>
      <c r="Z480" s="373"/>
      <c r="AA480" s="336"/>
      <c r="AB480" s="373"/>
    </row>
    <row r="481" spans="1:28" s="338" customFormat="1" ht="12.75" customHeight="1" x14ac:dyDescent="0.25">
      <c r="A481" s="347" t="s">
        <v>1518</v>
      </c>
      <c r="B481" s="376">
        <v>45232</v>
      </c>
      <c r="C481" s="425" t="s">
        <v>35</v>
      </c>
      <c r="D481" s="333" t="s">
        <v>1506</v>
      </c>
      <c r="E481" s="333"/>
      <c r="F481" s="374">
        <v>8.1579999999999998E+34</v>
      </c>
      <c r="G481" s="372" t="s">
        <v>1186</v>
      </c>
      <c r="H481" s="333">
        <v>2</v>
      </c>
      <c r="I481" s="333"/>
      <c r="J481" s="333" t="s">
        <v>102</v>
      </c>
      <c r="K481" s="333" t="s">
        <v>69</v>
      </c>
      <c r="L481" s="333"/>
      <c r="M481" s="333" t="s">
        <v>1508</v>
      </c>
      <c r="N481" s="417"/>
      <c r="O481" s="417">
        <v>1669.28</v>
      </c>
      <c r="P481" s="462">
        <v>45232</v>
      </c>
      <c r="Q481" s="429"/>
      <c r="R481" s="429"/>
      <c r="S481" s="373"/>
      <c r="T481" s="373"/>
      <c r="U481" s="373"/>
      <c r="V481" s="373"/>
      <c r="W481" s="472" t="s">
        <v>1164</v>
      </c>
      <c r="X481" s="373"/>
      <c r="Y481" s="336">
        <f t="shared" ca="1" si="12"/>
        <v>354</v>
      </c>
      <c r="Z481" s="373"/>
      <c r="AA481" s="336"/>
      <c r="AB481" s="373"/>
    </row>
    <row r="482" spans="1:28" s="338" customFormat="1" ht="12.75" customHeight="1" x14ac:dyDescent="0.25">
      <c r="A482" s="347" t="s">
        <v>1519</v>
      </c>
      <c r="B482" s="376">
        <v>45232</v>
      </c>
      <c r="C482" s="425" t="s">
        <v>35</v>
      </c>
      <c r="D482" s="333" t="s">
        <v>1506</v>
      </c>
      <c r="E482" s="333"/>
      <c r="F482" s="374" t="s">
        <v>1188</v>
      </c>
      <c r="G482" s="372" t="s">
        <v>1189</v>
      </c>
      <c r="H482" s="333">
        <v>16</v>
      </c>
      <c r="I482" s="333"/>
      <c r="J482" s="333" t="s">
        <v>102</v>
      </c>
      <c r="K482" s="333" t="s">
        <v>69</v>
      </c>
      <c r="L482" s="333"/>
      <c r="M482" s="333" t="s">
        <v>1508</v>
      </c>
      <c r="N482" s="417"/>
      <c r="O482" s="417">
        <v>1669.28</v>
      </c>
      <c r="P482" s="462">
        <v>45232</v>
      </c>
      <c r="Q482" s="429"/>
      <c r="R482" s="429"/>
      <c r="S482" s="373"/>
      <c r="T482" s="373"/>
      <c r="U482" s="373"/>
      <c r="V482" s="373"/>
      <c r="W482" s="472">
        <v>45303</v>
      </c>
      <c r="X482" s="373"/>
      <c r="Y482" s="336">
        <f t="shared" ca="1" si="12"/>
        <v>71</v>
      </c>
      <c r="Z482" s="373"/>
      <c r="AA482" s="336"/>
      <c r="AB482" s="373"/>
    </row>
    <row r="483" spans="1:28" s="338" customFormat="1" ht="12.75" customHeight="1" x14ac:dyDescent="0.25">
      <c r="A483" s="347" t="s">
        <v>1520</v>
      </c>
      <c r="B483" s="376">
        <v>45232</v>
      </c>
      <c r="C483" s="425" t="s">
        <v>35</v>
      </c>
      <c r="D483" s="333" t="s">
        <v>1506</v>
      </c>
      <c r="E483" s="333"/>
      <c r="F483" s="374" t="s">
        <v>1191</v>
      </c>
      <c r="G483" s="372" t="s">
        <v>1192</v>
      </c>
      <c r="H483" s="333">
        <v>2</v>
      </c>
      <c r="I483" s="333"/>
      <c r="J483" s="333" t="s">
        <v>102</v>
      </c>
      <c r="K483" s="333" t="s">
        <v>69</v>
      </c>
      <c r="L483" s="333"/>
      <c r="M483" s="333" t="s">
        <v>1508</v>
      </c>
      <c r="N483" s="417"/>
      <c r="O483" s="417">
        <v>417.32</v>
      </c>
      <c r="P483" s="462">
        <v>45232</v>
      </c>
      <c r="Q483" s="429"/>
      <c r="R483" s="429"/>
      <c r="S483" s="373"/>
      <c r="T483" s="373"/>
      <c r="U483" s="373"/>
      <c r="V483" s="373"/>
      <c r="W483" s="472">
        <v>45191</v>
      </c>
      <c r="X483" s="373"/>
      <c r="Y483" s="336">
        <f t="shared" ca="1" si="12"/>
        <v>-41</v>
      </c>
      <c r="Z483" s="373"/>
      <c r="AA483" s="336"/>
      <c r="AB483" s="373"/>
    </row>
    <row r="484" spans="1:28" s="338" customFormat="1" ht="12.75" customHeight="1" x14ac:dyDescent="0.25">
      <c r="A484" s="347" t="s">
        <v>1521</v>
      </c>
      <c r="B484" s="376">
        <v>45232</v>
      </c>
      <c r="C484" s="425" t="s">
        <v>35</v>
      </c>
      <c r="D484" s="333" t="s">
        <v>1506</v>
      </c>
      <c r="E484" s="333"/>
      <c r="F484" s="374" t="s">
        <v>1194</v>
      </c>
      <c r="G484" s="372" t="s">
        <v>1195</v>
      </c>
      <c r="H484" s="333">
        <v>1</v>
      </c>
      <c r="I484" s="333"/>
      <c r="J484" s="333" t="s">
        <v>102</v>
      </c>
      <c r="K484" s="333" t="s">
        <v>69</v>
      </c>
      <c r="L484" s="333"/>
      <c r="M484" s="333" t="s">
        <v>1508</v>
      </c>
      <c r="N484" s="417"/>
      <c r="O484" s="417">
        <v>3025.57</v>
      </c>
      <c r="P484" s="462">
        <v>45232</v>
      </c>
      <c r="Q484" s="429"/>
      <c r="R484" s="429"/>
      <c r="S484" s="373"/>
      <c r="T484" s="373"/>
      <c r="U484" s="373"/>
      <c r="V484" s="373"/>
      <c r="W484" s="472" t="s">
        <v>1164</v>
      </c>
      <c r="X484" s="373"/>
      <c r="Y484" s="336">
        <f t="shared" ca="1" si="12"/>
        <v>354</v>
      </c>
      <c r="Z484" s="373"/>
      <c r="AA484" s="336"/>
      <c r="AB484" s="373"/>
    </row>
    <row r="485" spans="1:28" s="338" customFormat="1" ht="12.75" customHeight="1" x14ac:dyDescent="0.25">
      <c r="A485" s="347" t="s">
        <v>1522</v>
      </c>
      <c r="B485" s="376">
        <v>45232</v>
      </c>
      <c r="C485" s="425" t="s">
        <v>35</v>
      </c>
      <c r="D485" s="333" t="s">
        <v>1506</v>
      </c>
      <c r="E485" s="333"/>
      <c r="F485" s="374" t="s">
        <v>1197</v>
      </c>
      <c r="G485" s="372" t="s">
        <v>1198</v>
      </c>
      <c r="H485" s="333">
        <v>1</v>
      </c>
      <c r="I485" s="333"/>
      <c r="J485" s="333" t="s">
        <v>102</v>
      </c>
      <c r="K485" s="333" t="s">
        <v>69</v>
      </c>
      <c r="L485" s="333"/>
      <c r="M485" s="333" t="s">
        <v>1508</v>
      </c>
      <c r="N485" s="417"/>
      <c r="O485" s="417">
        <v>834.64</v>
      </c>
      <c r="P485" s="462">
        <v>45232</v>
      </c>
      <c r="Q485" s="429"/>
      <c r="R485" s="429"/>
      <c r="S485" s="373"/>
      <c r="T485" s="373"/>
      <c r="U485" s="373"/>
      <c r="V485" s="373"/>
      <c r="W485" s="472" t="s">
        <v>1164</v>
      </c>
      <c r="X485" s="373"/>
      <c r="Y485" s="336">
        <f t="shared" ca="1" si="12"/>
        <v>354</v>
      </c>
      <c r="Z485" s="373"/>
      <c r="AA485" s="336"/>
      <c r="AB485" s="373"/>
    </row>
    <row r="486" spans="1:28" s="338" customFormat="1" ht="12.75" customHeight="1" x14ac:dyDescent="0.25">
      <c r="A486" s="347" t="s">
        <v>1523</v>
      </c>
      <c r="B486" s="376">
        <v>45232</v>
      </c>
      <c r="C486" s="425" t="s">
        <v>35</v>
      </c>
      <c r="D486" s="333" t="s">
        <v>1506</v>
      </c>
      <c r="E486" s="333"/>
      <c r="F486" s="374" t="s">
        <v>1200</v>
      </c>
      <c r="G486" s="372" t="s">
        <v>1201</v>
      </c>
      <c r="H486" s="333">
        <v>4</v>
      </c>
      <c r="I486" s="333"/>
      <c r="J486" s="333" t="s">
        <v>102</v>
      </c>
      <c r="K486" s="333" t="s">
        <v>69</v>
      </c>
      <c r="L486" s="333"/>
      <c r="M486" s="333" t="s">
        <v>1508</v>
      </c>
      <c r="N486" s="417"/>
      <c r="O486" s="417">
        <v>1669.28</v>
      </c>
      <c r="P486" s="462">
        <v>45232</v>
      </c>
      <c r="Q486" s="429"/>
      <c r="R486" s="429"/>
      <c r="S486" s="373"/>
      <c r="T486" s="373"/>
      <c r="U486" s="373"/>
      <c r="V486" s="373"/>
      <c r="W486" s="472">
        <v>45303</v>
      </c>
      <c r="X486" s="373"/>
      <c r="Y486" s="336">
        <f t="shared" ca="1" si="12"/>
        <v>71</v>
      </c>
      <c r="Z486" s="373"/>
      <c r="AA486" s="336"/>
      <c r="AB486" s="373"/>
    </row>
    <row r="487" spans="1:28" s="338" customFormat="1" ht="12.75" customHeight="1" x14ac:dyDescent="0.25">
      <c r="A487" s="347" t="s">
        <v>1524</v>
      </c>
      <c r="B487" s="376">
        <v>45232</v>
      </c>
      <c r="C487" s="425" t="s">
        <v>35</v>
      </c>
      <c r="D487" s="333" t="s">
        <v>1506</v>
      </c>
      <c r="E487" s="333"/>
      <c r="F487" s="374">
        <v>6.2209999999999999E+34</v>
      </c>
      <c r="G487" s="372" t="s">
        <v>1203</v>
      </c>
      <c r="H487" s="333">
        <v>2</v>
      </c>
      <c r="I487" s="333"/>
      <c r="J487" s="333" t="s">
        <v>102</v>
      </c>
      <c r="K487" s="333" t="s">
        <v>69</v>
      </c>
      <c r="L487" s="333"/>
      <c r="M487" s="333" t="s">
        <v>1508</v>
      </c>
      <c r="N487" s="417"/>
      <c r="O487" s="417">
        <v>6677.12</v>
      </c>
      <c r="P487" s="462">
        <v>45232</v>
      </c>
      <c r="Q487" s="429"/>
      <c r="R487" s="429"/>
      <c r="S487" s="373"/>
      <c r="T487" s="373"/>
      <c r="U487" s="373"/>
      <c r="V487" s="373"/>
      <c r="W487" s="472" t="s">
        <v>1164</v>
      </c>
      <c r="X487" s="373"/>
      <c r="Y487" s="336">
        <f t="shared" ca="1" si="12"/>
        <v>354</v>
      </c>
      <c r="Z487" s="373"/>
      <c r="AA487" s="336"/>
      <c r="AB487" s="373"/>
    </row>
    <row r="488" spans="1:28" s="338" customFormat="1" ht="12.75" customHeight="1" x14ac:dyDescent="0.25">
      <c r="A488" s="347" t="s">
        <v>1525</v>
      </c>
      <c r="B488" s="376">
        <v>45232</v>
      </c>
      <c r="C488" s="425" t="s">
        <v>35</v>
      </c>
      <c r="D488" s="333" t="s">
        <v>1506</v>
      </c>
      <c r="E488" s="333"/>
      <c r="F488" s="374">
        <v>6.2220000000000002E+44</v>
      </c>
      <c r="G488" s="372" t="s">
        <v>1205</v>
      </c>
      <c r="H488" s="333">
        <v>2</v>
      </c>
      <c r="I488" s="333"/>
      <c r="J488" s="333" t="s">
        <v>102</v>
      </c>
      <c r="K488" s="333" t="s">
        <v>69</v>
      </c>
      <c r="L488" s="333"/>
      <c r="M488" s="333" t="s">
        <v>1508</v>
      </c>
      <c r="N488" s="417"/>
      <c r="O488" s="417">
        <v>6677.12</v>
      </c>
      <c r="P488" s="462">
        <v>45232</v>
      </c>
      <c r="Q488" s="429"/>
      <c r="R488" s="429"/>
      <c r="S488" s="373"/>
      <c r="T488" s="373"/>
      <c r="U488" s="373"/>
      <c r="V488" s="373"/>
      <c r="W488" s="472" t="s">
        <v>1164</v>
      </c>
      <c r="X488" s="373"/>
      <c r="Y488" s="336">
        <f t="shared" ca="1" si="12"/>
        <v>354</v>
      </c>
      <c r="Z488" s="373"/>
      <c r="AA488" s="336"/>
      <c r="AB488" s="373"/>
    </row>
    <row r="489" spans="1:28" s="338" customFormat="1" ht="12.75" customHeight="1" x14ac:dyDescent="0.25">
      <c r="A489" s="347" t="s">
        <v>1526</v>
      </c>
      <c r="B489" s="376">
        <v>45232</v>
      </c>
      <c r="C489" s="425" t="s">
        <v>35</v>
      </c>
      <c r="D489" s="333" t="s">
        <v>1506</v>
      </c>
      <c r="E489" s="333"/>
      <c r="F489" s="374" t="s">
        <v>1207</v>
      </c>
      <c r="G489" s="372" t="s">
        <v>1208</v>
      </c>
      <c r="H489" s="333">
        <v>1</v>
      </c>
      <c r="I489" s="333"/>
      <c r="J489" s="333" t="s">
        <v>102</v>
      </c>
      <c r="K489" s="333" t="s">
        <v>69</v>
      </c>
      <c r="L489" s="333"/>
      <c r="M489" s="333" t="s">
        <v>1508</v>
      </c>
      <c r="N489" s="417"/>
      <c r="O489" s="417">
        <v>4694.8500000000004</v>
      </c>
      <c r="P489" s="462">
        <v>45232</v>
      </c>
      <c r="Q489" s="429"/>
      <c r="R489" s="429"/>
      <c r="S489" s="373"/>
      <c r="T489" s="373"/>
      <c r="U489" s="373"/>
      <c r="V489" s="373"/>
      <c r="W489" s="472" t="s">
        <v>1164</v>
      </c>
      <c r="X489" s="373"/>
      <c r="Y489" s="336">
        <f t="shared" ca="1" si="12"/>
        <v>354</v>
      </c>
      <c r="Z489" s="373"/>
      <c r="AA489" s="336"/>
      <c r="AB489" s="373"/>
    </row>
    <row r="490" spans="1:28" s="338" customFormat="1" ht="12.75" customHeight="1" x14ac:dyDescent="0.25">
      <c r="A490" s="347" t="s">
        <v>1527</v>
      </c>
      <c r="B490" s="376">
        <v>45232</v>
      </c>
      <c r="C490" s="425" t="s">
        <v>35</v>
      </c>
      <c r="D490" s="333" t="s">
        <v>1506</v>
      </c>
      <c r="E490" s="333"/>
      <c r="F490" s="374" t="s">
        <v>1210</v>
      </c>
      <c r="G490" s="372" t="s">
        <v>1186</v>
      </c>
      <c r="H490" s="333">
        <v>2</v>
      </c>
      <c r="I490" s="333"/>
      <c r="J490" s="333" t="s">
        <v>102</v>
      </c>
      <c r="K490" s="333" t="s">
        <v>69</v>
      </c>
      <c r="L490" s="333"/>
      <c r="M490" s="333" t="s">
        <v>1508</v>
      </c>
      <c r="N490" s="417"/>
      <c r="O490" s="417">
        <v>1669.28</v>
      </c>
      <c r="P490" s="462">
        <v>45232</v>
      </c>
      <c r="Q490" s="429"/>
      <c r="R490" s="429"/>
      <c r="S490" s="373"/>
      <c r="T490" s="373"/>
      <c r="U490" s="373"/>
      <c r="V490" s="373"/>
      <c r="W490" s="472">
        <v>45303</v>
      </c>
      <c r="X490" s="373"/>
      <c r="Y490" s="336">
        <f t="shared" ca="1" si="12"/>
        <v>71</v>
      </c>
      <c r="Z490" s="373"/>
      <c r="AA490" s="336"/>
      <c r="AB490" s="373"/>
    </row>
    <row r="491" spans="1:28" s="338" customFormat="1" ht="12.75" customHeight="1" x14ac:dyDescent="0.25">
      <c r="A491" s="347" t="s">
        <v>1528</v>
      </c>
      <c r="B491" s="376">
        <v>45232</v>
      </c>
      <c r="C491" s="425" t="s">
        <v>35</v>
      </c>
      <c r="D491" s="333" t="s">
        <v>1506</v>
      </c>
      <c r="E491" s="333"/>
      <c r="F491" s="374" t="s">
        <v>1212</v>
      </c>
      <c r="G491" s="372" t="s">
        <v>1213</v>
      </c>
      <c r="H491" s="333">
        <v>1</v>
      </c>
      <c r="I491" s="333"/>
      <c r="J491" s="333" t="s">
        <v>102</v>
      </c>
      <c r="K491" s="333" t="s">
        <v>69</v>
      </c>
      <c r="L491" s="333"/>
      <c r="M491" s="333" t="s">
        <v>1508</v>
      </c>
      <c r="N491" s="417"/>
      <c r="O491" s="417">
        <v>1460.62</v>
      </c>
      <c r="P491" s="462">
        <v>45232</v>
      </c>
      <c r="Q491" s="429"/>
      <c r="R491" s="429"/>
      <c r="S491" s="373"/>
      <c r="T491" s="373"/>
      <c r="U491" s="373"/>
      <c r="V491" s="373"/>
      <c r="W491" s="472" t="s">
        <v>1164</v>
      </c>
      <c r="X491" s="373"/>
      <c r="Y491" s="336">
        <f t="shared" ca="1" si="12"/>
        <v>354</v>
      </c>
      <c r="Z491" s="373"/>
      <c r="AA491" s="336"/>
      <c r="AB491" s="373"/>
    </row>
    <row r="492" spans="1:28" s="338" customFormat="1" ht="12.75" customHeight="1" x14ac:dyDescent="0.25">
      <c r="A492" s="347" t="s">
        <v>1529</v>
      </c>
      <c r="B492" s="376">
        <v>45232</v>
      </c>
      <c r="C492" s="425" t="s">
        <v>35</v>
      </c>
      <c r="D492" s="333" t="s">
        <v>1506</v>
      </c>
      <c r="E492" s="333"/>
      <c r="F492" s="374" t="s">
        <v>1216</v>
      </c>
      <c r="G492" s="372" t="s">
        <v>1217</v>
      </c>
      <c r="H492" s="333">
        <v>1</v>
      </c>
      <c r="I492" s="333"/>
      <c r="J492" s="333" t="s">
        <v>102</v>
      </c>
      <c r="K492" s="333" t="s">
        <v>69</v>
      </c>
      <c r="L492" s="333"/>
      <c r="M492" s="333" t="s">
        <v>1508</v>
      </c>
      <c r="N492" s="417"/>
      <c r="O492" s="417">
        <v>3129.7</v>
      </c>
      <c r="P492" s="462">
        <v>45232</v>
      </c>
      <c r="Q492" s="429"/>
      <c r="R492" s="429"/>
      <c r="S492" s="373"/>
      <c r="T492" s="373"/>
      <c r="U492" s="373"/>
      <c r="V492" s="373"/>
      <c r="W492" s="472">
        <v>45303</v>
      </c>
      <c r="X492" s="373"/>
      <c r="Y492" s="336">
        <f t="shared" ca="1" si="12"/>
        <v>71</v>
      </c>
      <c r="Z492" s="373"/>
      <c r="AA492" s="336"/>
      <c r="AB492" s="373"/>
    </row>
    <row r="493" spans="1:28" s="338" customFormat="1" ht="12.75" customHeight="1" x14ac:dyDescent="0.25">
      <c r="A493" s="347" t="s">
        <v>1530</v>
      </c>
      <c r="B493" s="376">
        <v>45232</v>
      </c>
      <c r="C493" s="425" t="s">
        <v>35</v>
      </c>
      <c r="D493" s="333" t="s">
        <v>1506</v>
      </c>
      <c r="E493" s="333"/>
      <c r="F493" s="374" t="s">
        <v>1531</v>
      </c>
      <c r="G493" s="372" t="s">
        <v>1532</v>
      </c>
      <c r="H493" s="333">
        <v>1</v>
      </c>
      <c r="I493" s="333"/>
      <c r="J493" s="333" t="s">
        <v>102</v>
      </c>
      <c r="K493" s="333" t="s">
        <v>69</v>
      </c>
      <c r="L493" s="333"/>
      <c r="M493" s="333" t="s">
        <v>1508</v>
      </c>
      <c r="N493" s="417"/>
      <c r="O493" s="417">
        <v>4801.9399999999996</v>
      </c>
      <c r="P493" s="462">
        <v>45232</v>
      </c>
      <c r="Q493" s="429"/>
      <c r="R493" s="429"/>
      <c r="S493" s="373"/>
      <c r="T493" s="373"/>
      <c r="U493" s="373"/>
      <c r="V493" s="373"/>
      <c r="W493" s="472"/>
      <c r="X493" s="373"/>
      <c r="Y493" s="336">
        <f t="shared" ca="1" si="12"/>
        <v>354</v>
      </c>
      <c r="Z493" s="373"/>
      <c r="AA493" s="336"/>
      <c r="AB493" s="373"/>
    </row>
    <row r="494" spans="1:28" s="338" customFormat="1" ht="12.75" customHeight="1" x14ac:dyDescent="0.25">
      <c r="A494" s="347" t="s">
        <v>1533</v>
      </c>
      <c r="B494" s="376">
        <v>45236</v>
      </c>
      <c r="C494" s="425" t="s">
        <v>219</v>
      </c>
      <c r="D494" s="333">
        <v>1216</v>
      </c>
      <c r="E494" s="333"/>
      <c r="F494" s="374">
        <v>264172980101</v>
      </c>
      <c r="G494" s="372" t="s">
        <v>1534</v>
      </c>
      <c r="H494" s="372">
        <v>2</v>
      </c>
      <c r="I494" s="372" t="s">
        <v>1535</v>
      </c>
      <c r="J494" s="372" t="s">
        <v>31</v>
      </c>
      <c r="K494" s="333" t="s">
        <v>32</v>
      </c>
      <c r="L494" s="333"/>
      <c r="M494" s="333" t="s">
        <v>33</v>
      </c>
      <c r="N494" s="333"/>
      <c r="O494" s="333"/>
      <c r="P494" s="463">
        <v>45238</v>
      </c>
      <c r="Q494" s="333"/>
      <c r="R494" s="333"/>
      <c r="S494" s="416"/>
      <c r="T494" s="373"/>
      <c r="U494" s="373"/>
      <c r="V494" s="474"/>
      <c r="W494" s="346">
        <v>45274</v>
      </c>
      <c r="X494" s="416">
        <v>2</v>
      </c>
      <c r="Y494" s="336">
        <f t="shared" ca="1" si="12"/>
        <v>36</v>
      </c>
      <c r="Z494" s="373"/>
      <c r="AA494" s="336"/>
      <c r="AB494" s="373"/>
    </row>
    <row r="495" spans="1:28" s="338" customFormat="1" ht="12.75" customHeight="1" x14ac:dyDescent="0.25">
      <c r="A495" s="347" t="s">
        <v>1536</v>
      </c>
      <c r="B495" s="376">
        <v>45208</v>
      </c>
      <c r="C495" s="425" t="s">
        <v>60</v>
      </c>
      <c r="D495" s="333" t="s">
        <v>1479</v>
      </c>
      <c r="E495" s="333" t="s">
        <v>1537</v>
      </c>
      <c r="F495" s="374" t="s">
        <v>1538</v>
      </c>
      <c r="G495" s="372" t="s">
        <v>1539</v>
      </c>
      <c r="H495" s="333">
        <v>2</v>
      </c>
      <c r="I495" s="333">
        <v>323</v>
      </c>
      <c r="J495" s="333" t="s">
        <v>68</v>
      </c>
      <c r="K495" s="333" t="s">
        <v>69</v>
      </c>
      <c r="L495" s="333"/>
      <c r="M495" s="333"/>
      <c r="N495" s="333"/>
      <c r="O495" s="333"/>
      <c r="P495" s="376">
        <v>45222</v>
      </c>
      <c r="Q495" s="429"/>
      <c r="R495" s="429"/>
      <c r="S495" s="373"/>
      <c r="T495" s="373"/>
      <c r="U495" s="373"/>
      <c r="V495" s="474"/>
      <c r="W495" s="346">
        <v>45387</v>
      </c>
      <c r="X495" s="416">
        <v>2</v>
      </c>
      <c r="Y495" s="336">
        <f t="shared" ca="1" si="12"/>
        <v>165</v>
      </c>
      <c r="Z495" s="373"/>
      <c r="AA495" s="336"/>
      <c r="AB495" s="373"/>
    </row>
    <row r="496" spans="1:28" s="338" customFormat="1" ht="12.75" customHeight="1" x14ac:dyDescent="0.25">
      <c r="A496" s="347" t="s">
        <v>1540</v>
      </c>
      <c r="B496" s="376">
        <v>45240</v>
      </c>
      <c r="C496" s="425" t="s">
        <v>60</v>
      </c>
      <c r="D496" s="333" t="s">
        <v>1479</v>
      </c>
      <c r="E496" s="333" t="s">
        <v>1541</v>
      </c>
      <c r="F496" s="374" t="s">
        <v>1542</v>
      </c>
      <c r="G496" s="372" t="s">
        <v>1543</v>
      </c>
      <c r="H496" s="333">
        <v>1</v>
      </c>
      <c r="I496" s="333">
        <v>321</v>
      </c>
      <c r="J496" s="333" t="s">
        <v>68</v>
      </c>
      <c r="K496" s="333" t="s">
        <v>69</v>
      </c>
      <c r="L496" s="333"/>
      <c r="M496" s="333"/>
      <c r="N496" s="417"/>
      <c r="O496" s="417"/>
      <c r="P496" s="461">
        <v>45274</v>
      </c>
      <c r="Q496" s="429"/>
      <c r="R496" s="429"/>
      <c r="S496" s="373"/>
      <c r="T496" s="373"/>
      <c r="U496" s="373"/>
      <c r="V496" s="474"/>
      <c r="W496" s="346">
        <v>45387</v>
      </c>
      <c r="X496" s="416"/>
      <c r="Y496" s="336">
        <f t="shared" ca="1" si="12"/>
        <v>113</v>
      </c>
      <c r="Z496" s="373"/>
      <c r="AA496" s="336"/>
      <c r="AB496" s="373"/>
    </row>
    <row r="497" spans="1:30" ht="12.75" customHeight="1" x14ac:dyDescent="0.25">
      <c r="A497" s="347" t="s">
        <v>1544</v>
      </c>
      <c r="B497" s="376">
        <v>45170</v>
      </c>
      <c r="C497" s="425" t="s">
        <v>60</v>
      </c>
      <c r="D497" s="333" t="s">
        <v>1545</v>
      </c>
      <c r="E497" s="333" t="s">
        <v>1546</v>
      </c>
      <c r="F497" s="374" t="s">
        <v>1547</v>
      </c>
      <c r="G497" s="372" t="s">
        <v>1548</v>
      </c>
      <c r="H497" s="333">
        <v>1</v>
      </c>
      <c r="I497" s="333">
        <v>1</v>
      </c>
      <c r="J497" s="333" t="s">
        <v>68</v>
      </c>
      <c r="K497" s="333" t="s">
        <v>69</v>
      </c>
      <c r="L497" s="333"/>
      <c r="M497" s="333" t="s">
        <v>1549</v>
      </c>
      <c r="N497" s="333"/>
      <c r="O497" s="333"/>
      <c r="P497" s="461">
        <v>45176</v>
      </c>
      <c r="S497" s="373"/>
      <c r="T497" s="373"/>
      <c r="U497" s="373"/>
      <c r="V497" s="474"/>
      <c r="W497" s="346"/>
      <c r="X497" s="416"/>
      <c r="Y497" s="336">
        <f t="shared" ca="1" si="12"/>
        <v>410</v>
      </c>
      <c r="Z497" s="373"/>
      <c r="AA497" s="336"/>
      <c r="AB497" s="373"/>
      <c r="AD497" s="338"/>
    </row>
    <row r="498" spans="1:30" ht="12.75" customHeight="1" x14ac:dyDescent="0.25">
      <c r="A498" s="347" t="s">
        <v>1550</v>
      </c>
      <c r="B498" s="376">
        <v>45204</v>
      </c>
      <c r="C498" s="425" t="s">
        <v>60</v>
      </c>
      <c r="D498" s="333" t="s">
        <v>1545</v>
      </c>
      <c r="E498" s="333" t="s">
        <v>1551</v>
      </c>
      <c r="F498" s="374" t="s">
        <v>1552</v>
      </c>
      <c r="G498" s="372" t="s">
        <v>1553</v>
      </c>
      <c r="H498" s="333">
        <v>8</v>
      </c>
      <c r="I498" s="333">
        <v>321</v>
      </c>
      <c r="J498" s="333" t="s">
        <v>102</v>
      </c>
      <c r="K498" s="333" t="s">
        <v>69</v>
      </c>
      <c r="L498" s="333"/>
      <c r="M498" s="333"/>
      <c r="N498" s="333"/>
      <c r="O498" s="333"/>
      <c r="P498" s="461">
        <v>45274</v>
      </c>
      <c r="S498" s="373"/>
      <c r="T498" s="373"/>
      <c r="U498" s="373"/>
      <c r="V498" s="474"/>
      <c r="W498" s="346">
        <v>45387</v>
      </c>
      <c r="X498" s="416">
        <v>8</v>
      </c>
      <c r="Y498" s="336">
        <f t="shared" ca="1" si="12"/>
        <v>113</v>
      </c>
      <c r="Z498" s="373"/>
      <c r="AA498" s="336"/>
      <c r="AB498" s="373"/>
      <c r="AD498" s="338"/>
    </row>
    <row r="499" spans="1:30" ht="12.75" customHeight="1" x14ac:dyDescent="0.25">
      <c r="A499" s="347" t="s">
        <v>1554</v>
      </c>
      <c r="B499" s="376">
        <v>45174</v>
      </c>
      <c r="C499" s="425" t="s">
        <v>60</v>
      </c>
      <c r="D499" s="333" t="s">
        <v>1555</v>
      </c>
      <c r="E499" s="364" t="s">
        <v>33</v>
      </c>
      <c r="F499" s="365" t="s">
        <v>1556</v>
      </c>
      <c r="G499" s="366" t="s">
        <v>1557</v>
      </c>
      <c r="H499" s="364">
        <v>8</v>
      </c>
      <c r="I499" s="333">
        <v>332</v>
      </c>
      <c r="J499" s="364" t="s">
        <v>46</v>
      </c>
      <c r="K499" s="333" t="s">
        <v>32</v>
      </c>
      <c r="L499" s="333"/>
      <c r="M499" s="333" t="s">
        <v>33</v>
      </c>
      <c r="N499" s="333"/>
      <c r="O499" s="333"/>
      <c r="P499" s="461">
        <v>45174</v>
      </c>
      <c r="S499" s="373"/>
      <c r="T499" s="373"/>
      <c r="U499" s="373"/>
      <c r="V499" s="474"/>
      <c r="W499" s="477"/>
      <c r="X499" s="414"/>
      <c r="Y499" s="336">
        <f t="shared" ca="1" si="12"/>
        <v>412</v>
      </c>
      <c r="Z499" s="369"/>
      <c r="AA499" s="336"/>
      <c r="AB499" s="369"/>
      <c r="AD499" s="338"/>
    </row>
    <row r="500" spans="1:30" ht="12.75" customHeight="1" x14ac:dyDescent="0.25">
      <c r="A500" s="347" t="s">
        <v>1558</v>
      </c>
      <c r="B500" s="376">
        <v>45174</v>
      </c>
      <c r="C500" s="425" t="s">
        <v>60</v>
      </c>
      <c r="D500" s="333" t="s">
        <v>1555</v>
      </c>
      <c r="E500" s="333" t="s">
        <v>33</v>
      </c>
      <c r="F500" s="374" t="s">
        <v>1559</v>
      </c>
      <c r="G500" s="372" t="s">
        <v>1560</v>
      </c>
      <c r="H500" s="333">
        <v>4</v>
      </c>
      <c r="I500" s="333">
        <v>333</v>
      </c>
      <c r="J500" s="333" t="s">
        <v>46</v>
      </c>
      <c r="K500" s="333" t="s">
        <v>32</v>
      </c>
      <c r="L500" s="396"/>
      <c r="M500" s="333" t="s">
        <v>33</v>
      </c>
      <c r="N500" s="368"/>
      <c r="O500" s="368"/>
      <c r="P500" s="461">
        <v>45174</v>
      </c>
      <c r="S500" s="416"/>
      <c r="T500" s="373"/>
      <c r="U500" s="373"/>
      <c r="V500" s="474"/>
      <c r="W500" s="346"/>
      <c r="X500" s="373"/>
      <c r="Y500" s="336">
        <f t="shared" ca="1" si="12"/>
        <v>412</v>
      </c>
      <c r="Z500" s="373"/>
      <c r="AA500" s="336"/>
      <c r="AB500" s="373"/>
      <c r="AD500" s="338"/>
    </row>
    <row r="501" spans="1:30" ht="12.75" customHeight="1" x14ac:dyDescent="0.25">
      <c r="A501" s="347" t="s">
        <v>1561</v>
      </c>
      <c r="B501" s="376">
        <v>45174</v>
      </c>
      <c r="C501" s="425" t="s">
        <v>60</v>
      </c>
      <c r="D501" s="333" t="s">
        <v>1555</v>
      </c>
      <c r="E501" s="333" t="s">
        <v>33</v>
      </c>
      <c r="F501" s="374" t="s">
        <v>1562</v>
      </c>
      <c r="G501" s="372" t="s">
        <v>1563</v>
      </c>
      <c r="H501" s="333">
        <v>4</v>
      </c>
      <c r="I501" s="398">
        <v>332333334</v>
      </c>
      <c r="J501" s="333" t="s">
        <v>46</v>
      </c>
      <c r="K501" s="333" t="s">
        <v>32</v>
      </c>
      <c r="M501" s="333" t="s">
        <v>33</v>
      </c>
      <c r="N501" s="333"/>
      <c r="O501" s="333"/>
      <c r="P501" s="375">
        <v>45174</v>
      </c>
      <c r="S501" s="416"/>
      <c r="T501" s="373"/>
      <c r="U501" s="373"/>
      <c r="V501" s="474"/>
      <c r="W501" s="346"/>
      <c r="X501" s="373"/>
      <c r="Y501" s="336">
        <f t="shared" ca="1" si="12"/>
        <v>412</v>
      </c>
      <c r="Z501" s="373"/>
      <c r="AA501" s="336"/>
      <c r="AB501" s="373"/>
      <c r="AD501" s="338"/>
    </row>
    <row r="502" spans="1:30" ht="12.75" customHeight="1" x14ac:dyDescent="0.25">
      <c r="A502" s="347" t="s">
        <v>1564</v>
      </c>
      <c r="B502" s="376">
        <v>45174</v>
      </c>
      <c r="C502" s="425" t="s">
        <v>60</v>
      </c>
      <c r="D502" s="333" t="s">
        <v>1555</v>
      </c>
      <c r="E502" s="333" t="s">
        <v>33</v>
      </c>
      <c r="F502" s="374" t="s">
        <v>1565</v>
      </c>
      <c r="G502" s="372" t="s">
        <v>1352</v>
      </c>
      <c r="H502" s="333">
        <v>72</v>
      </c>
      <c r="I502" s="333">
        <v>84</v>
      </c>
      <c r="J502" s="333" t="s">
        <v>46</v>
      </c>
      <c r="K502" s="333" t="s">
        <v>32</v>
      </c>
      <c r="M502" s="333" t="s">
        <v>33</v>
      </c>
      <c r="N502" s="333"/>
      <c r="O502" s="333"/>
      <c r="P502" s="375">
        <v>45174</v>
      </c>
      <c r="S502" s="416"/>
      <c r="T502" s="373"/>
      <c r="U502" s="373"/>
      <c r="V502" s="474"/>
      <c r="W502" s="346"/>
      <c r="X502" s="373"/>
      <c r="Y502" s="336">
        <f t="shared" ca="1" si="12"/>
        <v>412</v>
      </c>
      <c r="Z502" s="373"/>
      <c r="AA502" s="336"/>
      <c r="AB502" s="373"/>
      <c r="AD502" s="338"/>
    </row>
    <row r="503" spans="1:30" ht="12.75" customHeight="1" x14ac:dyDescent="0.25">
      <c r="A503" s="347" t="s">
        <v>1566</v>
      </c>
      <c r="B503" s="376">
        <v>45180</v>
      </c>
      <c r="C503" s="425" t="s">
        <v>60</v>
      </c>
      <c r="D503" s="333" t="s">
        <v>1555</v>
      </c>
      <c r="E503" s="333" t="s">
        <v>1567</v>
      </c>
      <c r="F503" s="374" t="s">
        <v>1568</v>
      </c>
      <c r="G503" s="372" t="s">
        <v>1569</v>
      </c>
      <c r="H503" s="333">
        <v>1</v>
      </c>
      <c r="I503" s="333">
        <v>335</v>
      </c>
      <c r="J503" s="333" t="s">
        <v>68</v>
      </c>
      <c r="K503" s="333" t="s">
        <v>69</v>
      </c>
      <c r="M503" s="333"/>
      <c r="N503" s="333"/>
      <c r="O503" s="333"/>
      <c r="P503" s="375"/>
      <c r="S503" s="416"/>
      <c r="T503" s="373"/>
      <c r="U503" s="373"/>
      <c r="V503" s="474"/>
      <c r="W503" s="346"/>
      <c r="X503" s="373"/>
      <c r="Y503" s="336" t="str">
        <f t="shared" ca="1" si="12"/>
        <v/>
      </c>
      <c r="Z503" s="373"/>
      <c r="AA503" s="336"/>
      <c r="AB503" s="373"/>
      <c r="AD503" s="338"/>
    </row>
    <row r="504" spans="1:30" ht="12.75" customHeight="1" x14ac:dyDescent="0.25">
      <c r="A504" s="347" t="s">
        <v>1570</v>
      </c>
      <c r="B504" s="376">
        <v>45184</v>
      </c>
      <c r="C504" s="425" t="s">
        <v>60</v>
      </c>
      <c r="D504" s="333" t="s">
        <v>1555</v>
      </c>
      <c r="E504" s="333" t="s">
        <v>1571</v>
      </c>
      <c r="F504" s="374" t="s">
        <v>1572</v>
      </c>
      <c r="G504" s="372" t="s">
        <v>1573</v>
      </c>
      <c r="H504" s="333">
        <v>1</v>
      </c>
      <c r="I504" s="333">
        <v>334</v>
      </c>
      <c r="J504" s="333" t="s">
        <v>31</v>
      </c>
      <c r="K504" s="333" t="s">
        <v>32</v>
      </c>
      <c r="M504" s="333"/>
      <c r="N504" s="333"/>
      <c r="O504" s="333"/>
      <c r="P504" s="375"/>
      <c r="S504" s="416"/>
      <c r="T504" s="373"/>
      <c r="U504" s="373"/>
      <c r="V504" s="474"/>
      <c r="W504" s="346"/>
      <c r="X504" s="373"/>
      <c r="Y504" s="336" t="str">
        <f t="shared" ca="1" si="12"/>
        <v/>
      </c>
      <c r="Z504" s="373"/>
      <c r="AA504" s="336"/>
      <c r="AB504" s="373"/>
      <c r="AD504" s="338"/>
    </row>
    <row r="505" spans="1:30" ht="12.75" customHeight="1" x14ac:dyDescent="0.25">
      <c r="A505" s="347" t="s">
        <v>1574</v>
      </c>
      <c r="B505" s="376">
        <v>45191</v>
      </c>
      <c r="C505" s="425" t="s">
        <v>60</v>
      </c>
      <c r="D505" s="333" t="s">
        <v>1555</v>
      </c>
      <c r="E505" s="333" t="s">
        <v>1571</v>
      </c>
      <c r="F505" s="374" t="s">
        <v>1575</v>
      </c>
      <c r="G505" s="372" t="s">
        <v>1576</v>
      </c>
      <c r="H505" s="333">
        <v>2</v>
      </c>
      <c r="I505" s="333">
        <v>334</v>
      </c>
      <c r="J505" s="333" t="s">
        <v>68</v>
      </c>
      <c r="K505" s="333" t="s">
        <v>69</v>
      </c>
      <c r="M505" s="333"/>
      <c r="N505" s="333"/>
      <c r="O505" s="333"/>
      <c r="P505" s="375"/>
      <c r="S505" s="416"/>
      <c r="T505" s="373"/>
      <c r="U505" s="373"/>
      <c r="V505" s="474"/>
      <c r="W505" s="346"/>
      <c r="X505" s="373"/>
      <c r="Y505" s="336" t="str">
        <f t="shared" ca="1" si="12"/>
        <v/>
      </c>
      <c r="Z505" s="373"/>
      <c r="AA505" s="336"/>
      <c r="AB505" s="373"/>
      <c r="AD505" s="338"/>
    </row>
    <row r="506" spans="1:30" ht="12.75" customHeight="1" x14ac:dyDescent="0.25">
      <c r="A506" s="347" t="s">
        <v>1577</v>
      </c>
      <c r="B506" s="376">
        <v>45204</v>
      </c>
      <c r="C506" s="425" t="s">
        <v>60</v>
      </c>
      <c r="D506" s="333" t="s">
        <v>1555</v>
      </c>
      <c r="E506" s="333" t="s">
        <v>1578</v>
      </c>
      <c r="F506" s="374" t="s">
        <v>1579</v>
      </c>
      <c r="G506" s="372" t="s">
        <v>1580</v>
      </c>
      <c r="H506" s="333">
        <v>8</v>
      </c>
      <c r="I506" s="333">
        <v>339</v>
      </c>
      <c r="J506" s="333" t="s">
        <v>102</v>
      </c>
      <c r="K506" s="333" t="s">
        <v>69</v>
      </c>
      <c r="M506" s="333"/>
      <c r="N506" s="333"/>
      <c r="O506" s="333"/>
      <c r="P506" s="375"/>
      <c r="S506" s="416"/>
      <c r="T506" s="373"/>
      <c r="U506" s="373"/>
      <c r="V506" s="474"/>
      <c r="W506" s="346"/>
      <c r="X506" s="373"/>
      <c r="Y506" s="336" t="str">
        <f t="shared" ca="1" si="12"/>
        <v/>
      </c>
      <c r="Z506" s="373"/>
      <c r="AA506" s="336"/>
      <c r="AB506" s="373"/>
      <c r="AD506" s="338"/>
    </row>
    <row r="507" spans="1:30" ht="12.75" customHeight="1" x14ac:dyDescent="0.25">
      <c r="A507" s="347" t="s">
        <v>1581</v>
      </c>
      <c r="B507" s="376">
        <v>45218</v>
      </c>
      <c r="C507" s="425" t="s">
        <v>219</v>
      </c>
      <c r="D507" s="333" t="s">
        <v>1273</v>
      </c>
      <c r="E507" s="333" t="s">
        <v>1582</v>
      </c>
      <c r="F507" s="374">
        <v>264247600104</v>
      </c>
      <c r="G507" s="372" t="s">
        <v>1583</v>
      </c>
      <c r="H507" s="333">
        <v>1</v>
      </c>
      <c r="I507" s="478" t="s">
        <v>1279</v>
      </c>
      <c r="J507" s="333" t="s">
        <v>31</v>
      </c>
      <c r="K507" s="333" t="s">
        <v>32</v>
      </c>
      <c r="M507" s="333"/>
      <c r="N507" s="333"/>
      <c r="O507" s="333"/>
      <c r="P507" s="343">
        <v>45238</v>
      </c>
      <c r="S507" s="416"/>
      <c r="T507" s="373"/>
      <c r="U507" s="373"/>
      <c r="V507" s="474"/>
      <c r="W507" s="346">
        <v>45274</v>
      </c>
      <c r="X507" s="373">
        <v>1</v>
      </c>
      <c r="Y507" s="336">
        <f t="shared" ca="1" si="12"/>
        <v>36</v>
      </c>
      <c r="Z507" s="373"/>
      <c r="AA507" s="336"/>
      <c r="AB507" s="373"/>
      <c r="AD507" s="338"/>
    </row>
    <row r="508" spans="1:30" ht="12.75" customHeight="1" x14ac:dyDescent="0.25">
      <c r="A508" s="347" t="s">
        <v>1584</v>
      </c>
      <c r="B508" s="376">
        <v>45204</v>
      </c>
      <c r="C508" s="425" t="s">
        <v>60</v>
      </c>
      <c r="D508" s="333" t="s">
        <v>1555</v>
      </c>
      <c r="E508" s="333" t="s">
        <v>1585</v>
      </c>
      <c r="F508" s="374" t="s">
        <v>1503</v>
      </c>
      <c r="G508" s="372" t="s">
        <v>1504</v>
      </c>
      <c r="H508" s="333">
        <v>4</v>
      </c>
      <c r="I508" s="333">
        <v>338</v>
      </c>
      <c r="J508" s="333" t="s">
        <v>31</v>
      </c>
      <c r="K508" s="333" t="s">
        <v>32</v>
      </c>
      <c r="M508" s="333"/>
      <c r="N508" s="333"/>
      <c r="O508" s="333"/>
      <c r="P508" s="375"/>
      <c r="S508" s="416"/>
      <c r="T508" s="373"/>
      <c r="U508" s="373"/>
      <c r="V508" s="474"/>
      <c r="W508" s="346"/>
      <c r="X508" s="373"/>
      <c r="Y508" s="336" t="str">
        <f t="shared" ca="1" si="12"/>
        <v/>
      </c>
      <c r="Z508" s="373"/>
      <c r="AA508" s="336"/>
      <c r="AB508" s="373"/>
      <c r="AD508" s="338"/>
    </row>
    <row r="509" spans="1:30" ht="12.75" customHeight="1" x14ac:dyDescent="0.25">
      <c r="A509" s="347" t="s">
        <v>1586</v>
      </c>
      <c r="B509" s="376">
        <v>45233</v>
      </c>
      <c r="C509" s="425" t="s">
        <v>35</v>
      </c>
      <c r="D509" s="333" t="s">
        <v>71</v>
      </c>
      <c r="E509" s="333" t="s">
        <v>33</v>
      </c>
      <c r="F509" s="374" t="s">
        <v>1114</v>
      </c>
      <c r="G509" s="372" t="s">
        <v>1115</v>
      </c>
      <c r="H509" s="333">
        <v>3</v>
      </c>
      <c r="I509" s="333" t="s">
        <v>1587</v>
      </c>
      <c r="J509" s="333" t="s">
        <v>68</v>
      </c>
      <c r="K509" s="333" t="s">
        <v>69</v>
      </c>
      <c r="M509" s="333"/>
      <c r="N509" s="333"/>
      <c r="O509" s="333"/>
      <c r="P509" s="343">
        <v>45223</v>
      </c>
      <c r="S509" s="416"/>
      <c r="T509" s="373"/>
      <c r="U509" s="373"/>
      <c r="V509" s="474"/>
      <c r="W509" s="346">
        <v>45036</v>
      </c>
      <c r="X509" s="373"/>
      <c r="Y509" s="336">
        <f t="shared" ca="1" si="12"/>
        <v>-187</v>
      </c>
      <c r="Z509" s="373"/>
      <c r="AA509" s="336"/>
      <c r="AB509" s="373"/>
      <c r="AD509" s="338"/>
    </row>
    <row r="510" spans="1:30" ht="12.75" customHeight="1" x14ac:dyDescent="0.25">
      <c r="A510" s="347" t="s">
        <v>1588</v>
      </c>
      <c r="B510" s="376">
        <v>45245</v>
      </c>
      <c r="C510" s="425" t="s">
        <v>219</v>
      </c>
      <c r="D510" s="333" t="s">
        <v>1589</v>
      </c>
      <c r="E510" s="333" t="s">
        <v>33</v>
      </c>
      <c r="F510" s="374">
        <v>284943700121</v>
      </c>
      <c r="G510" s="372" t="s">
        <v>1590</v>
      </c>
      <c r="H510" s="333">
        <v>1</v>
      </c>
      <c r="I510" s="333" t="s">
        <v>1591</v>
      </c>
      <c r="J510" s="333" t="s">
        <v>31</v>
      </c>
      <c r="K510" s="333" t="s">
        <v>32</v>
      </c>
      <c r="M510" s="333"/>
      <c r="N510" s="333"/>
      <c r="O510" s="333"/>
      <c r="P510" s="343">
        <v>45260</v>
      </c>
      <c r="S510" s="416"/>
      <c r="T510" s="373"/>
      <c r="U510" s="373"/>
      <c r="V510" s="474"/>
      <c r="W510" s="346">
        <v>45274</v>
      </c>
      <c r="X510" s="373">
        <v>1</v>
      </c>
      <c r="Y510" s="336">
        <f t="shared" ca="1" si="12"/>
        <v>14</v>
      </c>
      <c r="Z510" s="373"/>
      <c r="AA510" s="336"/>
      <c r="AB510" s="373" t="s">
        <v>1592</v>
      </c>
      <c r="AD510" s="338"/>
    </row>
    <row r="511" spans="1:30" ht="12.75" customHeight="1" x14ac:dyDescent="0.25">
      <c r="A511" s="347" t="s">
        <v>1593</v>
      </c>
      <c r="B511" s="376">
        <v>45245</v>
      </c>
      <c r="C511" s="425" t="s">
        <v>219</v>
      </c>
      <c r="D511" s="372" t="s">
        <v>1589</v>
      </c>
      <c r="E511" s="372" t="s">
        <v>33</v>
      </c>
      <c r="F511" s="374" t="s">
        <v>312</v>
      </c>
      <c r="G511" s="372" t="s">
        <v>1594</v>
      </c>
      <c r="H511" s="372">
        <v>2</v>
      </c>
      <c r="I511" s="372" t="s">
        <v>1591</v>
      </c>
      <c r="J511" s="333" t="s">
        <v>265</v>
      </c>
      <c r="K511" s="333" t="s">
        <v>32</v>
      </c>
      <c r="M511" s="333"/>
      <c r="N511" s="333"/>
      <c r="O511" s="333"/>
      <c r="P511" s="343">
        <v>45260</v>
      </c>
      <c r="S511" s="416"/>
      <c r="T511" s="373"/>
      <c r="U511" s="373"/>
      <c r="V511" s="474"/>
      <c r="W511" s="346">
        <v>45330</v>
      </c>
      <c r="X511" s="373">
        <v>2</v>
      </c>
      <c r="Y511" s="336">
        <f t="shared" ca="1" si="12"/>
        <v>70</v>
      </c>
      <c r="Z511" s="373"/>
      <c r="AA511" s="336"/>
      <c r="AB511" s="373" t="s">
        <v>1595</v>
      </c>
      <c r="AD511" s="338"/>
    </row>
    <row r="512" spans="1:30" ht="12.75" customHeight="1" x14ac:dyDescent="0.25">
      <c r="A512" s="347" t="s">
        <v>1596</v>
      </c>
      <c r="B512" s="376">
        <v>45238</v>
      </c>
      <c r="C512" s="425" t="s">
        <v>219</v>
      </c>
      <c r="D512" s="372" t="s">
        <v>1589</v>
      </c>
      <c r="E512" s="372" t="s">
        <v>33</v>
      </c>
      <c r="F512" s="374">
        <v>585872707701</v>
      </c>
      <c r="G512" s="372" t="s">
        <v>1597</v>
      </c>
      <c r="H512" s="372">
        <v>20</v>
      </c>
      <c r="I512" s="372" t="s">
        <v>1591</v>
      </c>
      <c r="J512" s="333" t="s">
        <v>46</v>
      </c>
      <c r="K512" s="333" t="s">
        <v>32</v>
      </c>
      <c r="M512" s="333"/>
      <c r="N512" s="333"/>
      <c r="O512" s="333"/>
      <c r="P512" s="343">
        <v>45260</v>
      </c>
      <c r="S512" s="416"/>
      <c r="T512" s="373"/>
      <c r="U512" s="373"/>
      <c r="V512" s="474"/>
      <c r="W512" s="471"/>
      <c r="X512" s="373">
        <v>20</v>
      </c>
      <c r="Y512" s="336">
        <f t="shared" ca="1" si="12"/>
        <v>326</v>
      </c>
      <c r="Z512" s="373"/>
      <c r="AA512" s="336"/>
      <c r="AB512" s="373" t="s">
        <v>1598</v>
      </c>
      <c r="AC512" s="338" t="s">
        <v>1599</v>
      </c>
    </row>
    <row r="513" spans="1:30" ht="12.75" customHeight="1" x14ac:dyDescent="0.25">
      <c r="A513" s="347" t="s">
        <v>1600</v>
      </c>
      <c r="B513" s="376">
        <v>45238</v>
      </c>
      <c r="C513" s="425" t="s">
        <v>219</v>
      </c>
      <c r="D513" s="372" t="s">
        <v>1589</v>
      </c>
      <c r="E513" s="372" t="s">
        <v>1601</v>
      </c>
      <c r="F513" s="374" t="s">
        <v>1602</v>
      </c>
      <c r="G513" s="372" t="s">
        <v>1603</v>
      </c>
      <c r="H513" s="372">
        <v>60</v>
      </c>
      <c r="I513" s="372" t="s">
        <v>1591</v>
      </c>
      <c r="J513" s="333" t="s">
        <v>46</v>
      </c>
      <c r="K513" s="333" t="s">
        <v>32</v>
      </c>
      <c r="M513" s="333"/>
      <c r="N513" s="333"/>
      <c r="O513" s="333"/>
      <c r="P513" s="343">
        <v>45260</v>
      </c>
      <c r="S513" s="416"/>
      <c r="T513" s="373"/>
      <c r="U513" s="373"/>
      <c r="V513" s="474"/>
      <c r="W513" s="471"/>
      <c r="X513" s="373">
        <v>60</v>
      </c>
      <c r="Y513" s="336">
        <f t="shared" ca="1" si="12"/>
        <v>326</v>
      </c>
      <c r="Z513" s="373"/>
      <c r="AA513" s="336"/>
      <c r="AB513" s="373" t="s">
        <v>1604</v>
      </c>
      <c r="AC513" s="338" t="s">
        <v>1599</v>
      </c>
    </row>
    <row r="514" spans="1:30" ht="12.75" customHeight="1" x14ac:dyDescent="0.25">
      <c r="A514" s="347" t="s">
        <v>1605</v>
      </c>
      <c r="B514" s="376">
        <v>45204</v>
      </c>
      <c r="C514" s="425" t="s">
        <v>60</v>
      </c>
      <c r="D514" s="333" t="s">
        <v>1555</v>
      </c>
      <c r="E514" s="333" t="s">
        <v>1606</v>
      </c>
      <c r="F514" s="374" t="s">
        <v>1542</v>
      </c>
      <c r="G514" s="372" t="s">
        <v>1115</v>
      </c>
      <c r="H514" s="333">
        <v>1</v>
      </c>
      <c r="I514" s="333">
        <v>339</v>
      </c>
      <c r="J514" s="333" t="s">
        <v>68</v>
      </c>
      <c r="K514" s="333" t="s">
        <v>69</v>
      </c>
      <c r="M514" s="333"/>
      <c r="N514" s="333"/>
      <c r="O514" s="333"/>
      <c r="P514" s="375"/>
      <c r="S514" s="416"/>
      <c r="T514" s="373"/>
      <c r="U514" s="373"/>
      <c r="V514" s="474"/>
      <c r="W514" s="346">
        <v>45387</v>
      </c>
      <c r="X514" s="373"/>
      <c r="Y514" s="336" t="str">
        <f t="shared" ca="1" si="12"/>
        <v/>
      </c>
      <c r="Z514" s="373"/>
      <c r="AA514" s="336"/>
      <c r="AB514" s="373"/>
      <c r="AD514" s="338"/>
    </row>
    <row r="515" spans="1:30" ht="12.75" customHeight="1" x14ac:dyDescent="0.25">
      <c r="A515" s="347" t="s">
        <v>1607</v>
      </c>
      <c r="B515" s="376">
        <v>45208</v>
      </c>
      <c r="C515" s="425" t="s">
        <v>60</v>
      </c>
      <c r="D515" s="333" t="s">
        <v>1555</v>
      </c>
      <c r="E515" s="333" t="s">
        <v>1608</v>
      </c>
      <c r="F515" s="374" t="s">
        <v>1609</v>
      </c>
      <c r="G515" s="372" t="s">
        <v>1610</v>
      </c>
      <c r="H515" s="333">
        <v>2</v>
      </c>
      <c r="I515" s="333">
        <v>339</v>
      </c>
      <c r="J515" s="333" t="s">
        <v>46</v>
      </c>
      <c r="K515" s="333" t="s">
        <v>32</v>
      </c>
      <c r="M515" s="333"/>
      <c r="N515" s="333"/>
      <c r="O515" s="333"/>
      <c r="P515" s="375"/>
      <c r="S515" s="416"/>
      <c r="T515" s="373"/>
      <c r="U515" s="373"/>
      <c r="V515" s="474"/>
      <c r="W515" s="346">
        <v>45132</v>
      </c>
      <c r="X515" s="373"/>
      <c r="Y515" s="336" t="str">
        <f t="shared" ca="1" si="12"/>
        <v/>
      </c>
      <c r="Z515" s="373"/>
      <c r="AA515" s="336"/>
      <c r="AB515" s="373"/>
      <c r="AD515" s="338"/>
    </row>
    <row r="516" spans="1:30" ht="12.75" customHeight="1" x14ac:dyDescent="0.25">
      <c r="A516" s="347" t="s">
        <v>1611</v>
      </c>
      <c r="B516" s="376">
        <v>45237</v>
      </c>
      <c r="C516" s="425" t="s">
        <v>35</v>
      </c>
      <c r="D516" s="333" t="s">
        <v>83</v>
      </c>
      <c r="E516" s="333">
        <v>6980357</v>
      </c>
      <c r="F516" s="374" t="s">
        <v>1612</v>
      </c>
      <c r="G516" s="372" t="s">
        <v>1613</v>
      </c>
      <c r="H516" s="333">
        <v>2</v>
      </c>
      <c r="I516" s="333">
        <v>358</v>
      </c>
      <c r="J516" s="333" t="s">
        <v>46</v>
      </c>
      <c r="K516" s="333" t="s">
        <v>32</v>
      </c>
      <c r="M516" s="333"/>
      <c r="N516" s="333"/>
      <c r="O516" s="333"/>
      <c r="P516" s="343">
        <v>45254</v>
      </c>
      <c r="S516" s="416"/>
      <c r="T516" s="373"/>
      <c r="U516" s="373"/>
      <c r="V516" s="474"/>
      <c r="W516" s="346">
        <v>45362</v>
      </c>
      <c r="X516" s="373">
        <v>2</v>
      </c>
      <c r="Y516" s="336">
        <f t="shared" ca="1" si="12"/>
        <v>108</v>
      </c>
      <c r="Z516" s="373"/>
      <c r="AA516" s="336"/>
      <c r="AB516" s="373"/>
      <c r="AD516" s="338"/>
    </row>
    <row r="517" spans="1:30" ht="12.75" customHeight="1" x14ac:dyDescent="0.25">
      <c r="A517" s="347" t="s">
        <v>1614</v>
      </c>
      <c r="B517" s="376">
        <v>45237</v>
      </c>
      <c r="C517" s="425" t="s">
        <v>35</v>
      </c>
      <c r="D517" s="333" t="s">
        <v>83</v>
      </c>
      <c r="E517" s="333">
        <v>6980372</v>
      </c>
      <c r="F517" s="374" t="s">
        <v>1615</v>
      </c>
      <c r="G517" s="372" t="s">
        <v>1616</v>
      </c>
      <c r="H517" s="333">
        <v>1</v>
      </c>
      <c r="I517" s="333">
        <v>373</v>
      </c>
      <c r="J517" s="333" t="s">
        <v>265</v>
      </c>
      <c r="K517" s="333" t="s">
        <v>32</v>
      </c>
      <c r="M517" s="333"/>
      <c r="N517" s="333"/>
      <c r="O517" s="333"/>
      <c r="P517" s="343"/>
      <c r="S517" s="416"/>
      <c r="T517" s="373"/>
      <c r="U517" s="373"/>
      <c r="V517" s="474"/>
      <c r="W517" s="346">
        <v>45362</v>
      </c>
      <c r="X517" s="373"/>
      <c r="Y517" s="336" t="str">
        <f t="shared" ca="1" si="12"/>
        <v/>
      </c>
      <c r="Z517" s="373"/>
      <c r="AA517" s="336"/>
      <c r="AB517" s="373"/>
      <c r="AD517" s="338"/>
    </row>
    <row r="518" spans="1:30" ht="12.75" customHeight="1" x14ac:dyDescent="0.25">
      <c r="A518" s="347" t="s">
        <v>1617</v>
      </c>
      <c r="B518" s="376">
        <v>45170</v>
      </c>
      <c r="C518" s="425" t="s">
        <v>60</v>
      </c>
      <c r="D518" s="333" t="s">
        <v>1618</v>
      </c>
      <c r="E518" s="333" t="s">
        <v>1619</v>
      </c>
      <c r="F518" s="374" t="s">
        <v>1620</v>
      </c>
      <c r="G518" s="372" t="s">
        <v>1621</v>
      </c>
      <c r="H518" s="333">
        <v>1</v>
      </c>
      <c r="I518" s="333">
        <v>2</v>
      </c>
      <c r="J518" s="333" t="s">
        <v>68</v>
      </c>
      <c r="K518" s="333" t="s">
        <v>69</v>
      </c>
      <c r="M518" s="333" t="s">
        <v>1549</v>
      </c>
      <c r="N518" s="333"/>
      <c r="O518" s="333"/>
      <c r="P518" s="461">
        <v>45176</v>
      </c>
      <c r="S518" s="414"/>
      <c r="T518" s="369"/>
      <c r="U518" s="369"/>
      <c r="V518" s="479"/>
      <c r="W518" s="346"/>
      <c r="X518" s="373"/>
      <c r="Y518" s="336">
        <f t="shared" ca="1" si="12"/>
        <v>410</v>
      </c>
      <c r="Z518" s="373"/>
      <c r="AA518" s="336"/>
      <c r="AB518" s="373"/>
      <c r="AD518" s="338"/>
    </row>
    <row r="519" spans="1:30" ht="12.75" customHeight="1" x14ac:dyDescent="0.25">
      <c r="A519" s="347" t="s">
        <v>1622</v>
      </c>
      <c r="B519" s="376">
        <v>45173</v>
      </c>
      <c r="C519" s="425" t="s">
        <v>60</v>
      </c>
      <c r="D519" s="333" t="s">
        <v>1623</v>
      </c>
      <c r="E519" s="333" t="s">
        <v>33</v>
      </c>
      <c r="F519" s="374" t="s">
        <v>1624</v>
      </c>
      <c r="G519" s="372" t="s">
        <v>1625</v>
      </c>
      <c r="H519" s="333">
        <v>10</v>
      </c>
      <c r="I519" s="333" t="s">
        <v>277</v>
      </c>
      <c r="J519" s="333" t="s">
        <v>46</v>
      </c>
      <c r="K519" s="333" t="s">
        <v>32</v>
      </c>
      <c r="M519" s="333" t="s">
        <v>33</v>
      </c>
      <c r="N519" s="333"/>
      <c r="O519" s="333"/>
      <c r="P519" s="461">
        <v>45167</v>
      </c>
      <c r="S519" s="373"/>
      <c r="T519" s="373"/>
      <c r="U519" s="373"/>
      <c r="V519" s="373"/>
      <c r="W519" s="472">
        <v>45173</v>
      </c>
      <c r="X519" s="373"/>
      <c r="Y519" s="336">
        <f t="shared" ca="1" si="12"/>
        <v>6</v>
      </c>
      <c r="Z519" s="373"/>
      <c r="AA519" s="336"/>
      <c r="AB519" s="373"/>
      <c r="AD519" s="338"/>
    </row>
    <row r="520" spans="1:30" ht="12.75" customHeight="1" x14ac:dyDescent="0.25">
      <c r="A520" s="347" t="s">
        <v>1626</v>
      </c>
      <c r="B520" s="376">
        <v>45173</v>
      </c>
      <c r="C520" s="425" t="s">
        <v>60</v>
      </c>
      <c r="D520" s="333" t="s">
        <v>1623</v>
      </c>
      <c r="E520" s="333" t="s">
        <v>33</v>
      </c>
      <c r="F520" s="374" t="s">
        <v>1627</v>
      </c>
      <c r="G520" s="372" t="s">
        <v>1628</v>
      </c>
      <c r="H520" s="333">
        <v>40</v>
      </c>
      <c r="I520" s="333" t="s">
        <v>277</v>
      </c>
      <c r="J520" s="333" t="s">
        <v>46</v>
      </c>
      <c r="K520" s="333" t="s">
        <v>32</v>
      </c>
      <c r="M520" s="333" t="s">
        <v>33</v>
      </c>
      <c r="N520" s="333"/>
      <c r="O520" s="333"/>
      <c r="P520" s="461">
        <v>45174</v>
      </c>
      <c r="S520" s="373"/>
      <c r="T520" s="373"/>
      <c r="U520" s="373"/>
      <c r="V520" s="373"/>
      <c r="W520" s="472">
        <v>45173</v>
      </c>
      <c r="X520" s="373">
        <v>17</v>
      </c>
      <c r="Y520" s="336">
        <f t="shared" ref="Y520:Y583" ca="1" si="13">IF(P520="","",IF(W520="",TODAY()-P520,W520-P520))</f>
        <v>-1</v>
      </c>
      <c r="Z520" s="373"/>
      <c r="AA520" s="336"/>
      <c r="AB520" s="373" t="s">
        <v>611</v>
      </c>
      <c r="AD520" s="338"/>
    </row>
    <row r="521" spans="1:30" ht="12.75" customHeight="1" x14ac:dyDescent="0.25">
      <c r="A521" s="347" t="s">
        <v>1629</v>
      </c>
      <c r="B521" s="407">
        <v>45173</v>
      </c>
      <c r="C521" s="448" t="s">
        <v>60</v>
      </c>
      <c r="D521" s="372" t="s">
        <v>1623</v>
      </c>
      <c r="E521" s="333" t="s">
        <v>33</v>
      </c>
      <c r="F521" s="374" t="s">
        <v>1630</v>
      </c>
      <c r="G521" s="372" t="s">
        <v>1631</v>
      </c>
      <c r="H521" s="372">
        <v>10</v>
      </c>
      <c r="I521" s="372" t="s">
        <v>277</v>
      </c>
      <c r="J521" s="333" t="s">
        <v>46</v>
      </c>
      <c r="K521" s="333" t="s">
        <v>32</v>
      </c>
      <c r="M521" s="333" t="s">
        <v>33</v>
      </c>
      <c r="N521" s="333"/>
      <c r="O521" s="333"/>
      <c r="P521" s="461">
        <v>45174</v>
      </c>
      <c r="S521" s="373"/>
      <c r="T521" s="373"/>
      <c r="U521" s="373"/>
      <c r="V521" s="373"/>
      <c r="W521" s="480">
        <v>45173</v>
      </c>
      <c r="X521" s="401">
        <v>10</v>
      </c>
      <c r="Y521" s="336">
        <f t="shared" ca="1" si="13"/>
        <v>-1</v>
      </c>
      <c r="Z521" s="401"/>
      <c r="AA521" s="409"/>
      <c r="AB521" s="401" t="s">
        <v>1632</v>
      </c>
      <c r="AD521" s="338"/>
    </row>
    <row r="522" spans="1:30" ht="12.75" customHeight="1" x14ac:dyDescent="0.25">
      <c r="A522" s="347" t="s">
        <v>1633</v>
      </c>
      <c r="B522" s="376">
        <v>45173</v>
      </c>
      <c r="C522" s="425" t="s">
        <v>60</v>
      </c>
      <c r="D522" s="333" t="s">
        <v>1623</v>
      </c>
      <c r="E522" s="333" t="s">
        <v>33</v>
      </c>
      <c r="F522" s="374" t="s">
        <v>1634</v>
      </c>
      <c r="G522" s="372" t="s">
        <v>1635</v>
      </c>
      <c r="H522" s="333">
        <v>120</v>
      </c>
      <c r="I522" s="333" t="s">
        <v>277</v>
      </c>
      <c r="J522" s="333" t="s">
        <v>46</v>
      </c>
      <c r="K522" s="333" t="s">
        <v>32</v>
      </c>
      <c r="M522" s="333" t="s">
        <v>33</v>
      </c>
      <c r="N522" s="333"/>
      <c r="O522" s="333"/>
      <c r="P522" s="461">
        <v>45174</v>
      </c>
      <c r="S522" s="373"/>
      <c r="T522" s="373"/>
      <c r="U522" s="373"/>
      <c r="V522" s="373"/>
      <c r="W522" s="472">
        <v>45173</v>
      </c>
      <c r="X522" s="373"/>
      <c r="Y522" s="336">
        <f t="shared" ca="1" si="13"/>
        <v>-1</v>
      </c>
      <c r="Z522" s="373"/>
      <c r="AA522" s="336"/>
      <c r="AB522" s="373"/>
      <c r="AD522" s="338"/>
    </row>
    <row r="523" spans="1:30" ht="12.75" customHeight="1" x14ac:dyDescent="0.25">
      <c r="A523" s="347" t="s">
        <v>1636</v>
      </c>
      <c r="B523" s="376">
        <v>45173</v>
      </c>
      <c r="C523" s="425" t="s">
        <v>60</v>
      </c>
      <c r="D523" s="333" t="s">
        <v>1623</v>
      </c>
      <c r="E523" s="333" t="s">
        <v>33</v>
      </c>
      <c r="F523" s="374" t="s">
        <v>1637</v>
      </c>
      <c r="G523" s="372" t="s">
        <v>1322</v>
      </c>
      <c r="H523" s="333">
        <v>4</v>
      </c>
      <c r="I523" s="333" t="s">
        <v>277</v>
      </c>
      <c r="J523" s="333" t="s">
        <v>46</v>
      </c>
      <c r="K523" s="333" t="s">
        <v>32</v>
      </c>
      <c r="M523" s="333" t="s">
        <v>33</v>
      </c>
      <c r="N523" s="333"/>
      <c r="O523" s="333"/>
      <c r="P523" s="375">
        <v>45174</v>
      </c>
      <c r="S523" s="373"/>
      <c r="T523" s="373"/>
      <c r="U523" s="373"/>
      <c r="V523" s="373"/>
      <c r="W523" s="472">
        <v>45173</v>
      </c>
      <c r="X523" s="373"/>
      <c r="Y523" s="336">
        <f t="shared" ca="1" si="13"/>
        <v>-1</v>
      </c>
      <c r="Z523" s="373"/>
      <c r="AA523" s="336"/>
      <c r="AB523" s="373"/>
      <c r="AD523" s="338"/>
    </row>
    <row r="524" spans="1:30" ht="12.75" customHeight="1" x14ac:dyDescent="0.25">
      <c r="A524" s="347" t="s">
        <v>1638</v>
      </c>
      <c r="B524" s="376">
        <v>45173</v>
      </c>
      <c r="C524" s="425" t="s">
        <v>60</v>
      </c>
      <c r="D524" s="333" t="s">
        <v>1623</v>
      </c>
      <c r="E524" s="333" t="s">
        <v>33</v>
      </c>
      <c r="F524" s="349" t="s">
        <v>1639</v>
      </c>
      <c r="G524" s="372" t="s">
        <v>1640</v>
      </c>
      <c r="H524" s="333">
        <v>1</v>
      </c>
      <c r="I524" s="333" t="s">
        <v>277</v>
      </c>
      <c r="J524" s="333" t="s">
        <v>46</v>
      </c>
      <c r="K524" s="333" t="s">
        <v>32</v>
      </c>
      <c r="M524" s="333" t="s">
        <v>33</v>
      </c>
      <c r="N524" s="333"/>
      <c r="O524" s="333"/>
      <c r="P524" s="375">
        <v>45174</v>
      </c>
      <c r="S524" s="373"/>
      <c r="T524" s="373"/>
      <c r="U524" s="373"/>
      <c r="V524" s="373"/>
      <c r="W524" s="472">
        <v>45173</v>
      </c>
      <c r="X524" s="373"/>
      <c r="Y524" s="336">
        <f t="shared" ca="1" si="13"/>
        <v>-1</v>
      </c>
      <c r="Z524" s="373"/>
      <c r="AA524" s="336"/>
      <c r="AB524" s="373"/>
      <c r="AD524" s="338"/>
    </row>
    <row r="525" spans="1:30" ht="12.75" customHeight="1" x14ac:dyDescent="0.25">
      <c r="A525" s="347" t="s">
        <v>1641</v>
      </c>
      <c r="B525" s="376">
        <v>45173</v>
      </c>
      <c r="C525" s="425" t="s">
        <v>60</v>
      </c>
      <c r="D525" s="333" t="s">
        <v>1623</v>
      </c>
      <c r="E525" s="333" t="s">
        <v>33</v>
      </c>
      <c r="F525" s="374" t="s">
        <v>1642</v>
      </c>
      <c r="G525" s="372" t="s">
        <v>1643</v>
      </c>
      <c r="H525" s="333">
        <v>1</v>
      </c>
      <c r="I525" s="333" t="s">
        <v>277</v>
      </c>
      <c r="J525" s="333" t="s">
        <v>46</v>
      </c>
      <c r="K525" s="333" t="s">
        <v>32</v>
      </c>
      <c r="M525" s="333" t="s">
        <v>33</v>
      </c>
      <c r="N525" s="333"/>
      <c r="O525" s="333"/>
      <c r="P525" s="375">
        <v>45174</v>
      </c>
      <c r="S525" s="373"/>
      <c r="T525" s="373"/>
      <c r="U525" s="373"/>
      <c r="V525" s="373"/>
      <c r="W525" s="472">
        <v>45173</v>
      </c>
      <c r="X525" s="373">
        <v>1</v>
      </c>
      <c r="Y525" s="336">
        <f t="shared" ca="1" si="13"/>
        <v>-1</v>
      </c>
      <c r="Z525" s="373"/>
      <c r="AA525" s="336"/>
      <c r="AB525" s="373" t="s">
        <v>1644</v>
      </c>
      <c r="AD525" s="338"/>
    </row>
    <row r="526" spans="1:30" ht="12.75" customHeight="1" x14ac:dyDescent="0.25">
      <c r="A526" s="347" t="s">
        <v>1645</v>
      </c>
      <c r="B526" s="376">
        <v>45173</v>
      </c>
      <c r="C526" s="425" t="s">
        <v>60</v>
      </c>
      <c r="D526" s="333" t="s">
        <v>1623</v>
      </c>
      <c r="E526" s="333" t="s">
        <v>33</v>
      </c>
      <c r="F526" s="374" t="s">
        <v>1646</v>
      </c>
      <c r="G526" s="372" t="s">
        <v>1647</v>
      </c>
      <c r="H526" s="333">
        <v>1</v>
      </c>
      <c r="I526" s="333" t="s">
        <v>277</v>
      </c>
      <c r="J526" s="333" t="s">
        <v>46</v>
      </c>
      <c r="K526" s="333" t="s">
        <v>32</v>
      </c>
      <c r="M526" s="333" t="s">
        <v>33</v>
      </c>
      <c r="N526" s="333"/>
      <c r="O526" s="333"/>
      <c r="P526" s="375">
        <v>45174</v>
      </c>
      <c r="S526" s="373"/>
      <c r="T526" s="373"/>
      <c r="U526" s="373"/>
      <c r="V526" s="373"/>
      <c r="W526" s="472">
        <v>45173</v>
      </c>
      <c r="X526" s="373"/>
      <c r="Y526" s="336">
        <f t="shared" ca="1" si="13"/>
        <v>-1</v>
      </c>
      <c r="Z526" s="373"/>
      <c r="AA526" s="336"/>
      <c r="AB526" s="373"/>
      <c r="AD526" s="338"/>
    </row>
    <row r="527" spans="1:30" ht="12.75" customHeight="1" x14ac:dyDescent="0.25">
      <c r="A527" s="347" t="s">
        <v>1648</v>
      </c>
      <c r="B527" s="376">
        <v>45173</v>
      </c>
      <c r="C527" s="425" t="s">
        <v>60</v>
      </c>
      <c r="D527" s="333" t="s">
        <v>1623</v>
      </c>
      <c r="E527" s="333" t="s">
        <v>33</v>
      </c>
      <c r="F527" s="374" t="s">
        <v>1649</v>
      </c>
      <c r="G527" s="372" t="s">
        <v>1650</v>
      </c>
      <c r="H527" s="333">
        <v>12</v>
      </c>
      <c r="I527" s="333" t="s">
        <v>277</v>
      </c>
      <c r="J527" s="333" t="s">
        <v>102</v>
      </c>
      <c r="K527" s="333" t="s">
        <v>69</v>
      </c>
      <c r="M527" s="333" t="s">
        <v>1651</v>
      </c>
      <c r="N527" s="333">
        <v>86235.76</v>
      </c>
      <c r="O527" s="333"/>
      <c r="P527" s="375">
        <v>45174</v>
      </c>
      <c r="S527" s="373"/>
      <c r="T527" s="373"/>
      <c r="U527" s="373"/>
      <c r="V527" s="373"/>
      <c r="W527" s="472">
        <v>45196</v>
      </c>
      <c r="X527" s="373"/>
      <c r="Y527" s="336">
        <f t="shared" ca="1" si="13"/>
        <v>22</v>
      </c>
      <c r="Z527" s="373"/>
      <c r="AA527" s="336"/>
      <c r="AB527" s="373"/>
      <c r="AD527" s="338"/>
    </row>
    <row r="528" spans="1:30" ht="12.75" customHeight="1" x14ac:dyDescent="0.25">
      <c r="A528" s="347" t="s">
        <v>1652</v>
      </c>
      <c r="B528" s="376">
        <v>45173</v>
      </c>
      <c r="C528" s="425" t="s">
        <v>60</v>
      </c>
      <c r="D528" s="333" t="s">
        <v>1623</v>
      </c>
      <c r="E528" s="333" t="s">
        <v>33</v>
      </c>
      <c r="F528" s="374" t="s">
        <v>1653</v>
      </c>
      <c r="G528" s="372" t="s">
        <v>1654</v>
      </c>
      <c r="H528" s="333">
        <v>13</v>
      </c>
      <c r="I528" s="333" t="s">
        <v>277</v>
      </c>
      <c r="J528" s="333" t="s">
        <v>102</v>
      </c>
      <c r="K528" s="333" t="s">
        <v>69</v>
      </c>
      <c r="M528" s="333" t="s">
        <v>1651</v>
      </c>
      <c r="N528" s="333">
        <v>97015.23</v>
      </c>
      <c r="O528" s="333"/>
      <c r="P528" s="375">
        <v>45174</v>
      </c>
      <c r="S528" s="373"/>
      <c r="T528" s="373"/>
      <c r="U528" s="373"/>
      <c r="V528" s="373"/>
      <c r="W528" s="472">
        <v>45196</v>
      </c>
      <c r="X528" s="373"/>
      <c r="Y528" s="336">
        <f t="shared" ca="1" si="13"/>
        <v>22</v>
      </c>
      <c r="Z528" s="373"/>
      <c r="AA528" s="336"/>
      <c r="AB528" s="373"/>
      <c r="AD528" s="338"/>
    </row>
    <row r="529" spans="1:28" s="338" customFormat="1" ht="12.75" customHeight="1" x14ac:dyDescent="0.25">
      <c r="A529" s="347" t="s">
        <v>1655</v>
      </c>
      <c r="B529" s="376">
        <v>45173</v>
      </c>
      <c r="C529" s="425" t="s">
        <v>60</v>
      </c>
      <c r="D529" s="333" t="s">
        <v>1623</v>
      </c>
      <c r="E529" s="333" t="s">
        <v>33</v>
      </c>
      <c r="F529" s="349" t="s">
        <v>1656</v>
      </c>
      <c r="G529" s="372" t="s">
        <v>1657</v>
      </c>
      <c r="H529" s="333">
        <v>1</v>
      </c>
      <c r="I529" s="333" t="s">
        <v>277</v>
      </c>
      <c r="J529" s="333" t="s">
        <v>46</v>
      </c>
      <c r="K529" s="333" t="s">
        <v>32</v>
      </c>
      <c r="L529" s="429"/>
      <c r="M529" s="333" t="s">
        <v>33</v>
      </c>
      <c r="N529" s="333"/>
      <c r="O529" s="333"/>
      <c r="P529" s="375">
        <v>45174</v>
      </c>
      <c r="Q529" s="429"/>
      <c r="R529" s="429"/>
      <c r="S529" s="373"/>
      <c r="T529" s="373"/>
      <c r="U529" s="373"/>
      <c r="V529" s="373"/>
      <c r="W529" s="472"/>
      <c r="X529" s="373"/>
      <c r="Y529" s="336">
        <f t="shared" ca="1" si="13"/>
        <v>412</v>
      </c>
      <c r="Z529" s="373"/>
      <c r="AA529" s="336"/>
      <c r="AB529" s="373"/>
    </row>
    <row r="530" spans="1:28" s="338" customFormat="1" ht="12.75" customHeight="1" x14ac:dyDescent="0.25">
      <c r="A530" s="347" t="s">
        <v>1658</v>
      </c>
      <c r="B530" s="376">
        <v>45173</v>
      </c>
      <c r="C530" s="425" t="s">
        <v>60</v>
      </c>
      <c r="D530" s="333" t="s">
        <v>1623</v>
      </c>
      <c r="E530" s="333" t="s">
        <v>33</v>
      </c>
      <c r="F530" s="374" t="s">
        <v>1659</v>
      </c>
      <c r="G530" s="372" t="s">
        <v>1660</v>
      </c>
      <c r="H530" s="333">
        <v>8</v>
      </c>
      <c r="I530" s="333" t="s">
        <v>277</v>
      </c>
      <c r="J530" s="333" t="s">
        <v>46</v>
      </c>
      <c r="K530" s="333" t="s">
        <v>32</v>
      </c>
      <c r="L530" s="429"/>
      <c r="M530" s="333" t="s">
        <v>33</v>
      </c>
      <c r="N530" s="333"/>
      <c r="O530" s="333"/>
      <c r="P530" s="375">
        <v>45174</v>
      </c>
      <c r="Q530" s="429"/>
      <c r="R530" s="429"/>
      <c r="S530" s="373"/>
      <c r="T530" s="373"/>
      <c r="U530" s="373"/>
      <c r="V530" s="373"/>
      <c r="W530" s="481">
        <v>45541</v>
      </c>
      <c r="X530" s="373"/>
      <c r="Y530" s="336">
        <f t="shared" ca="1" si="13"/>
        <v>367</v>
      </c>
      <c r="Z530" s="373"/>
      <c r="AA530" s="336"/>
      <c r="AB530" s="373"/>
    </row>
    <row r="531" spans="1:28" s="338" customFormat="1" ht="12.75" customHeight="1" x14ac:dyDescent="0.25">
      <c r="A531" s="347" t="s">
        <v>1661</v>
      </c>
      <c r="B531" s="376">
        <v>45240</v>
      </c>
      <c r="C531" s="425" t="s">
        <v>219</v>
      </c>
      <c r="D531" s="372" t="s">
        <v>1589</v>
      </c>
      <c r="E531" s="372" t="s">
        <v>1662</v>
      </c>
      <c r="F531" s="374">
        <v>500732408602</v>
      </c>
      <c r="G531" s="372" t="s">
        <v>1663</v>
      </c>
      <c r="H531" s="372">
        <v>40</v>
      </c>
      <c r="I531" s="372" t="s">
        <v>1591</v>
      </c>
      <c r="J531" s="333" t="s">
        <v>46</v>
      </c>
      <c r="K531" s="333" t="s">
        <v>32</v>
      </c>
      <c r="L531" s="429"/>
      <c r="M531" s="333"/>
      <c r="N531" s="333"/>
      <c r="O531" s="333"/>
      <c r="P531" s="343">
        <v>45260</v>
      </c>
      <c r="Q531" s="429"/>
      <c r="R531" s="429"/>
      <c r="S531" s="373"/>
      <c r="T531" s="373"/>
      <c r="U531" s="373"/>
      <c r="V531" s="373"/>
      <c r="W531" s="472"/>
      <c r="X531" s="373">
        <v>40</v>
      </c>
      <c r="Y531" s="336">
        <f t="shared" ca="1" si="13"/>
        <v>326</v>
      </c>
      <c r="Z531" s="373"/>
      <c r="AA531" s="336"/>
      <c r="AB531" s="373" t="s">
        <v>1664</v>
      </c>
    </row>
    <row r="532" spans="1:28" s="338" customFormat="1" ht="12.75" customHeight="1" x14ac:dyDescent="0.25">
      <c r="A532" s="347" t="s">
        <v>1665</v>
      </c>
      <c r="B532" s="376">
        <v>45271</v>
      </c>
      <c r="C532" s="425" t="s">
        <v>219</v>
      </c>
      <c r="D532" s="333" t="s">
        <v>1589</v>
      </c>
      <c r="E532" s="333"/>
      <c r="F532" s="374">
        <v>585889108205</v>
      </c>
      <c r="G532" s="372" t="s">
        <v>1621</v>
      </c>
      <c r="H532" s="333">
        <v>11</v>
      </c>
      <c r="I532" s="333" t="s">
        <v>1591</v>
      </c>
      <c r="J532" s="333" t="s">
        <v>31</v>
      </c>
      <c r="K532" s="333" t="s">
        <v>32</v>
      </c>
      <c r="L532" s="429"/>
      <c r="M532" s="333"/>
      <c r="N532" s="333"/>
      <c r="O532" s="333"/>
      <c r="P532" s="343">
        <v>45260</v>
      </c>
      <c r="Q532" s="429"/>
      <c r="R532" s="429"/>
      <c r="S532" s="373"/>
      <c r="T532" s="373"/>
      <c r="U532" s="373"/>
      <c r="V532" s="373"/>
      <c r="W532" s="346">
        <v>45274</v>
      </c>
      <c r="X532" s="373">
        <v>11</v>
      </c>
      <c r="Y532" s="336">
        <f t="shared" ca="1" si="13"/>
        <v>14</v>
      </c>
      <c r="Z532" s="373"/>
      <c r="AA532" s="336"/>
      <c r="AB532" s="373"/>
    </row>
    <row r="533" spans="1:28" s="338" customFormat="1" ht="12.75" customHeight="1" x14ac:dyDescent="0.25">
      <c r="A533" s="347" t="s">
        <v>1666</v>
      </c>
      <c r="B533" s="376">
        <v>45244</v>
      </c>
      <c r="C533" s="425" t="s">
        <v>219</v>
      </c>
      <c r="D533" s="333" t="s">
        <v>1589</v>
      </c>
      <c r="E533" s="333"/>
      <c r="F533" s="374">
        <v>585888406305</v>
      </c>
      <c r="G533" s="372" t="s">
        <v>1667</v>
      </c>
      <c r="H533" s="333">
        <v>20</v>
      </c>
      <c r="I533" s="333" t="s">
        <v>1591</v>
      </c>
      <c r="J533" s="333" t="s">
        <v>68</v>
      </c>
      <c r="K533" s="333" t="s">
        <v>69</v>
      </c>
      <c r="L533" s="429"/>
      <c r="M533" s="333"/>
      <c r="N533" s="417"/>
      <c r="O533" s="417"/>
      <c r="P533" s="343">
        <v>45260</v>
      </c>
      <c r="Q533" s="429"/>
      <c r="R533" s="429"/>
      <c r="S533" s="373"/>
      <c r="T533" s="373"/>
      <c r="U533" s="373"/>
      <c r="V533" s="373"/>
      <c r="W533" s="472">
        <v>45268</v>
      </c>
      <c r="X533" s="373">
        <v>22</v>
      </c>
      <c r="Y533" s="336">
        <f t="shared" ca="1" si="13"/>
        <v>8</v>
      </c>
      <c r="Z533" s="373"/>
      <c r="AA533" s="336"/>
      <c r="AB533" s="373"/>
    </row>
    <row r="534" spans="1:28" s="338" customFormat="1" ht="12.75" customHeight="1" x14ac:dyDescent="0.25">
      <c r="A534" s="347" t="s">
        <v>1668</v>
      </c>
      <c r="B534" s="376">
        <v>45173</v>
      </c>
      <c r="C534" s="425" t="s">
        <v>60</v>
      </c>
      <c r="D534" s="333" t="s">
        <v>1623</v>
      </c>
      <c r="E534" s="333" t="s">
        <v>33</v>
      </c>
      <c r="F534" s="374" t="s">
        <v>1669</v>
      </c>
      <c r="G534" s="372" t="s">
        <v>1670</v>
      </c>
      <c r="H534" s="333">
        <v>8</v>
      </c>
      <c r="I534" s="333" t="s">
        <v>277</v>
      </c>
      <c r="J534" s="333" t="s">
        <v>46</v>
      </c>
      <c r="K534" s="333" t="s">
        <v>32</v>
      </c>
      <c r="L534" s="429"/>
      <c r="M534" s="333" t="s">
        <v>33</v>
      </c>
      <c r="N534" s="333"/>
      <c r="O534" s="333"/>
      <c r="P534" s="375">
        <v>45174</v>
      </c>
      <c r="Q534" s="429"/>
      <c r="R534" s="429"/>
      <c r="S534" s="373"/>
      <c r="T534" s="373"/>
      <c r="U534" s="373"/>
      <c r="V534" s="373"/>
      <c r="W534" s="472"/>
      <c r="X534" s="373"/>
      <c r="Y534" s="336">
        <f t="shared" ca="1" si="13"/>
        <v>412</v>
      </c>
      <c r="Z534" s="373"/>
      <c r="AA534" s="336"/>
      <c r="AB534" s="373"/>
    </row>
    <row r="535" spans="1:28" s="338" customFormat="1" ht="12.75" customHeight="1" x14ac:dyDescent="0.25">
      <c r="A535" s="347" t="s">
        <v>1671</v>
      </c>
      <c r="B535" s="376">
        <v>45244</v>
      </c>
      <c r="C535" s="425" t="s">
        <v>35</v>
      </c>
      <c r="D535" s="333" t="s">
        <v>36</v>
      </c>
      <c r="E535" s="333">
        <v>5763270</v>
      </c>
      <c r="F535" s="374" t="s">
        <v>1672</v>
      </c>
      <c r="G535" s="372" t="s">
        <v>499</v>
      </c>
      <c r="H535" s="333">
        <v>1</v>
      </c>
      <c r="I535" s="333" t="s">
        <v>1673</v>
      </c>
      <c r="J535" s="333" t="s">
        <v>68</v>
      </c>
      <c r="K535" s="333" t="s">
        <v>69</v>
      </c>
      <c r="L535" s="429"/>
      <c r="M535" s="333"/>
      <c r="N535" s="417"/>
      <c r="O535" s="417"/>
      <c r="P535" s="343"/>
      <c r="Q535" s="429"/>
      <c r="R535" s="429"/>
      <c r="S535" s="373"/>
      <c r="T535" s="373"/>
      <c r="U535" s="373"/>
      <c r="V535" s="373"/>
      <c r="W535" s="472"/>
      <c r="X535" s="373"/>
      <c r="Y535" s="336" t="str">
        <f t="shared" ca="1" si="13"/>
        <v/>
      </c>
      <c r="Z535" s="373"/>
      <c r="AA535" s="336"/>
      <c r="AB535" s="373"/>
    </row>
    <row r="536" spans="1:28" s="338" customFormat="1" ht="12.75" customHeight="1" x14ac:dyDescent="0.25">
      <c r="A536" s="347" t="s">
        <v>1674</v>
      </c>
      <c r="B536" s="376"/>
      <c r="C536" s="425"/>
      <c r="D536" s="333"/>
      <c r="E536" s="333" t="s">
        <v>1675</v>
      </c>
      <c r="F536" s="374">
        <v>503046803301</v>
      </c>
      <c r="G536" s="372" t="s">
        <v>1676</v>
      </c>
      <c r="H536" s="333">
        <v>20</v>
      </c>
      <c r="I536" s="333">
        <v>2</v>
      </c>
      <c r="J536" s="333"/>
      <c r="K536" s="333"/>
      <c r="L536" s="429"/>
      <c r="M536" s="333"/>
      <c r="N536" s="333"/>
      <c r="O536" s="333"/>
      <c r="P536" s="343"/>
      <c r="Q536" s="429"/>
      <c r="R536" s="429"/>
      <c r="S536" s="373"/>
      <c r="T536" s="373"/>
      <c r="U536" s="373"/>
      <c r="V536" s="373"/>
      <c r="W536" s="472"/>
      <c r="X536" s="373"/>
      <c r="Y536" s="336" t="str">
        <f t="shared" ca="1" si="13"/>
        <v/>
      </c>
      <c r="Z536" s="373"/>
      <c r="AA536" s="336"/>
      <c r="AB536" s="373"/>
    </row>
    <row r="537" spans="1:28" s="338" customFormat="1" ht="12.75" customHeight="1" x14ac:dyDescent="0.25">
      <c r="A537" s="347" t="s">
        <v>1677</v>
      </c>
      <c r="B537" s="376">
        <v>45173</v>
      </c>
      <c r="C537" s="425" t="s">
        <v>60</v>
      </c>
      <c r="D537" s="333" t="s">
        <v>1623</v>
      </c>
      <c r="E537" s="333" t="s">
        <v>33</v>
      </c>
      <c r="F537" s="374" t="s">
        <v>1678</v>
      </c>
      <c r="G537" s="372" t="s">
        <v>1679</v>
      </c>
      <c r="H537" s="333">
        <v>3</v>
      </c>
      <c r="I537" s="333" t="s">
        <v>277</v>
      </c>
      <c r="J537" s="333" t="s">
        <v>46</v>
      </c>
      <c r="K537" s="333" t="s">
        <v>32</v>
      </c>
      <c r="L537" s="429"/>
      <c r="M537" s="333" t="s">
        <v>33</v>
      </c>
      <c r="N537" s="333"/>
      <c r="O537" s="333"/>
      <c r="P537" s="375">
        <v>45174</v>
      </c>
      <c r="Q537" s="429"/>
      <c r="R537" s="429"/>
      <c r="S537" s="373"/>
      <c r="T537" s="373"/>
      <c r="U537" s="373"/>
      <c r="V537" s="373"/>
      <c r="W537" s="472"/>
      <c r="X537" s="373"/>
      <c r="Y537" s="336">
        <f t="shared" ca="1" si="13"/>
        <v>412</v>
      </c>
      <c r="Z537" s="373"/>
      <c r="AA537" s="336"/>
      <c r="AB537" s="373"/>
    </row>
    <row r="538" spans="1:28" s="338" customFormat="1" ht="12.75" customHeight="1" x14ac:dyDescent="0.25">
      <c r="A538" s="347" t="s">
        <v>1680</v>
      </c>
      <c r="B538" s="376">
        <v>45245</v>
      </c>
      <c r="C538" s="425" t="s">
        <v>219</v>
      </c>
      <c r="D538" s="333" t="s">
        <v>1589</v>
      </c>
      <c r="E538" s="333" t="s">
        <v>1601</v>
      </c>
      <c r="F538" s="374">
        <v>557544401206</v>
      </c>
      <c r="G538" s="372" t="s">
        <v>1681</v>
      </c>
      <c r="H538" s="333">
        <v>20</v>
      </c>
      <c r="I538" s="333" t="s">
        <v>1591</v>
      </c>
      <c r="J538" s="333" t="s">
        <v>31</v>
      </c>
      <c r="K538" s="333" t="s">
        <v>32</v>
      </c>
      <c r="L538" s="429"/>
      <c r="M538" s="333"/>
      <c r="N538" s="333"/>
      <c r="O538" s="333"/>
      <c r="P538" s="343">
        <v>45260</v>
      </c>
      <c r="Q538" s="429"/>
      <c r="R538" s="429"/>
      <c r="S538" s="373"/>
      <c r="T538" s="373"/>
      <c r="U538" s="373"/>
      <c r="V538" s="373"/>
      <c r="W538" s="472"/>
      <c r="X538" s="373">
        <v>20</v>
      </c>
      <c r="Y538" s="336">
        <f t="shared" ca="1" si="13"/>
        <v>326</v>
      </c>
      <c r="Z538" s="373"/>
      <c r="AA538" s="336"/>
      <c r="AB538" s="373" t="s">
        <v>1682</v>
      </c>
    </row>
    <row r="539" spans="1:28" s="338" customFormat="1" ht="12.75" customHeight="1" x14ac:dyDescent="0.25">
      <c r="A539" s="347" t="s">
        <v>1683</v>
      </c>
      <c r="B539" s="376">
        <v>45233</v>
      </c>
      <c r="C539" s="425" t="s">
        <v>219</v>
      </c>
      <c r="D539" s="372" t="s">
        <v>1589</v>
      </c>
      <c r="E539" s="372" t="s">
        <v>1601</v>
      </c>
      <c r="F539" s="374">
        <v>585872100101</v>
      </c>
      <c r="G539" s="372" t="s">
        <v>1684</v>
      </c>
      <c r="H539" s="372">
        <v>10</v>
      </c>
      <c r="I539" s="372" t="s">
        <v>1591</v>
      </c>
      <c r="J539" s="333" t="s">
        <v>46</v>
      </c>
      <c r="K539" s="333" t="s">
        <v>32</v>
      </c>
      <c r="L539" s="429"/>
      <c r="M539" s="333"/>
      <c r="N539" s="333"/>
      <c r="O539" s="333"/>
      <c r="P539" s="343">
        <v>45260</v>
      </c>
      <c r="Q539" s="429"/>
      <c r="R539" s="429"/>
      <c r="S539" s="373"/>
      <c r="T539" s="373"/>
      <c r="U539" s="373"/>
      <c r="V539" s="373"/>
      <c r="W539" s="480">
        <v>45271</v>
      </c>
      <c r="X539" s="373">
        <v>10</v>
      </c>
      <c r="Y539" s="336">
        <f t="shared" ca="1" si="13"/>
        <v>11</v>
      </c>
      <c r="Z539" s="373"/>
      <c r="AA539" s="336"/>
      <c r="AB539" s="373" t="s">
        <v>1685</v>
      </c>
    </row>
    <row r="540" spans="1:28" s="338" customFormat="1" ht="12.75" customHeight="1" x14ac:dyDescent="0.25">
      <c r="A540" s="347" t="s">
        <v>1686</v>
      </c>
      <c r="B540" s="376">
        <v>45233</v>
      </c>
      <c r="C540" s="425" t="s">
        <v>219</v>
      </c>
      <c r="D540" s="372" t="s">
        <v>1589</v>
      </c>
      <c r="E540" s="372" t="s">
        <v>1601</v>
      </c>
      <c r="F540" s="374">
        <v>585872100102</v>
      </c>
      <c r="G540" s="372" t="s">
        <v>1687</v>
      </c>
      <c r="H540" s="372">
        <v>10</v>
      </c>
      <c r="I540" s="372" t="s">
        <v>1591</v>
      </c>
      <c r="J540" s="333" t="s">
        <v>46</v>
      </c>
      <c r="K540" s="333" t="s">
        <v>32</v>
      </c>
      <c r="L540" s="429"/>
      <c r="M540" s="333"/>
      <c r="N540" s="333"/>
      <c r="O540" s="333"/>
      <c r="P540" s="343">
        <v>45260</v>
      </c>
      <c r="Q540" s="429"/>
      <c r="R540" s="429"/>
      <c r="S540" s="373"/>
      <c r="T540" s="373"/>
      <c r="U540" s="373"/>
      <c r="V540" s="373"/>
      <c r="W540" s="480">
        <v>45271</v>
      </c>
      <c r="X540" s="373">
        <v>10</v>
      </c>
      <c r="Y540" s="336">
        <f t="shared" ca="1" si="13"/>
        <v>11</v>
      </c>
      <c r="Z540" s="373"/>
      <c r="AA540" s="336"/>
      <c r="AB540" s="373" t="s">
        <v>1685</v>
      </c>
    </row>
    <row r="541" spans="1:28" s="338" customFormat="1" ht="12.75" customHeight="1" x14ac:dyDescent="0.25">
      <c r="A541" s="347" t="s">
        <v>1688</v>
      </c>
      <c r="B541" s="376">
        <v>45233</v>
      </c>
      <c r="C541" s="425" t="s">
        <v>219</v>
      </c>
      <c r="D541" s="333" t="s">
        <v>1589</v>
      </c>
      <c r="E541" s="333" t="s">
        <v>1601</v>
      </c>
      <c r="F541" s="374">
        <v>11347796125</v>
      </c>
      <c r="G541" s="372" t="s">
        <v>1689</v>
      </c>
      <c r="H541" s="333">
        <v>10</v>
      </c>
      <c r="I541" s="333" t="s">
        <v>1591</v>
      </c>
      <c r="J541" s="333" t="s">
        <v>46</v>
      </c>
      <c r="K541" s="333" t="s">
        <v>32</v>
      </c>
      <c r="L541" s="429"/>
      <c r="M541" s="333"/>
      <c r="N541" s="333"/>
      <c r="O541" s="333"/>
      <c r="P541" s="343">
        <v>45260</v>
      </c>
      <c r="Q541" s="429"/>
      <c r="R541" s="429"/>
      <c r="S541" s="373"/>
      <c r="T541" s="373"/>
      <c r="U541" s="373"/>
      <c r="V541" s="373"/>
      <c r="W541" s="472">
        <v>45330</v>
      </c>
      <c r="X541" s="373">
        <v>10</v>
      </c>
      <c r="Y541" s="336">
        <f t="shared" ca="1" si="13"/>
        <v>70</v>
      </c>
      <c r="Z541" s="373"/>
      <c r="AA541" s="336"/>
      <c r="AB541" s="373" t="s">
        <v>1690</v>
      </c>
    </row>
    <row r="542" spans="1:28" s="338" customFormat="1" ht="12.75" customHeight="1" x14ac:dyDescent="0.25">
      <c r="A542" s="347" t="s">
        <v>1691</v>
      </c>
      <c r="B542" s="376">
        <v>45236</v>
      </c>
      <c r="C542" s="425" t="s">
        <v>219</v>
      </c>
      <c r="D542" s="333" t="s">
        <v>1589</v>
      </c>
      <c r="E542" s="333" t="s">
        <v>1692</v>
      </c>
      <c r="F542" s="374">
        <v>12466096171</v>
      </c>
      <c r="G542" s="372" t="s">
        <v>1693</v>
      </c>
      <c r="H542" s="333">
        <v>140</v>
      </c>
      <c r="I542" s="333" t="s">
        <v>1591</v>
      </c>
      <c r="J542" s="333" t="s">
        <v>43</v>
      </c>
      <c r="K542" s="333" t="s">
        <v>32</v>
      </c>
      <c r="L542" s="429"/>
      <c r="M542" s="333"/>
      <c r="N542" s="333"/>
      <c r="O542" s="333"/>
      <c r="P542" s="343">
        <v>45260</v>
      </c>
      <c r="Q542" s="429"/>
      <c r="R542" s="429"/>
      <c r="S542" s="373"/>
      <c r="T542" s="373"/>
      <c r="U542" s="373"/>
      <c r="V542" s="373"/>
      <c r="W542" s="346">
        <v>45274</v>
      </c>
      <c r="X542" s="373">
        <v>680</v>
      </c>
      <c r="Y542" s="336">
        <f t="shared" ca="1" si="13"/>
        <v>14</v>
      </c>
      <c r="Z542" s="373"/>
      <c r="AA542" s="336"/>
      <c r="AB542" s="373"/>
    </row>
    <row r="543" spans="1:28" s="338" customFormat="1" ht="12.75" customHeight="1" x14ac:dyDescent="0.25">
      <c r="A543" s="347" t="s">
        <v>1694</v>
      </c>
      <c r="B543" s="376">
        <v>45236</v>
      </c>
      <c r="C543" s="425" t="s">
        <v>219</v>
      </c>
      <c r="D543" s="333" t="s">
        <v>1589</v>
      </c>
      <c r="E543" s="333" t="s">
        <v>1601</v>
      </c>
      <c r="F543" s="374">
        <v>12302996081</v>
      </c>
      <c r="G543" s="372" t="s">
        <v>1695</v>
      </c>
      <c r="H543" s="333">
        <v>600</v>
      </c>
      <c r="I543" s="333" t="s">
        <v>1591</v>
      </c>
      <c r="J543" s="333" t="s">
        <v>43</v>
      </c>
      <c r="K543" s="333" t="s">
        <v>32</v>
      </c>
      <c r="L543" s="429"/>
      <c r="M543" s="333"/>
      <c r="N543" s="333"/>
      <c r="O543" s="333"/>
      <c r="P543" s="343">
        <v>45260</v>
      </c>
      <c r="Q543" s="429"/>
      <c r="R543" s="429"/>
      <c r="S543" s="373"/>
      <c r="T543" s="373"/>
      <c r="U543" s="373"/>
      <c r="V543" s="373"/>
      <c r="W543" s="472">
        <v>45330</v>
      </c>
      <c r="X543" s="373">
        <v>64</v>
      </c>
      <c r="Y543" s="336">
        <f t="shared" ca="1" si="13"/>
        <v>70</v>
      </c>
      <c r="Z543" s="373"/>
      <c r="AA543" s="336"/>
      <c r="AB543" s="373" t="s">
        <v>1696</v>
      </c>
    </row>
    <row r="544" spans="1:28" s="338" customFormat="1" ht="12.75" customHeight="1" x14ac:dyDescent="0.25">
      <c r="A544" s="347" t="s">
        <v>1697</v>
      </c>
      <c r="B544" s="376"/>
      <c r="C544" s="425"/>
      <c r="D544" s="333"/>
      <c r="E544" s="333"/>
      <c r="F544" s="374"/>
      <c r="G544" s="372" t="s">
        <v>1698</v>
      </c>
      <c r="H544" s="333">
        <v>24</v>
      </c>
      <c r="I544" s="333"/>
      <c r="J544" s="333"/>
      <c r="K544" s="333"/>
      <c r="L544" s="429"/>
      <c r="M544" s="333"/>
      <c r="N544" s="333"/>
      <c r="O544" s="333"/>
      <c r="P544" s="343"/>
      <c r="Q544" s="429"/>
      <c r="R544" s="429"/>
      <c r="S544" s="373"/>
      <c r="T544" s="373"/>
      <c r="U544" s="373"/>
      <c r="V544" s="373"/>
      <c r="W544" s="472"/>
      <c r="X544" s="373"/>
      <c r="Y544" s="336" t="str">
        <f t="shared" ca="1" si="13"/>
        <v/>
      </c>
      <c r="Z544" s="373"/>
      <c r="AA544" s="336"/>
      <c r="AB544" s="373"/>
    </row>
    <row r="545" spans="1:28" s="338" customFormat="1" ht="12.75" customHeight="1" x14ac:dyDescent="0.25">
      <c r="A545" s="347" t="s">
        <v>1699</v>
      </c>
      <c r="B545" s="376">
        <v>45173</v>
      </c>
      <c r="C545" s="425" t="s">
        <v>60</v>
      </c>
      <c r="D545" s="333" t="s">
        <v>1623</v>
      </c>
      <c r="E545" s="333" t="s">
        <v>33</v>
      </c>
      <c r="F545" s="374" t="s">
        <v>1700</v>
      </c>
      <c r="G545" s="372" t="s">
        <v>1647</v>
      </c>
      <c r="H545" s="333">
        <v>1</v>
      </c>
      <c r="I545" s="333" t="s">
        <v>277</v>
      </c>
      <c r="J545" s="333" t="s">
        <v>46</v>
      </c>
      <c r="K545" s="333" t="s">
        <v>32</v>
      </c>
      <c r="L545" s="429"/>
      <c r="M545" s="333" t="s">
        <v>33</v>
      </c>
      <c r="N545" s="333"/>
      <c r="O545" s="333"/>
      <c r="P545" s="375">
        <v>45174</v>
      </c>
      <c r="Q545" s="429"/>
      <c r="R545" s="429"/>
      <c r="S545" s="373"/>
      <c r="T545" s="373"/>
      <c r="U545" s="373"/>
      <c r="V545" s="373"/>
      <c r="W545" s="472"/>
      <c r="X545" s="373"/>
      <c r="Y545" s="336">
        <f t="shared" ca="1" si="13"/>
        <v>412</v>
      </c>
      <c r="Z545" s="373"/>
      <c r="AA545" s="336"/>
      <c r="AB545" s="373"/>
    </row>
    <row r="546" spans="1:28" s="338" customFormat="1" ht="12.75" customHeight="1" x14ac:dyDescent="0.25">
      <c r="A546" s="347" t="s">
        <v>1701</v>
      </c>
      <c r="B546" s="376">
        <v>45173</v>
      </c>
      <c r="C546" s="425" t="s">
        <v>60</v>
      </c>
      <c r="D546" s="333" t="s">
        <v>1623</v>
      </c>
      <c r="E546" s="333" t="s">
        <v>33</v>
      </c>
      <c r="F546" s="374" t="s">
        <v>1702</v>
      </c>
      <c r="G546" s="372" t="s">
        <v>1703</v>
      </c>
      <c r="H546" s="333">
        <v>8</v>
      </c>
      <c r="I546" s="333" t="s">
        <v>277</v>
      </c>
      <c r="J546" s="333" t="s">
        <v>46</v>
      </c>
      <c r="K546" s="333" t="s">
        <v>32</v>
      </c>
      <c r="L546" s="429"/>
      <c r="M546" s="333" t="s">
        <v>33</v>
      </c>
      <c r="N546" s="333"/>
      <c r="O546" s="333"/>
      <c r="P546" s="375">
        <v>45174</v>
      </c>
      <c r="Q546" s="429"/>
      <c r="R546" s="429"/>
      <c r="S546" s="373"/>
      <c r="T546" s="373"/>
      <c r="U546" s="373"/>
      <c r="V546" s="373"/>
      <c r="W546" s="472"/>
      <c r="X546" s="373"/>
      <c r="Y546" s="336">
        <f t="shared" ca="1" si="13"/>
        <v>412</v>
      </c>
      <c r="Z546" s="373"/>
      <c r="AA546" s="336"/>
      <c r="AB546" s="373"/>
    </row>
    <row r="547" spans="1:28" s="338" customFormat="1" ht="12.75" customHeight="1" x14ac:dyDescent="0.25">
      <c r="A547" s="347" t="s">
        <v>1704</v>
      </c>
      <c r="B547" s="376">
        <v>45251</v>
      </c>
      <c r="C547" s="425" t="s">
        <v>35</v>
      </c>
      <c r="D547" s="333" t="s">
        <v>177</v>
      </c>
      <c r="E547" s="333">
        <v>632853</v>
      </c>
      <c r="F547" s="374" t="s">
        <v>1705</v>
      </c>
      <c r="G547" s="372" t="s">
        <v>1706</v>
      </c>
      <c r="H547" s="333">
        <v>1</v>
      </c>
      <c r="I547" s="333" t="s">
        <v>1707</v>
      </c>
      <c r="J547" s="333" t="s">
        <v>31</v>
      </c>
      <c r="K547" s="333" t="s">
        <v>32</v>
      </c>
      <c r="L547" s="429"/>
      <c r="M547" s="333"/>
      <c r="N547" s="333"/>
      <c r="O547" s="333"/>
      <c r="P547" s="343"/>
      <c r="Q547" s="429"/>
      <c r="R547" s="429"/>
      <c r="S547" s="373"/>
      <c r="T547" s="373"/>
      <c r="U547" s="373"/>
      <c r="V547" s="373"/>
      <c r="W547" s="472"/>
      <c r="X547" s="373"/>
      <c r="Y547" s="336" t="str">
        <f t="shared" ca="1" si="13"/>
        <v/>
      </c>
      <c r="Z547" s="373"/>
      <c r="AA547" s="336"/>
      <c r="AB547" s="373"/>
    </row>
    <row r="548" spans="1:28" s="338" customFormat="1" ht="12.75" customHeight="1" x14ac:dyDescent="0.25">
      <c r="A548" s="347" t="s">
        <v>1708</v>
      </c>
      <c r="B548" s="376">
        <v>45251</v>
      </c>
      <c r="C548" s="425" t="s">
        <v>35</v>
      </c>
      <c r="D548" s="333" t="s">
        <v>83</v>
      </c>
      <c r="E548" s="333">
        <v>6980369</v>
      </c>
      <c r="F548" s="374" t="s">
        <v>1709</v>
      </c>
      <c r="G548" s="372" t="s">
        <v>1710</v>
      </c>
      <c r="H548" s="333">
        <v>1</v>
      </c>
      <c r="I548" s="333" t="s">
        <v>1711</v>
      </c>
      <c r="J548" s="333" t="s">
        <v>43</v>
      </c>
      <c r="K548" s="333" t="s">
        <v>32</v>
      </c>
      <c r="L548" s="429"/>
      <c r="M548" s="372"/>
      <c r="N548" s="333"/>
      <c r="O548" s="333"/>
      <c r="P548" s="343">
        <v>45254</v>
      </c>
      <c r="Q548" s="429"/>
      <c r="R548" s="429"/>
      <c r="S548" s="373"/>
      <c r="T548" s="373"/>
      <c r="U548" s="373"/>
      <c r="V548" s="373"/>
      <c r="W548" s="472">
        <v>45362</v>
      </c>
      <c r="X548" s="373">
        <v>2</v>
      </c>
      <c r="Y548" s="336">
        <f t="shared" ca="1" si="13"/>
        <v>108</v>
      </c>
      <c r="Z548" s="373"/>
      <c r="AA548" s="336"/>
      <c r="AB548" s="373"/>
    </row>
    <row r="549" spans="1:28" s="338" customFormat="1" ht="12.75" customHeight="1" x14ac:dyDescent="0.25">
      <c r="A549" s="347" t="s">
        <v>1712</v>
      </c>
      <c r="B549" s="376">
        <v>45251</v>
      </c>
      <c r="C549" s="425" t="s">
        <v>35</v>
      </c>
      <c r="D549" s="333" t="s">
        <v>177</v>
      </c>
      <c r="E549" s="333" t="s">
        <v>1713</v>
      </c>
      <c r="F549" s="374" t="s">
        <v>1714</v>
      </c>
      <c r="G549" s="372" t="s">
        <v>1715</v>
      </c>
      <c r="H549" s="333">
        <v>5</v>
      </c>
      <c r="I549" s="333" t="s">
        <v>1716</v>
      </c>
      <c r="J549" s="333" t="s">
        <v>541</v>
      </c>
      <c r="K549" s="333" t="s">
        <v>32</v>
      </c>
      <c r="L549" s="429"/>
      <c r="M549" s="372"/>
      <c r="N549" s="333"/>
      <c r="O549" s="333"/>
      <c r="P549" s="343">
        <v>45251</v>
      </c>
      <c r="Q549" s="429"/>
      <c r="R549" s="429"/>
      <c r="S549" s="373"/>
      <c r="T549" s="373"/>
      <c r="U549" s="373"/>
      <c r="V549" s="373"/>
      <c r="W549" s="472">
        <v>45306</v>
      </c>
      <c r="X549" s="373">
        <v>5</v>
      </c>
      <c r="Y549" s="336">
        <f t="shared" ca="1" si="13"/>
        <v>55</v>
      </c>
      <c r="Z549" s="373"/>
      <c r="AA549" s="336"/>
      <c r="AB549" s="373"/>
    </row>
    <row r="550" spans="1:28" s="338" customFormat="1" ht="12.75" customHeight="1" x14ac:dyDescent="0.25">
      <c r="A550" s="347" t="s">
        <v>1717</v>
      </c>
      <c r="B550" s="376">
        <v>45173</v>
      </c>
      <c r="C550" s="425" t="s">
        <v>60</v>
      </c>
      <c r="D550" s="333" t="s">
        <v>1623</v>
      </c>
      <c r="E550" s="333" t="s">
        <v>33</v>
      </c>
      <c r="F550" s="374" t="s">
        <v>1718</v>
      </c>
      <c r="G550" s="372" t="s">
        <v>1719</v>
      </c>
      <c r="H550" s="333">
        <v>8</v>
      </c>
      <c r="I550" s="333" t="s">
        <v>277</v>
      </c>
      <c r="J550" s="333" t="s">
        <v>46</v>
      </c>
      <c r="K550" s="333" t="s">
        <v>32</v>
      </c>
      <c r="L550" s="429"/>
      <c r="M550" s="333" t="s">
        <v>33</v>
      </c>
      <c r="N550" s="333"/>
      <c r="O550" s="333"/>
      <c r="P550" s="375">
        <v>45174</v>
      </c>
      <c r="Q550" s="429"/>
      <c r="R550" s="429"/>
      <c r="S550" s="373"/>
      <c r="T550" s="373"/>
      <c r="U550" s="373"/>
      <c r="V550" s="373"/>
      <c r="W550" s="472"/>
      <c r="X550" s="373"/>
      <c r="Y550" s="336">
        <f t="shared" ca="1" si="13"/>
        <v>412</v>
      </c>
      <c r="Z550" s="373"/>
      <c r="AA550" s="336"/>
      <c r="AB550" s="373"/>
    </row>
    <row r="551" spans="1:28" s="338" customFormat="1" ht="12.75" customHeight="1" x14ac:dyDescent="0.25">
      <c r="A551" s="347" t="s">
        <v>1720</v>
      </c>
      <c r="B551" s="376">
        <v>45173</v>
      </c>
      <c r="C551" s="425" t="s">
        <v>60</v>
      </c>
      <c r="D551" s="333" t="s">
        <v>1623</v>
      </c>
      <c r="E551" s="333" t="s">
        <v>33</v>
      </c>
      <c r="F551" s="374" t="s">
        <v>1721</v>
      </c>
      <c r="G551" s="372" t="s">
        <v>1722</v>
      </c>
      <c r="H551" s="333">
        <v>8</v>
      </c>
      <c r="I551" s="333" t="s">
        <v>277</v>
      </c>
      <c r="J551" s="333" t="s">
        <v>46</v>
      </c>
      <c r="K551" s="333" t="s">
        <v>32</v>
      </c>
      <c r="L551" s="429"/>
      <c r="M551" s="333" t="s">
        <v>33</v>
      </c>
      <c r="N551" s="333"/>
      <c r="O551" s="333"/>
      <c r="P551" s="375">
        <v>45174</v>
      </c>
      <c r="Q551" s="429"/>
      <c r="R551" s="429"/>
      <c r="S551" s="373"/>
      <c r="T551" s="373"/>
      <c r="U551" s="373"/>
      <c r="V551" s="373"/>
      <c r="W551" s="472"/>
      <c r="X551" s="373"/>
      <c r="Y551" s="336">
        <f t="shared" ca="1" si="13"/>
        <v>412</v>
      </c>
      <c r="Z551" s="373"/>
      <c r="AA551" s="336"/>
      <c r="AB551" s="373"/>
    </row>
    <row r="552" spans="1:28" s="338" customFormat="1" ht="12.75" customHeight="1" x14ac:dyDescent="0.25">
      <c r="A552" s="347" t="s">
        <v>1723</v>
      </c>
      <c r="B552" s="376">
        <v>45173</v>
      </c>
      <c r="C552" s="425" t="s">
        <v>60</v>
      </c>
      <c r="D552" s="333" t="s">
        <v>1623</v>
      </c>
      <c r="E552" s="333" t="s">
        <v>33</v>
      </c>
      <c r="F552" s="374" t="s">
        <v>1724</v>
      </c>
      <c r="G552" s="372" t="s">
        <v>1725</v>
      </c>
      <c r="H552" s="333">
        <v>8</v>
      </c>
      <c r="I552" s="333" t="s">
        <v>277</v>
      </c>
      <c r="J552" s="333" t="s">
        <v>46</v>
      </c>
      <c r="K552" s="333" t="s">
        <v>32</v>
      </c>
      <c r="L552" s="429"/>
      <c r="M552" s="333" t="s">
        <v>33</v>
      </c>
      <c r="N552" s="333"/>
      <c r="O552" s="333"/>
      <c r="P552" s="375">
        <v>45174</v>
      </c>
      <c r="Q552" s="429"/>
      <c r="R552" s="429"/>
      <c r="S552" s="373"/>
      <c r="T552" s="373"/>
      <c r="U552" s="373"/>
      <c r="V552" s="373"/>
      <c r="W552" s="472"/>
      <c r="X552" s="373"/>
      <c r="Y552" s="336">
        <f t="shared" ca="1" si="13"/>
        <v>412</v>
      </c>
      <c r="Z552" s="373"/>
      <c r="AA552" s="336"/>
      <c r="AB552" s="373"/>
    </row>
    <row r="553" spans="1:28" s="338" customFormat="1" ht="12.75" customHeight="1" x14ac:dyDescent="0.25">
      <c r="A553" s="347" t="s">
        <v>1726</v>
      </c>
      <c r="B553" s="376">
        <v>45173</v>
      </c>
      <c r="C553" s="425" t="s">
        <v>60</v>
      </c>
      <c r="D553" s="333" t="s">
        <v>1623</v>
      </c>
      <c r="E553" s="333" t="s">
        <v>33</v>
      </c>
      <c r="F553" s="374" t="s">
        <v>1727</v>
      </c>
      <c r="G553" s="372" t="s">
        <v>1728</v>
      </c>
      <c r="H553" s="333">
        <v>8</v>
      </c>
      <c r="I553" s="333" t="s">
        <v>277</v>
      </c>
      <c r="J553" s="333" t="s">
        <v>46</v>
      </c>
      <c r="K553" s="333" t="s">
        <v>32</v>
      </c>
      <c r="L553" s="429"/>
      <c r="M553" s="333" t="s">
        <v>33</v>
      </c>
      <c r="N553" s="333"/>
      <c r="O553" s="333"/>
      <c r="P553" s="375">
        <v>45174</v>
      </c>
      <c r="Q553" s="429"/>
      <c r="R553" s="429"/>
      <c r="S553" s="373"/>
      <c r="T553" s="373"/>
      <c r="U553" s="373"/>
      <c r="V553" s="373"/>
      <c r="W553" s="472"/>
      <c r="X553" s="373"/>
      <c r="Y553" s="336">
        <f t="shared" ca="1" si="13"/>
        <v>412</v>
      </c>
      <c r="Z553" s="373"/>
      <c r="AA553" s="336"/>
      <c r="AB553" s="373"/>
    </row>
    <row r="554" spans="1:28" s="338" customFormat="1" ht="12.75" customHeight="1" x14ac:dyDescent="0.25">
      <c r="A554" s="347" t="s">
        <v>1729</v>
      </c>
      <c r="B554" s="376">
        <v>45175</v>
      </c>
      <c r="C554" s="425" t="s">
        <v>60</v>
      </c>
      <c r="D554" s="333" t="s">
        <v>1623</v>
      </c>
      <c r="E554" s="333" t="s">
        <v>33</v>
      </c>
      <c r="F554" s="374" t="s">
        <v>1730</v>
      </c>
      <c r="G554" s="372" t="s">
        <v>1731</v>
      </c>
      <c r="H554" s="333">
        <v>10</v>
      </c>
      <c r="I554" s="333" t="s">
        <v>277</v>
      </c>
      <c r="J554" s="333" t="s">
        <v>46</v>
      </c>
      <c r="K554" s="333" t="s">
        <v>32</v>
      </c>
      <c r="L554" s="429"/>
      <c r="M554" s="333" t="s">
        <v>33</v>
      </c>
      <c r="N554" s="333"/>
      <c r="O554" s="333"/>
      <c r="P554" s="375">
        <v>45174</v>
      </c>
      <c r="Q554" s="429"/>
      <c r="R554" s="429"/>
      <c r="S554" s="373"/>
      <c r="T554" s="373"/>
      <c r="U554" s="373"/>
      <c r="V554" s="373"/>
      <c r="W554" s="472">
        <v>45173</v>
      </c>
      <c r="X554" s="373">
        <v>10</v>
      </c>
      <c r="Y554" s="336">
        <f t="shared" ca="1" si="13"/>
        <v>-1</v>
      </c>
      <c r="Z554" s="373"/>
      <c r="AA554" s="336"/>
      <c r="AB554" s="373" t="s">
        <v>1732</v>
      </c>
    </row>
    <row r="555" spans="1:28" s="338" customFormat="1" ht="12.75" customHeight="1" x14ac:dyDescent="0.25">
      <c r="A555" s="347" t="s">
        <v>1733</v>
      </c>
      <c r="B555" s="376">
        <v>45175</v>
      </c>
      <c r="C555" s="425" t="s">
        <v>60</v>
      </c>
      <c r="D555" s="333" t="s">
        <v>1623</v>
      </c>
      <c r="E555" s="333" t="s">
        <v>33</v>
      </c>
      <c r="F555" s="374" t="s">
        <v>33</v>
      </c>
      <c r="G555" s="372" t="s">
        <v>1734</v>
      </c>
      <c r="H555" s="333">
        <v>110</v>
      </c>
      <c r="I555" s="333" t="s">
        <v>277</v>
      </c>
      <c r="J555" s="333" t="s">
        <v>46</v>
      </c>
      <c r="K555" s="333" t="s">
        <v>32</v>
      </c>
      <c r="L555" s="429"/>
      <c r="M555" s="333" t="s">
        <v>33</v>
      </c>
      <c r="N555" s="333"/>
      <c r="O555" s="333"/>
      <c r="P555" s="375">
        <v>45174</v>
      </c>
      <c r="Q555" s="429"/>
      <c r="R555" s="429"/>
      <c r="S555" s="373"/>
      <c r="T555" s="373"/>
      <c r="U555" s="373"/>
      <c r="V555" s="373"/>
      <c r="W555" s="472"/>
      <c r="X555" s="373"/>
      <c r="Y555" s="336">
        <f t="shared" ca="1" si="13"/>
        <v>412</v>
      </c>
      <c r="Z555" s="373"/>
      <c r="AA555" s="336"/>
      <c r="AB555" s="373"/>
    </row>
    <row r="556" spans="1:28" s="338" customFormat="1" ht="12.75" customHeight="1" x14ac:dyDescent="0.25">
      <c r="A556" s="347" t="s">
        <v>1735</v>
      </c>
      <c r="B556" s="376">
        <v>45175</v>
      </c>
      <c r="C556" s="425" t="s">
        <v>60</v>
      </c>
      <c r="D556" s="333" t="s">
        <v>1623</v>
      </c>
      <c r="E556" s="333" t="s">
        <v>33</v>
      </c>
      <c r="F556" s="374" t="s">
        <v>1736</v>
      </c>
      <c r="G556" s="372" t="s">
        <v>1737</v>
      </c>
      <c r="H556" s="333">
        <v>80</v>
      </c>
      <c r="I556" s="333" t="s">
        <v>277</v>
      </c>
      <c r="J556" s="333" t="s">
        <v>46</v>
      </c>
      <c r="K556" s="333" t="s">
        <v>32</v>
      </c>
      <c r="L556" s="429"/>
      <c r="M556" s="333" t="s">
        <v>33</v>
      </c>
      <c r="N556" s="333"/>
      <c r="O556" s="333"/>
      <c r="P556" s="375">
        <v>45174</v>
      </c>
      <c r="Q556" s="429"/>
      <c r="R556" s="429"/>
      <c r="S556" s="373"/>
      <c r="T556" s="373"/>
      <c r="U556" s="373"/>
      <c r="V556" s="373"/>
      <c r="W556" s="472"/>
      <c r="X556" s="373"/>
      <c r="Y556" s="336">
        <f t="shared" ca="1" si="13"/>
        <v>412</v>
      </c>
      <c r="Z556" s="373"/>
      <c r="AA556" s="336"/>
      <c r="AB556" s="373"/>
    </row>
    <row r="557" spans="1:28" s="338" customFormat="1" ht="12.75" customHeight="1" x14ac:dyDescent="0.25">
      <c r="A557" s="347" t="s">
        <v>1738</v>
      </c>
      <c r="B557" s="376">
        <v>45175</v>
      </c>
      <c r="C557" s="425" t="s">
        <v>60</v>
      </c>
      <c r="D557" s="333" t="s">
        <v>1623</v>
      </c>
      <c r="E557" s="333" t="s">
        <v>33</v>
      </c>
      <c r="F557" s="374" t="s">
        <v>1739</v>
      </c>
      <c r="G557" s="372" t="s">
        <v>1740</v>
      </c>
      <c r="H557" s="333">
        <v>20</v>
      </c>
      <c r="I557" s="333" t="s">
        <v>277</v>
      </c>
      <c r="J557" s="333" t="s">
        <v>46</v>
      </c>
      <c r="K557" s="333" t="s">
        <v>32</v>
      </c>
      <c r="L557" s="429"/>
      <c r="M557" s="333" t="s">
        <v>33</v>
      </c>
      <c r="N557" s="333"/>
      <c r="O557" s="333"/>
      <c r="P557" s="375">
        <v>45174</v>
      </c>
      <c r="Q557" s="429"/>
      <c r="R557" s="429"/>
      <c r="S557" s="373"/>
      <c r="T557" s="373"/>
      <c r="U557" s="373"/>
      <c r="V557" s="373"/>
      <c r="W557" s="472"/>
      <c r="X557" s="373"/>
      <c r="Y557" s="336">
        <f t="shared" ca="1" si="13"/>
        <v>412</v>
      </c>
      <c r="Z557" s="373"/>
      <c r="AA557" s="336"/>
      <c r="AB557" s="373"/>
    </row>
    <row r="558" spans="1:28" s="338" customFormat="1" ht="12.75" customHeight="1" x14ac:dyDescent="0.25">
      <c r="A558" s="347" t="s">
        <v>1741</v>
      </c>
      <c r="B558" s="376">
        <v>45175</v>
      </c>
      <c r="C558" s="425" t="s">
        <v>60</v>
      </c>
      <c r="D558" s="333" t="s">
        <v>1623</v>
      </c>
      <c r="E558" s="333" t="s">
        <v>33</v>
      </c>
      <c r="F558" s="374" t="s">
        <v>1742</v>
      </c>
      <c r="G558" s="372" t="s">
        <v>1743</v>
      </c>
      <c r="H558" s="333">
        <v>40</v>
      </c>
      <c r="I558" s="333" t="s">
        <v>277</v>
      </c>
      <c r="J558" s="333" t="s">
        <v>46</v>
      </c>
      <c r="K558" s="333" t="s">
        <v>32</v>
      </c>
      <c r="L558" s="429"/>
      <c r="M558" s="333" t="s">
        <v>33</v>
      </c>
      <c r="N558" s="333"/>
      <c r="O558" s="333"/>
      <c r="P558" s="375">
        <v>45174</v>
      </c>
      <c r="Q558" s="429"/>
      <c r="R558" s="429"/>
      <c r="S558" s="373"/>
      <c r="T558" s="373"/>
      <c r="U558" s="373"/>
      <c r="V558" s="373"/>
      <c r="W558" s="472"/>
      <c r="X558" s="373"/>
      <c r="Y558" s="336">
        <f t="shared" ca="1" si="13"/>
        <v>412</v>
      </c>
      <c r="Z558" s="373"/>
      <c r="AA558" s="336"/>
      <c r="AB558" s="373"/>
    </row>
    <row r="559" spans="1:28" s="338" customFormat="1" ht="12.75" customHeight="1" x14ac:dyDescent="0.25">
      <c r="A559" s="347" t="s">
        <v>1744</v>
      </c>
      <c r="B559" s="376">
        <v>45175</v>
      </c>
      <c r="C559" s="425" t="s">
        <v>60</v>
      </c>
      <c r="D559" s="333" t="s">
        <v>1623</v>
      </c>
      <c r="E559" s="333" t="s">
        <v>33</v>
      </c>
      <c r="F559" s="374" t="s">
        <v>1745</v>
      </c>
      <c r="G559" s="372" t="s">
        <v>1746</v>
      </c>
      <c r="H559" s="333">
        <v>40</v>
      </c>
      <c r="I559" s="333" t="s">
        <v>277</v>
      </c>
      <c r="J559" s="333" t="s">
        <v>46</v>
      </c>
      <c r="K559" s="333" t="s">
        <v>32</v>
      </c>
      <c r="L559" s="429"/>
      <c r="M559" s="333" t="s">
        <v>33</v>
      </c>
      <c r="N559" s="333"/>
      <c r="O559" s="333"/>
      <c r="P559" s="375">
        <v>45174</v>
      </c>
      <c r="Q559" s="429"/>
      <c r="R559" s="429"/>
      <c r="S559" s="373"/>
      <c r="T559" s="373"/>
      <c r="U559" s="373"/>
      <c r="V559" s="373"/>
      <c r="W559" s="472"/>
      <c r="X559" s="373"/>
      <c r="Y559" s="336">
        <f t="shared" ca="1" si="13"/>
        <v>412</v>
      </c>
      <c r="Z559" s="373"/>
      <c r="AA559" s="336"/>
      <c r="AB559" s="373"/>
    </row>
    <row r="560" spans="1:28" s="338" customFormat="1" ht="12.75" customHeight="1" x14ac:dyDescent="0.25">
      <c r="A560" s="347" t="s">
        <v>1747</v>
      </c>
      <c r="B560" s="376">
        <v>45175</v>
      </c>
      <c r="C560" s="425" t="s">
        <v>60</v>
      </c>
      <c r="D560" s="333" t="s">
        <v>1623</v>
      </c>
      <c r="E560" s="333" t="s">
        <v>33</v>
      </c>
      <c r="F560" s="374" t="s">
        <v>1748</v>
      </c>
      <c r="G560" s="372" t="s">
        <v>1749</v>
      </c>
      <c r="H560" s="333">
        <v>20</v>
      </c>
      <c r="I560" s="333" t="s">
        <v>277</v>
      </c>
      <c r="J560" s="333" t="s">
        <v>46</v>
      </c>
      <c r="K560" s="333" t="s">
        <v>32</v>
      </c>
      <c r="L560" s="429"/>
      <c r="M560" s="333" t="s">
        <v>33</v>
      </c>
      <c r="N560" s="333"/>
      <c r="O560" s="333"/>
      <c r="P560" s="375">
        <v>45174</v>
      </c>
      <c r="Q560" s="429"/>
      <c r="R560" s="429"/>
      <c r="S560" s="373"/>
      <c r="T560" s="373"/>
      <c r="U560" s="373"/>
      <c r="V560" s="373"/>
      <c r="W560" s="472"/>
      <c r="X560" s="373"/>
      <c r="Y560" s="336">
        <f t="shared" ca="1" si="13"/>
        <v>412</v>
      </c>
      <c r="Z560" s="373"/>
      <c r="AA560" s="336"/>
      <c r="AB560" s="373"/>
    </row>
    <row r="561" spans="1:28" s="338" customFormat="1" ht="12.75" customHeight="1" x14ac:dyDescent="0.25">
      <c r="A561" s="347" t="s">
        <v>1750</v>
      </c>
      <c r="B561" s="376">
        <v>45175</v>
      </c>
      <c r="C561" s="425" t="s">
        <v>60</v>
      </c>
      <c r="D561" s="333" t="s">
        <v>1623</v>
      </c>
      <c r="E561" s="333" t="s">
        <v>33</v>
      </c>
      <c r="F561" s="374" t="s">
        <v>249</v>
      </c>
      <c r="G561" s="372" t="s">
        <v>1751</v>
      </c>
      <c r="H561" s="333">
        <v>10</v>
      </c>
      <c r="I561" s="333" t="s">
        <v>277</v>
      </c>
      <c r="J561" s="333" t="s">
        <v>46</v>
      </c>
      <c r="K561" s="333" t="s">
        <v>32</v>
      </c>
      <c r="L561" s="429"/>
      <c r="M561" s="333" t="s">
        <v>33</v>
      </c>
      <c r="N561" s="333"/>
      <c r="O561" s="333"/>
      <c r="P561" s="375">
        <v>45174</v>
      </c>
      <c r="Q561" s="429"/>
      <c r="R561" s="429"/>
      <c r="S561" s="373"/>
      <c r="T561" s="373"/>
      <c r="U561" s="373"/>
      <c r="V561" s="373"/>
      <c r="W561" s="472"/>
      <c r="X561" s="373"/>
      <c r="Y561" s="336">
        <f t="shared" ca="1" si="13"/>
        <v>412</v>
      </c>
      <c r="Z561" s="373"/>
      <c r="AA561" s="336"/>
      <c r="AB561" s="373"/>
    </row>
    <row r="562" spans="1:28" s="338" customFormat="1" ht="12.75" customHeight="1" x14ac:dyDescent="0.25">
      <c r="A562" s="347" t="s">
        <v>1752</v>
      </c>
      <c r="B562" s="376">
        <v>45175</v>
      </c>
      <c r="C562" s="425" t="s">
        <v>60</v>
      </c>
      <c r="D562" s="333" t="s">
        <v>1623</v>
      </c>
      <c r="E562" s="333" t="s">
        <v>33</v>
      </c>
      <c r="F562" s="374" t="s">
        <v>33</v>
      </c>
      <c r="G562" s="372" t="s">
        <v>1753</v>
      </c>
      <c r="H562" s="333">
        <v>120</v>
      </c>
      <c r="I562" s="333" t="s">
        <v>277</v>
      </c>
      <c r="J562" s="333" t="s">
        <v>46</v>
      </c>
      <c r="K562" s="333" t="s">
        <v>32</v>
      </c>
      <c r="L562" s="429"/>
      <c r="M562" s="333" t="s">
        <v>33</v>
      </c>
      <c r="N562" s="333"/>
      <c r="O562" s="333"/>
      <c r="P562" s="375">
        <v>45174</v>
      </c>
      <c r="Q562" s="429"/>
      <c r="R562" s="429"/>
      <c r="S562" s="373"/>
      <c r="T562" s="373"/>
      <c r="U562" s="373"/>
      <c r="V562" s="373"/>
      <c r="W562" s="472"/>
      <c r="X562" s="373"/>
      <c r="Y562" s="336">
        <f t="shared" ca="1" si="13"/>
        <v>412</v>
      </c>
      <c r="Z562" s="373"/>
      <c r="AA562" s="336"/>
      <c r="AB562" s="373"/>
    </row>
    <row r="563" spans="1:28" s="338" customFormat="1" ht="12.75" customHeight="1" x14ac:dyDescent="0.25">
      <c r="A563" s="347" t="s">
        <v>1754</v>
      </c>
      <c r="B563" s="376">
        <v>45175</v>
      </c>
      <c r="C563" s="425" t="s">
        <v>60</v>
      </c>
      <c r="D563" s="333" t="s">
        <v>1623</v>
      </c>
      <c r="E563" s="333" t="s">
        <v>33</v>
      </c>
      <c r="F563" s="374" t="s">
        <v>1755</v>
      </c>
      <c r="G563" s="372" t="s">
        <v>1756</v>
      </c>
      <c r="H563" s="333">
        <v>80</v>
      </c>
      <c r="I563" s="333" t="s">
        <v>277</v>
      </c>
      <c r="J563" s="333" t="s">
        <v>46</v>
      </c>
      <c r="K563" s="333" t="s">
        <v>32</v>
      </c>
      <c r="L563" s="429"/>
      <c r="M563" s="333" t="s">
        <v>33</v>
      </c>
      <c r="N563" s="333"/>
      <c r="O563" s="333"/>
      <c r="P563" s="375">
        <v>45174</v>
      </c>
      <c r="Q563" s="429"/>
      <c r="R563" s="429"/>
      <c r="S563" s="373"/>
      <c r="T563" s="373"/>
      <c r="U563" s="373"/>
      <c r="V563" s="373"/>
      <c r="W563" s="472"/>
      <c r="X563" s="373"/>
      <c r="Y563" s="336">
        <f t="shared" ca="1" si="13"/>
        <v>412</v>
      </c>
      <c r="Z563" s="373"/>
      <c r="AA563" s="336"/>
      <c r="AB563" s="373"/>
    </row>
    <row r="564" spans="1:28" s="338" customFormat="1" ht="12.75" customHeight="1" x14ac:dyDescent="0.25">
      <c r="A564" s="347" t="s">
        <v>1757</v>
      </c>
      <c r="B564" s="376">
        <v>45175</v>
      </c>
      <c r="C564" s="425" t="s">
        <v>60</v>
      </c>
      <c r="D564" s="333" t="s">
        <v>1623</v>
      </c>
      <c r="E564" s="333" t="s">
        <v>33</v>
      </c>
      <c r="F564" s="374" t="s">
        <v>1758</v>
      </c>
      <c r="G564" s="372" t="s">
        <v>593</v>
      </c>
      <c r="H564" s="333">
        <v>20</v>
      </c>
      <c r="I564" s="333" t="s">
        <v>277</v>
      </c>
      <c r="J564" s="333" t="s">
        <v>46</v>
      </c>
      <c r="K564" s="333" t="s">
        <v>32</v>
      </c>
      <c r="L564" s="429"/>
      <c r="M564" s="333" t="s">
        <v>33</v>
      </c>
      <c r="N564" s="333"/>
      <c r="O564" s="333"/>
      <c r="P564" s="375">
        <v>45174</v>
      </c>
      <c r="Q564" s="429"/>
      <c r="R564" s="429"/>
      <c r="S564" s="373"/>
      <c r="T564" s="373"/>
      <c r="U564" s="373"/>
      <c r="V564" s="373"/>
      <c r="W564" s="472"/>
      <c r="X564" s="373"/>
      <c r="Y564" s="336">
        <f t="shared" ca="1" si="13"/>
        <v>412</v>
      </c>
      <c r="Z564" s="373"/>
      <c r="AA564" s="336"/>
      <c r="AB564" s="373"/>
    </row>
    <row r="565" spans="1:28" s="338" customFormat="1" ht="12.75" customHeight="1" x14ac:dyDescent="0.25">
      <c r="A565" s="347" t="s">
        <v>1759</v>
      </c>
      <c r="B565" s="376">
        <v>45175</v>
      </c>
      <c r="C565" s="425" t="s">
        <v>60</v>
      </c>
      <c r="D565" s="333" t="s">
        <v>1623</v>
      </c>
      <c r="E565" s="333" t="s">
        <v>33</v>
      </c>
      <c r="F565" s="374" t="s">
        <v>1760</v>
      </c>
      <c r="G565" s="372" t="s">
        <v>1761</v>
      </c>
      <c r="H565" s="333">
        <v>190</v>
      </c>
      <c r="I565" s="333" t="s">
        <v>277</v>
      </c>
      <c r="J565" s="333" t="s">
        <v>46</v>
      </c>
      <c r="K565" s="333" t="s">
        <v>32</v>
      </c>
      <c r="L565" s="429"/>
      <c r="M565" s="333" t="s">
        <v>33</v>
      </c>
      <c r="N565" s="333"/>
      <c r="O565" s="333"/>
      <c r="P565" s="375">
        <v>45174</v>
      </c>
      <c r="Q565" s="429"/>
      <c r="R565" s="429"/>
      <c r="S565" s="373"/>
      <c r="T565" s="373"/>
      <c r="U565" s="373"/>
      <c r="V565" s="373"/>
      <c r="W565" s="472">
        <v>45173</v>
      </c>
      <c r="X565" s="373">
        <v>70</v>
      </c>
      <c r="Y565" s="336">
        <f t="shared" ca="1" si="13"/>
        <v>-1</v>
      </c>
      <c r="Z565" s="373"/>
      <c r="AA565" s="336"/>
      <c r="AB565" s="373" t="s">
        <v>1762</v>
      </c>
    </row>
    <row r="566" spans="1:28" s="338" customFormat="1" ht="12.75" customHeight="1" x14ac:dyDescent="0.25">
      <c r="A566" s="347" t="s">
        <v>1763</v>
      </c>
      <c r="B566" s="376">
        <v>45175</v>
      </c>
      <c r="C566" s="425" t="s">
        <v>60</v>
      </c>
      <c r="D566" s="333" t="s">
        <v>1623</v>
      </c>
      <c r="E566" s="333" t="s">
        <v>33</v>
      </c>
      <c r="F566" s="374" t="s">
        <v>1764</v>
      </c>
      <c r="G566" s="372" t="s">
        <v>1765</v>
      </c>
      <c r="H566" s="333">
        <v>20</v>
      </c>
      <c r="I566" s="333" t="s">
        <v>277</v>
      </c>
      <c r="J566" s="333" t="s">
        <v>46</v>
      </c>
      <c r="K566" s="333" t="s">
        <v>32</v>
      </c>
      <c r="L566" s="429"/>
      <c r="M566" s="333" t="s">
        <v>33</v>
      </c>
      <c r="N566" s="333"/>
      <c r="O566" s="333"/>
      <c r="P566" s="375">
        <v>45174</v>
      </c>
      <c r="Q566" s="429"/>
      <c r="R566" s="429"/>
      <c r="S566" s="373"/>
      <c r="T566" s="373"/>
      <c r="U566" s="373"/>
      <c r="V566" s="373"/>
      <c r="W566" s="472"/>
      <c r="X566" s="373"/>
      <c r="Y566" s="336">
        <f t="shared" ca="1" si="13"/>
        <v>412</v>
      </c>
      <c r="Z566" s="373"/>
      <c r="AA566" s="336"/>
      <c r="AB566" s="373"/>
    </row>
    <row r="567" spans="1:28" s="338" customFormat="1" ht="12.75" customHeight="1" x14ac:dyDescent="0.25">
      <c r="A567" s="347" t="s">
        <v>1766</v>
      </c>
      <c r="B567" s="376">
        <v>45175</v>
      </c>
      <c r="C567" s="425" t="s">
        <v>60</v>
      </c>
      <c r="D567" s="333" t="s">
        <v>1623</v>
      </c>
      <c r="E567" s="333" t="s">
        <v>33</v>
      </c>
      <c r="F567" s="374" t="s">
        <v>1767</v>
      </c>
      <c r="G567" s="372" t="s">
        <v>1768</v>
      </c>
      <c r="H567" s="333">
        <v>120</v>
      </c>
      <c r="I567" s="333" t="s">
        <v>277</v>
      </c>
      <c r="J567" s="333" t="s">
        <v>46</v>
      </c>
      <c r="K567" s="333" t="s">
        <v>32</v>
      </c>
      <c r="L567" s="429"/>
      <c r="M567" s="333" t="s">
        <v>33</v>
      </c>
      <c r="N567" s="333"/>
      <c r="O567" s="333"/>
      <c r="P567" s="375">
        <v>45174</v>
      </c>
      <c r="Q567" s="429"/>
      <c r="R567" s="429"/>
      <c r="S567" s="373"/>
      <c r="T567" s="373"/>
      <c r="U567" s="373"/>
      <c r="V567" s="373"/>
      <c r="W567" s="472"/>
      <c r="X567" s="373"/>
      <c r="Y567" s="336">
        <f t="shared" ca="1" si="13"/>
        <v>412</v>
      </c>
      <c r="Z567" s="373"/>
      <c r="AA567" s="336"/>
      <c r="AB567" s="373"/>
    </row>
    <row r="568" spans="1:28" s="338" customFormat="1" ht="12.75" customHeight="1" x14ac:dyDescent="0.25">
      <c r="A568" s="347" t="s">
        <v>1769</v>
      </c>
      <c r="B568" s="376">
        <v>45175</v>
      </c>
      <c r="C568" s="425" t="s">
        <v>60</v>
      </c>
      <c r="D568" s="333" t="s">
        <v>1623</v>
      </c>
      <c r="E568" s="333" t="s">
        <v>33</v>
      </c>
      <c r="F568" s="374" t="s">
        <v>1730</v>
      </c>
      <c r="G568" s="372" t="s">
        <v>1770</v>
      </c>
      <c r="H568" s="333">
        <v>1</v>
      </c>
      <c r="I568" s="333" t="s">
        <v>277</v>
      </c>
      <c r="J568" s="333" t="s">
        <v>46</v>
      </c>
      <c r="K568" s="333" t="s">
        <v>32</v>
      </c>
      <c r="L568" s="429"/>
      <c r="M568" s="333" t="s">
        <v>33</v>
      </c>
      <c r="N568" s="333"/>
      <c r="O568" s="333"/>
      <c r="P568" s="375">
        <v>45174</v>
      </c>
      <c r="Q568" s="429"/>
      <c r="R568" s="429"/>
      <c r="S568" s="373"/>
      <c r="T568" s="373"/>
      <c r="U568" s="373"/>
      <c r="V568" s="373"/>
      <c r="W568" s="472"/>
      <c r="X568" s="373"/>
      <c r="Y568" s="336">
        <f t="shared" ca="1" si="13"/>
        <v>412</v>
      </c>
      <c r="Z568" s="373"/>
      <c r="AA568" s="336"/>
      <c r="AB568" s="373"/>
    </row>
    <row r="569" spans="1:28" s="338" customFormat="1" ht="12.75" customHeight="1" x14ac:dyDescent="0.25">
      <c r="A569" s="347" t="s">
        <v>1771</v>
      </c>
      <c r="B569" s="376">
        <v>45184</v>
      </c>
      <c r="C569" s="425" t="s">
        <v>35</v>
      </c>
      <c r="D569" s="333" t="s">
        <v>36</v>
      </c>
      <c r="E569" s="333">
        <v>506260030</v>
      </c>
      <c r="F569" s="374" t="s">
        <v>1772</v>
      </c>
      <c r="G569" s="372" t="s">
        <v>1773</v>
      </c>
      <c r="H569" s="333">
        <v>1</v>
      </c>
      <c r="I569" s="333" t="s">
        <v>1774</v>
      </c>
      <c r="J569" s="333" t="s">
        <v>265</v>
      </c>
      <c r="K569" s="333" t="s">
        <v>32</v>
      </c>
      <c r="L569" s="429"/>
      <c r="M569" s="333"/>
      <c r="N569" s="333"/>
      <c r="O569" s="333"/>
      <c r="P569" s="375"/>
      <c r="Q569" s="429"/>
      <c r="R569" s="429"/>
      <c r="S569" s="373"/>
      <c r="T569" s="373"/>
      <c r="U569" s="373"/>
      <c r="V569" s="373"/>
      <c r="W569" s="472"/>
      <c r="X569" s="373"/>
      <c r="Y569" s="336" t="str">
        <f t="shared" ca="1" si="13"/>
        <v/>
      </c>
      <c r="Z569" s="373"/>
      <c r="AA569" s="336"/>
      <c r="AB569" s="373"/>
    </row>
    <row r="570" spans="1:28" s="338" customFormat="1" ht="12.75" customHeight="1" x14ac:dyDescent="0.25">
      <c r="A570" s="347" t="s">
        <v>1775</v>
      </c>
      <c r="B570" s="376">
        <v>45175</v>
      </c>
      <c r="C570" s="425" t="s">
        <v>60</v>
      </c>
      <c r="D570" s="333" t="s">
        <v>1776</v>
      </c>
      <c r="E570" s="333">
        <v>21090080</v>
      </c>
      <c r="F570" s="374" t="s">
        <v>1777</v>
      </c>
      <c r="G570" s="372" t="s">
        <v>1778</v>
      </c>
      <c r="H570" s="333">
        <v>1</v>
      </c>
      <c r="I570" s="333" t="s">
        <v>1779</v>
      </c>
      <c r="J570" s="333" t="s">
        <v>31</v>
      </c>
      <c r="K570" s="333" t="s">
        <v>32</v>
      </c>
      <c r="L570" s="429"/>
      <c r="M570" s="333" t="s">
        <v>33</v>
      </c>
      <c r="N570" s="333"/>
      <c r="O570" s="333"/>
      <c r="P570" s="375">
        <v>45174</v>
      </c>
      <c r="Q570" s="429"/>
      <c r="R570" s="429"/>
      <c r="S570" s="373"/>
      <c r="T570" s="373"/>
      <c r="U570" s="373"/>
      <c r="V570" s="373"/>
      <c r="W570" s="481">
        <v>45541</v>
      </c>
      <c r="X570" s="373"/>
      <c r="Y570" s="336">
        <f t="shared" ca="1" si="13"/>
        <v>367</v>
      </c>
      <c r="Z570" s="373"/>
      <c r="AA570" s="336"/>
      <c r="AB570" s="373"/>
    </row>
    <row r="571" spans="1:28" s="338" customFormat="1" ht="12.75" customHeight="1" x14ac:dyDescent="0.25">
      <c r="A571" s="347" t="s">
        <v>1780</v>
      </c>
      <c r="B571" s="376">
        <v>45175</v>
      </c>
      <c r="C571" s="425" t="s">
        <v>60</v>
      </c>
      <c r="D571" s="333" t="s">
        <v>1776</v>
      </c>
      <c r="E571" s="333">
        <v>21090080</v>
      </c>
      <c r="F571" s="374" t="s">
        <v>1781</v>
      </c>
      <c r="G571" s="372" t="s">
        <v>1782</v>
      </c>
      <c r="H571" s="333">
        <v>1</v>
      </c>
      <c r="I571" s="333" t="s">
        <v>1779</v>
      </c>
      <c r="J571" s="333" t="s">
        <v>31</v>
      </c>
      <c r="K571" s="333" t="s">
        <v>32</v>
      </c>
      <c r="L571" s="429"/>
      <c r="M571" s="333" t="s">
        <v>33</v>
      </c>
      <c r="N571" s="333"/>
      <c r="O571" s="333"/>
      <c r="P571" s="375">
        <v>45174</v>
      </c>
      <c r="Q571" s="429"/>
      <c r="R571" s="429"/>
      <c r="S571" s="373"/>
      <c r="T571" s="373"/>
      <c r="U571" s="373"/>
      <c r="V571" s="373"/>
      <c r="W571" s="481">
        <v>45541</v>
      </c>
      <c r="X571" s="373"/>
      <c r="Y571" s="336">
        <f t="shared" ca="1" si="13"/>
        <v>367</v>
      </c>
      <c r="Z571" s="373"/>
      <c r="AA571" s="336"/>
      <c r="AB571" s="373"/>
    </row>
    <row r="572" spans="1:28" s="338" customFormat="1" ht="12.75" customHeight="1" x14ac:dyDescent="0.25">
      <c r="A572" s="347" t="s">
        <v>1783</v>
      </c>
      <c r="B572" s="376">
        <v>45175</v>
      </c>
      <c r="C572" s="425" t="s">
        <v>60</v>
      </c>
      <c r="D572" s="333" t="s">
        <v>1776</v>
      </c>
      <c r="E572" s="364">
        <v>21090100</v>
      </c>
      <c r="F572" s="365" t="s">
        <v>1784</v>
      </c>
      <c r="G572" s="366" t="s">
        <v>1785</v>
      </c>
      <c r="H572" s="364">
        <v>40</v>
      </c>
      <c r="I572" s="364" t="s">
        <v>1779</v>
      </c>
      <c r="J572" s="333" t="s">
        <v>1291</v>
      </c>
      <c r="K572" s="333" t="s">
        <v>32</v>
      </c>
      <c r="L572" s="429"/>
      <c r="M572" s="333" t="s">
        <v>33</v>
      </c>
      <c r="N572" s="333"/>
      <c r="O572" s="333"/>
      <c r="P572" s="435">
        <v>45174</v>
      </c>
      <c r="Q572" s="429"/>
      <c r="R572" s="429"/>
      <c r="S572" s="373"/>
      <c r="T572" s="373"/>
      <c r="U572" s="373"/>
      <c r="V572" s="373"/>
      <c r="W572" s="477">
        <v>45182</v>
      </c>
      <c r="X572" s="369"/>
      <c r="Y572" s="336">
        <f t="shared" ca="1" si="13"/>
        <v>8</v>
      </c>
      <c r="Z572" s="369"/>
      <c r="AA572" s="336"/>
      <c r="AB572" s="369"/>
    </row>
    <row r="573" spans="1:28" s="338" customFormat="1" ht="12.75" customHeight="1" x14ac:dyDescent="0.25">
      <c r="A573" s="347" t="s">
        <v>1786</v>
      </c>
      <c r="B573" s="376">
        <v>45175</v>
      </c>
      <c r="C573" s="425" t="s">
        <v>60</v>
      </c>
      <c r="D573" s="333" t="s">
        <v>1776</v>
      </c>
      <c r="E573" s="364">
        <v>21090080</v>
      </c>
      <c r="F573" s="365" t="s">
        <v>1784</v>
      </c>
      <c r="G573" s="366" t="s">
        <v>1785</v>
      </c>
      <c r="H573" s="364">
        <v>40</v>
      </c>
      <c r="I573" s="364" t="s">
        <v>1787</v>
      </c>
      <c r="J573" s="333" t="s">
        <v>1291</v>
      </c>
      <c r="K573" s="333" t="s">
        <v>32</v>
      </c>
      <c r="L573" s="429"/>
      <c r="M573" s="333" t="s">
        <v>33</v>
      </c>
      <c r="N573" s="415"/>
      <c r="O573" s="415"/>
      <c r="P573" s="435">
        <v>45174</v>
      </c>
      <c r="Q573" s="429"/>
      <c r="R573" s="429"/>
      <c r="S573" s="424"/>
      <c r="T573" s="424"/>
      <c r="U573" s="424"/>
      <c r="V573" s="424"/>
      <c r="W573" s="477">
        <v>45182</v>
      </c>
      <c r="X573" s="369"/>
      <c r="Y573" s="336">
        <f t="shared" ca="1" si="13"/>
        <v>8</v>
      </c>
      <c r="Z573" s="369"/>
      <c r="AA573" s="434"/>
      <c r="AB573" s="369"/>
    </row>
    <row r="574" spans="1:28" s="338" customFormat="1" ht="12.75" customHeight="1" x14ac:dyDescent="0.25">
      <c r="A574" s="347" t="s">
        <v>1788</v>
      </c>
      <c r="B574" s="376">
        <v>45178</v>
      </c>
      <c r="C574" s="425" t="s">
        <v>60</v>
      </c>
      <c r="D574" s="333" t="s">
        <v>1776</v>
      </c>
      <c r="E574" s="333">
        <v>21090100</v>
      </c>
      <c r="F574" s="374" t="s">
        <v>1789</v>
      </c>
      <c r="G574" s="372" t="s">
        <v>1790</v>
      </c>
      <c r="H574" s="333">
        <v>1</v>
      </c>
      <c r="I574" s="333" t="s">
        <v>1779</v>
      </c>
      <c r="J574" s="333" t="s">
        <v>68</v>
      </c>
      <c r="K574" s="333" t="s">
        <v>69</v>
      </c>
      <c r="L574" s="333"/>
      <c r="M574" s="333"/>
      <c r="N574" s="415"/>
      <c r="O574" s="415"/>
      <c r="P574" s="461">
        <v>45180</v>
      </c>
      <c r="Q574" s="333"/>
      <c r="R574" s="333"/>
      <c r="S574" s="424"/>
      <c r="T574" s="424"/>
      <c r="U574" s="424"/>
      <c r="V574" s="424"/>
      <c r="W574" s="346" t="s">
        <v>1164</v>
      </c>
      <c r="X574" s="373"/>
      <c r="Y574" s="336">
        <f t="shared" ca="1" si="13"/>
        <v>406</v>
      </c>
      <c r="Z574" s="373"/>
      <c r="AA574" s="434"/>
      <c r="AB574" s="373"/>
    </row>
    <row r="575" spans="1:28" s="338" customFormat="1" ht="12.75" customHeight="1" x14ac:dyDescent="0.25">
      <c r="A575" s="347" t="s">
        <v>1791</v>
      </c>
      <c r="B575" s="376">
        <v>45178</v>
      </c>
      <c r="C575" s="425" t="s">
        <v>60</v>
      </c>
      <c r="D575" s="333" t="s">
        <v>1776</v>
      </c>
      <c r="E575" s="333">
        <v>21090091</v>
      </c>
      <c r="F575" s="374" t="s">
        <v>1792</v>
      </c>
      <c r="G575" s="372" t="s">
        <v>1793</v>
      </c>
      <c r="H575" s="333">
        <v>1</v>
      </c>
      <c r="I575" s="333" t="s">
        <v>1779</v>
      </c>
      <c r="J575" s="333" t="s">
        <v>68</v>
      </c>
      <c r="K575" s="333" t="s">
        <v>69</v>
      </c>
      <c r="L575" s="333"/>
      <c r="M575" s="333"/>
      <c r="N575" s="333"/>
      <c r="O575" s="333"/>
      <c r="P575" s="375">
        <v>45180</v>
      </c>
      <c r="Q575" s="333"/>
      <c r="R575" s="333"/>
      <c r="S575" s="373"/>
      <c r="T575" s="373"/>
      <c r="U575" s="373"/>
      <c r="V575" s="373"/>
      <c r="W575" s="346">
        <v>45182</v>
      </c>
      <c r="X575" s="373"/>
      <c r="Y575" s="336">
        <f t="shared" ca="1" si="13"/>
        <v>2</v>
      </c>
      <c r="Z575" s="373"/>
      <c r="AA575" s="434"/>
      <c r="AB575" s="373"/>
    </row>
    <row r="576" spans="1:28" s="338" customFormat="1" ht="12.75" customHeight="1" x14ac:dyDescent="0.25">
      <c r="A576" s="347" t="s">
        <v>1794</v>
      </c>
      <c r="B576" s="376">
        <v>45180</v>
      </c>
      <c r="C576" s="425" t="s">
        <v>60</v>
      </c>
      <c r="D576" s="333" t="s">
        <v>1776</v>
      </c>
      <c r="E576" s="333" t="s">
        <v>33</v>
      </c>
      <c r="F576" s="374" t="s">
        <v>1795</v>
      </c>
      <c r="G576" s="372" t="s">
        <v>1796</v>
      </c>
      <c r="H576" s="333">
        <v>1</v>
      </c>
      <c r="I576" s="333" t="s">
        <v>1779</v>
      </c>
      <c r="J576" s="333" t="s">
        <v>68</v>
      </c>
      <c r="K576" s="333" t="s">
        <v>69</v>
      </c>
      <c r="L576" s="333"/>
      <c r="M576" s="333"/>
      <c r="N576" s="333"/>
      <c r="O576" s="333"/>
      <c r="P576" s="375">
        <v>45180</v>
      </c>
      <c r="Q576" s="333"/>
      <c r="R576" s="333"/>
      <c r="S576" s="373"/>
      <c r="T576" s="373"/>
      <c r="U576" s="373"/>
      <c r="V576" s="373"/>
      <c r="W576" s="481">
        <v>45541</v>
      </c>
      <c r="X576" s="373"/>
      <c r="Y576" s="336">
        <f t="shared" ca="1" si="13"/>
        <v>361</v>
      </c>
      <c r="Z576" s="373"/>
      <c r="AA576" s="434"/>
      <c r="AB576" s="373"/>
    </row>
    <row r="577" spans="1:28" s="338" customFormat="1" ht="12.75" customHeight="1" x14ac:dyDescent="0.25">
      <c r="A577" s="347" t="s">
        <v>1797</v>
      </c>
      <c r="B577" s="376">
        <v>45181</v>
      </c>
      <c r="C577" s="425" t="s">
        <v>60</v>
      </c>
      <c r="D577" s="333" t="s">
        <v>1776</v>
      </c>
      <c r="E577" s="333" t="s">
        <v>33</v>
      </c>
      <c r="F577" s="374">
        <v>7260133449</v>
      </c>
      <c r="G577" s="372" t="s">
        <v>1798</v>
      </c>
      <c r="H577" s="333">
        <v>1</v>
      </c>
      <c r="I577" s="333">
        <v>3</v>
      </c>
      <c r="J577" s="333" t="s">
        <v>68</v>
      </c>
      <c r="K577" s="333" t="s">
        <v>69</v>
      </c>
      <c r="L577" s="333"/>
      <c r="M577" s="333"/>
      <c r="N577" s="333"/>
      <c r="O577" s="333"/>
      <c r="P577" s="375">
        <v>45180</v>
      </c>
      <c r="Q577" s="333"/>
      <c r="R577" s="333"/>
      <c r="S577" s="373"/>
      <c r="T577" s="373"/>
      <c r="U577" s="373"/>
      <c r="V577" s="373"/>
      <c r="W577" s="346"/>
      <c r="X577" s="373"/>
      <c r="Y577" s="336">
        <f t="shared" ca="1" si="13"/>
        <v>406</v>
      </c>
      <c r="Z577" s="373"/>
      <c r="AA577" s="434"/>
      <c r="AB577" s="373"/>
    </row>
    <row r="578" spans="1:28" s="338" customFormat="1" ht="12.75" customHeight="1" x14ac:dyDescent="0.25">
      <c r="A578" s="347" t="s">
        <v>1799</v>
      </c>
      <c r="B578" s="376">
        <v>45181</v>
      </c>
      <c r="C578" s="425" t="s">
        <v>60</v>
      </c>
      <c r="D578" s="333" t="s">
        <v>1776</v>
      </c>
      <c r="E578" s="333" t="s">
        <v>33</v>
      </c>
      <c r="F578" s="374" t="s">
        <v>1800</v>
      </c>
      <c r="G578" s="372" t="s">
        <v>1801</v>
      </c>
      <c r="H578" s="333">
        <v>1</v>
      </c>
      <c r="I578" s="333">
        <v>3</v>
      </c>
      <c r="J578" s="333" t="s">
        <v>68</v>
      </c>
      <c r="K578" s="333" t="s">
        <v>69</v>
      </c>
      <c r="L578" s="333"/>
      <c r="M578" s="333"/>
      <c r="N578" s="333"/>
      <c r="O578" s="333"/>
      <c r="P578" s="461">
        <v>45180</v>
      </c>
      <c r="Q578" s="333"/>
      <c r="R578" s="333"/>
      <c r="S578" s="373"/>
      <c r="T578" s="373"/>
      <c r="U578" s="373"/>
      <c r="V578" s="373"/>
      <c r="W578" s="481">
        <v>45541</v>
      </c>
      <c r="X578" s="373"/>
      <c r="Y578" s="336">
        <f t="shared" ca="1" si="13"/>
        <v>361</v>
      </c>
      <c r="Z578" s="373"/>
      <c r="AA578" s="434"/>
      <c r="AB578" s="373"/>
    </row>
    <row r="579" spans="1:28" s="338" customFormat="1" ht="12.75" customHeight="1" x14ac:dyDescent="0.25">
      <c r="A579" s="347" t="s">
        <v>1802</v>
      </c>
      <c r="B579" s="376">
        <v>45181</v>
      </c>
      <c r="C579" s="425" t="s">
        <v>60</v>
      </c>
      <c r="D579" s="333" t="s">
        <v>1776</v>
      </c>
      <c r="E579" s="333" t="s">
        <v>33</v>
      </c>
      <c r="F579" s="374" t="s">
        <v>1803</v>
      </c>
      <c r="G579" s="372" t="s">
        <v>1804</v>
      </c>
      <c r="H579" s="333">
        <v>1</v>
      </c>
      <c r="I579" s="333">
        <v>3</v>
      </c>
      <c r="J579" s="333" t="s">
        <v>68</v>
      </c>
      <c r="K579" s="333" t="s">
        <v>69</v>
      </c>
      <c r="L579" s="333"/>
      <c r="M579" s="333"/>
      <c r="N579" s="333"/>
      <c r="O579" s="333"/>
      <c r="P579" s="375">
        <v>45180</v>
      </c>
      <c r="Q579" s="333"/>
      <c r="R579" s="333"/>
      <c r="S579" s="373"/>
      <c r="T579" s="373"/>
      <c r="U579" s="373"/>
      <c r="V579" s="373"/>
      <c r="W579" s="346"/>
      <c r="X579" s="373"/>
      <c r="Y579" s="336">
        <f t="shared" ca="1" si="13"/>
        <v>406</v>
      </c>
      <c r="Z579" s="373"/>
      <c r="AA579" s="434"/>
      <c r="AB579" s="373"/>
    </row>
    <row r="580" spans="1:28" s="338" customFormat="1" ht="12.75" customHeight="1" x14ac:dyDescent="0.25">
      <c r="A580" s="347" t="s">
        <v>1805</v>
      </c>
      <c r="B580" s="376">
        <v>45181</v>
      </c>
      <c r="C580" s="425" t="s">
        <v>60</v>
      </c>
      <c r="D580" s="333" t="s">
        <v>1776</v>
      </c>
      <c r="E580" s="333">
        <v>21090099</v>
      </c>
      <c r="F580" s="374" t="s">
        <v>1806</v>
      </c>
      <c r="G580" s="372" t="s">
        <v>1807</v>
      </c>
      <c r="H580" s="333">
        <v>1</v>
      </c>
      <c r="I580" s="333">
        <v>3</v>
      </c>
      <c r="J580" s="333" t="s">
        <v>31</v>
      </c>
      <c r="K580" s="333" t="s">
        <v>32</v>
      </c>
      <c r="L580" s="333"/>
      <c r="M580" s="333"/>
      <c r="N580" s="333"/>
      <c r="O580" s="333"/>
      <c r="P580" s="375">
        <v>45180</v>
      </c>
      <c r="Q580" s="333"/>
      <c r="R580" s="333"/>
      <c r="S580" s="373"/>
      <c r="T580" s="373"/>
      <c r="U580" s="373"/>
      <c r="V580" s="373"/>
      <c r="W580" s="481">
        <v>45541</v>
      </c>
      <c r="X580" s="373"/>
      <c r="Y580" s="336">
        <f t="shared" ca="1" si="13"/>
        <v>361</v>
      </c>
      <c r="Z580" s="373"/>
      <c r="AA580" s="434"/>
      <c r="AB580" s="373"/>
    </row>
    <row r="581" spans="1:28" s="338" customFormat="1" ht="12.75" customHeight="1" x14ac:dyDescent="0.25">
      <c r="A581" s="347" t="s">
        <v>1808</v>
      </c>
      <c r="B581" s="376">
        <v>45181</v>
      </c>
      <c r="C581" s="425" t="s">
        <v>60</v>
      </c>
      <c r="D581" s="333" t="s">
        <v>1776</v>
      </c>
      <c r="E581" s="333">
        <v>21090100</v>
      </c>
      <c r="F581" s="374" t="s">
        <v>1806</v>
      </c>
      <c r="G581" s="372" t="s">
        <v>1809</v>
      </c>
      <c r="H581" s="333">
        <v>1</v>
      </c>
      <c r="I581" s="333">
        <v>3</v>
      </c>
      <c r="J581" s="333" t="s">
        <v>31</v>
      </c>
      <c r="K581" s="333" t="s">
        <v>32</v>
      </c>
      <c r="L581" s="333"/>
      <c r="M581" s="333"/>
      <c r="N581" s="333"/>
      <c r="O581" s="333"/>
      <c r="P581" s="461">
        <v>45180</v>
      </c>
      <c r="Q581" s="333"/>
      <c r="R581" s="333"/>
      <c r="S581" s="373"/>
      <c r="T581" s="373"/>
      <c r="U581" s="373"/>
      <c r="V581" s="373"/>
      <c r="W581" s="481">
        <v>45541</v>
      </c>
      <c r="X581" s="373"/>
      <c r="Y581" s="336">
        <f t="shared" ca="1" si="13"/>
        <v>361</v>
      </c>
      <c r="Z581" s="373"/>
      <c r="AA581" s="434"/>
      <c r="AB581" s="373"/>
    </row>
    <row r="582" spans="1:28" s="338" customFormat="1" ht="12.75" customHeight="1" x14ac:dyDescent="0.25">
      <c r="A582" s="347" t="s">
        <v>1810</v>
      </c>
      <c r="B582" s="376">
        <v>45278</v>
      </c>
      <c r="C582" s="425" t="s">
        <v>60</v>
      </c>
      <c r="D582" s="333" t="s">
        <v>1776</v>
      </c>
      <c r="E582" s="333"/>
      <c r="F582" s="374" t="s">
        <v>1811</v>
      </c>
      <c r="G582" s="372" t="s">
        <v>1812</v>
      </c>
      <c r="H582" s="333">
        <v>1</v>
      </c>
      <c r="I582" s="333"/>
      <c r="J582" s="333" t="s">
        <v>1813</v>
      </c>
      <c r="K582" s="333" t="s">
        <v>69</v>
      </c>
      <c r="L582" s="333"/>
      <c r="M582" s="333"/>
      <c r="N582" s="417"/>
      <c r="O582" s="417"/>
      <c r="P582" s="462">
        <v>45281</v>
      </c>
      <c r="Q582" s="333"/>
      <c r="R582" s="333"/>
      <c r="S582" s="373"/>
      <c r="T582" s="373"/>
      <c r="U582" s="373"/>
      <c r="V582" s="373"/>
      <c r="W582" s="481">
        <v>45541</v>
      </c>
      <c r="X582" s="373"/>
      <c r="Y582" s="336">
        <f t="shared" ca="1" si="13"/>
        <v>260</v>
      </c>
      <c r="Z582" s="373"/>
      <c r="AA582" s="434"/>
      <c r="AB582" s="373"/>
    </row>
    <row r="583" spans="1:28" s="338" customFormat="1" ht="12.75" customHeight="1" x14ac:dyDescent="0.25">
      <c r="A583" s="347" t="s">
        <v>1814</v>
      </c>
      <c r="B583" s="376">
        <v>45279</v>
      </c>
      <c r="C583" s="425" t="s">
        <v>60</v>
      </c>
      <c r="D583" s="333" t="s">
        <v>1776</v>
      </c>
      <c r="E583" s="333"/>
      <c r="F583" s="374" t="s">
        <v>1815</v>
      </c>
      <c r="G583" s="372" t="s">
        <v>1816</v>
      </c>
      <c r="H583" s="333">
        <v>1</v>
      </c>
      <c r="I583" s="333">
        <v>5</v>
      </c>
      <c r="J583" s="333" t="s">
        <v>46</v>
      </c>
      <c r="K583" s="333" t="s">
        <v>32</v>
      </c>
      <c r="L583" s="333"/>
      <c r="M583" s="333"/>
      <c r="N583" s="417"/>
      <c r="O583" s="417"/>
      <c r="P583" s="462">
        <v>45281</v>
      </c>
      <c r="Q583" s="333"/>
      <c r="R583" s="333"/>
      <c r="S583" s="373"/>
      <c r="T583" s="373"/>
      <c r="U583" s="373"/>
      <c r="V583" s="373"/>
      <c r="W583" s="346"/>
      <c r="X583" s="373"/>
      <c r="Y583" s="336">
        <f t="shared" ca="1" si="13"/>
        <v>305</v>
      </c>
      <c r="Z583" s="373"/>
      <c r="AA583" s="434"/>
      <c r="AB583" s="373"/>
    </row>
    <row r="584" spans="1:28" s="338" customFormat="1" ht="12.75" customHeight="1" x14ac:dyDescent="0.25">
      <c r="A584" s="347" t="s">
        <v>1817</v>
      </c>
      <c r="B584" s="376">
        <v>45279</v>
      </c>
      <c r="C584" s="425" t="s">
        <v>60</v>
      </c>
      <c r="D584" s="333" t="s">
        <v>1776</v>
      </c>
      <c r="E584" s="333"/>
      <c r="F584" s="374" t="s">
        <v>1818</v>
      </c>
      <c r="G584" s="372" t="s">
        <v>1819</v>
      </c>
      <c r="H584" s="333">
        <v>3</v>
      </c>
      <c r="I584" s="333">
        <v>5</v>
      </c>
      <c r="J584" s="333" t="s">
        <v>46</v>
      </c>
      <c r="K584" s="333" t="s">
        <v>32</v>
      </c>
      <c r="L584" s="333"/>
      <c r="M584" s="333"/>
      <c r="N584" s="417"/>
      <c r="O584" s="417"/>
      <c r="P584" s="462">
        <v>45281</v>
      </c>
      <c r="Q584" s="333"/>
      <c r="R584" s="333"/>
      <c r="S584" s="373"/>
      <c r="T584" s="373"/>
      <c r="U584" s="373"/>
      <c r="V584" s="373"/>
      <c r="W584" s="346"/>
      <c r="X584" s="373"/>
      <c r="Y584" s="336">
        <f t="shared" ref="Y584:Y647" ca="1" si="14">IF(P584="","",IF(W584="",TODAY()-P584,W584-P584))</f>
        <v>305</v>
      </c>
      <c r="Z584" s="373"/>
      <c r="AA584" s="434"/>
      <c r="AB584" s="373"/>
    </row>
    <row r="585" spans="1:28" s="338" customFormat="1" ht="12.75" customHeight="1" x14ac:dyDescent="0.25">
      <c r="A585" s="347" t="s">
        <v>1820</v>
      </c>
      <c r="B585" s="376">
        <v>45279</v>
      </c>
      <c r="C585" s="425" t="s">
        <v>60</v>
      </c>
      <c r="D585" s="333" t="s">
        <v>1776</v>
      </c>
      <c r="E585" s="333"/>
      <c r="F585" s="374" t="s">
        <v>1821</v>
      </c>
      <c r="G585" s="372" t="s">
        <v>1822</v>
      </c>
      <c r="H585" s="333">
        <v>3</v>
      </c>
      <c r="I585" s="333">
        <v>5</v>
      </c>
      <c r="J585" s="333" t="s">
        <v>46</v>
      </c>
      <c r="K585" s="333" t="s">
        <v>32</v>
      </c>
      <c r="L585" s="333"/>
      <c r="M585" s="333"/>
      <c r="N585" s="417"/>
      <c r="O585" s="417"/>
      <c r="P585" s="343">
        <v>45281</v>
      </c>
      <c r="Q585" s="333"/>
      <c r="R585" s="333"/>
      <c r="S585" s="373"/>
      <c r="T585" s="373"/>
      <c r="U585" s="373"/>
      <c r="V585" s="373"/>
      <c r="W585" s="346"/>
      <c r="X585" s="373"/>
      <c r="Y585" s="336">
        <f t="shared" ca="1" si="14"/>
        <v>305</v>
      </c>
      <c r="Z585" s="373"/>
      <c r="AA585" s="434"/>
      <c r="AB585" s="373"/>
    </row>
    <row r="586" spans="1:28" s="338" customFormat="1" ht="12.75" customHeight="1" x14ac:dyDescent="0.25">
      <c r="A586" s="347" t="s">
        <v>1823</v>
      </c>
      <c r="B586" s="376">
        <v>45257</v>
      </c>
      <c r="C586" s="425" t="s">
        <v>219</v>
      </c>
      <c r="D586" s="333">
        <v>1216</v>
      </c>
      <c r="E586" s="333" t="s">
        <v>1824</v>
      </c>
      <c r="F586" s="374">
        <v>266135107101</v>
      </c>
      <c r="G586" s="372" t="s">
        <v>1825</v>
      </c>
      <c r="H586" s="372">
        <v>48</v>
      </c>
      <c r="I586" s="372" t="s">
        <v>1826</v>
      </c>
      <c r="J586" s="372" t="s">
        <v>541</v>
      </c>
      <c r="K586" s="333" t="s">
        <v>32</v>
      </c>
      <c r="L586" s="333"/>
      <c r="M586" s="333" t="s">
        <v>33</v>
      </c>
      <c r="N586" s="333"/>
      <c r="O586" s="333"/>
      <c r="P586" s="462">
        <v>45257</v>
      </c>
      <c r="Q586" s="333"/>
      <c r="R586" s="333"/>
      <c r="S586" s="373"/>
      <c r="T586" s="373"/>
      <c r="U586" s="373"/>
      <c r="V586" s="373"/>
      <c r="W586" s="346">
        <v>45299</v>
      </c>
      <c r="X586" s="373">
        <v>24</v>
      </c>
      <c r="Y586" s="336">
        <f t="shared" ca="1" si="14"/>
        <v>42</v>
      </c>
      <c r="Z586" s="373"/>
      <c r="AA586" s="434"/>
      <c r="AB586" s="373"/>
    </row>
    <row r="587" spans="1:28" s="338" customFormat="1" ht="12.75" customHeight="1" x14ac:dyDescent="0.25">
      <c r="A587" s="347" t="s">
        <v>1827</v>
      </c>
      <c r="B587" s="376">
        <v>45279</v>
      </c>
      <c r="C587" s="425" t="s">
        <v>60</v>
      </c>
      <c r="D587" s="333" t="s">
        <v>1776</v>
      </c>
      <c r="E587" s="333"/>
      <c r="F587" s="374" t="s">
        <v>1828</v>
      </c>
      <c r="G587" s="372" t="s">
        <v>1829</v>
      </c>
      <c r="H587" s="333">
        <v>1</v>
      </c>
      <c r="I587" s="333">
        <v>5</v>
      </c>
      <c r="J587" s="333" t="s">
        <v>1813</v>
      </c>
      <c r="K587" s="333" t="s">
        <v>69</v>
      </c>
      <c r="L587" s="333"/>
      <c r="M587" s="333"/>
      <c r="N587" s="417"/>
      <c r="O587" s="417"/>
      <c r="P587" s="462">
        <v>45281</v>
      </c>
      <c r="Q587" s="333"/>
      <c r="R587" s="333"/>
      <c r="S587" s="373"/>
      <c r="T587" s="373"/>
      <c r="U587" s="373"/>
      <c r="V587" s="373"/>
      <c r="W587" s="481">
        <v>45541</v>
      </c>
      <c r="X587" s="373"/>
      <c r="Y587" s="336">
        <f t="shared" ca="1" si="14"/>
        <v>260</v>
      </c>
      <c r="Z587" s="373"/>
      <c r="AA587" s="434"/>
      <c r="AB587" s="373"/>
    </row>
    <row r="588" spans="1:28" s="338" customFormat="1" ht="12.75" customHeight="1" x14ac:dyDescent="0.25">
      <c r="A588" s="347" t="s">
        <v>1830</v>
      </c>
      <c r="B588" s="376">
        <v>45279</v>
      </c>
      <c r="C588" s="425" t="s">
        <v>60</v>
      </c>
      <c r="D588" s="333" t="s">
        <v>1776</v>
      </c>
      <c r="E588" s="333"/>
      <c r="F588" s="374" t="s">
        <v>1831</v>
      </c>
      <c r="G588" s="372" t="s">
        <v>1832</v>
      </c>
      <c r="H588" s="333">
        <v>2</v>
      </c>
      <c r="I588" s="333">
        <v>5</v>
      </c>
      <c r="J588" s="333" t="s">
        <v>1813</v>
      </c>
      <c r="K588" s="333" t="s">
        <v>69</v>
      </c>
      <c r="L588" s="333"/>
      <c r="M588" s="333"/>
      <c r="N588" s="417"/>
      <c r="O588" s="417"/>
      <c r="P588" s="462">
        <v>45281</v>
      </c>
      <c r="Q588" s="333"/>
      <c r="R588" s="333"/>
      <c r="S588" s="373"/>
      <c r="T588" s="373"/>
      <c r="U588" s="373"/>
      <c r="V588" s="373"/>
      <c r="W588" s="481">
        <v>45541</v>
      </c>
      <c r="X588" s="373"/>
      <c r="Y588" s="336">
        <f t="shared" ca="1" si="14"/>
        <v>260</v>
      </c>
      <c r="Z588" s="373"/>
      <c r="AA588" s="434"/>
      <c r="AB588" s="373"/>
    </row>
    <row r="589" spans="1:28" s="338" customFormat="1" ht="12.75" customHeight="1" x14ac:dyDescent="0.25">
      <c r="A589" s="347" t="s">
        <v>1833</v>
      </c>
      <c r="B589" s="376">
        <v>45279</v>
      </c>
      <c r="C589" s="425" t="s">
        <v>60</v>
      </c>
      <c r="D589" s="333" t="s">
        <v>1776</v>
      </c>
      <c r="E589" s="333"/>
      <c r="F589" s="374" t="s">
        <v>1834</v>
      </c>
      <c r="G589" s="372" t="s">
        <v>566</v>
      </c>
      <c r="H589" s="333">
        <v>1</v>
      </c>
      <c r="I589" s="333">
        <v>5</v>
      </c>
      <c r="J589" s="333" t="s">
        <v>46</v>
      </c>
      <c r="K589" s="333" t="s">
        <v>32</v>
      </c>
      <c r="L589" s="333"/>
      <c r="M589" s="333"/>
      <c r="N589" s="417"/>
      <c r="O589" s="417"/>
      <c r="P589" s="462">
        <v>45281</v>
      </c>
      <c r="Q589" s="333"/>
      <c r="R589" s="333"/>
      <c r="S589" s="373"/>
      <c r="T589" s="373"/>
      <c r="U589" s="373"/>
      <c r="V589" s="373"/>
      <c r="W589" s="346"/>
      <c r="X589" s="373"/>
      <c r="Y589" s="336">
        <f t="shared" ca="1" si="14"/>
        <v>305</v>
      </c>
      <c r="Z589" s="373"/>
      <c r="AA589" s="434"/>
      <c r="AB589" s="373"/>
    </row>
    <row r="590" spans="1:28" s="338" customFormat="1" ht="12.75" customHeight="1" x14ac:dyDescent="0.25">
      <c r="A590" s="347" t="s">
        <v>1835</v>
      </c>
      <c r="B590" s="363">
        <v>45275</v>
      </c>
      <c r="C590" s="425" t="s">
        <v>60</v>
      </c>
      <c r="D590" s="333" t="s">
        <v>1776</v>
      </c>
      <c r="E590" s="333"/>
      <c r="F590" s="374" t="s">
        <v>1836</v>
      </c>
      <c r="G590" s="372" t="s">
        <v>1837</v>
      </c>
      <c r="H590" s="333">
        <v>20</v>
      </c>
      <c r="I590" s="333" t="s">
        <v>1838</v>
      </c>
      <c r="J590" s="333" t="s">
        <v>43</v>
      </c>
      <c r="K590" s="333" t="s">
        <v>32</v>
      </c>
      <c r="L590" s="333"/>
      <c r="M590" s="333"/>
      <c r="N590" s="417"/>
      <c r="O590" s="417"/>
      <c r="P590" s="462">
        <v>45281</v>
      </c>
      <c r="Q590" s="333"/>
      <c r="R590" s="333"/>
      <c r="S590" s="373"/>
      <c r="T590" s="373"/>
      <c r="U590" s="373"/>
      <c r="V590" s="373"/>
      <c r="W590" s="346"/>
      <c r="X590" s="373"/>
      <c r="Y590" s="336">
        <f t="shared" ca="1" si="14"/>
        <v>305</v>
      </c>
      <c r="Z590" s="373"/>
      <c r="AA590" s="434"/>
      <c r="AB590" s="373"/>
    </row>
    <row r="591" spans="1:28" s="338" customFormat="1" ht="12.75" customHeight="1" x14ac:dyDescent="0.25">
      <c r="A591" s="347" t="s">
        <v>1839</v>
      </c>
      <c r="B591" s="376">
        <v>45232</v>
      </c>
      <c r="C591" s="425" t="s">
        <v>60</v>
      </c>
      <c r="D591" s="333"/>
      <c r="E591" s="333">
        <v>31109</v>
      </c>
      <c r="F591" s="374" t="s">
        <v>1840</v>
      </c>
      <c r="G591" s="372" t="s">
        <v>1841</v>
      </c>
      <c r="H591" s="333">
        <v>2</v>
      </c>
      <c r="I591" s="333">
        <v>37</v>
      </c>
      <c r="J591" s="333" t="s">
        <v>265</v>
      </c>
      <c r="K591" s="333" t="s">
        <v>32</v>
      </c>
      <c r="L591" s="333"/>
      <c r="M591" s="333" t="s">
        <v>33</v>
      </c>
      <c r="N591" s="333"/>
      <c r="O591" s="333"/>
      <c r="P591" s="462">
        <v>45236</v>
      </c>
      <c r="Q591" s="333"/>
      <c r="R591" s="333"/>
      <c r="S591" s="373"/>
      <c r="T591" s="373"/>
      <c r="U591" s="373"/>
      <c r="V591" s="373"/>
      <c r="W591" s="346">
        <v>45373</v>
      </c>
      <c r="X591" s="373">
        <v>2</v>
      </c>
      <c r="Y591" s="336">
        <f t="shared" ca="1" si="14"/>
        <v>137</v>
      </c>
      <c r="Z591" s="373"/>
      <c r="AA591" s="434"/>
      <c r="AB591" s="373"/>
    </row>
    <row r="592" spans="1:28" s="338" customFormat="1" ht="12.75" customHeight="1" x14ac:dyDescent="0.25">
      <c r="A592" s="347" t="s">
        <v>1842</v>
      </c>
      <c r="B592" s="376">
        <v>45232</v>
      </c>
      <c r="C592" s="425" t="s">
        <v>60</v>
      </c>
      <c r="D592" s="333" t="s">
        <v>1843</v>
      </c>
      <c r="E592" s="333">
        <v>31110</v>
      </c>
      <c r="F592" s="374" t="s">
        <v>1844</v>
      </c>
      <c r="G592" s="372" t="s">
        <v>1845</v>
      </c>
      <c r="H592" s="333">
        <v>2</v>
      </c>
      <c r="I592" s="333">
        <v>37</v>
      </c>
      <c r="J592" s="333" t="s">
        <v>265</v>
      </c>
      <c r="K592" s="333" t="s">
        <v>32</v>
      </c>
      <c r="L592" s="333"/>
      <c r="M592" s="333" t="s">
        <v>33</v>
      </c>
      <c r="N592" s="333"/>
      <c r="O592" s="333"/>
      <c r="P592" s="462">
        <v>45236</v>
      </c>
      <c r="Q592" s="333"/>
      <c r="R592" s="333"/>
      <c r="S592" s="373"/>
      <c r="T592" s="373"/>
      <c r="U592" s="373"/>
      <c r="V592" s="373"/>
      <c r="W592" s="346">
        <v>45373</v>
      </c>
      <c r="X592" s="373">
        <v>2</v>
      </c>
      <c r="Y592" s="336">
        <f t="shared" ca="1" si="14"/>
        <v>137</v>
      </c>
      <c r="Z592" s="373"/>
      <c r="AA592" s="434"/>
      <c r="AB592" s="373"/>
    </row>
    <row r="593" spans="1:28" s="338" customFormat="1" ht="12.75" customHeight="1" x14ac:dyDescent="0.25">
      <c r="A593" s="347" t="s">
        <v>1846</v>
      </c>
      <c r="B593" s="376">
        <v>45232</v>
      </c>
      <c r="C593" s="425" t="s">
        <v>60</v>
      </c>
      <c r="D593" s="333" t="s">
        <v>1843</v>
      </c>
      <c r="E593" s="333">
        <v>31111</v>
      </c>
      <c r="F593" s="374" t="s">
        <v>1847</v>
      </c>
      <c r="G593" s="372" t="s">
        <v>1848</v>
      </c>
      <c r="H593" s="333">
        <v>12</v>
      </c>
      <c r="I593" s="333">
        <v>37</v>
      </c>
      <c r="J593" s="333" t="s">
        <v>43</v>
      </c>
      <c r="K593" s="333" t="s">
        <v>32</v>
      </c>
      <c r="L593" s="333"/>
      <c r="M593" s="333" t="s">
        <v>33</v>
      </c>
      <c r="N593" s="333"/>
      <c r="O593" s="333"/>
      <c r="P593" s="462">
        <v>45236</v>
      </c>
      <c r="Q593" s="333"/>
      <c r="R593" s="333"/>
      <c r="S593" s="373"/>
      <c r="T593" s="373"/>
      <c r="U593" s="373"/>
      <c r="V593" s="373"/>
      <c r="W593" s="346">
        <v>45348</v>
      </c>
      <c r="X593" s="482">
        <f>12 + 11</f>
        <v>23</v>
      </c>
      <c r="Y593" s="336">
        <f t="shared" ca="1" si="14"/>
        <v>112</v>
      </c>
      <c r="Z593" s="373"/>
      <c r="AA593" s="434"/>
      <c r="AB593" s="373"/>
    </row>
    <row r="594" spans="1:28" s="338" customFormat="1" ht="12.75" customHeight="1" x14ac:dyDescent="0.25">
      <c r="A594" s="347" t="s">
        <v>1849</v>
      </c>
      <c r="B594" s="376">
        <v>45232</v>
      </c>
      <c r="C594" s="425" t="s">
        <v>60</v>
      </c>
      <c r="D594" s="333" t="s">
        <v>1843</v>
      </c>
      <c r="E594" s="333">
        <v>31112</v>
      </c>
      <c r="F594" s="374" t="s">
        <v>1850</v>
      </c>
      <c r="G594" s="372" t="s">
        <v>1851</v>
      </c>
      <c r="H594" s="333">
        <v>1</v>
      </c>
      <c r="I594" s="333">
        <v>37</v>
      </c>
      <c r="J594" s="333" t="s">
        <v>43</v>
      </c>
      <c r="K594" s="333" t="s">
        <v>32</v>
      </c>
      <c r="L594" s="333"/>
      <c r="M594" s="333" t="s">
        <v>33</v>
      </c>
      <c r="N594" s="333"/>
      <c r="O594" s="333"/>
      <c r="P594" s="462">
        <v>45236</v>
      </c>
      <c r="Q594" s="333"/>
      <c r="R594" s="333"/>
      <c r="S594" s="373"/>
      <c r="T594" s="373"/>
      <c r="U594" s="373"/>
      <c r="V594" s="373"/>
      <c r="W594" s="346">
        <v>45348</v>
      </c>
      <c r="X594" s="373">
        <v>1</v>
      </c>
      <c r="Y594" s="336">
        <f t="shared" ca="1" si="14"/>
        <v>112</v>
      </c>
      <c r="Z594" s="373"/>
      <c r="AA594" s="434"/>
      <c r="AB594" s="373"/>
    </row>
    <row r="595" spans="1:28" s="338" customFormat="1" ht="12.75" customHeight="1" x14ac:dyDescent="0.25">
      <c r="A595" s="347" t="s">
        <v>1852</v>
      </c>
      <c r="B595" s="376">
        <v>45232</v>
      </c>
      <c r="C595" s="425" t="s">
        <v>60</v>
      </c>
      <c r="D595" s="333" t="s">
        <v>1843</v>
      </c>
      <c r="E595" s="333">
        <v>31113</v>
      </c>
      <c r="F595" s="374"/>
      <c r="G595" s="372" t="s">
        <v>1853</v>
      </c>
      <c r="H595" s="333">
        <v>7</v>
      </c>
      <c r="I595" s="333">
        <v>37</v>
      </c>
      <c r="J595" s="333" t="s">
        <v>265</v>
      </c>
      <c r="K595" s="333" t="s">
        <v>32</v>
      </c>
      <c r="L595" s="333"/>
      <c r="M595" s="333" t="s">
        <v>33</v>
      </c>
      <c r="N595" s="333"/>
      <c r="O595" s="333"/>
      <c r="P595" s="462">
        <v>45236</v>
      </c>
      <c r="Q595" s="333"/>
      <c r="R595" s="333"/>
      <c r="S595" s="373"/>
      <c r="T595" s="373"/>
      <c r="U595" s="373"/>
      <c r="V595" s="373"/>
      <c r="W595" s="346">
        <v>45373</v>
      </c>
      <c r="X595" s="373">
        <v>6</v>
      </c>
      <c r="Y595" s="336">
        <f t="shared" ca="1" si="14"/>
        <v>137</v>
      </c>
      <c r="Z595" s="373"/>
      <c r="AA595" s="434"/>
      <c r="AB595" s="373"/>
    </row>
    <row r="596" spans="1:28" s="338" customFormat="1" ht="12.75" customHeight="1" x14ac:dyDescent="0.25">
      <c r="A596" s="347" t="s">
        <v>1854</v>
      </c>
      <c r="B596" s="376">
        <v>45254</v>
      </c>
      <c r="C596" s="425" t="s">
        <v>35</v>
      </c>
      <c r="D596" s="333" t="s">
        <v>83</v>
      </c>
      <c r="E596" s="333"/>
      <c r="F596" s="374" t="s">
        <v>962</v>
      </c>
      <c r="G596" s="483" t="s">
        <v>1855</v>
      </c>
      <c r="H596" s="333">
        <v>2</v>
      </c>
      <c r="I596" s="333" t="s">
        <v>300</v>
      </c>
      <c r="J596" s="333" t="s">
        <v>102</v>
      </c>
      <c r="K596" s="333" t="s">
        <v>69</v>
      </c>
      <c r="L596" s="333"/>
      <c r="M596" s="333" t="s">
        <v>1856</v>
      </c>
      <c r="N596" s="417">
        <v>2000</v>
      </c>
      <c r="O596" s="417"/>
      <c r="P596" s="376">
        <v>45254</v>
      </c>
      <c r="Q596" s="333"/>
      <c r="R596" s="333"/>
      <c r="S596" s="373"/>
      <c r="T596" s="373"/>
      <c r="U596" s="373"/>
      <c r="V596" s="373"/>
      <c r="W596" s="346">
        <v>45362</v>
      </c>
      <c r="X596" s="373">
        <v>2</v>
      </c>
      <c r="Y596" s="336">
        <f t="shared" ca="1" si="14"/>
        <v>108</v>
      </c>
      <c r="Z596" s="373"/>
      <c r="AA596" s="434"/>
      <c r="AB596" s="373"/>
    </row>
    <row r="597" spans="1:28" s="338" customFormat="1" ht="12.75" customHeight="1" x14ac:dyDescent="0.25">
      <c r="A597" s="347" t="s">
        <v>1857</v>
      </c>
      <c r="B597" s="376">
        <v>45254</v>
      </c>
      <c r="C597" s="425" t="s">
        <v>35</v>
      </c>
      <c r="D597" s="333" t="s">
        <v>83</v>
      </c>
      <c r="E597" s="333"/>
      <c r="F597" s="374" t="s">
        <v>303</v>
      </c>
      <c r="G597" s="484" t="s">
        <v>304</v>
      </c>
      <c r="H597" s="333">
        <v>1</v>
      </c>
      <c r="I597" s="333" t="s">
        <v>300</v>
      </c>
      <c r="J597" s="333" t="s">
        <v>102</v>
      </c>
      <c r="K597" s="333" t="s">
        <v>69</v>
      </c>
      <c r="L597" s="333"/>
      <c r="M597" s="333" t="s">
        <v>1856</v>
      </c>
      <c r="N597" s="417">
        <v>1000</v>
      </c>
      <c r="O597" s="417"/>
      <c r="P597" s="376">
        <v>45254</v>
      </c>
      <c r="Q597" s="333"/>
      <c r="R597" s="333"/>
      <c r="S597" s="373"/>
      <c r="T597" s="373"/>
      <c r="U597" s="373"/>
      <c r="V597" s="373"/>
      <c r="W597" s="346">
        <v>45362</v>
      </c>
      <c r="X597" s="373">
        <v>1</v>
      </c>
      <c r="Y597" s="336">
        <f t="shared" ca="1" si="14"/>
        <v>108</v>
      </c>
      <c r="Z597" s="373"/>
      <c r="AA597" s="434"/>
      <c r="AB597" s="373"/>
    </row>
    <row r="598" spans="1:28" s="338" customFormat="1" ht="12.75" customHeight="1" x14ac:dyDescent="0.25">
      <c r="A598" s="347" t="s">
        <v>1858</v>
      </c>
      <c r="B598" s="376">
        <v>45254</v>
      </c>
      <c r="C598" s="425" t="s">
        <v>35</v>
      </c>
      <c r="D598" s="333" t="s">
        <v>83</v>
      </c>
      <c r="E598" s="333"/>
      <c r="F598" s="374" t="s">
        <v>306</v>
      </c>
      <c r="G598" s="484" t="s">
        <v>307</v>
      </c>
      <c r="H598" s="333">
        <v>1</v>
      </c>
      <c r="I598" s="333" t="s">
        <v>300</v>
      </c>
      <c r="J598" s="333" t="s">
        <v>102</v>
      </c>
      <c r="K598" s="333" t="s">
        <v>69</v>
      </c>
      <c r="L598" s="333"/>
      <c r="M598" s="333" t="s">
        <v>1856</v>
      </c>
      <c r="N598" s="417">
        <v>500</v>
      </c>
      <c r="O598" s="417"/>
      <c r="P598" s="376">
        <v>45254</v>
      </c>
      <c r="Q598" s="333"/>
      <c r="R598" s="333"/>
      <c r="S598" s="373"/>
      <c r="T598" s="373"/>
      <c r="U598" s="373"/>
      <c r="V598" s="373"/>
      <c r="W598" s="346">
        <v>45362</v>
      </c>
      <c r="X598" s="373">
        <v>1</v>
      </c>
      <c r="Y598" s="336">
        <f t="shared" ca="1" si="14"/>
        <v>108</v>
      </c>
      <c r="Z598" s="373"/>
      <c r="AA598" s="434"/>
      <c r="AB598" s="373"/>
    </row>
    <row r="599" spans="1:28" s="338" customFormat="1" ht="12.75" customHeight="1" x14ac:dyDescent="0.25">
      <c r="A599" s="347" t="s">
        <v>1859</v>
      </c>
      <c r="B599" s="376">
        <v>45254</v>
      </c>
      <c r="C599" s="425" t="s">
        <v>35</v>
      </c>
      <c r="D599" s="333" t="s">
        <v>83</v>
      </c>
      <c r="E599" s="333"/>
      <c r="F599" s="374" t="s">
        <v>1860</v>
      </c>
      <c r="G599" s="484" t="s">
        <v>127</v>
      </c>
      <c r="H599" s="333">
        <v>1</v>
      </c>
      <c r="I599" s="333" t="s">
        <v>300</v>
      </c>
      <c r="J599" s="333" t="s">
        <v>68</v>
      </c>
      <c r="K599" s="333" t="s">
        <v>69</v>
      </c>
      <c r="L599" s="333"/>
      <c r="M599" s="333" t="s">
        <v>1856</v>
      </c>
      <c r="N599" s="417">
        <v>4000</v>
      </c>
      <c r="O599" s="417"/>
      <c r="P599" s="376">
        <v>45254</v>
      </c>
      <c r="Q599" s="333"/>
      <c r="R599" s="333"/>
      <c r="S599" s="373"/>
      <c r="T599" s="373"/>
      <c r="U599" s="373"/>
      <c r="V599" s="373"/>
      <c r="W599" s="346">
        <v>45362</v>
      </c>
      <c r="X599" s="373">
        <v>1</v>
      </c>
      <c r="Y599" s="336">
        <f t="shared" ca="1" si="14"/>
        <v>108</v>
      </c>
      <c r="Z599" s="373"/>
      <c r="AA599" s="434"/>
      <c r="AB599" s="373"/>
    </row>
    <row r="600" spans="1:28" s="338" customFormat="1" ht="12.75" customHeight="1" x14ac:dyDescent="0.25">
      <c r="A600" s="347" t="s">
        <v>1861</v>
      </c>
      <c r="B600" s="376">
        <v>45254</v>
      </c>
      <c r="C600" s="425" t="s">
        <v>35</v>
      </c>
      <c r="D600" s="333" t="s">
        <v>83</v>
      </c>
      <c r="E600" s="333"/>
      <c r="F600" s="374" t="s">
        <v>1862</v>
      </c>
      <c r="G600" s="484" t="s">
        <v>1863</v>
      </c>
      <c r="H600" s="333">
        <v>1</v>
      </c>
      <c r="I600" s="333" t="s">
        <v>300</v>
      </c>
      <c r="J600" s="333" t="s">
        <v>68</v>
      </c>
      <c r="K600" s="333" t="s">
        <v>69</v>
      </c>
      <c r="L600" s="333"/>
      <c r="M600" s="333" t="s">
        <v>1856</v>
      </c>
      <c r="N600" s="417">
        <v>3000</v>
      </c>
      <c r="O600" s="417"/>
      <c r="P600" s="376">
        <v>45254</v>
      </c>
      <c r="Q600" s="333"/>
      <c r="R600" s="333"/>
      <c r="S600" s="373"/>
      <c r="T600" s="373"/>
      <c r="U600" s="373"/>
      <c r="V600" s="373"/>
      <c r="W600" s="346">
        <v>45362</v>
      </c>
      <c r="X600" s="373">
        <v>1</v>
      </c>
      <c r="Y600" s="336">
        <f t="shared" ca="1" si="14"/>
        <v>108</v>
      </c>
      <c r="Z600" s="373"/>
      <c r="AA600" s="434"/>
      <c r="AB600" s="373"/>
    </row>
    <row r="601" spans="1:28" s="338" customFormat="1" ht="12.75" customHeight="1" x14ac:dyDescent="0.25">
      <c r="A601" s="347" t="s">
        <v>1864</v>
      </c>
      <c r="B601" s="376">
        <v>45254</v>
      </c>
      <c r="C601" s="425" t="s">
        <v>35</v>
      </c>
      <c r="D601" s="333" t="s">
        <v>83</v>
      </c>
      <c r="E601" s="333"/>
      <c r="F601" s="374" t="s">
        <v>1015</v>
      </c>
      <c r="G601" s="484" t="s">
        <v>1865</v>
      </c>
      <c r="H601" s="333">
        <v>6</v>
      </c>
      <c r="I601" s="333" t="s">
        <v>1866</v>
      </c>
      <c r="J601" s="333" t="s">
        <v>68</v>
      </c>
      <c r="K601" s="333" t="s">
        <v>69</v>
      </c>
      <c r="L601" s="333"/>
      <c r="M601" s="333" t="s">
        <v>1856</v>
      </c>
      <c r="N601" s="417">
        <v>3000</v>
      </c>
      <c r="O601" s="417"/>
      <c r="P601" s="376">
        <v>45254</v>
      </c>
      <c r="Q601" s="333"/>
      <c r="R601" s="333"/>
      <c r="S601" s="373"/>
      <c r="T601" s="373"/>
      <c r="U601" s="373"/>
      <c r="V601" s="373"/>
      <c r="W601" s="346">
        <v>45362</v>
      </c>
      <c r="X601" s="373">
        <v>6</v>
      </c>
      <c r="Y601" s="336">
        <f t="shared" ca="1" si="14"/>
        <v>108</v>
      </c>
      <c r="Z601" s="373"/>
      <c r="AA601" s="434"/>
      <c r="AB601" s="373"/>
    </row>
    <row r="602" spans="1:28" s="338" customFormat="1" ht="12.75" customHeight="1" x14ac:dyDescent="0.25">
      <c r="A602" s="347" t="s">
        <v>1867</v>
      </c>
      <c r="B602" s="376">
        <v>45254</v>
      </c>
      <c r="C602" s="425" t="s">
        <v>35</v>
      </c>
      <c r="D602" s="333" t="s">
        <v>83</v>
      </c>
      <c r="E602" s="333"/>
      <c r="F602" s="374" t="s">
        <v>748</v>
      </c>
      <c r="G602" s="484" t="s">
        <v>749</v>
      </c>
      <c r="H602" s="333">
        <v>2</v>
      </c>
      <c r="I602" s="333" t="s">
        <v>1868</v>
      </c>
      <c r="J602" s="333" t="s">
        <v>68</v>
      </c>
      <c r="K602" s="333" t="s">
        <v>69</v>
      </c>
      <c r="L602" s="333"/>
      <c r="M602" s="333" t="s">
        <v>1856</v>
      </c>
      <c r="N602" s="417">
        <v>10000</v>
      </c>
      <c r="O602" s="417"/>
      <c r="P602" s="376">
        <v>45254</v>
      </c>
      <c r="Q602" s="333"/>
      <c r="R602" s="333"/>
      <c r="S602" s="373"/>
      <c r="T602" s="373"/>
      <c r="U602" s="373"/>
      <c r="V602" s="373"/>
      <c r="W602" s="346">
        <v>45362</v>
      </c>
      <c r="X602" s="373">
        <v>1</v>
      </c>
      <c r="Y602" s="336">
        <f t="shared" ca="1" si="14"/>
        <v>108</v>
      </c>
      <c r="Z602" s="373"/>
      <c r="AA602" s="434"/>
      <c r="AB602" s="373"/>
    </row>
    <row r="603" spans="1:28" s="338" customFormat="1" ht="12.75" customHeight="1" x14ac:dyDescent="0.25">
      <c r="A603" s="347" t="s">
        <v>1869</v>
      </c>
      <c r="B603" s="376">
        <v>45254</v>
      </c>
      <c r="C603" s="425" t="s">
        <v>35</v>
      </c>
      <c r="D603" s="333" t="s">
        <v>83</v>
      </c>
      <c r="E603" s="333"/>
      <c r="F603" s="374" t="s">
        <v>1083</v>
      </c>
      <c r="G603" s="484" t="s">
        <v>1870</v>
      </c>
      <c r="H603" s="333">
        <v>2</v>
      </c>
      <c r="I603" s="333" t="s">
        <v>1871</v>
      </c>
      <c r="J603" s="333" t="s">
        <v>68</v>
      </c>
      <c r="K603" s="333" t="s">
        <v>69</v>
      </c>
      <c r="L603" s="333"/>
      <c r="M603" s="333" t="s">
        <v>1856</v>
      </c>
      <c r="N603" s="417">
        <v>20000</v>
      </c>
      <c r="O603" s="417"/>
      <c r="P603" s="376">
        <v>45254</v>
      </c>
      <c r="Q603" s="333"/>
      <c r="R603" s="333"/>
      <c r="S603" s="373"/>
      <c r="T603" s="373"/>
      <c r="U603" s="373"/>
      <c r="V603" s="373"/>
      <c r="W603" s="346">
        <v>45362</v>
      </c>
      <c r="X603" s="373">
        <v>1</v>
      </c>
      <c r="Y603" s="336">
        <f t="shared" ca="1" si="14"/>
        <v>108</v>
      </c>
      <c r="Z603" s="373"/>
      <c r="AA603" s="434"/>
      <c r="AB603" s="373"/>
    </row>
    <row r="604" spans="1:28" s="338" customFormat="1" ht="12.75" customHeight="1" x14ac:dyDescent="0.25">
      <c r="A604" s="347" t="s">
        <v>1872</v>
      </c>
      <c r="B604" s="376">
        <v>45254</v>
      </c>
      <c r="C604" s="425" t="s">
        <v>35</v>
      </c>
      <c r="D604" s="333" t="s">
        <v>83</v>
      </c>
      <c r="E604" s="364"/>
      <c r="F604" s="365" t="s">
        <v>1061</v>
      </c>
      <c r="G604" s="484" t="s">
        <v>1873</v>
      </c>
      <c r="H604" s="364">
        <v>1</v>
      </c>
      <c r="I604" s="364" t="s">
        <v>1874</v>
      </c>
      <c r="J604" s="333" t="s">
        <v>102</v>
      </c>
      <c r="K604" s="333" t="s">
        <v>69</v>
      </c>
      <c r="L604" s="364"/>
      <c r="M604" s="364" t="s">
        <v>1856</v>
      </c>
      <c r="N604" s="485">
        <v>10000</v>
      </c>
      <c r="O604" s="485"/>
      <c r="P604" s="376">
        <v>45254</v>
      </c>
      <c r="Q604" s="364"/>
      <c r="R604" s="364"/>
      <c r="S604" s="369"/>
      <c r="T604" s="369"/>
      <c r="U604" s="369"/>
      <c r="V604" s="369"/>
      <c r="W604" s="370">
        <v>45362</v>
      </c>
      <c r="X604" s="369">
        <v>1</v>
      </c>
      <c r="Y604" s="336">
        <f t="shared" ca="1" si="14"/>
        <v>108</v>
      </c>
      <c r="Z604" s="369"/>
      <c r="AA604" s="434"/>
      <c r="AB604" s="373"/>
    </row>
    <row r="605" spans="1:28" s="338" customFormat="1" ht="12.75" customHeight="1" x14ac:dyDescent="0.25">
      <c r="A605" s="347" t="s">
        <v>1875</v>
      </c>
      <c r="B605" s="376">
        <v>45254</v>
      </c>
      <c r="C605" s="425" t="s">
        <v>35</v>
      </c>
      <c r="D605" s="333" t="s">
        <v>83</v>
      </c>
      <c r="E605" s="333"/>
      <c r="F605" s="374" t="s">
        <v>1876</v>
      </c>
      <c r="G605" s="484" t="s">
        <v>1877</v>
      </c>
      <c r="H605" s="333">
        <v>1</v>
      </c>
      <c r="I605" s="333" t="s">
        <v>1878</v>
      </c>
      <c r="J605" s="333" t="s">
        <v>102</v>
      </c>
      <c r="K605" s="333" t="s">
        <v>69</v>
      </c>
      <c r="L605" s="333"/>
      <c r="M605" s="333" t="s">
        <v>1856</v>
      </c>
      <c r="N605" s="417">
        <v>1000</v>
      </c>
      <c r="O605" s="417"/>
      <c r="P605" s="376">
        <v>45254</v>
      </c>
      <c r="Q605" s="333"/>
      <c r="R605" s="333"/>
      <c r="S605" s="373"/>
      <c r="T605" s="373"/>
      <c r="U605" s="373"/>
      <c r="V605" s="373"/>
      <c r="W605" s="346">
        <v>45362</v>
      </c>
      <c r="X605" s="373">
        <v>1</v>
      </c>
      <c r="Y605" s="336">
        <f t="shared" ca="1" si="14"/>
        <v>108</v>
      </c>
      <c r="Z605" s="373"/>
      <c r="AA605" s="434"/>
      <c r="AB605" s="373"/>
    </row>
    <row r="606" spans="1:28" s="338" customFormat="1" ht="12.75" customHeight="1" x14ac:dyDescent="0.25">
      <c r="A606" s="347" t="s">
        <v>1879</v>
      </c>
      <c r="B606" s="376">
        <v>45254</v>
      </c>
      <c r="C606" s="425" t="s">
        <v>35</v>
      </c>
      <c r="D606" s="333" t="s">
        <v>83</v>
      </c>
      <c r="E606" s="333"/>
      <c r="F606" s="374" t="s">
        <v>1880</v>
      </c>
      <c r="G606" s="484" t="s">
        <v>1881</v>
      </c>
      <c r="H606" s="333">
        <v>2</v>
      </c>
      <c r="I606" s="333" t="s">
        <v>1878</v>
      </c>
      <c r="J606" s="333" t="s">
        <v>102</v>
      </c>
      <c r="K606" s="333" t="s">
        <v>69</v>
      </c>
      <c r="L606" s="333"/>
      <c r="M606" s="333" t="s">
        <v>1856</v>
      </c>
      <c r="N606" s="417">
        <v>2000</v>
      </c>
      <c r="O606" s="417"/>
      <c r="P606" s="376">
        <v>45254</v>
      </c>
      <c r="Q606" s="333"/>
      <c r="R606" s="333"/>
      <c r="S606" s="373"/>
      <c r="T606" s="373"/>
      <c r="U606" s="373"/>
      <c r="V606" s="373"/>
      <c r="W606" s="346">
        <v>45362</v>
      </c>
      <c r="X606" s="373">
        <v>2</v>
      </c>
      <c r="Y606" s="336">
        <f t="shared" ca="1" si="14"/>
        <v>108</v>
      </c>
      <c r="Z606" s="373"/>
      <c r="AA606" s="434"/>
      <c r="AB606" s="373"/>
    </row>
    <row r="607" spans="1:28" s="338" customFormat="1" ht="12.75" customHeight="1" x14ac:dyDescent="0.25">
      <c r="A607" s="347" t="s">
        <v>1882</v>
      </c>
      <c r="B607" s="376">
        <v>45254</v>
      </c>
      <c r="C607" s="425" t="s">
        <v>35</v>
      </c>
      <c r="D607" s="333" t="s">
        <v>83</v>
      </c>
      <c r="E607" s="333"/>
      <c r="F607" s="374" t="s">
        <v>1883</v>
      </c>
      <c r="G607" s="484" t="s">
        <v>1884</v>
      </c>
      <c r="H607" s="333">
        <v>2</v>
      </c>
      <c r="I607" s="333" t="s">
        <v>1885</v>
      </c>
      <c r="J607" s="333" t="s">
        <v>68</v>
      </c>
      <c r="K607" s="333" t="s">
        <v>69</v>
      </c>
      <c r="L607" s="333"/>
      <c r="M607" s="333" t="s">
        <v>1856</v>
      </c>
      <c r="N607" s="417">
        <v>2000</v>
      </c>
      <c r="O607" s="417"/>
      <c r="P607" s="376">
        <v>45254</v>
      </c>
      <c r="Q607" s="333"/>
      <c r="R607" s="333"/>
      <c r="S607" s="373"/>
      <c r="T607" s="373"/>
      <c r="U607" s="373"/>
      <c r="V607" s="373"/>
      <c r="W607" s="346">
        <v>45362</v>
      </c>
      <c r="X607" s="373">
        <v>2</v>
      </c>
      <c r="Y607" s="336">
        <f t="shared" ca="1" si="14"/>
        <v>108</v>
      </c>
      <c r="Z607" s="373"/>
      <c r="AA607" s="434"/>
      <c r="AB607" s="373"/>
    </row>
    <row r="608" spans="1:28" s="338" customFormat="1" ht="12.75" customHeight="1" x14ac:dyDescent="0.25">
      <c r="A608" s="347" t="s">
        <v>1886</v>
      </c>
      <c r="B608" s="376">
        <v>45254</v>
      </c>
      <c r="C608" s="425" t="s">
        <v>35</v>
      </c>
      <c r="D608" s="333" t="s">
        <v>83</v>
      </c>
      <c r="E608" s="333"/>
      <c r="F608" s="374" t="s">
        <v>1887</v>
      </c>
      <c r="G608" s="484" t="s">
        <v>1888</v>
      </c>
      <c r="H608" s="333">
        <v>6</v>
      </c>
      <c r="I608" s="333" t="s">
        <v>1878</v>
      </c>
      <c r="J608" s="333" t="s">
        <v>68</v>
      </c>
      <c r="K608" s="333" t="s">
        <v>69</v>
      </c>
      <c r="L608" s="333"/>
      <c r="M608" s="333" t="s">
        <v>1856</v>
      </c>
      <c r="N608" s="417">
        <v>6000</v>
      </c>
      <c r="O608" s="417"/>
      <c r="P608" s="376">
        <v>45254</v>
      </c>
      <c r="Q608" s="333"/>
      <c r="R608" s="333"/>
      <c r="S608" s="373"/>
      <c r="T608" s="373"/>
      <c r="U608" s="373"/>
      <c r="V608" s="373"/>
      <c r="W608" s="346">
        <v>45362</v>
      </c>
      <c r="X608" s="373">
        <v>6</v>
      </c>
      <c r="Y608" s="336">
        <f t="shared" ca="1" si="14"/>
        <v>108</v>
      </c>
      <c r="Z608" s="373"/>
      <c r="AA608" s="434"/>
      <c r="AB608" s="373"/>
    </row>
    <row r="609" spans="1:28" s="338" customFormat="1" ht="12.75" customHeight="1" x14ac:dyDescent="0.25">
      <c r="A609" s="347" t="s">
        <v>1889</v>
      </c>
      <c r="B609" s="376">
        <v>45254</v>
      </c>
      <c r="C609" s="425" t="s">
        <v>35</v>
      </c>
      <c r="D609" s="333" t="s">
        <v>83</v>
      </c>
      <c r="E609" s="333"/>
      <c r="F609" s="374" t="s">
        <v>1890</v>
      </c>
      <c r="G609" s="484" t="s">
        <v>1891</v>
      </c>
      <c r="H609" s="333">
        <v>3</v>
      </c>
      <c r="I609" s="333" t="s">
        <v>1878</v>
      </c>
      <c r="J609" s="333" t="s">
        <v>68</v>
      </c>
      <c r="K609" s="333" t="s">
        <v>69</v>
      </c>
      <c r="L609" s="333"/>
      <c r="M609" s="333" t="s">
        <v>1856</v>
      </c>
      <c r="N609" s="417">
        <v>3000</v>
      </c>
      <c r="O609" s="417"/>
      <c r="P609" s="376">
        <v>45254</v>
      </c>
      <c r="Q609" s="333"/>
      <c r="R609" s="333"/>
      <c r="S609" s="373"/>
      <c r="T609" s="373"/>
      <c r="U609" s="373"/>
      <c r="V609" s="373"/>
      <c r="W609" s="346">
        <v>45362</v>
      </c>
      <c r="X609" s="373">
        <v>3</v>
      </c>
      <c r="Y609" s="336">
        <f t="shared" ca="1" si="14"/>
        <v>108</v>
      </c>
      <c r="Z609" s="373"/>
      <c r="AA609" s="434"/>
      <c r="AB609" s="373"/>
    </row>
    <row r="610" spans="1:28" s="338" customFormat="1" ht="12.75" customHeight="1" x14ac:dyDescent="0.25">
      <c r="A610" s="347" t="s">
        <v>1892</v>
      </c>
      <c r="B610" s="376">
        <v>45254</v>
      </c>
      <c r="C610" s="425" t="s">
        <v>35</v>
      </c>
      <c r="D610" s="333" t="s">
        <v>83</v>
      </c>
      <c r="E610" s="333"/>
      <c r="F610" s="374" t="s">
        <v>1893</v>
      </c>
      <c r="G610" s="484" t="s">
        <v>1894</v>
      </c>
      <c r="H610" s="333">
        <v>1</v>
      </c>
      <c r="I610" s="333" t="s">
        <v>1878</v>
      </c>
      <c r="J610" s="333" t="s">
        <v>68</v>
      </c>
      <c r="K610" s="333" t="s">
        <v>69</v>
      </c>
      <c r="L610" s="333"/>
      <c r="M610" s="333" t="s">
        <v>1856</v>
      </c>
      <c r="N610" s="417">
        <v>1000</v>
      </c>
      <c r="O610" s="417"/>
      <c r="P610" s="376">
        <v>45254</v>
      </c>
      <c r="Q610" s="333"/>
      <c r="R610" s="333"/>
      <c r="S610" s="373"/>
      <c r="T610" s="373"/>
      <c r="U610" s="373"/>
      <c r="V610" s="373"/>
      <c r="W610" s="346">
        <v>45362</v>
      </c>
      <c r="X610" s="373">
        <v>1</v>
      </c>
      <c r="Y610" s="336">
        <f t="shared" ca="1" si="14"/>
        <v>108</v>
      </c>
      <c r="Z610" s="373"/>
      <c r="AA610" s="434"/>
      <c r="AB610" s="373"/>
    </row>
    <row r="611" spans="1:28" s="338" customFormat="1" ht="12.75" customHeight="1" x14ac:dyDescent="0.25">
      <c r="A611" s="347" t="s">
        <v>1895</v>
      </c>
      <c r="B611" s="376">
        <v>45254</v>
      </c>
      <c r="C611" s="425" t="s">
        <v>35</v>
      </c>
      <c r="D611" s="333" t="s">
        <v>83</v>
      </c>
      <c r="E611" s="333"/>
      <c r="F611" s="374" t="s">
        <v>1896</v>
      </c>
      <c r="G611" s="484" t="s">
        <v>1897</v>
      </c>
      <c r="H611" s="333">
        <v>1</v>
      </c>
      <c r="I611" s="333" t="s">
        <v>1878</v>
      </c>
      <c r="J611" s="333" t="s">
        <v>102</v>
      </c>
      <c r="K611" s="333" t="s">
        <v>69</v>
      </c>
      <c r="L611" s="333"/>
      <c r="M611" s="333" t="s">
        <v>1856</v>
      </c>
      <c r="N611" s="417">
        <v>2000</v>
      </c>
      <c r="O611" s="417"/>
      <c r="P611" s="376">
        <v>45254</v>
      </c>
      <c r="Q611" s="333"/>
      <c r="R611" s="333"/>
      <c r="S611" s="373"/>
      <c r="T611" s="373"/>
      <c r="U611" s="373"/>
      <c r="V611" s="373"/>
      <c r="W611" s="346">
        <v>45362</v>
      </c>
      <c r="X611" s="373">
        <v>1</v>
      </c>
      <c r="Y611" s="336">
        <f t="shared" ca="1" si="14"/>
        <v>108</v>
      </c>
      <c r="Z611" s="373"/>
      <c r="AA611" s="434"/>
      <c r="AB611" s="373"/>
    </row>
    <row r="612" spans="1:28" s="338" customFormat="1" ht="12.75" customHeight="1" x14ac:dyDescent="0.25">
      <c r="A612" s="347" t="s">
        <v>1898</v>
      </c>
      <c r="B612" s="376">
        <v>45254</v>
      </c>
      <c r="C612" s="425" t="s">
        <v>35</v>
      </c>
      <c r="D612" s="333" t="s">
        <v>83</v>
      </c>
      <c r="E612" s="333"/>
      <c r="F612" s="374" t="s">
        <v>309</v>
      </c>
      <c r="G612" s="486" t="s">
        <v>1899</v>
      </c>
      <c r="H612" s="333">
        <v>2</v>
      </c>
      <c r="I612" s="333" t="s">
        <v>1878</v>
      </c>
      <c r="J612" s="333" t="s">
        <v>102</v>
      </c>
      <c r="K612" s="333" t="s">
        <v>69</v>
      </c>
      <c r="L612" s="333"/>
      <c r="M612" s="333" t="s">
        <v>1856</v>
      </c>
      <c r="N612" s="417">
        <v>1000</v>
      </c>
      <c r="O612" s="417"/>
      <c r="P612" s="376">
        <v>45254</v>
      </c>
      <c r="Q612" s="333"/>
      <c r="R612" s="333"/>
      <c r="S612" s="373"/>
      <c r="T612" s="373"/>
      <c r="U612" s="373"/>
      <c r="V612" s="373"/>
      <c r="W612" s="346">
        <v>45362</v>
      </c>
      <c r="X612" s="373">
        <v>2</v>
      </c>
      <c r="Y612" s="336">
        <f t="shared" ca="1" si="14"/>
        <v>108</v>
      </c>
      <c r="Z612" s="373"/>
      <c r="AA612" s="434"/>
      <c r="AB612" s="373"/>
    </row>
    <row r="613" spans="1:28" s="338" customFormat="1" ht="12.75" customHeight="1" x14ac:dyDescent="0.25">
      <c r="A613" s="347" t="s">
        <v>1900</v>
      </c>
      <c r="B613" s="376">
        <v>45254</v>
      </c>
      <c r="C613" s="425" t="s">
        <v>35</v>
      </c>
      <c r="D613" s="333" t="s">
        <v>83</v>
      </c>
      <c r="E613" s="333"/>
      <c r="F613" s="374" t="s">
        <v>1901</v>
      </c>
      <c r="G613" s="486" t="s">
        <v>1902</v>
      </c>
      <c r="H613" s="333">
        <v>1</v>
      </c>
      <c r="I613" s="333" t="s">
        <v>1878</v>
      </c>
      <c r="J613" s="333" t="s">
        <v>102</v>
      </c>
      <c r="K613" s="333" t="s">
        <v>69</v>
      </c>
      <c r="L613" s="333"/>
      <c r="M613" s="333" t="s">
        <v>1856</v>
      </c>
      <c r="N613" s="417">
        <v>1000</v>
      </c>
      <c r="O613" s="417"/>
      <c r="P613" s="376">
        <v>45254</v>
      </c>
      <c r="Q613" s="333"/>
      <c r="R613" s="333"/>
      <c r="S613" s="373"/>
      <c r="T613" s="373"/>
      <c r="U613" s="373"/>
      <c r="V613" s="373"/>
      <c r="W613" s="346">
        <v>45362</v>
      </c>
      <c r="X613" s="373">
        <v>1</v>
      </c>
      <c r="Y613" s="336">
        <f t="shared" ca="1" si="14"/>
        <v>108</v>
      </c>
      <c r="Z613" s="373"/>
      <c r="AA613" s="434"/>
      <c r="AB613" s="373"/>
    </row>
    <row r="614" spans="1:28" s="338" customFormat="1" ht="12.75" customHeight="1" x14ac:dyDescent="0.25">
      <c r="A614" s="347" t="s">
        <v>1903</v>
      </c>
      <c r="B614" s="376">
        <v>45254</v>
      </c>
      <c r="C614" s="425" t="s">
        <v>35</v>
      </c>
      <c r="D614" s="333" t="s">
        <v>83</v>
      </c>
      <c r="E614" s="333"/>
      <c r="F614" s="374" t="s">
        <v>1904</v>
      </c>
      <c r="G614" s="486" t="s">
        <v>1905</v>
      </c>
      <c r="H614" s="333">
        <v>1</v>
      </c>
      <c r="I614" s="333" t="s">
        <v>1878</v>
      </c>
      <c r="J614" s="333" t="s">
        <v>102</v>
      </c>
      <c r="K614" s="333" t="s">
        <v>69</v>
      </c>
      <c r="L614" s="333"/>
      <c r="M614" s="333" t="s">
        <v>1856</v>
      </c>
      <c r="N614" s="417">
        <v>1000</v>
      </c>
      <c r="O614" s="417"/>
      <c r="P614" s="376">
        <v>45254</v>
      </c>
      <c r="Q614" s="333"/>
      <c r="R614" s="333"/>
      <c r="S614" s="373"/>
      <c r="T614" s="373"/>
      <c r="U614" s="373"/>
      <c r="V614" s="373"/>
      <c r="W614" s="346">
        <v>45362</v>
      </c>
      <c r="X614" s="373">
        <v>1</v>
      </c>
      <c r="Y614" s="336">
        <f t="shared" ca="1" si="14"/>
        <v>108</v>
      </c>
      <c r="Z614" s="373"/>
      <c r="AA614" s="434"/>
      <c r="AB614" s="373"/>
    </row>
    <row r="615" spans="1:28" s="338" customFormat="1" ht="12.75" customHeight="1" x14ac:dyDescent="0.25">
      <c r="A615" s="347" t="s">
        <v>1906</v>
      </c>
      <c r="B615" s="376">
        <v>45254</v>
      </c>
      <c r="C615" s="425" t="s">
        <v>35</v>
      </c>
      <c r="D615" s="333" t="s">
        <v>83</v>
      </c>
      <c r="E615" s="333"/>
      <c r="F615" s="374" t="s">
        <v>1907</v>
      </c>
      <c r="G615" s="486" t="s">
        <v>1908</v>
      </c>
      <c r="H615" s="333">
        <v>1</v>
      </c>
      <c r="I615" s="333" t="s">
        <v>1878</v>
      </c>
      <c r="J615" s="333" t="s">
        <v>102</v>
      </c>
      <c r="K615" s="333" t="s">
        <v>69</v>
      </c>
      <c r="L615" s="333"/>
      <c r="M615" s="333" t="s">
        <v>1856</v>
      </c>
      <c r="N615" s="417">
        <v>1000</v>
      </c>
      <c r="O615" s="417"/>
      <c r="P615" s="376">
        <v>45254</v>
      </c>
      <c r="Q615" s="333"/>
      <c r="R615" s="333"/>
      <c r="S615" s="373"/>
      <c r="T615" s="373"/>
      <c r="U615" s="373"/>
      <c r="V615" s="373"/>
      <c r="W615" s="346">
        <v>45362</v>
      </c>
      <c r="X615" s="373">
        <v>1</v>
      </c>
      <c r="Y615" s="336">
        <f t="shared" ca="1" si="14"/>
        <v>108</v>
      </c>
      <c r="Z615" s="373"/>
      <c r="AA615" s="434"/>
      <c r="AB615" s="373"/>
    </row>
    <row r="616" spans="1:28" s="338" customFormat="1" ht="12.75" customHeight="1" x14ac:dyDescent="0.25">
      <c r="A616" s="347" t="s">
        <v>1909</v>
      </c>
      <c r="B616" s="376">
        <v>45254</v>
      </c>
      <c r="C616" s="425" t="s">
        <v>35</v>
      </c>
      <c r="D616" s="333" t="s">
        <v>83</v>
      </c>
      <c r="E616" s="333"/>
      <c r="F616" s="374" t="s">
        <v>1910</v>
      </c>
      <c r="G616" s="486" t="s">
        <v>1911</v>
      </c>
      <c r="H616" s="333">
        <v>10</v>
      </c>
      <c r="I616" s="333" t="s">
        <v>1878</v>
      </c>
      <c r="J616" s="333" t="s">
        <v>102</v>
      </c>
      <c r="K616" s="333" t="s">
        <v>69</v>
      </c>
      <c r="L616" s="333"/>
      <c r="M616" s="333" t="s">
        <v>1856</v>
      </c>
      <c r="N616" s="417">
        <v>1000</v>
      </c>
      <c r="O616" s="417"/>
      <c r="P616" s="376">
        <v>45254</v>
      </c>
      <c r="Q616" s="333"/>
      <c r="R616" s="333"/>
      <c r="S616" s="373"/>
      <c r="T616" s="373"/>
      <c r="U616" s="373"/>
      <c r="V616" s="373"/>
      <c r="W616" s="346">
        <v>45362</v>
      </c>
      <c r="X616" s="373">
        <v>10</v>
      </c>
      <c r="Y616" s="336">
        <f t="shared" ca="1" si="14"/>
        <v>108</v>
      </c>
      <c r="Z616" s="373"/>
      <c r="AA616" s="434"/>
      <c r="AB616" s="373"/>
    </row>
    <row r="617" spans="1:28" s="338" customFormat="1" ht="12.75" customHeight="1" x14ac:dyDescent="0.25">
      <c r="A617" s="347" t="s">
        <v>1912</v>
      </c>
      <c r="B617" s="376">
        <v>45254</v>
      </c>
      <c r="C617" s="425" t="s">
        <v>35</v>
      </c>
      <c r="D617" s="333" t="s">
        <v>83</v>
      </c>
      <c r="E617" s="364"/>
      <c r="F617" s="365" t="s">
        <v>1913</v>
      </c>
      <c r="G617" s="486" t="s">
        <v>1914</v>
      </c>
      <c r="H617" s="364">
        <v>6</v>
      </c>
      <c r="I617" s="364" t="s">
        <v>1878</v>
      </c>
      <c r="J617" s="364" t="s">
        <v>102</v>
      </c>
      <c r="K617" s="333" t="s">
        <v>69</v>
      </c>
      <c r="L617" s="364"/>
      <c r="M617" s="364" t="s">
        <v>1856</v>
      </c>
      <c r="N617" s="485">
        <v>6000</v>
      </c>
      <c r="O617" s="485"/>
      <c r="P617" s="376">
        <v>45254</v>
      </c>
      <c r="Q617" s="364"/>
      <c r="R617" s="364"/>
      <c r="S617" s="369"/>
      <c r="T617" s="369"/>
      <c r="U617" s="369"/>
      <c r="V617" s="369"/>
      <c r="W617" s="370">
        <v>45362</v>
      </c>
      <c r="X617" s="369">
        <v>6</v>
      </c>
      <c r="Y617" s="336">
        <f t="shared" ca="1" si="14"/>
        <v>108</v>
      </c>
      <c r="Z617" s="369"/>
      <c r="AA617" s="487"/>
      <c r="AB617" s="373"/>
    </row>
    <row r="618" spans="1:28" s="338" customFormat="1" ht="12.75" customHeight="1" x14ac:dyDescent="0.25">
      <c r="A618" s="347" t="s">
        <v>1915</v>
      </c>
      <c r="B618" s="376">
        <v>45254</v>
      </c>
      <c r="C618" s="425" t="s">
        <v>35</v>
      </c>
      <c r="D618" s="333" t="s">
        <v>83</v>
      </c>
      <c r="E618" s="333"/>
      <c r="F618" s="374" t="s">
        <v>1916</v>
      </c>
      <c r="G618" s="486" t="s">
        <v>1917</v>
      </c>
      <c r="H618" s="333">
        <v>1</v>
      </c>
      <c r="I618" s="333" t="s">
        <v>1878</v>
      </c>
      <c r="J618" s="333" t="s">
        <v>68</v>
      </c>
      <c r="K618" s="333" t="s">
        <v>69</v>
      </c>
      <c r="L618" s="333"/>
      <c r="M618" s="333" t="s">
        <v>1856</v>
      </c>
      <c r="N618" s="417">
        <v>1000</v>
      </c>
      <c r="O618" s="417"/>
      <c r="P618" s="376">
        <v>45254</v>
      </c>
      <c r="Q618" s="333"/>
      <c r="R618" s="333"/>
      <c r="S618" s="373"/>
      <c r="T618" s="373"/>
      <c r="U618" s="373"/>
      <c r="V618" s="373"/>
      <c r="W618" s="346">
        <v>45257</v>
      </c>
      <c r="X618" s="373">
        <v>1</v>
      </c>
      <c r="Y618" s="336">
        <f t="shared" ca="1" si="14"/>
        <v>3</v>
      </c>
      <c r="Z618" s="373"/>
      <c r="AA618" s="373"/>
      <c r="AB618" s="424"/>
    </row>
    <row r="619" spans="1:28" s="338" customFormat="1" ht="12.75" customHeight="1" x14ac:dyDescent="0.25">
      <c r="A619" s="347" t="s">
        <v>1918</v>
      </c>
      <c r="B619" s="376">
        <v>45254</v>
      </c>
      <c r="C619" s="425" t="s">
        <v>35</v>
      </c>
      <c r="D619" s="333" t="s">
        <v>83</v>
      </c>
      <c r="E619" s="333"/>
      <c r="F619" s="374" t="s">
        <v>1919</v>
      </c>
      <c r="G619" s="486" t="s">
        <v>1920</v>
      </c>
      <c r="H619" s="333">
        <v>1</v>
      </c>
      <c r="I619" s="333" t="s">
        <v>1878</v>
      </c>
      <c r="J619" s="333" t="s">
        <v>102</v>
      </c>
      <c r="K619" s="333" t="s">
        <v>69</v>
      </c>
      <c r="L619" s="333"/>
      <c r="M619" s="333" t="s">
        <v>1856</v>
      </c>
      <c r="N619" s="417">
        <v>1000</v>
      </c>
      <c r="O619" s="417"/>
      <c r="P619" s="376">
        <v>45254</v>
      </c>
      <c r="Q619" s="333"/>
      <c r="R619" s="333"/>
      <c r="S619" s="373"/>
      <c r="T619" s="373"/>
      <c r="U619" s="373"/>
      <c r="V619" s="373"/>
      <c r="W619" s="346">
        <v>45362</v>
      </c>
      <c r="X619" s="373">
        <v>1</v>
      </c>
      <c r="Y619" s="336">
        <f t="shared" ca="1" si="14"/>
        <v>108</v>
      </c>
      <c r="Z619" s="373"/>
      <c r="AA619" s="373"/>
      <c r="AB619" s="373"/>
    </row>
    <row r="620" spans="1:28" s="338" customFormat="1" ht="12.75" customHeight="1" x14ac:dyDescent="0.25">
      <c r="A620" s="347" t="s">
        <v>1921</v>
      </c>
      <c r="B620" s="376">
        <v>45254</v>
      </c>
      <c r="C620" s="425" t="s">
        <v>35</v>
      </c>
      <c r="D620" s="333" t="s">
        <v>83</v>
      </c>
      <c r="E620" s="333"/>
      <c r="F620" s="374" t="s">
        <v>1922</v>
      </c>
      <c r="G620" s="486" t="s">
        <v>1923</v>
      </c>
      <c r="H620" s="333">
        <v>1</v>
      </c>
      <c r="I620" s="333" t="s">
        <v>1878</v>
      </c>
      <c r="J620" s="333" t="s">
        <v>102</v>
      </c>
      <c r="K620" s="333" t="s">
        <v>69</v>
      </c>
      <c r="L620" s="333"/>
      <c r="M620" s="333" t="s">
        <v>1856</v>
      </c>
      <c r="N620" s="417">
        <v>1000</v>
      </c>
      <c r="O620" s="417"/>
      <c r="P620" s="376">
        <v>45254</v>
      </c>
      <c r="Q620" s="333"/>
      <c r="R620" s="333"/>
      <c r="S620" s="373"/>
      <c r="T620" s="373"/>
      <c r="U620" s="373"/>
      <c r="V620" s="373"/>
      <c r="W620" s="346">
        <v>45362</v>
      </c>
      <c r="X620" s="373">
        <v>1</v>
      </c>
      <c r="Y620" s="336">
        <f t="shared" ca="1" si="14"/>
        <v>108</v>
      </c>
      <c r="Z620" s="373"/>
      <c r="AA620" s="373"/>
      <c r="AB620" s="373"/>
    </row>
    <row r="621" spans="1:28" s="338" customFormat="1" ht="12.75" customHeight="1" x14ac:dyDescent="0.25">
      <c r="A621" s="347" t="s">
        <v>1924</v>
      </c>
      <c r="B621" s="376">
        <v>45254</v>
      </c>
      <c r="C621" s="425" t="s">
        <v>35</v>
      </c>
      <c r="D621" s="333" t="s">
        <v>83</v>
      </c>
      <c r="E621" s="333"/>
      <c r="F621" s="374" t="s">
        <v>1925</v>
      </c>
      <c r="G621" s="486" t="s">
        <v>1926</v>
      </c>
      <c r="H621" s="333">
        <v>1</v>
      </c>
      <c r="I621" s="333" t="s">
        <v>1878</v>
      </c>
      <c r="J621" s="333" t="s">
        <v>102</v>
      </c>
      <c r="K621" s="333" t="s">
        <v>69</v>
      </c>
      <c r="L621" s="333"/>
      <c r="M621" s="333" t="s">
        <v>1856</v>
      </c>
      <c r="N621" s="417">
        <v>1000</v>
      </c>
      <c r="O621" s="417"/>
      <c r="P621" s="376">
        <v>45254</v>
      </c>
      <c r="Q621" s="333"/>
      <c r="R621" s="333"/>
      <c r="S621" s="373"/>
      <c r="T621" s="373"/>
      <c r="U621" s="373"/>
      <c r="V621" s="373"/>
      <c r="W621" s="346">
        <v>45362</v>
      </c>
      <c r="X621" s="373">
        <v>1</v>
      </c>
      <c r="Y621" s="336">
        <f t="shared" ca="1" si="14"/>
        <v>108</v>
      </c>
      <c r="Z621" s="373"/>
      <c r="AA621" s="373"/>
      <c r="AB621" s="373"/>
    </row>
    <row r="622" spans="1:28" s="338" customFormat="1" ht="12.75" customHeight="1" x14ac:dyDescent="0.25">
      <c r="A622" s="347" t="s">
        <v>1927</v>
      </c>
      <c r="B622" s="376">
        <v>45254</v>
      </c>
      <c r="C622" s="425" t="s">
        <v>35</v>
      </c>
      <c r="D622" s="333" t="s">
        <v>83</v>
      </c>
      <c r="E622" s="333"/>
      <c r="F622" s="374" t="s">
        <v>1928</v>
      </c>
      <c r="G622" s="486" t="s">
        <v>1929</v>
      </c>
      <c r="H622" s="333">
        <v>2</v>
      </c>
      <c r="I622" s="333" t="s">
        <v>1930</v>
      </c>
      <c r="J622" s="333" t="s">
        <v>68</v>
      </c>
      <c r="K622" s="333" t="s">
        <v>69</v>
      </c>
      <c r="L622" s="333"/>
      <c r="M622" s="333" t="s">
        <v>1856</v>
      </c>
      <c r="N622" s="417">
        <v>2000</v>
      </c>
      <c r="O622" s="417"/>
      <c r="P622" s="376">
        <v>45254</v>
      </c>
      <c r="Q622" s="333"/>
      <c r="R622" s="333"/>
      <c r="S622" s="373"/>
      <c r="T622" s="373"/>
      <c r="U622" s="373"/>
      <c r="V622" s="373"/>
      <c r="W622" s="346">
        <v>45362</v>
      </c>
      <c r="X622" s="373">
        <v>2</v>
      </c>
      <c r="Y622" s="336">
        <f t="shared" ca="1" si="14"/>
        <v>108</v>
      </c>
      <c r="Z622" s="373"/>
      <c r="AA622" s="373"/>
      <c r="AB622" s="373"/>
    </row>
    <row r="623" spans="1:28" s="338" customFormat="1" ht="12.75" customHeight="1" x14ac:dyDescent="0.25">
      <c r="A623" s="347" t="s">
        <v>1931</v>
      </c>
      <c r="B623" s="376">
        <v>45254</v>
      </c>
      <c r="C623" s="425" t="s">
        <v>35</v>
      </c>
      <c r="D623" s="333" t="s">
        <v>83</v>
      </c>
      <c r="E623" s="333"/>
      <c r="F623" s="374" t="s">
        <v>1932</v>
      </c>
      <c r="G623" s="488" t="s">
        <v>1933</v>
      </c>
      <c r="H623" s="333">
        <v>1</v>
      </c>
      <c r="I623" s="333" t="s">
        <v>1878</v>
      </c>
      <c r="J623" s="333" t="s">
        <v>102</v>
      </c>
      <c r="K623" s="333" t="s">
        <v>69</v>
      </c>
      <c r="L623" s="333"/>
      <c r="M623" s="333" t="s">
        <v>1856</v>
      </c>
      <c r="N623" s="417">
        <v>1000</v>
      </c>
      <c r="O623" s="417"/>
      <c r="P623" s="376">
        <v>45254</v>
      </c>
      <c r="Q623" s="333"/>
      <c r="R623" s="333"/>
      <c r="S623" s="373"/>
      <c r="T623" s="373"/>
      <c r="U623" s="373"/>
      <c r="V623" s="373"/>
      <c r="W623" s="346">
        <v>45362</v>
      </c>
      <c r="X623" s="373">
        <v>1</v>
      </c>
      <c r="Y623" s="336">
        <f t="shared" ca="1" si="14"/>
        <v>108</v>
      </c>
      <c r="Z623" s="373"/>
      <c r="AA623" s="373"/>
      <c r="AB623" s="373"/>
    </row>
    <row r="624" spans="1:28" s="338" customFormat="1" ht="12.75" customHeight="1" x14ac:dyDescent="0.25">
      <c r="A624" s="347" t="s">
        <v>1934</v>
      </c>
      <c r="B624" s="376">
        <v>45254</v>
      </c>
      <c r="C624" s="425" t="s">
        <v>35</v>
      </c>
      <c r="D624" s="333" t="s">
        <v>83</v>
      </c>
      <c r="E624" s="333"/>
      <c r="F624" s="374" t="s">
        <v>1935</v>
      </c>
      <c r="G624" s="489" t="s">
        <v>1936</v>
      </c>
      <c r="H624" s="333">
        <v>1</v>
      </c>
      <c r="I624" s="333" t="s">
        <v>1878</v>
      </c>
      <c r="J624" s="333" t="s">
        <v>102</v>
      </c>
      <c r="K624" s="333" t="s">
        <v>69</v>
      </c>
      <c r="L624" s="333"/>
      <c r="M624" s="333" t="s">
        <v>1856</v>
      </c>
      <c r="N624" s="417">
        <v>1000</v>
      </c>
      <c r="O624" s="417"/>
      <c r="P624" s="376">
        <v>45254</v>
      </c>
      <c r="Q624" s="333"/>
      <c r="R624" s="333"/>
      <c r="S624" s="373"/>
      <c r="T624" s="373"/>
      <c r="U624" s="373"/>
      <c r="V624" s="373"/>
      <c r="W624" s="346">
        <v>45362</v>
      </c>
      <c r="X624" s="373">
        <v>1</v>
      </c>
      <c r="Y624" s="336">
        <f t="shared" ca="1" si="14"/>
        <v>108</v>
      </c>
      <c r="Z624" s="373"/>
      <c r="AA624" s="373"/>
      <c r="AB624" s="373"/>
    </row>
    <row r="625" spans="1:28" s="338" customFormat="1" ht="12.75" customHeight="1" x14ac:dyDescent="0.25">
      <c r="A625" s="347" t="s">
        <v>1937</v>
      </c>
      <c r="B625" s="376">
        <v>45254</v>
      </c>
      <c r="C625" s="425" t="s">
        <v>35</v>
      </c>
      <c r="D625" s="333" t="s">
        <v>83</v>
      </c>
      <c r="E625" s="333"/>
      <c r="F625" s="374" t="s">
        <v>1938</v>
      </c>
      <c r="G625" s="483" t="s">
        <v>1939</v>
      </c>
      <c r="H625" s="333">
        <v>1</v>
      </c>
      <c r="I625" s="333" t="s">
        <v>1878</v>
      </c>
      <c r="J625" s="333" t="s">
        <v>102</v>
      </c>
      <c r="K625" s="333" t="s">
        <v>69</v>
      </c>
      <c r="L625" s="333"/>
      <c r="M625" s="333" t="s">
        <v>1856</v>
      </c>
      <c r="N625" s="417">
        <v>1000</v>
      </c>
      <c r="O625" s="417"/>
      <c r="P625" s="376">
        <v>45254</v>
      </c>
      <c r="Q625" s="333"/>
      <c r="R625" s="333"/>
      <c r="S625" s="373"/>
      <c r="T625" s="373"/>
      <c r="U625" s="373"/>
      <c r="V625" s="373"/>
      <c r="W625" s="346">
        <v>45362</v>
      </c>
      <c r="X625" s="373">
        <v>1</v>
      </c>
      <c r="Y625" s="336">
        <f t="shared" ca="1" si="14"/>
        <v>108</v>
      </c>
      <c r="Z625" s="373"/>
      <c r="AA625" s="373"/>
      <c r="AB625" s="373"/>
    </row>
    <row r="626" spans="1:28" s="338" customFormat="1" ht="12.75" customHeight="1" x14ac:dyDescent="0.25">
      <c r="A626" s="347" t="s">
        <v>1940</v>
      </c>
      <c r="B626" s="376">
        <v>45254</v>
      </c>
      <c r="C626" s="425" t="s">
        <v>35</v>
      </c>
      <c r="D626" s="333" t="s">
        <v>83</v>
      </c>
      <c r="E626" s="333"/>
      <c r="F626" s="374" t="s">
        <v>1941</v>
      </c>
      <c r="G626" s="484" t="s">
        <v>1942</v>
      </c>
      <c r="H626" s="333">
        <v>1</v>
      </c>
      <c r="I626" s="333" t="s">
        <v>1878</v>
      </c>
      <c r="J626" s="333" t="s">
        <v>102</v>
      </c>
      <c r="K626" s="333" t="s">
        <v>69</v>
      </c>
      <c r="L626" s="333"/>
      <c r="M626" s="333" t="s">
        <v>1856</v>
      </c>
      <c r="N626" s="417">
        <v>1000</v>
      </c>
      <c r="O626" s="417"/>
      <c r="P626" s="376">
        <v>45254</v>
      </c>
      <c r="Q626" s="333"/>
      <c r="R626" s="333"/>
      <c r="S626" s="373"/>
      <c r="T626" s="373"/>
      <c r="U626" s="373"/>
      <c r="V626" s="373"/>
      <c r="W626" s="346">
        <v>45362</v>
      </c>
      <c r="X626" s="373">
        <v>1</v>
      </c>
      <c r="Y626" s="336">
        <f t="shared" ca="1" si="14"/>
        <v>108</v>
      </c>
      <c r="Z626" s="373"/>
      <c r="AA626" s="373"/>
      <c r="AB626" s="373"/>
    </row>
    <row r="627" spans="1:28" s="338" customFormat="1" ht="12.75" customHeight="1" x14ac:dyDescent="0.25">
      <c r="A627" s="347" t="s">
        <v>1943</v>
      </c>
      <c r="B627" s="376">
        <v>45254</v>
      </c>
      <c r="C627" s="425" t="s">
        <v>35</v>
      </c>
      <c r="D627" s="333" t="s">
        <v>83</v>
      </c>
      <c r="E627" s="333"/>
      <c r="F627" s="374" t="s">
        <v>1944</v>
      </c>
      <c r="G627" s="484" t="s">
        <v>1945</v>
      </c>
      <c r="H627" s="333">
        <v>1</v>
      </c>
      <c r="I627" s="333" t="s">
        <v>1946</v>
      </c>
      <c r="J627" s="333" t="s">
        <v>102</v>
      </c>
      <c r="K627" s="333" t="s">
        <v>69</v>
      </c>
      <c r="L627" s="333"/>
      <c r="M627" s="333" t="s">
        <v>1856</v>
      </c>
      <c r="N627" s="417">
        <v>1000</v>
      </c>
      <c r="O627" s="417"/>
      <c r="P627" s="376">
        <v>45254</v>
      </c>
      <c r="Q627" s="333"/>
      <c r="R627" s="333"/>
      <c r="S627" s="373"/>
      <c r="T627" s="373"/>
      <c r="U627" s="373"/>
      <c r="V627" s="373"/>
      <c r="W627" s="346">
        <v>45362</v>
      </c>
      <c r="X627" s="373">
        <v>1</v>
      </c>
      <c r="Y627" s="336">
        <f t="shared" ca="1" si="14"/>
        <v>108</v>
      </c>
      <c r="Z627" s="373"/>
      <c r="AA627" s="373"/>
      <c r="AB627" s="373"/>
    </row>
    <row r="628" spans="1:28" s="338" customFormat="1" ht="12.75" customHeight="1" x14ac:dyDescent="0.25">
      <c r="A628" s="347" t="s">
        <v>1947</v>
      </c>
      <c r="B628" s="376">
        <v>45254</v>
      </c>
      <c r="C628" s="425" t="s">
        <v>35</v>
      </c>
      <c r="D628" s="333" t="s">
        <v>83</v>
      </c>
      <c r="E628" s="333"/>
      <c r="F628" s="374" t="s">
        <v>1948</v>
      </c>
      <c r="G628" s="484" t="s">
        <v>1949</v>
      </c>
      <c r="H628" s="333">
        <v>1</v>
      </c>
      <c r="I628" s="333" t="s">
        <v>1950</v>
      </c>
      <c r="J628" s="333" t="s">
        <v>68</v>
      </c>
      <c r="K628" s="333" t="s">
        <v>69</v>
      </c>
      <c r="L628" s="333"/>
      <c r="M628" s="333" t="s">
        <v>1856</v>
      </c>
      <c r="N628" s="417">
        <v>1000</v>
      </c>
      <c r="O628" s="417"/>
      <c r="P628" s="376">
        <v>45254</v>
      </c>
      <c r="Q628" s="333"/>
      <c r="R628" s="333"/>
      <c r="S628" s="373"/>
      <c r="T628" s="373"/>
      <c r="U628" s="373"/>
      <c r="V628" s="373"/>
      <c r="W628" s="346">
        <v>45362</v>
      </c>
      <c r="X628" s="373">
        <v>1</v>
      </c>
      <c r="Y628" s="336">
        <f t="shared" ca="1" si="14"/>
        <v>108</v>
      </c>
      <c r="Z628" s="373"/>
      <c r="AA628" s="373"/>
      <c r="AB628" s="373"/>
    </row>
    <row r="629" spans="1:28" s="338" customFormat="1" ht="12.75" customHeight="1" x14ac:dyDescent="0.25">
      <c r="A629" s="347" t="s">
        <v>1951</v>
      </c>
      <c r="B629" s="376">
        <v>45254</v>
      </c>
      <c r="C629" s="425" t="s">
        <v>35</v>
      </c>
      <c r="D629" s="333" t="s">
        <v>83</v>
      </c>
      <c r="E629" s="333"/>
      <c r="F629" s="374" t="s">
        <v>926</v>
      </c>
      <c r="G629" s="484" t="s">
        <v>1952</v>
      </c>
      <c r="H629" s="333">
        <v>2</v>
      </c>
      <c r="I629" s="333" t="s">
        <v>1953</v>
      </c>
      <c r="J629" s="333" t="s">
        <v>102</v>
      </c>
      <c r="K629" s="333" t="s">
        <v>69</v>
      </c>
      <c r="L629" s="333"/>
      <c r="M629" s="333" t="s">
        <v>1856</v>
      </c>
      <c r="N629" s="417">
        <v>2000</v>
      </c>
      <c r="O629" s="417"/>
      <c r="P629" s="376">
        <v>45254</v>
      </c>
      <c r="Q629" s="333"/>
      <c r="R629" s="333"/>
      <c r="S629" s="373"/>
      <c r="T629" s="373"/>
      <c r="U629" s="373"/>
      <c r="V629" s="373"/>
      <c r="W629" s="346">
        <v>45362</v>
      </c>
      <c r="X629" s="373">
        <v>2</v>
      </c>
      <c r="Y629" s="336">
        <f t="shared" ca="1" si="14"/>
        <v>108</v>
      </c>
      <c r="Z629" s="373"/>
      <c r="AA629" s="373"/>
      <c r="AB629" s="373"/>
    </row>
    <row r="630" spans="1:28" s="338" customFormat="1" ht="12.75" customHeight="1" x14ac:dyDescent="0.25">
      <c r="A630" s="347" t="s">
        <v>1954</v>
      </c>
      <c r="B630" s="376">
        <v>45254</v>
      </c>
      <c r="C630" s="425" t="s">
        <v>35</v>
      </c>
      <c r="D630" s="333" t="s">
        <v>83</v>
      </c>
      <c r="E630" s="333"/>
      <c r="F630" s="374" t="s">
        <v>1612</v>
      </c>
      <c r="G630" s="490" t="s">
        <v>287</v>
      </c>
      <c r="H630" s="333">
        <v>2</v>
      </c>
      <c r="I630" s="333" t="s">
        <v>1950</v>
      </c>
      <c r="J630" s="333" t="s">
        <v>102</v>
      </c>
      <c r="K630" s="333" t="s">
        <v>69</v>
      </c>
      <c r="L630" s="333"/>
      <c r="M630" s="333" t="s">
        <v>1856</v>
      </c>
      <c r="N630" s="417">
        <v>2000</v>
      </c>
      <c r="O630" s="417"/>
      <c r="P630" s="376">
        <v>45254</v>
      </c>
      <c r="Q630" s="333"/>
      <c r="R630" s="333"/>
      <c r="S630" s="373"/>
      <c r="T630" s="373"/>
      <c r="U630" s="373"/>
      <c r="V630" s="373"/>
      <c r="W630" s="346">
        <v>45362</v>
      </c>
      <c r="X630" s="373">
        <v>2</v>
      </c>
      <c r="Y630" s="336">
        <f t="shared" ca="1" si="14"/>
        <v>108</v>
      </c>
      <c r="Z630" s="373"/>
      <c r="AA630" s="373"/>
      <c r="AB630" s="373"/>
    </row>
    <row r="631" spans="1:28" s="338" customFormat="1" ht="12.75" customHeight="1" x14ac:dyDescent="0.25">
      <c r="A631" s="347" t="s">
        <v>1955</v>
      </c>
      <c r="B631" s="376">
        <v>45254</v>
      </c>
      <c r="C631" s="425" t="s">
        <v>35</v>
      </c>
      <c r="D631" s="333" t="s">
        <v>83</v>
      </c>
      <c r="E631" s="333"/>
      <c r="F631" s="374" t="s">
        <v>1956</v>
      </c>
      <c r="G631" s="490" t="s">
        <v>1957</v>
      </c>
      <c r="H631" s="333">
        <v>1</v>
      </c>
      <c r="I631" s="333" t="s">
        <v>1950</v>
      </c>
      <c r="J631" s="333" t="s">
        <v>68</v>
      </c>
      <c r="K631" s="333" t="s">
        <v>69</v>
      </c>
      <c r="L631" s="333"/>
      <c r="M631" s="333" t="s">
        <v>1856</v>
      </c>
      <c r="N631" s="417">
        <v>1000</v>
      </c>
      <c r="O631" s="417"/>
      <c r="P631" s="376">
        <v>45254</v>
      </c>
      <c r="Q631" s="333"/>
      <c r="R631" s="333"/>
      <c r="S631" s="373"/>
      <c r="T631" s="373"/>
      <c r="U631" s="373"/>
      <c r="V631" s="373"/>
      <c r="W631" s="346">
        <v>45362</v>
      </c>
      <c r="X631" s="373">
        <v>1</v>
      </c>
      <c r="Y631" s="336">
        <f t="shared" ca="1" si="14"/>
        <v>108</v>
      </c>
      <c r="Z631" s="373"/>
      <c r="AA631" s="373"/>
      <c r="AB631" s="373"/>
    </row>
    <row r="632" spans="1:28" s="338" customFormat="1" ht="12.75" customHeight="1" x14ac:dyDescent="0.25">
      <c r="A632" s="347" t="s">
        <v>1958</v>
      </c>
      <c r="B632" s="376">
        <v>45254</v>
      </c>
      <c r="C632" s="425" t="s">
        <v>35</v>
      </c>
      <c r="D632" s="333" t="s">
        <v>83</v>
      </c>
      <c r="E632" s="333"/>
      <c r="F632" s="374" t="s">
        <v>1959</v>
      </c>
      <c r="G632" s="490" t="s">
        <v>1960</v>
      </c>
      <c r="H632" s="333">
        <v>1</v>
      </c>
      <c r="I632" s="333" t="s">
        <v>1950</v>
      </c>
      <c r="J632" s="333" t="s">
        <v>68</v>
      </c>
      <c r="K632" s="333" t="s">
        <v>69</v>
      </c>
      <c r="L632" s="333"/>
      <c r="M632" s="333" t="s">
        <v>1856</v>
      </c>
      <c r="N632" s="417">
        <v>1000</v>
      </c>
      <c r="O632" s="417"/>
      <c r="P632" s="376">
        <v>45254</v>
      </c>
      <c r="Q632" s="333"/>
      <c r="R632" s="333"/>
      <c r="S632" s="373"/>
      <c r="T632" s="373"/>
      <c r="U632" s="373"/>
      <c r="V632" s="373"/>
      <c r="W632" s="346">
        <v>45362</v>
      </c>
      <c r="X632" s="373">
        <v>1</v>
      </c>
      <c r="Y632" s="336">
        <f t="shared" ca="1" si="14"/>
        <v>108</v>
      </c>
      <c r="Z632" s="373"/>
      <c r="AA632" s="373"/>
      <c r="AB632" s="373"/>
    </row>
    <row r="633" spans="1:28" s="338" customFormat="1" ht="12.75" customHeight="1" x14ac:dyDescent="0.25">
      <c r="A633" s="347" t="s">
        <v>1961</v>
      </c>
      <c r="B633" s="376">
        <v>45254</v>
      </c>
      <c r="C633" s="425" t="s">
        <v>35</v>
      </c>
      <c r="D633" s="333" t="s">
        <v>83</v>
      </c>
      <c r="E633" s="333"/>
      <c r="F633" s="374" t="s">
        <v>725</v>
      </c>
      <c r="G633" s="490" t="s">
        <v>1962</v>
      </c>
      <c r="H633" s="333">
        <v>1</v>
      </c>
      <c r="I633" s="333" t="s">
        <v>1950</v>
      </c>
      <c r="J633" s="333" t="s">
        <v>68</v>
      </c>
      <c r="K633" s="333" t="s">
        <v>69</v>
      </c>
      <c r="L633" s="333"/>
      <c r="M633" s="333" t="s">
        <v>1856</v>
      </c>
      <c r="N633" s="417">
        <v>1000</v>
      </c>
      <c r="O633" s="417"/>
      <c r="P633" s="376">
        <v>45254</v>
      </c>
      <c r="Q633" s="333"/>
      <c r="R633" s="333"/>
      <c r="S633" s="373"/>
      <c r="T633" s="373"/>
      <c r="U633" s="373"/>
      <c r="V633" s="373"/>
      <c r="W633" s="346">
        <v>45257</v>
      </c>
      <c r="X633" s="373">
        <v>1</v>
      </c>
      <c r="Y633" s="336">
        <f t="shared" ca="1" si="14"/>
        <v>3</v>
      </c>
      <c r="Z633" s="373"/>
      <c r="AA633" s="373"/>
      <c r="AB633" s="373"/>
    </row>
    <row r="634" spans="1:28" s="338" customFormat="1" ht="12.75" customHeight="1" x14ac:dyDescent="0.25">
      <c r="A634" s="347" t="s">
        <v>1963</v>
      </c>
      <c r="B634" s="363">
        <v>45250</v>
      </c>
      <c r="C634" s="426" t="s">
        <v>35</v>
      </c>
      <c r="D634" s="366" t="s">
        <v>274</v>
      </c>
      <c r="E634" s="364"/>
      <c r="F634" s="365" t="s">
        <v>1964</v>
      </c>
      <c r="G634" s="366" t="s">
        <v>1965</v>
      </c>
      <c r="H634" s="364">
        <v>2</v>
      </c>
      <c r="I634" s="364" t="s">
        <v>1966</v>
      </c>
      <c r="J634" s="364" t="s">
        <v>102</v>
      </c>
      <c r="K634" s="364" t="s">
        <v>69</v>
      </c>
      <c r="L634" s="364"/>
      <c r="M634" s="364" t="s">
        <v>1967</v>
      </c>
      <c r="N634" s="485">
        <v>1000</v>
      </c>
      <c r="O634" s="485"/>
      <c r="P634" s="491">
        <v>45250</v>
      </c>
      <c r="Q634" s="364"/>
      <c r="R634" s="364"/>
      <c r="S634" s="369"/>
      <c r="T634" s="369"/>
      <c r="U634" s="369"/>
      <c r="V634" s="369"/>
      <c r="W634" s="370"/>
      <c r="X634" s="369"/>
      <c r="Y634" s="336">
        <f t="shared" ca="1" si="14"/>
        <v>336</v>
      </c>
      <c r="Z634" s="369"/>
      <c r="AA634" s="369"/>
      <c r="AB634" s="369"/>
    </row>
    <row r="635" spans="1:28" s="338" customFormat="1" ht="12.75" customHeight="1" x14ac:dyDescent="0.25">
      <c r="A635" s="347" t="s">
        <v>1968</v>
      </c>
      <c r="B635" s="462">
        <v>45233</v>
      </c>
      <c r="C635" s="425" t="s">
        <v>35</v>
      </c>
      <c r="D635" s="333" t="s">
        <v>177</v>
      </c>
      <c r="E635" s="333"/>
      <c r="F635" s="389" t="s">
        <v>1371</v>
      </c>
      <c r="G635" s="492" t="s">
        <v>1969</v>
      </c>
      <c r="H635" s="329">
        <v>5</v>
      </c>
      <c r="I635" s="333" t="s">
        <v>548</v>
      </c>
      <c r="J635" s="333" t="s">
        <v>102</v>
      </c>
      <c r="K635" s="333" t="s">
        <v>69</v>
      </c>
      <c r="L635" s="333"/>
      <c r="M635" s="333" t="s">
        <v>1967</v>
      </c>
      <c r="N635" s="417">
        <v>1000</v>
      </c>
      <c r="O635" s="417"/>
      <c r="P635" s="462">
        <v>45233</v>
      </c>
      <c r="Q635" s="333"/>
      <c r="R635" s="333"/>
      <c r="S635" s="373"/>
      <c r="T635" s="373"/>
      <c r="U635" s="373"/>
      <c r="V635" s="373"/>
      <c r="W635" s="346">
        <v>45306</v>
      </c>
      <c r="X635" s="373"/>
      <c r="Y635" s="336">
        <f t="shared" ca="1" si="14"/>
        <v>73</v>
      </c>
      <c r="Z635" s="373"/>
      <c r="AA635" s="373"/>
      <c r="AB635" s="373"/>
    </row>
    <row r="636" spans="1:28" s="338" customFormat="1" ht="12.75" customHeight="1" x14ac:dyDescent="0.25">
      <c r="A636" s="347" t="s">
        <v>1970</v>
      </c>
      <c r="B636" s="462">
        <v>45233</v>
      </c>
      <c r="C636" s="425" t="s">
        <v>35</v>
      </c>
      <c r="D636" s="333" t="s">
        <v>177</v>
      </c>
      <c r="E636" s="333"/>
      <c r="F636" s="493" t="s">
        <v>1365</v>
      </c>
      <c r="G636" s="494" t="s">
        <v>1971</v>
      </c>
      <c r="H636" s="328">
        <v>5</v>
      </c>
      <c r="I636" s="333" t="s">
        <v>548</v>
      </c>
      <c r="J636" s="333" t="s">
        <v>102</v>
      </c>
      <c r="K636" s="333" t="s">
        <v>69</v>
      </c>
      <c r="L636" s="333"/>
      <c r="M636" s="333" t="s">
        <v>1967</v>
      </c>
      <c r="N636" s="417">
        <v>2000</v>
      </c>
      <c r="O636" s="417"/>
      <c r="P636" s="462">
        <v>45233</v>
      </c>
      <c r="Q636" s="333"/>
      <c r="R636" s="333"/>
      <c r="S636" s="373"/>
      <c r="T636" s="373"/>
      <c r="U636" s="373"/>
      <c r="V636" s="373"/>
      <c r="W636" s="346">
        <v>45306</v>
      </c>
      <c r="X636" s="373"/>
      <c r="Y636" s="336">
        <f t="shared" ca="1" si="14"/>
        <v>73</v>
      </c>
      <c r="Z636" s="373"/>
      <c r="AA636" s="373"/>
      <c r="AB636" s="373"/>
    </row>
    <row r="637" spans="1:28" s="338" customFormat="1" ht="12.75" customHeight="1" x14ac:dyDescent="0.25">
      <c r="A637" s="347" t="s">
        <v>1972</v>
      </c>
      <c r="B637" s="462">
        <v>45233</v>
      </c>
      <c r="C637" s="425" t="s">
        <v>35</v>
      </c>
      <c r="D637" s="333" t="s">
        <v>177</v>
      </c>
      <c r="E637" s="333"/>
      <c r="F637" s="493" t="s">
        <v>1973</v>
      </c>
      <c r="G637" s="494" t="s">
        <v>1974</v>
      </c>
      <c r="H637" s="328">
        <v>1</v>
      </c>
      <c r="I637" s="333" t="s">
        <v>1716</v>
      </c>
      <c r="J637" s="333" t="s">
        <v>68</v>
      </c>
      <c r="K637" s="333" t="s">
        <v>69</v>
      </c>
      <c r="L637" s="333"/>
      <c r="M637" s="333" t="s">
        <v>1967</v>
      </c>
      <c r="N637" s="417">
        <v>2500</v>
      </c>
      <c r="O637" s="417"/>
      <c r="P637" s="462">
        <v>45233</v>
      </c>
      <c r="Q637" s="333"/>
      <c r="R637" s="333"/>
      <c r="S637" s="373"/>
      <c r="T637" s="373"/>
      <c r="U637" s="373"/>
      <c r="V637" s="373"/>
      <c r="W637" s="346"/>
      <c r="X637" s="373"/>
      <c r="Y637" s="336">
        <f t="shared" ca="1" si="14"/>
        <v>353</v>
      </c>
      <c r="Z637" s="373"/>
      <c r="AA637" s="373"/>
      <c r="AB637" s="373"/>
    </row>
    <row r="638" spans="1:28" s="338" customFormat="1" ht="12.75" customHeight="1" x14ac:dyDescent="0.25">
      <c r="A638" s="347" t="s">
        <v>1975</v>
      </c>
      <c r="B638" s="462">
        <v>45233</v>
      </c>
      <c r="C638" s="425" t="s">
        <v>35</v>
      </c>
      <c r="D638" s="333" t="s">
        <v>177</v>
      </c>
      <c r="E638" s="333"/>
      <c r="F638" s="493" t="s">
        <v>1976</v>
      </c>
      <c r="G638" s="494" t="s">
        <v>1977</v>
      </c>
      <c r="H638" s="328">
        <v>1</v>
      </c>
      <c r="I638" s="333" t="s">
        <v>1978</v>
      </c>
      <c r="J638" s="333" t="s">
        <v>68</v>
      </c>
      <c r="K638" s="333" t="s">
        <v>69</v>
      </c>
      <c r="L638" s="333"/>
      <c r="M638" s="333" t="s">
        <v>1967</v>
      </c>
      <c r="N638" s="417">
        <v>50000</v>
      </c>
      <c r="O638" s="417"/>
      <c r="P638" s="462">
        <v>45233</v>
      </c>
      <c r="Q638" s="333"/>
      <c r="R638" s="333"/>
      <c r="S638" s="373"/>
      <c r="T638" s="373"/>
      <c r="U638" s="373"/>
      <c r="V638" s="373"/>
      <c r="W638" s="346">
        <v>45306</v>
      </c>
      <c r="X638" s="373">
        <v>1</v>
      </c>
      <c r="Y638" s="336">
        <f t="shared" ca="1" si="14"/>
        <v>73</v>
      </c>
      <c r="Z638" s="373"/>
      <c r="AA638" s="373"/>
      <c r="AB638" s="373"/>
    </row>
    <row r="639" spans="1:28" s="338" customFormat="1" ht="12.75" customHeight="1" x14ac:dyDescent="0.25">
      <c r="A639" s="347" t="s">
        <v>1979</v>
      </c>
      <c r="B639" s="462">
        <v>45233</v>
      </c>
      <c r="C639" s="425" t="s">
        <v>35</v>
      </c>
      <c r="D639" s="333" t="s">
        <v>36</v>
      </c>
      <c r="E639" s="333"/>
      <c r="F639" s="374" t="s">
        <v>1980</v>
      </c>
      <c r="G639" s="372" t="s">
        <v>190</v>
      </c>
      <c r="H639" s="333">
        <v>1</v>
      </c>
      <c r="I639" s="333" t="s">
        <v>187</v>
      </c>
      <c r="J639" s="333" t="s">
        <v>68</v>
      </c>
      <c r="K639" s="333" t="s">
        <v>69</v>
      </c>
      <c r="L639" s="333"/>
      <c r="M639" s="333" t="s">
        <v>1981</v>
      </c>
      <c r="N639" s="417">
        <v>1000</v>
      </c>
      <c r="O639" s="417"/>
      <c r="P639" s="462">
        <v>45233</v>
      </c>
      <c r="Q639" s="333"/>
      <c r="R639" s="333"/>
      <c r="S639" s="373"/>
      <c r="T639" s="373"/>
      <c r="U639" s="373"/>
      <c r="V639" s="373"/>
      <c r="W639" s="346">
        <v>45306</v>
      </c>
      <c r="X639" s="373">
        <v>1</v>
      </c>
      <c r="Y639" s="336">
        <f t="shared" ca="1" si="14"/>
        <v>73</v>
      </c>
      <c r="Z639" s="373"/>
      <c r="AA639" s="373"/>
      <c r="AB639" s="373"/>
    </row>
    <row r="640" spans="1:28" s="338" customFormat="1" ht="12.75" customHeight="1" x14ac:dyDescent="0.25">
      <c r="A640" s="347" t="s">
        <v>1982</v>
      </c>
      <c r="B640" s="462">
        <v>45233</v>
      </c>
      <c r="C640" s="425" t="s">
        <v>35</v>
      </c>
      <c r="D640" s="333" t="s">
        <v>36</v>
      </c>
      <c r="E640" s="333"/>
      <c r="F640" s="374" t="s">
        <v>1983</v>
      </c>
      <c r="G640" s="372" t="s">
        <v>269</v>
      </c>
      <c r="H640" s="333">
        <v>1</v>
      </c>
      <c r="I640" s="333" t="s">
        <v>199</v>
      </c>
      <c r="J640" s="333" t="s">
        <v>68</v>
      </c>
      <c r="K640" s="333" t="s">
        <v>69</v>
      </c>
      <c r="L640" s="333"/>
      <c r="M640" s="333" t="s">
        <v>1981</v>
      </c>
      <c r="N640" s="417">
        <v>1000</v>
      </c>
      <c r="O640" s="417"/>
      <c r="P640" s="462">
        <v>45233</v>
      </c>
      <c r="Q640" s="333"/>
      <c r="R640" s="333"/>
      <c r="S640" s="373"/>
      <c r="T640" s="373"/>
      <c r="U640" s="373"/>
      <c r="V640" s="373"/>
      <c r="W640" s="346">
        <v>45306</v>
      </c>
      <c r="X640" s="373">
        <v>1</v>
      </c>
      <c r="Y640" s="336">
        <f t="shared" ca="1" si="14"/>
        <v>73</v>
      </c>
      <c r="Z640" s="373"/>
      <c r="AA640" s="373"/>
      <c r="AB640" s="373"/>
    </row>
    <row r="641" spans="1:28" s="338" customFormat="1" ht="12.75" customHeight="1" x14ac:dyDescent="0.25">
      <c r="A641" s="347" t="s">
        <v>1984</v>
      </c>
      <c r="B641" s="462">
        <v>45233</v>
      </c>
      <c r="C641" s="425" t="s">
        <v>35</v>
      </c>
      <c r="D641" s="333" t="s">
        <v>36</v>
      </c>
      <c r="E641" s="333"/>
      <c r="F641" s="374" t="s">
        <v>753</v>
      </c>
      <c r="G641" s="372" t="s">
        <v>754</v>
      </c>
      <c r="H641" s="333">
        <v>2</v>
      </c>
      <c r="I641" s="333" t="s">
        <v>1985</v>
      </c>
      <c r="J641" s="333" t="s">
        <v>68</v>
      </c>
      <c r="K641" s="333" t="s">
        <v>69</v>
      </c>
      <c r="L641" s="333"/>
      <c r="M641" s="333" t="s">
        <v>1981</v>
      </c>
      <c r="N641" s="417">
        <v>10000</v>
      </c>
      <c r="O641" s="417"/>
      <c r="P641" s="462">
        <v>45233</v>
      </c>
      <c r="Q641" s="333"/>
      <c r="R641" s="333"/>
      <c r="S641" s="373"/>
      <c r="T641" s="373"/>
      <c r="U641" s="373"/>
      <c r="V641" s="373"/>
      <c r="W641" s="346"/>
      <c r="X641" s="373"/>
      <c r="Y641" s="336">
        <f t="shared" ca="1" si="14"/>
        <v>353</v>
      </c>
      <c r="Z641" s="373"/>
      <c r="AA641" s="373"/>
      <c r="AB641" s="373"/>
    </row>
    <row r="642" spans="1:28" s="338" customFormat="1" ht="12.75" customHeight="1" x14ac:dyDescent="0.25">
      <c r="A642" s="347" t="s">
        <v>1986</v>
      </c>
      <c r="B642" s="462">
        <v>45233</v>
      </c>
      <c r="C642" s="425" t="s">
        <v>35</v>
      </c>
      <c r="D642" s="333" t="s">
        <v>36</v>
      </c>
      <c r="E642" s="333"/>
      <c r="F642" s="374" t="s">
        <v>1987</v>
      </c>
      <c r="G642" s="372" t="s">
        <v>415</v>
      </c>
      <c r="H642" s="333">
        <v>1</v>
      </c>
      <c r="I642" s="333" t="s">
        <v>1988</v>
      </c>
      <c r="J642" s="333" t="s">
        <v>102</v>
      </c>
      <c r="K642" s="333" t="s">
        <v>69</v>
      </c>
      <c r="L642" s="333"/>
      <c r="M642" s="333" t="s">
        <v>1981</v>
      </c>
      <c r="N642" s="417">
        <v>2000</v>
      </c>
      <c r="O642" s="417"/>
      <c r="P642" s="462">
        <v>45233</v>
      </c>
      <c r="Q642" s="333"/>
      <c r="R642" s="333"/>
      <c r="S642" s="373"/>
      <c r="T642" s="373"/>
      <c r="U642" s="373"/>
      <c r="V642" s="373"/>
      <c r="W642" s="346">
        <v>45306</v>
      </c>
      <c r="X642" s="373">
        <v>1</v>
      </c>
      <c r="Y642" s="336">
        <f t="shared" ca="1" si="14"/>
        <v>73</v>
      </c>
      <c r="Z642" s="373"/>
      <c r="AA642" s="373"/>
      <c r="AB642" s="373"/>
    </row>
    <row r="643" spans="1:28" s="338" customFormat="1" ht="12.75" customHeight="1" x14ac:dyDescent="0.25">
      <c r="A643" s="347" t="s">
        <v>1989</v>
      </c>
      <c r="B643" s="462">
        <v>45233</v>
      </c>
      <c r="C643" s="425" t="s">
        <v>35</v>
      </c>
      <c r="D643" s="333" t="s">
        <v>36</v>
      </c>
      <c r="E643" s="333"/>
      <c r="F643" s="374" t="s">
        <v>1990</v>
      </c>
      <c r="G643" s="372" t="s">
        <v>1991</v>
      </c>
      <c r="H643" s="333">
        <v>2</v>
      </c>
      <c r="I643" s="333" t="s">
        <v>1992</v>
      </c>
      <c r="J643" s="333" t="s">
        <v>102</v>
      </c>
      <c r="K643" s="333" t="s">
        <v>69</v>
      </c>
      <c r="L643" s="333"/>
      <c r="M643" s="333" t="s">
        <v>1981</v>
      </c>
      <c r="N643" s="417">
        <v>3000</v>
      </c>
      <c r="O643" s="417"/>
      <c r="P643" s="462">
        <v>45233</v>
      </c>
      <c r="Q643" s="333"/>
      <c r="R643" s="333"/>
      <c r="S643" s="373"/>
      <c r="T643" s="373"/>
      <c r="U643" s="373"/>
      <c r="V643" s="373"/>
      <c r="W643" s="346">
        <v>45306</v>
      </c>
      <c r="X643" s="373">
        <v>2</v>
      </c>
      <c r="Y643" s="336">
        <f t="shared" ca="1" si="14"/>
        <v>73</v>
      </c>
      <c r="Z643" s="373"/>
      <c r="AA643" s="373"/>
      <c r="AB643" s="373"/>
    </row>
    <row r="644" spans="1:28" s="338" customFormat="1" ht="12.75" customHeight="1" x14ac:dyDescent="0.25">
      <c r="A644" s="347" t="s">
        <v>1993</v>
      </c>
      <c r="B644" s="462">
        <v>45233</v>
      </c>
      <c r="C644" s="425" t="s">
        <v>35</v>
      </c>
      <c r="D644" s="333" t="s">
        <v>36</v>
      </c>
      <c r="E644" s="333"/>
      <c r="F644" s="374" t="s">
        <v>1036</v>
      </c>
      <c r="G644" s="372" t="s">
        <v>1994</v>
      </c>
      <c r="H644" s="333">
        <v>2</v>
      </c>
      <c r="I644" s="333" t="s">
        <v>1992</v>
      </c>
      <c r="J644" s="333" t="s">
        <v>102</v>
      </c>
      <c r="K644" s="333" t="s">
        <v>69</v>
      </c>
      <c r="L644" s="333"/>
      <c r="M644" s="333" t="s">
        <v>1981</v>
      </c>
      <c r="N644" s="417">
        <v>3000</v>
      </c>
      <c r="O644" s="417"/>
      <c r="P644" s="462">
        <v>45233</v>
      </c>
      <c r="Q644" s="333"/>
      <c r="R644" s="333"/>
      <c r="S644" s="373"/>
      <c r="T644" s="373"/>
      <c r="U644" s="373"/>
      <c r="V644" s="373"/>
      <c r="W644" s="346">
        <v>45306</v>
      </c>
      <c r="X644" s="373">
        <v>2</v>
      </c>
      <c r="Y644" s="336">
        <f t="shared" ca="1" si="14"/>
        <v>73</v>
      </c>
      <c r="Z644" s="373"/>
      <c r="AA644" s="373"/>
      <c r="AB644" s="373"/>
    </row>
    <row r="645" spans="1:28" s="338" customFormat="1" ht="12.75" customHeight="1" x14ac:dyDescent="0.25">
      <c r="A645" s="347" t="s">
        <v>1995</v>
      </c>
      <c r="B645" s="462">
        <v>45233</v>
      </c>
      <c r="C645" s="425" t="s">
        <v>35</v>
      </c>
      <c r="D645" s="333" t="s">
        <v>36</v>
      </c>
      <c r="E645" s="333"/>
      <c r="F645" s="374" t="s">
        <v>1996</v>
      </c>
      <c r="G645" s="372" t="s">
        <v>1997</v>
      </c>
      <c r="H645" s="333">
        <v>1</v>
      </c>
      <c r="I645" s="333" t="s">
        <v>1992</v>
      </c>
      <c r="J645" s="333" t="s">
        <v>102</v>
      </c>
      <c r="K645" s="333" t="s">
        <v>69</v>
      </c>
      <c r="L645" s="333"/>
      <c r="M645" s="333" t="s">
        <v>1981</v>
      </c>
      <c r="N645" s="417">
        <v>5000</v>
      </c>
      <c r="O645" s="417"/>
      <c r="P645" s="462">
        <v>45233</v>
      </c>
      <c r="Q645" s="333"/>
      <c r="R645" s="333"/>
      <c r="S645" s="373"/>
      <c r="T645" s="373"/>
      <c r="U645" s="373"/>
      <c r="V645" s="373"/>
      <c r="W645" s="346">
        <v>45306</v>
      </c>
      <c r="X645" s="373">
        <v>1</v>
      </c>
      <c r="Y645" s="336">
        <f t="shared" ca="1" si="14"/>
        <v>73</v>
      </c>
      <c r="Z645" s="373"/>
      <c r="AA645" s="373"/>
      <c r="AB645" s="373"/>
    </row>
    <row r="646" spans="1:28" s="338" customFormat="1" ht="12.75" customHeight="1" x14ac:dyDescent="0.25">
      <c r="A646" s="347" t="s">
        <v>1998</v>
      </c>
      <c r="B646" s="462">
        <v>45233</v>
      </c>
      <c r="C646" s="425" t="s">
        <v>35</v>
      </c>
      <c r="D646" s="333" t="s">
        <v>36</v>
      </c>
      <c r="E646" s="333"/>
      <c r="F646" s="374" t="s">
        <v>1999</v>
      </c>
      <c r="G646" s="372" t="s">
        <v>2000</v>
      </c>
      <c r="H646" s="333">
        <v>1</v>
      </c>
      <c r="I646" s="333" t="s">
        <v>1992</v>
      </c>
      <c r="J646" s="333" t="s">
        <v>102</v>
      </c>
      <c r="K646" s="333" t="s">
        <v>69</v>
      </c>
      <c r="L646" s="333"/>
      <c r="M646" s="333" t="s">
        <v>1981</v>
      </c>
      <c r="N646" s="417">
        <v>50000</v>
      </c>
      <c r="O646" s="417"/>
      <c r="P646" s="462">
        <v>45233</v>
      </c>
      <c r="Q646" s="333"/>
      <c r="R646" s="333"/>
      <c r="S646" s="373"/>
      <c r="T646" s="373"/>
      <c r="U646" s="373"/>
      <c r="V646" s="373"/>
      <c r="W646" s="346">
        <v>45306</v>
      </c>
      <c r="X646" s="373"/>
      <c r="Y646" s="336">
        <f t="shared" ca="1" si="14"/>
        <v>73</v>
      </c>
      <c r="Z646" s="373"/>
      <c r="AA646" s="373"/>
      <c r="AB646" s="373"/>
    </row>
    <row r="647" spans="1:28" s="338" customFormat="1" ht="12.75" customHeight="1" x14ac:dyDescent="0.25">
      <c r="A647" s="347" t="s">
        <v>2001</v>
      </c>
      <c r="B647" s="462">
        <v>45233</v>
      </c>
      <c r="C647" s="425" t="s">
        <v>35</v>
      </c>
      <c r="D647" s="333" t="s">
        <v>36</v>
      </c>
      <c r="E647" s="333"/>
      <c r="F647" s="374" t="s">
        <v>2002</v>
      </c>
      <c r="G647" s="372" t="s">
        <v>2003</v>
      </c>
      <c r="H647" s="333">
        <v>1</v>
      </c>
      <c r="I647" s="333" t="s">
        <v>2004</v>
      </c>
      <c r="J647" s="333" t="s">
        <v>68</v>
      </c>
      <c r="K647" s="333" t="s">
        <v>69</v>
      </c>
      <c r="L647" s="333"/>
      <c r="M647" s="333" t="s">
        <v>1981</v>
      </c>
      <c r="N647" s="417">
        <v>1000</v>
      </c>
      <c r="O647" s="417"/>
      <c r="P647" s="462">
        <v>45233</v>
      </c>
      <c r="Q647" s="333"/>
      <c r="R647" s="333"/>
      <c r="S647" s="373"/>
      <c r="T647" s="373"/>
      <c r="U647" s="373"/>
      <c r="V647" s="373"/>
      <c r="W647" s="346">
        <v>45306</v>
      </c>
      <c r="X647" s="373">
        <v>1</v>
      </c>
      <c r="Y647" s="336">
        <f t="shared" ca="1" si="14"/>
        <v>73</v>
      </c>
      <c r="Z647" s="373"/>
      <c r="AA647" s="373"/>
      <c r="AB647" s="373"/>
    </row>
    <row r="648" spans="1:28" s="338" customFormat="1" ht="12.75" customHeight="1" x14ac:dyDescent="0.25">
      <c r="A648" s="347" t="s">
        <v>2005</v>
      </c>
      <c r="B648" s="462">
        <v>45233</v>
      </c>
      <c r="C648" s="425" t="s">
        <v>35</v>
      </c>
      <c r="D648" s="333" t="s">
        <v>36</v>
      </c>
      <c r="E648" s="333"/>
      <c r="F648" s="374" t="s">
        <v>2006</v>
      </c>
      <c r="G648" s="372" t="s">
        <v>2007</v>
      </c>
      <c r="H648" s="333">
        <v>10</v>
      </c>
      <c r="I648" s="333" t="s">
        <v>2008</v>
      </c>
      <c r="J648" s="333" t="s">
        <v>102</v>
      </c>
      <c r="K648" s="333" t="s">
        <v>69</v>
      </c>
      <c r="L648" s="333"/>
      <c r="M648" s="333" t="s">
        <v>1981</v>
      </c>
      <c r="N648" s="417">
        <v>500</v>
      </c>
      <c r="O648" s="417"/>
      <c r="P648" s="462">
        <v>45233</v>
      </c>
      <c r="Q648" s="333"/>
      <c r="R648" s="333"/>
      <c r="S648" s="373"/>
      <c r="T648" s="373"/>
      <c r="U648" s="373"/>
      <c r="V648" s="373"/>
      <c r="W648" s="346"/>
      <c r="X648" s="373"/>
      <c r="Y648" s="336">
        <f t="shared" ref="Y648:Y711" ca="1" si="15">IF(P648="","",IF(W648="",TODAY()-P648,W648-P648))</f>
        <v>353</v>
      </c>
      <c r="Z648" s="373"/>
      <c r="AA648" s="373"/>
      <c r="AB648" s="373"/>
    </row>
    <row r="649" spans="1:28" s="338" customFormat="1" ht="12.75" customHeight="1" x14ac:dyDescent="0.25">
      <c r="A649" s="347" t="s">
        <v>2009</v>
      </c>
      <c r="B649" s="462">
        <v>45233</v>
      </c>
      <c r="C649" s="425" t="s">
        <v>35</v>
      </c>
      <c r="D649" s="333" t="s">
        <v>36</v>
      </c>
      <c r="E649" s="333"/>
      <c r="F649" s="374" t="s">
        <v>2010</v>
      </c>
      <c r="G649" s="372" t="s">
        <v>2011</v>
      </c>
      <c r="H649" s="333">
        <v>2</v>
      </c>
      <c r="I649" s="333" t="s">
        <v>2012</v>
      </c>
      <c r="J649" s="333" t="s">
        <v>102</v>
      </c>
      <c r="K649" s="333" t="s">
        <v>69</v>
      </c>
      <c r="L649" s="333"/>
      <c r="M649" s="333" t="s">
        <v>1981</v>
      </c>
      <c r="N649" s="417">
        <v>4000</v>
      </c>
      <c r="O649" s="417"/>
      <c r="P649" s="462">
        <v>45233</v>
      </c>
      <c r="Q649" s="333"/>
      <c r="R649" s="333"/>
      <c r="S649" s="373"/>
      <c r="T649" s="373"/>
      <c r="U649" s="373"/>
      <c r="V649" s="373"/>
      <c r="W649" s="346">
        <v>45306</v>
      </c>
      <c r="X649" s="373"/>
      <c r="Y649" s="336">
        <f t="shared" ca="1" si="15"/>
        <v>73</v>
      </c>
      <c r="Z649" s="373"/>
      <c r="AA649" s="373"/>
      <c r="AB649" s="373"/>
    </row>
    <row r="650" spans="1:28" s="338" customFormat="1" ht="12.75" customHeight="1" x14ac:dyDescent="0.25">
      <c r="A650" s="347" t="s">
        <v>2013</v>
      </c>
      <c r="B650" s="462">
        <v>45233</v>
      </c>
      <c r="C650" s="425" t="s">
        <v>35</v>
      </c>
      <c r="D650" s="333" t="s">
        <v>36</v>
      </c>
      <c r="E650" s="333"/>
      <c r="F650" s="374" t="s">
        <v>2014</v>
      </c>
      <c r="G650" s="372" t="s">
        <v>2015</v>
      </c>
      <c r="H650" s="333">
        <v>1</v>
      </c>
      <c r="I650" s="333" t="s">
        <v>2016</v>
      </c>
      <c r="J650" s="333" t="s">
        <v>102</v>
      </c>
      <c r="K650" s="333" t="s">
        <v>69</v>
      </c>
      <c r="L650" s="333"/>
      <c r="M650" s="333" t="s">
        <v>1981</v>
      </c>
      <c r="N650" s="417">
        <v>3000</v>
      </c>
      <c r="O650" s="417"/>
      <c r="P650" s="462">
        <v>45233</v>
      </c>
      <c r="Q650" s="333"/>
      <c r="R650" s="333"/>
      <c r="S650" s="373"/>
      <c r="T650" s="373"/>
      <c r="U650" s="373"/>
      <c r="V650" s="373"/>
      <c r="W650" s="346">
        <v>45306</v>
      </c>
      <c r="X650" s="373"/>
      <c r="Y650" s="336">
        <f t="shared" ca="1" si="15"/>
        <v>73</v>
      </c>
      <c r="Z650" s="373"/>
      <c r="AA650" s="373"/>
      <c r="AB650" s="373"/>
    </row>
    <row r="651" spans="1:28" s="338" customFormat="1" ht="12.75" customHeight="1" x14ac:dyDescent="0.25">
      <c r="A651" s="347" t="s">
        <v>2017</v>
      </c>
      <c r="B651" s="462">
        <v>45233</v>
      </c>
      <c r="C651" s="425" t="s">
        <v>35</v>
      </c>
      <c r="D651" s="333" t="s">
        <v>36</v>
      </c>
      <c r="E651" s="333"/>
      <c r="F651" s="374" t="s">
        <v>2018</v>
      </c>
      <c r="G651" s="372" t="s">
        <v>2019</v>
      </c>
      <c r="H651" s="333">
        <v>1</v>
      </c>
      <c r="I651" s="333" t="s">
        <v>2016</v>
      </c>
      <c r="J651" s="333" t="s">
        <v>68</v>
      </c>
      <c r="K651" s="333" t="s">
        <v>69</v>
      </c>
      <c r="L651" s="333"/>
      <c r="M651" s="333" t="s">
        <v>1981</v>
      </c>
      <c r="N651" s="417">
        <v>1000</v>
      </c>
      <c r="O651" s="417"/>
      <c r="P651" s="462">
        <v>45233</v>
      </c>
      <c r="Q651" s="333"/>
      <c r="R651" s="333"/>
      <c r="S651" s="373"/>
      <c r="T651" s="373"/>
      <c r="U651" s="373"/>
      <c r="V651" s="373"/>
      <c r="W651" s="346">
        <v>45306</v>
      </c>
      <c r="X651" s="373">
        <v>1</v>
      </c>
      <c r="Y651" s="336">
        <f t="shared" ca="1" si="15"/>
        <v>73</v>
      </c>
      <c r="Z651" s="373"/>
      <c r="AA651" s="373"/>
      <c r="AB651" s="373"/>
    </row>
    <row r="652" spans="1:28" s="338" customFormat="1" ht="12.75" customHeight="1" x14ac:dyDescent="0.25">
      <c r="A652" s="347" t="s">
        <v>2020</v>
      </c>
      <c r="B652" s="462">
        <v>45233</v>
      </c>
      <c r="C652" s="425" t="s">
        <v>35</v>
      </c>
      <c r="D652" s="333" t="s">
        <v>36</v>
      </c>
      <c r="E652" s="333"/>
      <c r="F652" s="374" t="s">
        <v>2021</v>
      </c>
      <c r="G652" s="372" t="s">
        <v>2022</v>
      </c>
      <c r="H652" s="333">
        <v>5</v>
      </c>
      <c r="I652" s="333" t="s">
        <v>2016</v>
      </c>
      <c r="J652" s="333" t="s">
        <v>68</v>
      </c>
      <c r="K652" s="333" t="s">
        <v>69</v>
      </c>
      <c r="L652" s="333"/>
      <c r="M652" s="333" t="s">
        <v>1981</v>
      </c>
      <c r="N652" s="417">
        <v>2000</v>
      </c>
      <c r="O652" s="417"/>
      <c r="P652" s="462">
        <v>45233</v>
      </c>
      <c r="Q652" s="333"/>
      <c r="R652" s="333"/>
      <c r="S652" s="373"/>
      <c r="T652" s="373"/>
      <c r="U652" s="373"/>
      <c r="V652" s="373"/>
      <c r="W652" s="346">
        <v>45306</v>
      </c>
      <c r="X652" s="373">
        <v>5</v>
      </c>
      <c r="Y652" s="336">
        <f t="shared" ca="1" si="15"/>
        <v>73</v>
      </c>
      <c r="Z652" s="373"/>
      <c r="AA652" s="373"/>
      <c r="AB652" s="373"/>
    </row>
    <row r="653" spans="1:28" s="338" customFormat="1" ht="12.75" customHeight="1" x14ac:dyDescent="0.25">
      <c r="A653" s="347" t="s">
        <v>2023</v>
      </c>
      <c r="B653" s="462">
        <v>45233</v>
      </c>
      <c r="C653" s="425" t="s">
        <v>35</v>
      </c>
      <c r="D653" s="333" t="s">
        <v>36</v>
      </c>
      <c r="E653" s="333"/>
      <c r="F653" s="374" t="s">
        <v>2024</v>
      </c>
      <c r="G653" s="372" t="s">
        <v>2025</v>
      </c>
      <c r="H653" s="333">
        <v>1</v>
      </c>
      <c r="I653" s="333" t="s">
        <v>2016</v>
      </c>
      <c r="J653" s="333" t="s">
        <v>102</v>
      </c>
      <c r="K653" s="333" t="s">
        <v>69</v>
      </c>
      <c r="L653" s="333"/>
      <c r="M653" s="333" t="s">
        <v>1981</v>
      </c>
      <c r="N653" s="417">
        <v>4000</v>
      </c>
      <c r="O653" s="417"/>
      <c r="P653" s="462">
        <v>45233</v>
      </c>
      <c r="Q653" s="333"/>
      <c r="R653" s="333"/>
      <c r="S653" s="373"/>
      <c r="T653" s="373"/>
      <c r="U653" s="373"/>
      <c r="V653" s="373"/>
      <c r="W653" s="346">
        <v>45306</v>
      </c>
      <c r="X653" s="373">
        <v>1</v>
      </c>
      <c r="Y653" s="336">
        <f t="shared" ca="1" si="15"/>
        <v>73</v>
      </c>
      <c r="Z653" s="373"/>
      <c r="AA653" s="373"/>
      <c r="AB653" s="373"/>
    </row>
    <row r="654" spans="1:28" s="338" customFormat="1" ht="12.75" customHeight="1" x14ac:dyDescent="0.25">
      <c r="A654" s="347" t="s">
        <v>2026</v>
      </c>
      <c r="B654" s="462">
        <v>45233</v>
      </c>
      <c r="C654" s="425" t="s">
        <v>35</v>
      </c>
      <c r="D654" s="333" t="s">
        <v>36</v>
      </c>
      <c r="E654" s="333"/>
      <c r="F654" s="374" t="s">
        <v>2027</v>
      </c>
      <c r="G654" s="372" t="s">
        <v>2028</v>
      </c>
      <c r="H654" s="333">
        <v>1</v>
      </c>
      <c r="I654" s="333" t="s">
        <v>2016</v>
      </c>
      <c r="J654" s="333" t="s">
        <v>68</v>
      </c>
      <c r="K654" s="333" t="s">
        <v>69</v>
      </c>
      <c r="L654" s="333"/>
      <c r="M654" s="333" t="s">
        <v>1981</v>
      </c>
      <c r="N654" s="417">
        <v>2500</v>
      </c>
      <c r="O654" s="417"/>
      <c r="P654" s="462">
        <v>45233</v>
      </c>
      <c r="Q654" s="333"/>
      <c r="R654" s="333"/>
      <c r="S654" s="373"/>
      <c r="T654" s="373"/>
      <c r="U654" s="373"/>
      <c r="V654" s="373"/>
      <c r="W654" s="346">
        <v>45306</v>
      </c>
      <c r="X654" s="373">
        <v>1</v>
      </c>
      <c r="Y654" s="336">
        <f t="shared" ca="1" si="15"/>
        <v>73</v>
      </c>
      <c r="Z654" s="373"/>
      <c r="AA654" s="373"/>
      <c r="AB654" s="373"/>
    </row>
    <row r="655" spans="1:28" s="338" customFormat="1" ht="12.75" customHeight="1" x14ac:dyDescent="0.25">
      <c r="A655" s="347" t="s">
        <v>2029</v>
      </c>
      <c r="B655" s="462">
        <v>45233</v>
      </c>
      <c r="C655" s="425" t="s">
        <v>35</v>
      </c>
      <c r="D655" s="333" t="s">
        <v>36</v>
      </c>
      <c r="E655" s="333"/>
      <c r="F655" s="374" t="s">
        <v>2030</v>
      </c>
      <c r="G655" s="372" t="s">
        <v>2031</v>
      </c>
      <c r="H655" s="333">
        <v>1</v>
      </c>
      <c r="I655" s="333" t="s">
        <v>2016</v>
      </c>
      <c r="J655" s="333" t="s">
        <v>68</v>
      </c>
      <c r="K655" s="333" t="s">
        <v>69</v>
      </c>
      <c r="L655" s="333"/>
      <c r="M655" s="333" t="s">
        <v>1981</v>
      </c>
      <c r="N655" s="417">
        <v>500</v>
      </c>
      <c r="O655" s="417"/>
      <c r="P655" s="462">
        <v>45233</v>
      </c>
      <c r="Q655" s="333"/>
      <c r="R655" s="333"/>
      <c r="S655" s="373"/>
      <c r="T655" s="373"/>
      <c r="U655" s="373"/>
      <c r="V655" s="373"/>
      <c r="W655" s="346">
        <v>45306</v>
      </c>
      <c r="X655" s="373">
        <v>1</v>
      </c>
      <c r="Y655" s="336">
        <f t="shared" ca="1" si="15"/>
        <v>73</v>
      </c>
      <c r="Z655" s="373"/>
      <c r="AA655" s="373"/>
      <c r="AB655" s="373"/>
    </row>
    <row r="656" spans="1:28" s="338" customFormat="1" ht="12.75" customHeight="1" x14ac:dyDescent="0.25">
      <c r="A656" s="347" t="s">
        <v>2032</v>
      </c>
      <c r="B656" s="462">
        <v>45233</v>
      </c>
      <c r="C656" s="425" t="s">
        <v>35</v>
      </c>
      <c r="D656" s="333" t="s">
        <v>36</v>
      </c>
      <c r="E656" s="333"/>
      <c r="F656" s="374" t="s">
        <v>1244</v>
      </c>
      <c r="G656" s="372" t="s">
        <v>2033</v>
      </c>
      <c r="H656" s="333">
        <v>6</v>
      </c>
      <c r="I656" s="333" t="s">
        <v>2034</v>
      </c>
      <c r="J656" s="333" t="s">
        <v>68</v>
      </c>
      <c r="K656" s="333" t="s">
        <v>69</v>
      </c>
      <c r="L656" s="333"/>
      <c r="M656" s="333" t="s">
        <v>1981</v>
      </c>
      <c r="N656" s="417">
        <v>3000</v>
      </c>
      <c r="O656" s="417"/>
      <c r="P656" s="462">
        <v>45233</v>
      </c>
      <c r="Q656" s="333"/>
      <c r="R656" s="333"/>
      <c r="S656" s="373"/>
      <c r="T656" s="373"/>
      <c r="U656" s="373"/>
      <c r="V656" s="373"/>
      <c r="W656" s="346"/>
      <c r="X656" s="373"/>
      <c r="Y656" s="336">
        <f t="shared" ca="1" si="15"/>
        <v>353</v>
      </c>
      <c r="Z656" s="373"/>
      <c r="AA656" s="373"/>
      <c r="AB656" s="373"/>
    </row>
    <row r="657" spans="1:28" s="338" customFormat="1" ht="12.75" customHeight="1" x14ac:dyDescent="0.25">
      <c r="A657" s="347" t="s">
        <v>2035</v>
      </c>
      <c r="B657" s="462">
        <v>45233</v>
      </c>
      <c r="C657" s="425" t="s">
        <v>35</v>
      </c>
      <c r="D657" s="333" t="s">
        <v>36</v>
      </c>
      <c r="E657" s="333"/>
      <c r="F657" s="374" t="s">
        <v>2036</v>
      </c>
      <c r="G657" s="372" t="s">
        <v>2037</v>
      </c>
      <c r="H657" s="333">
        <v>3</v>
      </c>
      <c r="I657" s="333" t="s">
        <v>2038</v>
      </c>
      <c r="J657" s="333" t="s">
        <v>68</v>
      </c>
      <c r="K657" s="333" t="s">
        <v>69</v>
      </c>
      <c r="L657" s="333"/>
      <c r="M657" s="333" t="s">
        <v>1981</v>
      </c>
      <c r="N657" s="417">
        <v>2000</v>
      </c>
      <c r="O657" s="417"/>
      <c r="P657" s="462">
        <v>45233</v>
      </c>
      <c r="Q657" s="333"/>
      <c r="R657" s="333"/>
      <c r="S657" s="373"/>
      <c r="T657" s="373"/>
      <c r="U657" s="373"/>
      <c r="V657" s="373"/>
      <c r="W657" s="346">
        <v>45306</v>
      </c>
      <c r="X657" s="373">
        <v>3</v>
      </c>
      <c r="Y657" s="336">
        <f t="shared" ca="1" si="15"/>
        <v>73</v>
      </c>
      <c r="Z657" s="373"/>
      <c r="AA657" s="373"/>
      <c r="AB657" s="373"/>
    </row>
    <row r="658" spans="1:28" s="338" customFormat="1" ht="12.75" customHeight="1" x14ac:dyDescent="0.25">
      <c r="A658" s="347" t="s">
        <v>2039</v>
      </c>
      <c r="B658" s="462">
        <v>45233</v>
      </c>
      <c r="C658" s="425" t="s">
        <v>35</v>
      </c>
      <c r="D658" s="333" t="s">
        <v>36</v>
      </c>
      <c r="E658" s="333"/>
      <c r="F658" s="374" t="s">
        <v>2040</v>
      </c>
      <c r="G658" s="372" t="s">
        <v>2041</v>
      </c>
      <c r="H658" s="333">
        <v>1</v>
      </c>
      <c r="I658" s="333" t="s">
        <v>2038</v>
      </c>
      <c r="J658" s="333" t="s">
        <v>68</v>
      </c>
      <c r="K658" s="333" t="s">
        <v>69</v>
      </c>
      <c r="L658" s="333"/>
      <c r="M658" s="333" t="s">
        <v>1981</v>
      </c>
      <c r="N658" s="417">
        <v>3000</v>
      </c>
      <c r="O658" s="417"/>
      <c r="P658" s="462">
        <v>45233</v>
      </c>
      <c r="Q658" s="333"/>
      <c r="R658" s="333"/>
      <c r="S658" s="373"/>
      <c r="T658" s="373"/>
      <c r="U658" s="373"/>
      <c r="V658" s="373"/>
      <c r="W658" s="346">
        <v>45306</v>
      </c>
      <c r="X658" s="373">
        <v>1</v>
      </c>
      <c r="Y658" s="336">
        <f t="shared" ca="1" si="15"/>
        <v>73</v>
      </c>
      <c r="Z658" s="373"/>
      <c r="AA658" s="373"/>
      <c r="AB658" s="373"/>
    </row>
    <row r="659" spans="1:28" s="338" customFormat="1" ht="12.75" customHeight="1" x14ac:dyDescent="0.25">
      <c r="A659" s="347" t="s">
        <v>2042</v>
      </c>
      <c r="B659" s="462">
        <v>45233</v>
      </c>
      <c r="C659" s="425" t="s">
        <v>35</v>
      </c>
      <c r="D659" s="333" t="s">
        <v>36</v>
      </c>
      <c r="E659" s="333"/>
      <c r="F659" s="374" t="s">
        <v>2043</v>
      </c>
      <c r="G659" s="372" t="s">
        <v>2044</v>
      </c>
      <c r="H659" s="333">
        <v>2</v>
      </c>
      <c r="I659" s="333" t="s">
        <v>2038</v>
      </c>
      <c r="J659" s="333" t="s">
        <v>68</v>
      </c>
      <c r="K659" s="333" t="s">
        <v>69</v>
      </c>
      <c r="L659" s="333"/>
      <c r="M659" s="333" t="s">
        <v>1981</v>
      </c>
      <c r="N659" s="417">
        <v>5000</v>
      </c>
      <c r="O659" s="417"/>
      <c r="P659" s="462">
        <v>45233</v>
      </c>
      <c r="Q659" s="333"/>
      <c r="R659" s="333"/>
      <c r="S659" s="373"/>
      <c r="T659" s="373"/>
      <c r="U659" s="373"/>
      <c r="V659" s="373"/>
      <c r="W659" s="346">
        <v>45306</v>
      </c>
      <c r="X659" s="373">
        <v>2</v>
      </c>
      <c r="Y659" s="336">
        <f t="shared" ca="1" si="15"/>
        <v>73</v>
      </c>
      <c r="Z659" s="373"/>
      <c r="AA659" s="373"/>
      <c r="AB659" s="373"/>
    </row>
    <row r="660" spans="1:28" s="338" customFormat="1" ht="12.75" customHeight="1" x14ac:dyDescent="0.25">
      <c r="A660" s="347" t="s">
        <v>2045</v>
      </c>
      <c r="B660" s="462">
        <v>45233</v>
      </c>
      <c r="C660" s="425" t="s">
        <v>35</v>
      </c>
      <c r="D660" s="333" t="s">
        <v>36</v>
      </c>
      <c r="E660" s="333"/>
      <c r="F660" s="374" t="s">
        <v>2046</v>
      </c>
      <c r="G660" s="372" t="s">
        <v>2047</v>
      </c>
      <c r="H660" s="333">
        <v>2</v>
      </c>
      <c r="I660" s="333" t="s">
        <v>2016</v>
      </c>
      <c r="J660" s="333" t="s">
        <v>68</v>
      </c>
      <c r="K660" s="333" t="s">
        <v>69</v>
      </c>
      <c r="L660" s="333"/>
      <c r="M660" s="333" t="s">
        <v>1981</v>
      </c>
      <c r="N660" s="417">
        <v>1000</v>
      </c>
      <c r="O660" s="417"/>
      <c r="P660" s="462">
        <v>45233</v>
      </c>
      <c r="Q660" s="333"/>
      <c r="R660" s="333"/>
      <c r="S660" s="373"/>
      <c r="T660" s="373"/>
      <c r="U660" s="373"/>
      <c r="V660" s="373"/>
      <c r="W660" s="346">
        <v>45306</v>
      </c>
      <c r="X660" s="373">
        <v>2</v>
      </c>
      <c r="Y660" s="336">
        <f t="shared" ca="1" si="15"/>
        <v>73</v>
      </c>
      <c r="Z660" s="373"/>
      <c r="AA660" s="373"/>
      <c r="AB660" s="373"/>
    </row>
    <row r="661" spans="1:28" s="338" customFormat="1" ht="12.75" customHeight="1" x14ac:dyDescent="0.25">
      <c r="A661" s="347" t="s">
        <v>2048</v>
      </c>
      <c r="B661" s="462">
        <v>45233</v>
      </c>
      <c r="C661" s="425" t="s">
        <v>35</v>
      </c>
      <c r="D661" s="333" t="s">
        <v>36</v>
      </c>
      <c r="E661" s="333"/>
      <c r="F661" s="374" t="s">
        <v>2049</v>
      </c>
      <c r="G661" s="372" t="s">
        <v>2050</v>
      </c>
      <c r="H661" s="333">
        <v>1</v>
      </c>
      <c r="I661" s="333" t="s">
        <v>2016</v>
      </c>
      <c r="J661" s="333" t="s">
        <v>68</v>
      </c>
      <c r="K661" s="333" t="s">
        <v>69</v>
      </c>
      <c r="L661" s="333"/>
      <c r="M661" s="333" t="s">
        <v>1981</v>
      </c>
      <c r="N661" s="417">
        <v>1000</v>
      </c>
      <c r="O661" s="417"/>
      <c r="P661" s="462">
        <v>45233</v>
      </c>
      <c r="Q661" s="333"/>
      <c r="R661" s="333"/>
      <c r="S661" s="373"/>
      <c r="T661" s="373"/>
      <c r="U661" s="373"/>
      <c r="V661" s="373"/>
      <c r="W661" s="346">
        <v>45306</v>
      </c>
      <c r="X661" s="373">
        <v>1</v>
      </c>
      <c r="Y661" s="336">
        <f t="shared" ca="1" si="15"/>
        <v>73</v>
      </c>
      <c r="Z661" s="373"/>
      <c r="AA661" s="373"/>
      <c r="AB661" s="373"/>
    </row>
    <row r="662" spans="1:28" s="338" customFormat="1" ht="12.75" customHeight="1" x14ac:dyDescent="0.25">
      <c r="A662" s="347" t="s">
        <v>2051</v>
      </c>
      <c r="B662" s="462">
        <v>45233</v>
      </c>
      <c r="C662" s="425" t="s">
        <v>35</v>
      </c>
      <c r="D662" s="333" t="s">
        <v>36</v>
      </c>
      <c r="E662" s="333"/>
      <c r="F662" s="374" t="s">
        <v>329</v>
      </c>
      <c r="G662" s="372" t="s">
        <v>2052</v>
      </c>
      <c r="H662" s="333">
        <v>5</v>
      </c>
      <c r="I662" s="333" t="s">
        <v>2016</v>
      </c>
      <c r="J662" s="333" t="s">
        <v>102</v>
      </c>
      <c r="K662" s="333" t="s">
        <v>69</v>
      </c>
      <c r="L662" s="333"/>
      <c r="M662" s="333" t="s">
        <v>1981</v>
      </c>
      <c r="N662" s="417">
        <v>2000</v>
      </c>
      <c r="O662" s="417"/>
      <c r="P662" s="462">
        <v>45233</v>
      </c>
      <c r="Q662" s="333"/>
      <c r="R662" s="333"/>
      <c r="S662" s="373"/>
      <c r="T662" s="373"/>
      <c r="U662" s="373"/>
      <c r="V662" s="373"/>
      <c r="W662" s="346">
        <v>45306</v>
      </c>
      <c r="X662" s="373">
        <v>5</v>
      </c>
      <c r="Y662" s="336">
        <f t="shared" ca="1" si="15"/>
        <v>73</v>
      </c>
      <c r="Z662" s="373"/>
      <c r="AA662" s="373"/>
      <c r="AB662" s="373"/>
    </row>
    <row r="663" spans="1:28" s="338" customFormat="1" ht="12.75" customHeight="1" x14ac:dyDescent="0.25">
      <c r="A663" s="347" t="s">
        <v>2053</v>
      </c>
      <c r="B663" s="462">
        <v>45233</v>
      </c>
      <c r="C663" s="425" t="s">
        <v>35</v>
      </c>
      <c r="D663" s="333" t="s">
        <v>36</v>
      </c>
      <c r="E663" s="333"/>
      <c r="F663" s="374" t="s">
        <v>2054</v>
      </c>
      <c r="G663" s="372" t="s">
        <v>2055</v>
      </c>
      <c r="H663" s="333">
        <v>3</v>
      </c>
      <c r="I663" s="333" t="s">
        <v>2016</v>
      </c>
      <c r="J663" s="333" t="s">
        <v>68</v>
      </c>
      <c r="K663" s="333" t="s">
        <v>69</v>
      </c>
      <c r="L663" s="333"/>
      <c r="M663" s="333" t="s">
        <v>1981</v>
      </c>
      <c r="N663" s="417">
        <v>3000</v>
      </c>
      <c r="O663" s="417"/>
      <c r="P663" s="462">
        <v>45233</v>
      </c>
      <c r="Q663" s="333"/>
      <c r="R663" s="333"/>
      <c r="S663" s="373"/>
      <c r="T663" s="373"/>
      <c r="U663" s="373"/>
      <c r="V663" s="373"/>
      <c r="W663" s="346">
        <v>45306</v>
      </c>
      <c r="X663" s="373">
        <v>3</v>
      </c>
      <c r="Y663" s="336">
        <f t="shared" ca="1" si="15"/>
        <v>73</v>
      </c>
      <c r="Z663" s="373"/>
      <c r="AA663" s="373"/>
      <c r="AB663" s="373"/>
    </row>
    <row r="664" spans="1:28" s="338" customFormat="1" ht="12.75" customHeight="1" x14ac:dyDescent="0.25">
      <c r="A664" s="347" t="s">
        <v>2056</v>
      </c>
      <c r="B664" s="462">
        <v>45233</v>
      </c>
      <c r="C664" s="425" t="s">
        <v>35</v>
      </c>
      <c r="D664" s="333" t="s">
        <v>36</v>
      </c>
      <c r="E664" s="333"/>
      <c r="F664" s="374" t="s">
        <v>2040</v>
      </c>
      <c r="G664" s="372" t="s">
        <v>2041</v>
      </c>
      <c r="H664" s="333">
        <v>1</v>
      </c>
      <c r="I664" s="333" t="s">
        <v>2016</v>
      </c>
      <c r="J664" s="333" t="s">
        <v>68</v>
      </c>
      <c r="K664" s="333" t="s">
        <v>69</v>
      </c>
      <c r="L664" s="333"/>
      <c r="M664" s="333" t="s">
        <v>1981</v>
      </c>
      <c r="N664" s="417">
        <v>5000</v>
      </c>
      <c r="O664" s="417"/>
      <c r="P664" s="462">
        <v>45233</v>
      </c>
      <c r="Q664" s="333"/>
      <c r="R664" s="333"/>
      <c r="S664" s="373"/>
      <c r="T664" s="373"/>
      <c r="U664" s="373"/>
      <c r="V664" s="373"/>
      <c r="W664" s="346">
        <v>45306</v>
      </c>
      <c r="X664" s="373">
        <v>1</v>
      </c>
      <c r="Y664" s="336">
        <f t="shared" ca="1" si="15"/>
        <v>73</v>
      </c>
      <c r="Z664" s="373"/>
      <c r="AA664" s="373"/>
      <c r="AB664" s="373"/>
    </row>
    <row r="665" spans="1:28" s="338" customFormat="1" ht="12.75" customHeight="1" x14ac:dyDescent="0.25">
      <c r="A665" s="347" t="s">
        <v>2057</v>
      </c>
      <c r="B665" s="462">
        <v>45233</v>
      </c>
      <c r="C665" s="425" t="s">
        <v>35</v>
      </c>
      <c r="D665" s="333" t="s">
        <v>36</v>
      </c>
      <c r="E665" s="333"/>
      <c r="F665" s="374" t="s">
        <v>2058</v>
      </c>
      <c r="G665" s="372" t="s">
        <v>2059</v>
      </c>
      <c r="H665" s="333">
        <v>1</v>
      </c>
      <c r="I665" s="333" t="s">
        <v>2060</v>
      </c>
      <c r="J665" s="333" t="s">
        <v>68</v>
      </c>
      <c r="K665" s="333" t="s">
        <v>69</v>
      </c>
      <c r="L665" s="333"/>
      <c r="M665" s="333" t="s">
        <v>1981</v>
      </c>
      <c r="N665" s="417">
        <v>5000</v>
      </c>
      <c r="O665" s="417"/>
      <c r="P665" s="462">
        <v>45233</v>
      </c>
      <c r="Q665" s="333"/>
      <c r="R665" s="333"/>
      <c r="S665" s="373"/>
      <c r="T665" s="373"/>
      <c r="U665" s="373"/>
      <c r="V665" s="373"/>
      <c r="W665" s="346"/>
      <c r="X665" s="373"/>
      <c r="Y665" s="336">
        <f t="shared" ca="1" si="15"/>
        <v>353</v>
      </c>
      <c r="Z665" s="373"/>
      <c r="AA665" s="373"/>
      <c r="AB665" s="373"/>
    </row>
    <row r="666" spans="1:28" s="338" customFormat="1" ht="12.75" customHeight="1" x14ac:dyDescent="0.25">
      <c r="A666" s="347" t="s">
        <v>2061</v>
      </c>
      <c r="B666" s="462">
        <v>45233</v>
      </c>
      <c r="C666" s="425" t="s">
        <v>35</v>
      </c>
      <c r="D666" s="333" t="s">
        <v>36</v>
      </c>
      <c r="E666" s="333"/>
      <c r="F666" s="374" t="s">
        <v>2062</v>
      </c>
      <c r="G666" s="372" t="s">
        <v>2063</v>
      </c>
      <c r="H666" s="333">
        <v>1</v>
      </c>
      <c r="I666" s="333" t="s">
        <v>2064</v>
      </c>
      <c r="J666" s="333" t="s">
        <v>102</v>
      </c>
      <c r="K666" s="333" t="s">
        <v>69</v>
      </c>
      <c r="L666" s="333"/>
      <c r="M666" s="333" t="s">
        <v>1981</v>
      </c>
      <c r="N666" s="417">
        <v>2000</v>
      </c>
      <c r="O666" s="417"/>
      <c r="P666" s="462">
        <v>45233</v>
      </c>
      <c r="Q666" s="333"/>
      <c r="R666" s="333"/>
      <c r="S666" s="373"/>
      <c r="T666" s="373"/>
      <c r="U666" s="373"/>
      <c r="V666" s="373"/>
      <c r="W666" s="346">
        <v>45306</v>
      </c>
      <c r="X666" s="373">
        <v>1</v>
      </c>
      <c r="Y666" s="336">
        <f t="shared" ca="1" si="15"/>
        <v>73</v>
      </c>
      <c r="Z666" s="373"/>
      <c r="AA666" s="373"/>
      <c r="AB666" s="373"/>
    </row>
    <row r="667" spans="1:28" s="410" customFormat="1" ht="12.75" customHeight="1" x14ac:dyDescent="0.25">
      <c r="A667" s="347" t="s">
        <v>2065</v>
      </c>
      <c r="B667" s="495">
        <v>45233</v>
      </c>
      <c r="C667" s="448" t="s">
        <v>35</v>
      </c>
      <c r="D667" s="372" t="s">
        <v>36</v>
      </c>
      <c r="E667" s="452"/>
      <c r="F667" s="374" t="s">
        <v>2066</v>
      </c>
      <c r="G667" s="372" t="s">
        <v>2067</v>
      </c>
      <c r="H667" s="372">
        <v>1</v>
      </c>
      <c r="I667" s="372" t="s">
        <v>2064</v>
      </c>
      <c r="J667" s="372" t="s">
        <v>68</v>
      </c>
      <c r="K667" s="372" t="s">
        <v>69</v>
      </c>
      <c r="L667" s="452"/>
      <c r="M667" s="372" t="s">
        <v>1981</v>
      </c>
      <c r="N667" s="449">
        <v>5000</v>
      </c>
      <c r="O667" s="449"/>
      <c r="P667" s="495">
        <v>45233</v>
      </c>
      <c r="Q667" s="452"/>
      <c r="R667" s="452"/>
      <c r="S667" s="401"/>
      <c r="T667" s="401"/>
      <c r="U667" s="401"/>
      <c r="V667" s="401"/>
      <c r="W667" s="402">
        <v>45306</v>
      </c>
      <c r="X667" s="401">
        <v>1</v>
      </c>
      <c r="Y667" s="336">
        <f t="shared" ca="1" si="15"/>
        <v>73</v>
      </c>
      <c r="Z667" s="401"/>
      <c r="AA667" s="401"/>
      <c r="AB667" s="401"/>
    </row>
    <row r="668" spans="1:28" s="338" customFormat="1" ht="12.75" customHeight="1" x14ac:dyDescent="0.3">
      <c r="A668" s="347" t="s">
        <v>2068</v>
      </c>
      <c r="B668" s="462">
        <v>45233</v>
      </c>
      <c r="C668" s="425" t="s">
        <v>35</v>
      </c>
      <c r="D668" s="333" t="s">
        <v>71</v>
      </c>
      <c r="E668" s="333"/>
      <c r="F668" s="374" t="s">
        <v>2069</v>
      </c>
      <c r="G668" s="372" t="s">
        <v>2070</v>
      </c>
      <c r="H668" s="333">
        <v>2</v>
      </c>
      <c r="I668" s="496" t="s">
        <v>2071</v>
      </c>
      <c r="J668" s="333" t="s">
        <v>68</v>
      </c>
      <c r="K668" s="333" t="s">
        <v>69</v>
      </c>
      <c r="L668" s="333"/>
      <c r="M668" s="333" t="s">
        <v>2072</v>
      </c>
      <c r="N668" s="417">
        <v>1000</v>
      </c>
      <c r="O668" s="417"/>
      <c r="P668" s="462">
        <v>45233</v>
      </c>
      <c r="Q668" s="333"/>
      <c r="R668" s="333"/>
      <c r="S668" s="373"/>
      <c r="T668" s="373"/>
      <c r="U668" s="373"/>
      <c r="V668" s="373"/>
      <c r="W668" s="346">
        <v>45397</v>
      </c>
      <c r="X668" s="373"/>
      <c r="Y668" s="336">
        <f t="shared" ca="1" si="15"/>
        <v>164</v>
      </c>
      <c r="Z668" s="373"/>
      <c r="AA668" s="373"/>
      <c r="AB668" s="373"/>
    </row>
    <row r="669" spans="1:28" s="338" customFormat="1" ht="12.75" customHeight="1" x14ac:dyDescent="0.3">
      <c r="A669" s="347" t="s">
        <v>2073</v>
      </c>
      <c r="B669" s="462">
        <v>45233</v>
      </c>
      <c r="C669" s="425" t="s">
        <v>35</v>
      </c>
      <c r="D669" s="333" t="s">
        <v>71</v>
      </c>
      <c r="E669" s="333"/>
      <c r="F669" s="374" t="s">
        <v>2074</v>
      </c>
      <c r="G669" s="372" t="s">
        <v>2075</v>
      </c>
      <c r="H669" s="333">
        <v>1</v>
      </c>
      <c r="I669" s="497" t="s">
        <v>2071</v>
      </c>
      <c r="J669" s="333" t="s">
        <v>68</v>
      </c>
      <c r="K669" s="333" t="s">
        <v>69</v>
      </c>
      <c r="L669" s="333"/>
      <c r="M669" s="333" t="s">
        <v>2072</v>
      </c>
      <c r="N669" s="417">
        <v>2000</v>
      </c>
      <c r="O669" s="417"/>
      <c r="P669" s="462">
        <v>45233</v>
      </c>
      <c r="Q669" s="333"/>
      <c r="R669" s="333"/>
      <c r="S669" s="373"/>
      <c r="T669" s="373"/>
      <c r="U669" s="373"/>
      <c r="V669" s="373"/>
      <c r="W669" s="346">
        <v>45335</v>
      </c>
      <c r="X669" s="373"/>
      <c r="Y669" s="336">
        <f t="shared" ca="1" si="15"/>
        <v>102</v>
      </c>
      <c r="Z669" s="373"/>
      <c r="AA669" s="373"/>
      <c r="AB669" s="373"/>
    </row>
    <row r="670" spans="1:28" s="338" customFormat="1" ht="12.75" customHeight="1" x14ac:dyDescent="0.3">
      <c r="A670" s="347" t="s">
        <v>2076</v>
      </c>
      <c r="B670" s="462">
        <v>45233</v>
      </c>
      <c r="C670" s="425" t="s">
        <v>35</v>
      </c>
      <c r="D670" s="333" t="s">
        <v>71</v>
      </c>
      <c r="E670" s="333"/>
      <c r="F670" s="374" t="s">
        <v>2077</v>
      </c>
      <c r="G670" s="372" t="s">
        <v>2078</v>
      </c>
      <c r="H670" s="333">
        <v>1</v>
      </c>
      <c r="I670" s="497" t="s">
        <v>2071</v>
      </c>
      <c r="J670" s="333" t="s">
        <v>68</v>
      </c>
      <c r="K670" s="333" t="s">
        <v>69</v>
      </c>
      <c r="L670" s="333"/>
      <c r="M670" s="333" t="s">
        <v>2072</v>
      </c>
      <c r="N670" s="417">
        <v>2500</v>
      </c>
      <c r="O670" s="417"/>
      <c r="P670" s="462">
        <v>45233</v>
      </c>
      <c r="Q670" s="333"/>
      <c r="R670" s="333"/>
      <c r="S670" s="373"/>
      <c r="T670" s="373"/>
      <c r="U670" s="373"/>
      <c r="V670" s="373"/>
      <c r="W670" s="346">
        <v>45335</v>
      </c>
      <c r="X670" s="373"/>
      <c r="Y670" s="336">
        <f t="shared" ca="1" si="15"/>
        <v>102</v>
      </c>
      <c r="Z670" s="373"/>
      <c r="AA670" s="373"/>
      <c r="AB670" s="373"/>
    </row>
    <row r="671" spans="1:28" s="338" customFormat="1" ht="12.75" customHeight="1" x14ac:dyDescent="0.3">
      <c r="A671" s="347" t="s">
        <v>2079</v>
      </c>
      <c r="B671" s="462">
        <v>45233</v>
      </c>
      <c r="C671" s="425" t="s">
        <v>35</v>
      </c>
      <c r="D671" s="333" t="s">
        <v>71</v>
      </c>
      <c r="E671" s="333"/>
      <c r="F671" s="374" t="s">
        <v>2080</v>
      </c>
      <c r="G671" s="372" t="s">
        <v>2081</v>
      </c>
      <c r="H671" s="333">
        <v>20</v>
      </c>
      <c r="I671" s="497" t="s">
        <v>2082</v>
      </c>
      <c r="J671" s="333" t="s">
        <v>68</v>
      </c>
      <c r="K671" s="333" t="s">
        <v>69</v>
      </c>
      <c r="L671" s="333"/>
      <c r="M671" s="333" t="s">
        <v>2072</v>
      </c>
      <c r="N671" s="417">
        <v>50000</v>
      </c>
      <c r="O671" s="417"/>
      <c r="P671" s="462">
        <v>45233</v>
      </c>
      <c r="Q671" s="333"/>
      <c r="R671" s="333"/>
      <c r="S671" s="373"/>
      <c r="T671" s="373"/>
      <c r="U671" s="373"/>
      <c r="V671" s="373"/>
      <c r="W671" s="346">
        <v>45335</v>
      </c>
      <c r="X671" s="373"/>
      <c r="Y671" s="336">
        <f t="shared" ca="1" si="15"/>
        <v>102</v>
      </c>
      <c r="Z671" s="373"/>
      <c r="AA671" s="373"/>
      <c r="AB671" s="373"/>
    </row>
    <row r="672" spans="1:28" s="338" customFormat="1" ht="12.75" customHeight="1" x14ac:dyDescent="0.3">
      <c r="A672" s="347" t="s">
        <v>2083</v>
      </c>
      <c r="B672" s="462">
        <v>45233</v>
      </c>
      <c r="C672" s="425" t="s">
        <v>35</v>
      </c>
      <c r="D672" s="333" t="s">
        <v>71</v>
      </c>
      <c r="E672" s="333"/>
      <c r="F672" s="374" t="s">
        <v>2084</v>
      </c>
      <c r="G672" s="372" t="s">
        <v>2085</v>
      </c>
      <c r="H672" s="333">
        <v>20</v>
      </c>
      <c r="I672" s="497" t="s">
        <v>2082</v>
      </c>
      <c r="J672" s="333" t="s">
        <v>68</v>
      </c>
      <c r="K672" s="333" t="s">
        <v>69</v>
      </c>
      <c r="L672" s="333"/>
      <c r="M672" s="333" t="s">
        <v>2072</v>
      </c>
      <c r="N672" s="417">
        <v>2000</v>
      </c>
      <c r="O672" s="417"/>
      <c r="P672" s="462">
        <v>45233</v>
      </c>
      <c r="Q672" s="333"/>
      <c r="R672" s="333"/>
      <c r="S672" s="373"/>
      <c r="T672" s="373"/>
      <c r="U672" s="373"/>
      <c r="V672" s="373"/>
      <c r="W672" s="346">
        <v>45335</v>
      </c>
      <c r="X672" s="373"/>
      <c r="Y672" s="336">
        <f t="shared" ca="1" si="15"/>
        <v>102</v>
      </c>
      <c r="Z672" s="373"/>
      <c r="AA672" s="373"/>
      <c r="AB672" s="373"/>
    </row>
    <row r="673" spans="1:28" s="338" customFormat="1" ht="12.75" customHeight="1" x14ac:dyDescent="0.3">
      <c r="A673" s="347" t="s">
        <v>2086</v>
      </c>
      <c r="B673" s="462">
        <v>45233</v>
      </c>
      <c r="C673" s="425" t="s">
        <v>35</v>
      </c>
      <c r="D673" s="333" t="s">
        <v>71</v>
      </c>
      <c r="E673" s="333"/>
      <c r="F673" s="374" t="s">
        <v>2087</v>
      </c>
      <c r="G673" s="372" t="s">
        <v>2088</v>
      </c>
      <c r="H673" s="333">
        <v>1</v>
      </c>
      <c r="I673" s="497" t="s">
        <v>2089</v>
      </c>
      <c r="J673" s="333" t="s">
        <v>102</v>
      </c>
      <c r="K673" s="333" t="s">
        <v>69</v>
      </c>
      <c r="L673" s="333"/>
      <c r="M673" s="333" t="s">
        <v>2072</v>
      </c>
      <c r="N673" s="417">
        <v>3000</v>
      </c>
      <c r="O673" s="417"/>
      <c r="P673" s="462">
        <v>45233</v>
      </c>
      <c r="Q673" s="333"/>
      <c r="R673" s="333"/>
      <c r="S673" s="373"/>
      <c r="T673" s="373"/>
      <c r="U673" s="373"/>
      <c r="V673" s="373"/>
      <c r="W673" s="346">
        <v>45335</v>
      </c>
      <c r="X673" s="373"/>
      <c r="Y673" s="336">
        <f t="shared" ca="1" si="15"/>
        <v>102</v>
      </c>
      <c r="Z673" s="373"/>
      <c r="AA673" s="373"/>
      <c r="AB673" s="373"/>
    </row>
    <row r="674" spans="1:28" s="338" customFormat="1" ht="12.75" customHeight="1" x14ac:dyDescent="0.3">
      <c r="A674" s="347" t="s">
        <v>2090</v>
      </c>
      <c r="B674" s="462">
        <v>45233</v>
      </c>
      <c r="C674" s="425" t="s">
        <v>35</v>
      </c>
      <c r="D674" s="333" t="s">
        <v>71</v>
      </c>
      <c r="E674" s="333"/>
      <c r="F674" s="374" t="s">
        <v>2091</v>
      </c>
      <c r="G674" s="372" t="s">
        <v>2092</v>
      </c>
      <c r="H674" s="333">
        <v>4</v>
      </c>
      <c r="I674" s="497" t="s">
        <v>2089</v>
      </c>
      <c r="J674" s="333" t="s">
        <v>102</v>
      </c>
      <c r="K674" s="333" t="s">
        <v>69</v>
      </c>
      <c r="L674" s="333"/>
      <c r="M674" s="333" t="s">
        <v>2072</v>
      </c>
      <c r="N674" s="417">
        <v>2000</v>
      </c>
      <c r="O674" s="417"/>
      <c r="P674" s="462">
        <v>45233</v>
      </c>
      <c r="Q674" s="333"/>
      <c r="R674" s="333"/>
      <c r="S674" s="373"/>
      <c r="T674" s="373"/>
      <c r="U674" s="373"/>
      <c r="V674" s="373"/>
      <c r="W674" s="346">
        <v>45335</v>
      </c>
      <c r="X674" s="373"/>
      <c r="Y674" s="336">
        <f t="shared" ca="1" si="15"/>
        <v>102</v>
      </c>
      <c r="Z674" s="373"/>
      <c r="AA674" s="373"/>
      <c r="AB674" s="373"/>
    </row>
    <row r="675" spans="1:28" s="338" customFormat="1" ht="12.75" customHeight="1" x14ac:dyDescent="0.3">
      <c r="A675" s="347" t="s">
        <v>2093</v>
      </c>
      <c r="B675" s="462">
        <v>45233</v>
      </c>
      <c r="C675" s="425" t="s">
        <v>35</v>
      </c>
      <c r="D675" s="333" t="s">
        <v>71</v>
      </c>
      <c r="E675" s="333"/>
      <c r="F675" s="374" t="s">
        <v>2094</v>
      </c>
      <c r="G675" s="372" t="s">
        <v>2095</v>
      </c>
      <c r="H675" s="333">
        <v>1</v>
      </c>
      <c r="I675" s="497" t="s">
        <v>2096</v>
      </c>
      <c r="J675" s="333" t="s">
        <v>68</v>
      </c>
      <c r="K675" s="333" t="s">
        <v>69</v>
      </c>
      <c r="L675" s="333"/>
      <c r="M675" s="333" t="s">
        <v>2072</v>
      </c>
      <c r="N675" s="417">
        <v>3000</v>
      </c>
      <c r="O675" s="417"/>
      <c r="P675" s="462">
        <v>45233</v>
      </c>
      <c r="Q675" s="333"/>
      <c r="R675" s="333"/>
      <c r="S675" s="373"/>
      <c r="T675" s="373"/>
      <c r="U675" s="373"/>
      <c r="V675" s="373"/>
      <c r="W675" s="346">
        <v>45257</v>
      </c>
      <c r="X675" s="373">
        <v>1</v>
      </c>
      <c r="Y675" s="336">
        <f t="shared" ca="1" si="15"/>
        <v>24</v>
      </c>
      <c r="Z675" s="373"/>
      <c r="AA675" s="373"/>
      <c r="AB675" s="373"/>
    </row>
    <row r="676" spans="1:28" s="338" customFormat="1" ht="12.75" customHeight="1" x14ac:dyDescent="0.3">
      <c r="A676" s="347" t="s">
        <v>2097</v>
      </c>
      <c r="B676" s="462">
        <v>45233</v>
      </c>
      <c r="C676" s="425" t="s">
        <v>35</v>
      </c>
      <c r="D676" s="333" t="s">
        <v>71</v>
      </c>
      <c r="E676" s="333"/>
      <c r="F676" s="374" t="s">
        <v>2098</v>
      </c>
      <c r="G676" s="372" t="s">
        <v>2099</v>
      </c>
      <c r="H676" s="333">
        <v>1</v>
      </c>
      <c r="I676" s="497" t="s">
        <v>2089</v>
      </c>
      <c r="J676" s="333" t="s">
        <v>68</v>
      </c>
      <c r="K676" s="333" t="s">
        <v>69</v>
      </c>
      <c r="L676" s="333"/>
      <c r="M676" s="333" t="s">
        <v>2072</v>
      </c>
      <c r="N676" s="417">
        <v>3000</v>
      </c>
      <c r="O676" s="417"/>
      <c r="P676" s="462">
        <v>45233</v>
      </c>
      <c r="Q676" s="333"/>
      <c r="R676" s="333"/>
      <c r="S676" s="373"/>
      <c r="T676" s="373"/>
      <c r="U676" s="373"/>
      <c r="V676" s="373"/>
      <c r="W676" s="346">
        <v>45335</v>
      </c>
      <c r="X676" s="373"/>
      <c r="Y676" s="336">
        <f t="shared" ca="1" si="15"/>
        <v>102</v>
      </c>
      <c r="Z676" s="373"/>
      <c r="AA676" s="373"/>
      <c r="AB676" s="373"/>
    </row>
    <row r="677" spans="1:28" s="338" customFormat="1" ht="12.75" customHeight="1" x14ac:dyDescent="0.3">
      <c r="A677" s="347" t="s">
        <v>2100</v>
      </c>
      <c r="B677" s="462">
        <v>45233</v>
      </c>
      <c r="C677" s="425" t="s">
        <v>35</v>
      </c>
      <c r="D677" s="333" t="s">
        <v>71</v>
      </c>
      <c r="E677" s="333"/>
      <c r="F677" s="374" t="s">
        <v>2101</v>
      </c>
      <c r="G677" s="372" t="s">
        <v>2102</v>
      </c>
      <c r="H677" s="333">
        <v>1</v>
      </c>
      <c r="I677" s="497" t="s">
        <v>2089</v>
      </c>
      <c r="J677" s="333" t="s">
        <v>68</v>
      </c>
      <c r="K677" s="333" t="s">
        <v>69</v>
      </c>
      <c r="L677" s="333"/>
      <c r="M677" s="333" t="s">
        <v>2072</v>
      </c>
      <c r="N677" s="417">
        <v>500</v>
      </c>
      <c r="O677" s="417"/>
      <c r="P677" s="462">
        <v>45233</v>
      </c>
      <c r="Q677" s="333"/>
      <c r="R677" s="333"/>
      <c r="S677" s="373"/>
      <c r="T677" s="373"/>
      <c r="U677" s="373"/>
      <c r="V677" s="373"/>
      <c r="W677" s="346">
        <v>45335</v>
      </c>
      <c r="X677" s="373"/>
      <c r="Y677" s="336">
        <f t="shared" ca="1" si="15"/>
        <v>102</v>
      </c>
      <c r="Z677" s="373"/>
      <c r="AA677" s="373"/>
      <c r="AB677" s="373"/>
    </row>
    <row r="678" spans="1:28" s="338" customFormat="1" ht="12.75" customHeight="1" x14ac:dyDescent="0.3">
      <c r="A678" s="347" t="s">
        <v>2103</v>
      </c>
      <c r="B678" s="462">
        <v>45233</v>
      </c>
      <c r="C678" s="425" t="s">
        <v>35</v>
      </c>
      <c r="D678" s="333" t="s">
        <v>71</v>
      </c>
      <c r="E678" s="333"/>
      <c r="F678" s="374" t="s">
        <v>2104</v>
      </c>
      <c r="G678" s="372" t="s">
        <v>2105</v>
      </c>
      <c r="H678" s="333">
        <v>1</v>
      </c>
      <c r="I678" s="497" t="s">
        <v>2089</v>
      </c>
      <c r="J678" s="333" t="s">
        <v>68</v>
      </c>
      <c r="K678" s="333" t="s">
        <v>69</v>
      </c>
      <c r="L678" s="333"/>
      <c r="M678" s="333" t="s">
        <v>2072</v>
      </c>
      <c r="N678" s="417">
        <v>600</v>
      </c>
      <c r="O678" s="417"/>
      <c r="P678" s="462">
        <v>45233</v>
      </c>
      <c r="Q678" s="333"/>
      <c r="R678" s="333"/>
      <c r="S678" s="373"/>
      <c r="T678" s="373"/>
      <c r="U678" s="373"/>
      <c r="V678" s="373"/>
      <c r="W678" s="346">
        <v>45335</v>
      </c>
      <c r="X678" s="373"/>
      <c r="Y678" s="336">
        <f t="shared" ca="1" si="15"/>
        <v>102</v>
      </c>
      <c r="Z678" s="373"/>
      <c r="AA678" s="373"/>
      <c r="AB678" s="373"/>
    </row>
    <row r="679" spans="1:28" s="338" customFormat="1" ht="12.75" customHeight="1" x14ac:dyDescent="0.3">
      <c r="A679" s="347" t="s">
        <v>2106</v>
      </c>
      <c r="B679" s="462">
        <v>45233</v>
      </c>
      <c r="C679" s="425" t="s">
        <v>35</v>
      </c>
      <c r="D679" s="333" t="s">
        <v>71</v>
      </c>
      <c r="E679" s="333"/>
      <c r="F679" s="374" t="s">
        <v>2107</v>
      </c>
      <c r="G679" s="372" t="s">
        <v>2108</v>
      </c>
      <c r="H679" s="333">
        <v>1</v>
      </c>
      <c r="I679" s="497" t="s">
        <v>2089</v>
      </c>
      <c r="J679" s="333" t="s">
        <v>68</v>
      </c>
      <c r="K679" s="333" t="s">
        <v>69</v>
      </c>
      <c r="L679" s="333"/>
      <c r="M679" s="333" t="s">
        <v>2072</v>
      </c>
      <c r="N679" s="417">
        <v>2500</v>
      </c>
      <c r="O679" s="417"/>
      <c r="P679" s="462">
        <v>45233</v>
      </c>
      <c r="Q679" s="333"/>
      <c r="R679" s="333"/>
      <c r="S679" s="373"/>
      <c r="T679" s="373"/>
      <c r="U679" s="373"/>
      <c r="V679" s="373"/>
      <c r="W679" s="346">
        <v>45335</v>
      </c>
      <c r="X679" s="373"/>
      <c r="Y679" s="336">
        <f t="shared" ca="1" si="15"/>
        <v>102</v>
      </c>
      <c r="Z679" s="373"/>
      <c r="AA679" s="373"/>
      <c r="AB679" s="373"/>
    </row>
    <row r="680" spans="1:28" s="338" customFormat="1" ht="12.75" customHeight="1" x14ac:dyDescent="0.3">
      <c r="A680" s="347" t="s">
        <v>2109</v>
      </c>
      <c r="B680" s="462">
        <v>45233</v>
      </c>
      <c r="C680" s="425" t="s">
        <v>35</v>
      </c>
      <c r="D680" s="333" t="s">
        <v>71</v>
      </c>
      <c r="E680" s="333"/>
      <c r="F680" s="374" t="s">
        <v>2110</v>
      </c>
      <c r="G680" s="372" t="s">
        <v>2111</v>
      </c>
      <c r="H680" s="333">
        <v>5</v>
      </c>
      <c r="I680" s="497" t="s">
        <v>2089</v>
      </c>
      <c r="J680" s="333" t="s">
        <v>102</v>
      </c>
      <c r="K680" s="333" t="s">
        <v>69</v>
      </c>
      <c r="L680" s="333"/>
      <c r="M680" s="333" t="s">
        <v>2072</v>
      </c>
      <c r="N680" s="417">
        <v>4000</v>
      </c>
      <c r="O680" s="417"/>
      <c r="P680" s="462">
        <v>45233</v>
      </c>
      <c r="Q680" s="333"/>
      <c r="R680" s="333"/>
      <c r="S680" s="373"/>
      <c r="T680" s="373"/>
      <c r="U680" s="373"/>
      <c r="V680" s="373"/>
      <c r="W680" s="342">
        <v>45335</v>
      </c>
      <c r="X680" s="373"/>
      <c r="Y680" s="336">
        <f t="shared" ca="1" si="15"/>
        <v>102</v>
      </c>
      <c r="Z680" s="373"/>
      <c r="AA680" s="373"/>
      <c r="AB680" s="373"/>
    </row>
    <row r="681" spans="1:28" s="338" customFormat="1" ht="12.75" customHeight="1" x14ac:dyDescent="0.3">
      <c r="A681" s="347" t="s">
        <v>2112</v>
      </c>
      <c r="B681" s="462">
        <v>45233</v>
      </c>
      <c r="C681" s="425" t="s">
        <v>35</v>
      </c>
      <c r="D681" s="333" t="s">
        <v>71</v>
      </c>
      <c r="E681" s="333"/>
      <c r="F681" s="374" t="s">
        <v>672</v>
      </c>
      <c r="G681" s="372" t="s">
        <v>2113</v>
      </c>
      <c r="H681" s="333">
        <v>10</v>
      </c>
      <c r="I681" s="497" t="s">
        <v>2114</v>
      </c>
      <c r="J681" s="333" t="s">
        <v>102</v>
      </c>
      <c r="K681" s="333" t="s">
        <v>69</v>
      </c>
      <c r="L681" s="333"/>
      <c r="M681" s="333" t="s">
        <v>2072</v>
      </c>
      <c r="N681" s="417">
        <v>3000</v>
      </c>
      <c r="O681" s="417"/>
      <c r="P681" s="462">
        <v>45233</v>
      </c>
      <c r="Q681" s="333"/>
      <c r="R681" s="333"/>
      <c r="S681" s="373"/>
      <c r="T681" s="373"/>
      <c r="U681" s="373"/>
      <c r="V681" s="373"/>
      <c r="W681" s="346">
        <v>45335</v>
      </c>
      <c r="X681" s="373"/>
      <c r="Y681" s="336">
        <f t="shared" ca="1" si="15"/>
        <v>102</v>
      </c>
      <c r="Z681" s="373"/>
      <c r="AA681" s="373"/>
      <c r="AB681" s="373"/>
    </row>
    <row r="682" spans="1:28" s="338" customFormat="1" ht="12.75" customHeight="1" x14ac:dyDescent="0.3">
      <c r="A682" s="347" t="s">
        <v>2115</v>
      </c>
      <c r="B682" s="462">
        <v>45233</v>
      </c>
      <c r="C682" s="425" t="s">
        <v>35</v>
      </c>
      <c r="D682" s="333" t="s">
        <v>71</v>
      </c>
      <c r="E682" s="333"/>
      <c r="F682" s="374" t="s">
        <v>2116</v>
      </c>
      <c r="G682" s="372" t="s">
        <v>2117</v>
      </c>
      <c r="H682" s="333">
        <v>1</v>
      </c>
      <c r="I682" s="497" t="s">
        <v>2089</v>
      </c>
      <c r="J682" s="333" t="s">
        <v>68</v>
      </c>
      <c r="K682" s="333" t="s">
        <v>69</v>
      </c>
      <c r="L682" s="333"/>
      <c r="M682" s="333" t="s">
        <v>2072</v>
      </c>
      <c r="N682" s="417">
        <v>4000</v>
      </c>
      <c r="O682" s="417"/>
      <c r="P682" s="462">
        <v>45233</v>
      </c>
      <c r="Q682" s="333"/>
      <c r="R682" s="333"/>
      <c r="S682" s="373"/>
      <c r="T682" s="373"/>
      <c r="U682" s="373"/>
      <c r="V682" s="373"/>
      <c r="W682" s="346" t="s">
        <v>1164</v>
      </c>
      <c r="X682" s="373"/>
      <c r="Y682" s="336">
        <f t="shared" ca="1" si="15"/>
        <v>353</v>
      </c>
      <c r="Z682" s="373"/>
      <c r="AA682" s="373"/>
      <c r="AB682" s="373"/>
    </row>
    <row r="683" spans="1:28" s="338" customFormat="1" ht="12.75" customHeight="1" x14ac:dyDescent="0.3">
      <c r="A683" s="347" t="s">
        <v>2118</v>
      </c>
      <c r="B683" s="462">
        <v>45233</v>
      </c>
      <c r="C683" s="425" t="s">
        <v>35</v>
      </c>
      <c r="D683" s="333" t="s">
        <v>71</v>
      </c>
      <c r="E683" s="333"/>
      <c r="F683" s="374" t="s">
        <v>2119</v>
      </c>
      <c r="G683" s="372" t="s">
        <v>2120</v>
      </c>
      <c r="H683" s="333">
        <v>20</v>
      </c>
      <c r="I683" s="497" t="s">
        <v>2089</v>
      </c>
      <c r="J683" s="333" t="s">
        <v>68</v>
      </c>
      <c r="K683" s="333" t="s">
        <v>69</v>
      </c>
      <c r="L683" s="333"/>
      <c r="M683" s="333" t="s">
        <v>2072</v>
      </c>
      <c r="N683" s="417">
        <v>4000</v>
      </c>
      <c r="O683" s="417"/>
      <c r="P683" s="462">
        <v>45233</v>
      </c>
      <c r="Q683" s="333"/>
      <c r="R683" s="333"/>
      <c r="S683" s="373"/>
      <c r="T683" s="373"/>
      <c r="U683" s="373"/>
      <c r="V683" s="373"/>
      <c r="W683" s="346">
        <v>45335</v>
      </c>
      <c r="X683" s="373"/>
      <c r="Y683" s="336">
        <f t="shared" ca="1" si="15"/>
        <v>102</v>
      </c>
      <c r="Z683" s="373"/>
      <c r="AA683" s="373"/>
      <c r="AB683" s="373"/>
    </row>
    <row r="684" spans="1:28" s="338" customFormat="1" ht="12.75" customHeight="1" x14ac:dyDescent="0.3">
      <c r="A684" s="347" t="s">
        <v>2121</v>
      </c>
      <c r="B684" s="462">
        <v>45233</v>
      </c>
      <c r="C684" s="425" t="s">
        <v>35</v>
      </c>
      <c r="D684" s="333" t="s">
        <v>71</v>
      </c>
      <c r="E684" s="333"/>
      <c r="F684" s="374" t="s">
        <v>2122</v>
      </c>
      <c r="G684" s="372" t="s">
        <v>2123</v>
      </c>
      <c r="H684" s="333">
        <v>4</v>
      </c>
      <c r="I684" s="497" t="s">
        <v>2089</v>
      </c>
      <c r="J684" s="333" t="s">
        <v>102</v>
      </c>
      <c r="K684" s="333" t="s">
        <v>69</v>
      </c>
      <c r="L684" s="333"/>
      <c r="M684" s="333" t="s">
        <v>2072</v>
      </c>
      <c r="N684" s="417">
        <v>500</v>
      </c>
      <c r="O684" s="417"/>
      <c r="P684" s="462">
        <v>45233</v>
      </c>
      <c r="Q684" s="333"/>
      <c r="R684" s="333"/>
      <c r="S684" s="373"/>
      <c r="T684" s="373"/>
      <c r="U684" s="373"/>
      <c r="V684" s="373"/>
      <c r="W684" s="346">
        <v>45335</v>
      </c>
      <c r="X684" s="373"/>
      <c r="Y684" s="336">
        <f t="shared" ca="1" si="15"/>
        <v>102</v>
      </c>
      <c r="Z684" s="373"/>
      <c r="AA684" s="373"/>
      <c r="AB684" s="373"/>
    </row>
    <row r="685" spans="1:28" s="338" customFormat="1" ht="12.75" customHeight="1" x14ac:dyDescent="0.3">
      <c r="A685" s="347" t="s">
        <v>2124</v>
      </c>
      <c r="B685" s="462">
        <v>45233</v>
      </c>
      <c r="C685" s="425" t="s">
        <v>35</v>
      </c>
      <c r="D685" s="333" t="s">
        <v>71</v>
      </c>
      <c r="E685" s="333"/>
      <c r="F685" s="374" t="s">
        <v>2125</v>
      </c>
      <c r="G685" s="372" t="s">
        <v>2126</v>
      </c>
      <c r="H685" s="333">
        <v>1</v>
      </c>
      <c r="I685" s="497" t="s">
        <v>2089</v>
      </c>
      <c r="J685" s="333" t="s">
        <v>68</v>
      </c>
      <c r="K685" s="333" t="s">
        <v>69</v>
      </c>
      <c r="L685" s="333"/>
      <c r="M685" s="333" t="s">
        <v>2072</v>
      </c>
      <c r="N685" s="417">
        <v>500</v>
      </c>
      <c r="O685" s="417"/>
      <c r="P685" s="462">
        <v>45233</v>
      </c>
      <c r="Q685" s="333"/>
      <c r="R685" s="333"/>
      <c r="S685" s="373"/>
      <c r="T685" s="373"/>
      <c r="U685" s="373"/>
      <c r="V685" s="373"/>
      <c r="W685" s="346">
        <v>45335</v>
      </c>
      <c r="X685" s="373"/>
      <c r="Y685" s="336">
        <f t="shared" ca="1" si="15"/>
        <v>102</v>
      </c>
      <c r="Z685" s="373"/>
      <c r="AA685" s="373"/>
      <c r="AB685" s="373"/>
    </row>
    <row r="686" spans="1:28" s="410" customFormat="1" ht="12.75" customHeight="1" x14ac:dyDescent="0.25">
      <c r="A686" s="347" t="s">
        <v>2127</v>
      </c>
      <c r="B686" s="495">
        <v>45233</v>
      </c>
      <c r="C686" s="448" t="s">
        <v>35</v>
      </c>
      <c r="D686" s="372" t="s">
        <v>71</v>
      </c>
      <c r="E686" s="333"/>
      <c r="F686" s="374" t="s">
        <v>1114</v>
      </c>
      <c r="G686" s="372" t="s">
        <v>1115</v>
      </c>
      <c r="H686" s="372">
        <v>1</v>
      </c>
      <c r="I686" s="372" t="s">
        <v>1116</v>
      </c>
      <c r="J686" s="372" t="s">
        <v>102</v>
      </c>
      <c r="K686" s="372" t="s">
        <v>69</v>
      </c>
      <c r="L686" s="333"/>
      <c r="M686" s="372" t="s">
        <v>2128</v>
      </c>
      <c r="N686" s="449">
        <v>1000</v>
      </c>
      <c r="O686" s="449"/>
      <c r="P686" s="495">
        <v>45233</v>
      </c>
      <c r="Q686" s="333"/>
      <c r="R686" s="333"/>
      <c r="S686" s="401"/>
      <c r="T686" s="401"/>
      <c r="U686" s="401"/>
      <c r="V686" s="401"/>
      <c r="W686" s="402">
        <v>45036</v>
      </c>
      <c r="X686" s="401"/>
      <c r="Y686" s="336">
        <f t="shared" ca="1" si="15"/>
        <v>-197</v>
      </c>
      <c r="Z686" s="401"/>
      <c r="AA686" s="401"/>
      <c r="AB686" s="401"/>
    </row>
    <row r="687" spans="1:28" s="338" customFormat="1" ht="12.75" customHeight="1" x14ac:dyDescent="0.25">
      <c r="A687" s="347" t="s">
        <v>2129</v>
      </c>
      <c r="B687" s="462">
        <v>45233</v>
      </c>
      <c r="C687" s="425" t="s">
        <v>35</v>
      </c>
      <c r="D687" s="333" t="s">
        <v>71</v>
      </c>
      <c r="E687" s="333"/>
      <c r="F687" s="374" t="s">
        <v>1289</v>
      </c>
      <c r="G687" s="372" t="s">
        <v>1290</v>
      </c>
      <c r="H687" s="333">
        <v>2</v>
      </c>
      <c r="I687" s="333" t="s">
        <v>1116</v>
      </c>
      <c r="J687" s="333" t="s">
        <v>102</v>
      </c>
      <c r="K687" s="333" t="s">
        <v>69</v>
      </c>
      <c r="L687" s="333"/>
      <c r="M687" s="372" t="s">
        <v>2128</v>
      </c>
      <c r="N687" s="417">
        <v>500</v>
      </c>
      <c r="O687" s="417"/>
      <c r="P687" s="462">
        <v>45233</v>
      </c>
      <c r="Q687" s="333"/>
      <c r="R687" s="333"/>
      <c r="S687" s="373"/>
      <c r="T687" s="373"/>
      <c r="U687" s="373"/>
      <c r="V687" s="373"/>
      <c r="W687" s="346">
        <v>45322</v>
      </c>
      <c r="X687" s="373">
        <v>2</v>
      </c>
      <c r="Y687" s="336">
        <f t="shared" ca="1" si="15"/>
        <v>89</v>
      </c>
      <c r="Z687" s="373"/>
      <c r="AA687" s="373"/>
      <c r="AB687" s="373"/>
    </row>
    <row r="688" spans="1:28" s="338" customFormat="1" ht="12.75" customHeight="1" x14ac:dyDescent="0.25">
      <c r="A688" s="347" t="s">
        <v>2130</v>
      </c>
      <c r="B688" s="462">
        <v>45233</v>
      </c>
      <c r="C688" s="425" t="s">
        <v>35</v>
      </c>
      <c r="D688" s="333" t="s">
        <v>71</v>
      </c>
      <c r="E688" s="333"/>
      <c r="F688" s="374" t="s">
        <v>663</v>
      </c>
      <c r="G688" s="372" t="s">
        <v>1293</v>
      </c>
      <c r="H688" s="333">
        <v>1</v>
      </c>
      <c r="I688" s="333" t="s">
        <v>1116</v>
      </c>
      <c r="J688" s="333" t="s">
        <v>102</v>
      </c>
      <c r="K688" s="333" t="s">
        <v>69</v>
      </c>
      <c r="L688" s="333"/>
      <c r="M688" s="372" t="s">
        <v>2128</v>
      </c>
      <c r="N688" s="417">
        <v>2000</v>
      </c>
      <c r="O688" s="417"/>
      <c r="P688" s="462">
        <v>45233</v>
      </c>
      <c r="Q688" s="333"/>
      <c r="R688" s="333"/>
      <c r="S688" s="373"/>
      <c r="T688" s="373"/>
      <c r="U688" s="373"/>
      <c r="V688" s="373"/>
      <c r="W688" s="370">
        <v>44996</v>
      </c>
      <c r="X688" s="373">
        <v>1</v>
      </c>
      <c r="Y688" s="336">
        <f t="shared" ca="1" si="15"/>
        <v>-237</v>
      </c>
      <c r="Z688" s="373"/>
      <c r="AA688" s="373"/>
      <c r="AB688" s="373"/>
    </row>
    <row r="689" spans="1:28" s="338" customFormat="1" ht="12.75" customHeight="1" x14ac:dyDescent="0.25">
      <c r="A689" s="347" t="s">
        <v>2131</v>
      </c>
      <c r="B689" s="462">
        <v>45233</v>
      </c>
      <c r="C689" s="425" t="s">
        <v>35</v>
      </c>
      <c r="D689" s="333" t="s">
        <v>71</v>
      </c>
      <c r="E689" s="333"/>
      <c r="F689" s="374" t="s">
        <v>1296</v>
      </c>
      <c r="G689" s="372" t="s">
        <v>1297</v>
      </c>
      <c r="H689" s="333">
        <v>1</v>
      </c>
      <c r="I689" s="333" t="s">
        <v>1294</v>
      </c>
      <c r="J689" s="333" t="s">
        <v>102</v>
      </c>
      <c r="K689" s="333" t="s">
        <v>69</v>
      </c>
      <c r="L689" s="333"/>
      <c r="M689" s="372" t="s">
        <v>2128</v>
      </c>
      <c r="N689" s="417">
        <v>2000</v>
      </c>
      <c r="O689" s="417"/>
      <c r="P689" s="462">
        <v>45233</v>
      </c>
      <c r="Q689" s="333"/>
      <c r="R689" s="333"/>
      <c r="S689" s="373"/>
      <c r="T689" s="373"/>
      <c r="U689" s="373"/>
      <c r="V689" s="373"/>
      <c r="W689" s="346">
        <v>45322</v>
      </c>
      <c r="X689" s="373">
        <v>1</v>
      </c>
      <c r="Y689" s="336">
        <f t="shared" ca="1" si="15"/>
        <v>89</v>
      </c>
      <c r="Z689" s="373"/>
      <c r="AA689" s="373"/>
      <c r="AB689" s="373"/>
    </row>
    <row r="690" spans="1:28" s="338" customFormat="1" ht="12.75" customHeight="1" x14ac:dyDescent="0.25">
      <c r="A690" s="347" t="s">
        <v>2132</v>
      </c>
      <c r="B690" s="462">
        <v>45233</v>
      </c>
      <c r="C690" s="425" t="s">
        <v>35</v>
      </c>
      <c r="D690" s="333" t="s">
        <v>71</v>
      </c>
      <c r="E690" s="333"/>
      <c r="F690" s="374" t="s">
        <v>1299</v>
      </c>
      <c r="G690" s="372" t="s">
        <v>1300</v>
      </c>
      <c r="H690" s="333">
        <v>1</v>
      </c>
      <c r="I690" s="333" t="s">
        <v>1294</v>
      </c>
      <c r="J690" s="333" t="s">
        <v>102</v>
      </c>
      <c r="K690" s="333" t="s">
        <v>69</v>
      </c>
      <c r="L690" s="333"/>
      <c r="M690" s="372" t="s">
        <v>2128</v>
      </c>
      <c r="N690" s="417">
        <v>500</v>
      </c>
      <c r="O690" s="417"/>
      <c r="P690" s="462">
        <v>45233</v>
      </c>
      <c r="Q690" s="333"/>
      <c r="R690" s="333"/>
      <c r="S690" s="373"/>
      <c r="T690" s="373"/>
      <c r="U690" s="373"/>
      <c r="V690" s="373"/>
      <c r="W690" s="498">
        <v>45322</v>
      </c>
      <c r="X690" s="373"/>
      <c r="Y690" s="336">
        <f t="shared" ca="1" si="15"/>
        <v>89</v>
      </c>
      <c r="Z690" s="373"/>
      <c r="AA690" s="373"/>
      <c r="AB690" s="373"/>
    </row>
    <row r="691" spans="1:28" s="338" customFormat="1" ht="12.75" customHeight="1" x14ac:dyDescent="0.25">
      <c r="A691" s="347" t="s">
        <v>2133</v>
      </c>
      <c r="B691" s="462">
        <v>45233</v>
      </c>
      <c r="C691" s="425" t="s">
        <v>35</v>
      </c>
      <c r="D691" s="333" t="s">
        <v>71</v>
      </c>
      <c r="E691" s="333"/>
      <c r="F691" s="374" t="s">
        <v>1114</v>
      </c>
      <c r="G691" s="372" t="s">
        <v>1115</v>
      </c>
      <c r="H691" s="333">
        <v>1</v>
      </c>
      <c r="I691" s="333" t="s">
        <v>1294</v>
      </c>
      <c r="J691" s="333" t="s">
        <v>102</v>
      </c>
      <c r="K691" s="333" t="s">
        <v>69</v>
      </c>
      <c r="L691" s="333"/>
      <c r="M691" s="372" t="s">
        <v>2128</v>
      </c>
      <c r="N691" s="417">
        <v>1000</v>
      </c>
      <c r="O691" s="417"/>
      <c r="P691" s="462">
        <v>45233</v>
      </c>
      <c r="Q691" s="333"/>
      <c r="R691" s="333"/>
      <c r="S691" s="373"/>
      <c r="T691" s="373"/>
      <c r="U691" s="373"/>
      <c r="V691" s="373"/>
      <c r="W691" s="346">
        <v>45036</v>
      </c>
      <c r="X691" s="373">
        <v>2</v>
      </c>
      <c r="Y691" s="336">
        <f t="shared" ca="1" si="15"/>
        <v>-197</v>
      </c>
      <c r="Z691" s="373"/>
      <c r="AA691" s="373"/>
      <c r="AB691" s="373"/>
    </row>
    <row r="692" spans="1:28" s="338" customFormat="1" ht="12.75" customHeight="1" x14ac:dyDescent="0.25">
      <c r="A692" s="347" t="s">
        <v>2134</v>
      </c>
      <c r="B692" s="462">
        <v>45233</v>
      </c>
      <c r="C692" s="425" t="s">
        <v>35</v>
      </c>
      <c r="D692" s="333" t="s">
        <v>71</v>
      </c>
      <c r="E692" s="333"/>
      <c r="F692" s="374" t="s">
        <v>84</v>
      </c>
      <c r="G692" s="372" t="s">
        <v>1303</v>
      </c>
      <c r="H692" s="333">
        <v>5</v>
      </c>
      <c r="I692" s="333" t="s">
        <v>1294</v>
      </c>
      <c r="J692" s="333" t="s">
        <v>102</v>
      </c>
      <c r="K692" s="333" t="s">
        <v>69</v>
      </c>
      <c r="L692" s="333"/>
      <c r="M692" s="372" t="s">
        <v>2128</v>
      </c>
      <c r="N692" s="417">
        <v>1000</v>
      </c>
      <c r="O692" s="417"/>
      <c r="P692" s="462">
        <v>45233</v>
      </c>
      <c r="Q692" s="333"/>
      <c r="R692" s="333"/>
      <c r="S692" s="373"/>
      <c r="T692" s="373"/>
      <c r="U692" s="373"/>
      <c r="V692" s="373"/>
      <c r="W692" s="346">
        <v>45257</v>
      </c>
      <c r="X692" s="373">
        <v>5</v>
      </c>
      <c r="Y692" s="336">
        <f t="shared" ca="1" si="15"/>
        <v>24</v>
      </c>
      <c r="Z692" s="373"/>
      <c r="AA692" s="373"/>
      <c r="AB692" s="373"/>
    </row>
    <row r="693" spans="1:28" s="338" customFormat="1" ht="12.75" customHeight="1" x14ac:dyDescent="0.25">
      <c r="A693" s="347" t="s">
        <v>2135</v>
      </c>
      <c r="B693" s="462">
        <v>45233</v>
      </c>
      <c r="C693" s="425" t="s">
        <v>35</v>
      </c>
      <c r="D693" s="333" t="s">
        <v>71</v>
      </c>
      <c r="E693" s="333"/>
      <c r="F693" s="374" t="s">
        <v>675</v>
      </c>
      <c r="G693" s="372" t="s">
        <v>1305</v>
      </c>
      <c r="H693" s="333">
        <v>1</v>
      </c>
      <c r="I693" s="333" t="s">
        <v>1294</v>
      </c>
      <c r="J693" s="333" t="s">
        <v>102</v>
      </c>
      <c r="K693" s="333" t="s">
        <v>69</v>
      </c>
      <c r="L693" s="333"/>
      <c r="M693" s="372" t="s">
        <v>2128</v>
      </c>
      <c r="N693" s="417">
        <v>2000</v>
      </c>
      <c r="O693" s="417"/>
      <c r="P693" s="462">
        <v>45233</v>
      </c>
      <c r="Q693" s="333"/>
      <c r="R693" s="333"/>
      <c r="S693" s="373"/>
      <c r="T693" s="373"/>
      <c r="U693" s="373"/>
      <c r="V693" s="373"/>
      <c r="W693" s="346">
        <v>45322</v>
      </c>
      <c r="X693" s="373">
        <v>10</v>
      </c>
      <c r="Y693" s="336">
        <f t="shared" ca="1" si="15"/>
        <v>89</v>
      </c>
      <c r="Z693" s="373"/>
      <c r="AA693" s="373"/>
      <c r="AB693" s="373"/>
    </row>
    <row r="694" spans="1:28" s="338" customFormat="1" ht="12.75" customHeight="1" x14ac:dyDescent="0.25">
      <c r="A694" s="347" t="s">
        <v>2136</v>
      </c>
      <c r="B694" s="462">
        <v>45233</v>
      </c>
      <c r="C694" s="425" t="s">
        <v>35</v>
      </c>
      <c r="D694" s="333" t="s">
        <v>71</v>
      </c>
      <c r="E694" s="333"/>
      <c r="F694" s="374" t="s">
        <v>1307</v>
      </c>
      <c r="G694" s="372" t="s">
        <v>1308</v>
      </c>
      <c r="H694" s="333">
        <v>1</v>
      </c>
      <c r="I694" s="333" t="s">
        <v>1294</v>
      </c>
      <c r="J694" s="333" t="s">
        <v>68</v>
      </c>
      <c r="K694" s="333" t="s">
        <v>69</v>
      </c>
      <c r="L694" s="333"/>
      <c r="M694" s="372" t="s">
        <v>2128</v>
      </c>
      <c r="N694" s="417">
        <v>2000</v>
      </c>
      <c r="O694" s="417"/>
      <c r="P694" s="462">
        <v>45233</v>
      </c>
      <c r="Q694" s="333"/>
      <c r="R694" s="333"/>
      <c r="S694" s="373"/>
      <c r="T694" s="373"/>
      <c r="U694" s="373"/>
      <c r="V694" s="373"/>
      <c r="W694" s="346">
        <v>45322</v>
      </c>
      <c r="X694" s="373"/>
      <c r="Y694" s="336">
        <f t="shared" ca="1" si="15"/>
        <v>89</v>
      </c>
      <c r="Z694" s="373"/>
      <c r="AA694" s="373"/>
      <c r="AB694" s="373"/>
    </row>
    <row r="695" spans="1:28" s="338" customFormat="1" ht="12.75" customHeight="1" x14ac:dyDescent="0.25">
      <c r="A695" s="347" t="s">
        <v>2137</v>
      </c>
      <c r="B695" s="462">
        <v>45233</v>
      </c>
      <c r="C695" s="425" t="s">
        <v>35</v>
      </c>
      <c r="D695" s="333" t="s">
        <v>71</v>
      </c>
      <c r="E695" s="333"/>
      <c r="F695" s="374" t="s">
        <v>1310</v>
      </c>
      <c r="G695" s="372" t="s">
        <v>1311</v>
      </c>
      <c r="H695" s="333">
        <v>1</v>
      </c>
      <c r="I695" s="333" t="s">
        <v>1294</v>
      </c>
      <c r="J695" s="333" t="s">
        <v>102</v>
      </c>
      <c r="K695" s="333" t="s">
        <v>69</v>
      </c>
      <c r="L695" s="333"/>
      <c r="M695" s="372" t="s">
        <v>2128</v>
      </c>
      <c r="N695" s="417">
        <v>500</v>
      </c>
      <c r="O695" s="417"/>
      <c r="P695" s="462">
        <v>45233</v>
      </c>
      <c r="Q695" s="333"/>
      <c r="R695" s="333"/>
      <c r="S695" s="373"/>
      <c r="T695" s="373"/>
      <c r="U695" s="373"/>
      <c r="V695" s="373"/>
      <c r="W695" s="346">
        <v>45322</v>
      </c>
      <c r="X695" s="373"/>
      <c r="Y695" s="336">
        <f t="shared" ca="1" si="15"/>
        <v>89</v>
      </c>
      <c r="Z695" s="373"/>
      <c r="AA695" s="373"/>
      <c r="AB695" s="373"/>
    </row>
    <row r="696" spans="1:28" s="338" customFormat="1" ht="12.75" customHeight="1" x14ac:dyDescent="0.25">
      <c r="A696" s="347" t="s">
        <v>2138</v>
      </c>
      <c r="B696" s="462">
        <v>45233</v>
      </c>
      <c r="C696" s="425" t="s">
        <v>35</v>
      </c>
      <c r="D696" s="333" t="s">
        <v>71</v>
      </c>
      <c r="E696" s="333"/>
      <c r="F696" s="374" t="s">
        <v>2139</v>
      </c>
      <c r="G696" s="372" t="s">
        <v>2140</v>
      </c>
      <c r="H696" s="333">
        <v>1</v>
      </c>
      <c r="I696" s="333" t="s">
        <v>1294</v>
      </c>
      <c r="J696" s="333" t="s">
        <v>102</v>
      </c>
      <c r="K696" s="333" t="s">
        <v>69</v>
      </c>
      <c r="L696" s="333"/>
      <c r="M696" s="372" t="s">
        <v>2128</v>
      </c>
      <c r="N696" s="417">
        <v>1500</v>
      </c>
      <c r="O696" s="417"/>
      <c r="P696" s="462">
        <v>45233</v>
      </c>
      <c r="Q696" s="333"/>
      <c r="R696" s="333"/>
      <c r="S696" s="373"/>
      <c r="T696" s="373"/>
      <c r="U696" s="373"/>
      <c r="V696" s="373"/>
      <c r="W696" s="346">
        <v>45322</v>
      </c>
      <c r="X696" s="373">
        <v>1</v>
      </c>
      <c r="Y696" s="336">
        <f t="shared" ca="1" si="15"/>
        <v>89</v>
      </c>
      <c r="Z696" s="373"/>
      <c r="AA696" s="373"/>
      <c r="AB696" s="373"/>
    </row>
    <row r="697" spans="1:28" s="338" customFormat="1" ht="12.75" customHeight="1" x14ac:dyDescent="0.25">
      <c r="A697" s="347" t="s">
        <v>2141</v>
      </c>
      <c r="B697" s="462">
        <v>45233</v>
      </c>
      <c r="C697" s="425" t="s">
        <v>35</v>
      </c>
      <c r="D697" s="333" t="s">
        <v>71</v>
      </c>
      <c r="E697" s="333"/>
      <c r="F697" s="374" t="s">
        <v>2142</v>
      </c>
      <c r="G697" s="372" t="s">
        <v>2143</v>
      </c>
      <c r="H697" s="333">
        <v>2</v>
      </c>
      <c r="I697" s="333" t="s">
        <v>1294</v>
      </c>
      <c r="J697" s="333" t="s">
        <v>102</v>
      </c>
      <c r="K697" s="333" t="s">
        <v>69</v>
      </c>
      <c r="L697" s="333"/>
      <c r="M697" s="372" t="s">
        <v>2128</v>
      </c>
      <c r="N697" s="417">
        <v>1000</v>
      </c>
      <c r="O697" s="417"/>
      <c r="P697" s="462">
        <v>45233</v>
      </c>
      <c r="Q697" s="333"/>
      <c r="R697" s="333"/>
      <c r="S697" s="373"/>
      <c r="T697" s="373"/>
      <c r="U697" s="373"/>
      <c r="V697" s="373"/>
      <c r="W697" s="346">
        <v>45322</v>
      </c>
      <c r="X697" s="373">
        <v>2</v>
      </c>
      <c r="Y697" s="336">
        <f t="shared" ca="1" si="15"/>
        <v>89</v>
      </c>
      <c r="Z697" s="373"/>
      <c r="AA697" s="373"/>
      <c r="AB697" s="373"/>
    </row>
    <row r="698" spans="1:28" s="338" customFormat="1" ht="12.75" customHeight="1" x14ac:dyDescent="0.25">
      <c r="A698" s="347" t="s">
        <v>2144</v>
      </c>
      <c r="B698" s="462">
        <v>45233</v>
      </c>
      <c r="C698" s="425" t="s">
        <v>35</v>
      </c>
      <c r="D698" s="333" t="s">
        <v>71</v>
      </c>
      <c r="E698" s="333"/>
      <c r="F698" s="374" t="s">
        <v>2145</v>
      </c>
      <c r="G698" s="372" t="s">
        <v>2146</v>
      </c>
      <c r="H698" s="333">
        <v>1</v>
      </c>
      <c r="I698" s="333" t="s">
        <v>1294</v>
      </c>
      <c r="J698" s="333" t="s">
        <v>102</v>
      </c>
      <c r="K698" s="333" t="s">
        <v>69</v>
      </c>
      <c r="L698" s="333"/>
      <c r="M698" s="372" t="s">
        <v>2128</v>
      </c>
      <c r="N698" s="417">
        <v>500</v>
      </c>
      <c r="O698" s="417"/>
      <c r="P698" s="462">
        <v>45233</v>
      </c>
      <c r="Q698" s="333"/>
      <c r="R698" s="333"/>
      <c r="S698" s="373"/>
      <c r="T698" s="373"/>
      <c r="U698" s="373"/>
      <c r="V698" s="373"/>
      <c r="W698" s="346">
        <v>45322</v>
      </c>
      <c r="X698" s="373">
        <v>1</v>
      </c>
      <c r="Y698" s="336">
        <f t="shared" ca="1" si="15"/>
        <v>89</v>
      </c>
      <c r="Z698" s="373"/>
      <c r="AA698" s="373"/>
      <c r="AB698" s="373"/>
    </row>
    <row r="699" spans="1:28" s="338" customFormat="1" ht="12.75" customHeight="1" x14ac:dyDescent="0.25">
      <c r="A699" s="347" t="s">
        <v>2147</v>
      </c>
      <c r="B699" s="462">
        <v>45233</v>
      </c>
      <c r="C699" s="425" t="s">
        <v>35</v>
      </c>
      <c r="D699" s="333" t="s">
        <v>71</v>
      </c>
      <c r="E699" s="333"/>
      <c r="F699" s="374" t="s">
        <v>2148</v>
      </c>
      <c r="G699" s="372" t="s">
        <v>2149</v>
      </c>
      <c r="H699" s="333">
        <v>5</v>
      </c>
      <c r="I699" s="333" t="s">
        <v>1294</v>
      </c>
      <c r="J699" s="333" t="s">
        <v>102</v>
      </c>
      <c r="K699" s="333" t="s">
        <v>69</v>
      </c>
      <c r="L699" s="333"/>
      <c r="M699" s="372" t="s">
        <v>2128</v>
      </c>
      <c r="N699" s="417">
        <v>2000</v>
      </c>
      <c r="O699" s="417"/>
      <c r="P699" s="462">
        <v>45233</v>
      </c>
      <c r="Q699" s="333"/>
      <c r="R699" s="333"/>
      <c r="S699" s="373"/>
      <c r="T699" s="373"/>
      <c r="U699" s="373"/>
      <c r="V699" s="373"/>
      <c r="W699" s="346">
        <v>45322</v>
      </c>
      <c r="X699" s="373">
        <v>5</v>
      </c>
      <c r="Y699" s="336">
        <f t="shared" ca="1" si="15"/>
        <v>89</v>
      </c>
      <c r="Z699" s="373"/>
      <c r="AA699" s="373"/>
      <c r="AB699" s="373"/>
    </row>
    <row r="700" spans="1:28" s="338" customFormat="1" ht="12.75" customHeight="1" x14ac:dyDescent="0.25">
      <c r="A700" s="347" t="s">
        <v>2150</v>
      </c>
      <c r="B700" s="462">
        <v>45233</v>
      </c>
      <c r="C700" s="425" t="s">
        <v>35</v>
      </c>
      <c r="D700" s="333" t="s">
        <v>71</v>
      </c>
      <c r="E700" s="333"/>
      <c r="F700" s="374" t="s">
        <v>2151</v>
      </c>
      <c r="G700" s="372" t="s">
        <v>2152</v>
      </c>
      <c r="H700" s="333">
        <v>1</v>
      </c>
      <c r="I700" s="333" t="s">
        <v>1294</v>
      </c>
      <c r="J700" s="333" t="s">
        <v>102</v>
      </c>
      <c r="K700" s="333" t="s">
        <v>69</v>
      </c>
      <c r="L700" s="333"/>
      <c r="M700" s="372" t="s">
        <v>2128</v>
      </c>
      <c r="N700" s="417">
        <v>4000</v>
      </c>
      <c r="O700" s="417"/>
      <c r="P700" s="462">
        <v>45233</v>
      </c>
      <c r="Q700" s="333"/>
      <c r="R700" s="333"/>
      <c r="S700" s="373"/>
      <c r="T700" s="373"/>
      <c r="U700" s="373"/>
      <c r="V700" s="373"/>
      <c r="W700" s="346">
        <v>45322</v>
      </c>
      <c r="X700" s="373">
        <v>1</v>
      </c>
      <c r="Y700" s="336">
        <f t="shared" ca="1" si="15"/>
        <v>89</v>
      </c>
      <c r="Z700" s="373"/>
      <c r="AA700" s="373"/>
      <c r="AB700" s="373"/>
    </row>
    <row r="701" spans="1:28" s="338" customFormat="1" ht="12.75" customHeight="1" x14ac:dyDescent="0.25">
      <c r="A701" s="347" t="s">
        <v>2153</v>
      </c>
      <c r="B701" s="462">
        <v>45233</v>
      </c>
      <c r="C701" s="425" t="s">
        <v>35</v>
      </c>
      <c r="D701" s="333" t="s">
        <v>71</v>
      </c>
      <c r="E701" s="333"/>
      <c r="F701" s="374" t="s">
        <v>2154</v>
      </c>
      <c r="G701" s="372" t="s">
        <v>2155</v>
      </c>
      <c r="H701" s="333">
        <v>1</v>
      </c>
      <c r="I701" s="333" t="s">
        <v>1294</v>
      </c>
      <c r="J701" s="333" t="s">
        <v>102</v>
      </c>
      <c r="K701" s="333" t="s">
        <v>69</v>
      </c>
      <c r="L701" s="333"/>
      <c r="M701" s="372" t="s">
        <v>2128</v>
      </c>
      <c r="N701" s="417">
        <v>500</v>
      </c>
      <c r="O701" s="417"/>
      <c r="P701" s="462">
        <v>45233</v>
      </c>
      <c r="Q701" s="333"/>
      <c r="R701" s="333"/>
      <c r="S701" s="373"/>
      <c r="T701" s="373"/>
      <c r="U701" s="373"/>
      <c r="V701" s="373"/>
      <c r="W701" s="346">
        <v>45322</v>
      </c>
      <c r="X701" s="373">
        <v>1</v>
      </c>
      <c r="Y701" s="336">
        <f t="shared" ca="1" si="15"/>
        <v>89</v>
      </c>
      <c r="Z701" s="373"/>
      <c r="AA701" s="373"/>
      <c r="AB701" s="373"/>
    </row>
    <row r="702" spans="1:28" s="338" customFormat="1" ht="12.75" customHeight="1" x14ac:dyDescent="0.25">
      <c r="A702" s="347" t="s">
        <v>2156</v>
      </c>
      <c r="B702" s="376">
        <v>45261</v>
      </c>
      <c r="C702" s="425" t="s">
        <v>35</v>
      </c>
      <c r="D702" s="333" t="s">
        <v>83</v>
      </c>
      <c r="E702" s="333"/>
      <c r="F702" s="374" t="s">
        <v>2157</v>
      </c>
      <c r="G702" s="372" t="s">
        <v>2158</v>
      </c>
      <c r="H702" s="333">
        <v>1</v>
      </c>
      <c r="I702" s="333" t="s">
        <v>2159</v>
      </c>
      <c r="J702" s="333" t="s">
        <v>265</v>
      </c>
      <c r="K702" s="333" t="s">
        <v>32</v>
      </c>
      <c r="L702" s="333"/>
      <c r="M702" s="333"/>
      <c r="N702" s="333"/>
      <c r="O702" s="333"/>
      <c r="P702" s="462">
        <v>45274</v>
      </c>
      <c r="Q702" s="333"/>
      <c r="R702" s="333"/>
      <c r="S702" s="373"/>
      <c r="T702" s="373"/>
      <c r="U702" s="373"/>
      <c r="V702" s="373"/>
      <c r="W702" s="346">
        <v>45397</v>
      </c>
      <c r="X702" s="373"/>
      <c r="Y702" s="336">
        <f t="shared" ca="1" si="15"/>
        <v>123</v>
      </c>
      <c r="Z702" s="373"/>
      <c r="AA702" s="373"/>
      <c r="AB702" s="373"/>
    </row>
    <row r="703" spans="1:28" s="410" customFormat="1" ht="12.75" customHeight="1" x14ac:dyDescent="0.25">
      <c r="A703" s="347" t="s">
        <v>2160</v>
      </c>
      <c r="B703" s="407">
        <v>45261</v>
      </c>
      <c r="C703" s="448" t="s">
        <v>35</v>
      </c>
      <c r="D703" s="372" t="s">
        <v>83</v>
      </c>
      <c r="E703" s="372"/>
      <c r="F703" s="374" t="s">
        <v>2161</v>
      </c>
      <c r="G703" s="372" t="s">
        <v>2162</v>
      </c>
      <c r="H703" s="372">
        <v>2</v>
      </c>
      <c r="I703" s="372" t="s">
        <v>2163</v>
      </c>
      <c r="J703" s="372" t="s">
        <v>541</v>
      </c>
      <c r="K703" s="372" t="s">
        <v>32</v>
      </c>
      <c r="L703" s="452"/>
      <c r="M703" s="372"/>
      <c r="N703" s="372"/>
      <c r="O703" s="372"/>
      <c r="P703" s="462">
        <v>45274</v>
      </c>
      <c r="Q703" s="452"/>
      <c r="R703" s="452"/>
      <c r="S703" s="401"/>
      <c r="T703" s="401"/>
      <c r="U703" s="401"/>
      <c r="V703" s="401"/>
      <c r="W703" s="402">
        <v>45397</v>
      </c>
      <c r="X703" s="401"/>
      <c r="Y703" s="336">
        <f t="shared" ca="1" si="15"/>
        <v>123</v>
      </c>
      <c r="Z703" s="401"/>
      <c r="AA703" s="401"/>
      <c r="AB703" s="401"/>
    </row>
    <row r="704" spans="1:28" s="338" customFormat="1" ht="12.75" customHeight="1" x14ac:dyDescent="0.25">
      <c r="A704" s="347" t="s">
        <v>2164</v>
      </c>
      <c r="B704" s="376">
        <v>45261</v>
      </c>
      <c r="C704" s="425" t="s">
        <v>35</v>
      </c>
      <c r="D704" s="333" t="s">
        <v>83</v>
      </c>
      <c r="E704" s="333"/>
      <c r="F704" s="374" t="s">
        <v>2165</v>
      </c>
      <c r="G704" s="372" t="s">
        <v>2166</v>
      </c>
      <c r="H704" s="333">
        <v>1</v>
      </c>
      <c r="I704" s="333" t="s">
        <v>2167</v>
      </c>
      <c r="J704" s="333" t="s">
        <v>541</v>
      </c>
      <c r="K704" s="333" t="s">
        <v>32</v>
      </c>
      <c r="L704" s="333"/>
      <c r="M704" s="333"/>
      <c r="N704" s="333"/>
      <c r="O704" s="333"/>
      <c r="P704" s="462">
        <v>45274</v>
      </c>
      <c r="Q704" s="333"/>
      <c r="R704" s="333"/>
      <c r="S704" s="373"/>
      <c r="T704" s="373"/>
      <c r="U704" s="373"/>
      <c r="V704" s="373"/>
      <c r="W704" s="346"/>
      <c r="X704" s="373"/>
      <c r="Y704" s="336">
        <f t="shared" ca="1" si="15"/>
        <v>312</v>
      </c>
      <c r="Z704" s="373"/>
      <c r="AA704" s="373"/>
      <c r="AB704" s="373"/>
    </row>
    <row r="705" spans="1:28" s="410" customFormat="1" ht="12.75" customHeight="1" x14ac:dyDescent="0.25">
      <c r="A705" s="347" t="s">
        <v>2168</v>
      </c>
      <c r="B705" s="376">
        <v>45232</v>
      </c>
      <c r="C705" s="425" t="s">
        <v>60</v>
      </c>
      <c r="D705" s="333" t="s">
        <v>1843</v>
      </c>
      <c r="E705" s="333">
        <v>31114</v>
      </c>
      <c r="F705" s="374" t="s">
        <v>2169</v>
      </c>
      <c r="G705" s="372" t="s">
        <v>2170</v>
      </c>
      <c r="H705" s="333">
        <v>1</v>
      </c>
      <c r="I705" s="333">
        <v>37</v>
      </c>
      <c r="J705" s="333" t="s">
        <v>265</v>
      </c>
      <c r="K705" s="333" t="s">
        <v>32</v>
      </c>
      <c r="L705" s="333"/>
      <c r="M705" s="333" t="s">
        <v>33</v>
      </c>
      <c r="N705" s="333"/>
      <c r="O705" s="333"/>
      <c r="P705" s="462">
        <v>45236</v>
      </c>
      <c r="Q705" s="333"/>
      <c r="R705" s="333"/>
      <c r="S705" s="373"/>
      <c r="T705" s="373"/>
      <c r="U705" s="373"/>
      <c r="V705" s="373"/>
      <c r="W705" s="346">
        <v>45373</v>
      </c>
      <c r="X705" s="373">
        <v>2</v>
      </c>
      <c r="Y705" s="336">
        <f t="shared" ca="1" si="15"/>
        <v>137</v>
      </c>
      <c r="Z705" s="373"/>
      <c r="AA705" s="373"/>
      <c r="AB705" s="373"/>
    </row>
    <row r="706" spans="1:28" s="338" customFormat="1" ht="12.75" customHeight="1" x14ac:dyDescent="0.25">
      <c r="A706" s="347" t="s">
        <v>2171</v>
      </c>
      <c r="B706" s="376">
        <v>45232</v>
      </c>
      <c r="C706" s="425" t="s">
        <v>60</v>
      </c>
      <c r="D706" s="333" t="s">
        <v>1843</v>
      </c>
      <c r="E706" s="425" t="s">
        <v>2172</v>
      </c>
      <c r="F706" s="374" t="s">
        <v>2173</v>
      </c>
      <c r="G706" s="372" t="s">
        <v>2174</v>
      </c>
      <c r="H706" s="333">
        <v>5</v>
      </c>
      <c r="I706" s="333">
        <v>37</v>
      </c>
      <c r="J706" s="333" t="s">
        <v>265</v>
      </c>
      <c r="K706" s="333" t="s">
        <v>32</v>
      </c>
      <c r="L706" s="333"/>
      <c r="M706" s="333" t="s">
        <v>33</v>
      </c>
      <c r="N706" s="333"/>
      <c r="O706" s="333"/>
      <c r="P706" s="462">
        <v>45236</v>
      </c>
      <c r="Q706" s="333"/>
      <c r="R706" s="333"/>
      <c r="S706" s="373"/>
      <c r="T706" s="373"/>
      <c r="U706" s="373"/>
      <c r="V706" s="373"/>
      <c r="W706" s="346">
        <v>45373</v>
      </c>
      <c r="X706" s="373">
        <v>5</v>
      </c>
      <c r="Y706" s="336">
        <f t="shared" ca="1" si="15"/>
        <v>137</v>
      </c>
      <c r="Z706" s="373"/>
      <c r="AA706" s="373"/>
      <c r="AB706" s="373"/>
    </row>
    <row r="707" spans="1:28" s="338" customFormat="1" ht="12.75" customHeight="1" x14ac:dyDescent="0.25">
      <c r="A707" s="411" t="s">
        <v>2175</v>
      </c>
      <c r="B707" s="363">
        <v>45232</v>
      </c>
      <c r="C707" s="426" t="s">
        <v>60</v>
      </c>
      <c r="D707" s="364" t="s">
        <v>1843</v>
      </c>
      <c r="E707" s="425" t="s">
        <v>2176</v>
      </c>
      <c r="F707" s="365" t="s">
        <v>2177</v>
      </c>
      <c r="G707" s="366" t="s">
        <v>2178</v>
      </c>
      <c r="H707" s="364">
        <v>5</v>
      </c>
      <c r="I707" s="364">
        <v>37</v>
      </c>
      <c r="J707" s="364" t="s">
        <v>31</v>
      </c>
      <c r="K707" s="364" t="s">
        <v>32</v>
      </c>
      <c r="L707" s="364"/>
      <c r="M707" s="364" t="s">
        <v>33</v>
      </c>
      <c r="N707" s="364"/>
      <c r="O707" s="364"/>
      <c r="P707" s="491">
        <v>45236</v>
      </c>
      <c r="Q707" s="333"/>
      <c r="R707" s="333"/>
      <c r="S707" s="373"/>
      <c r="T707" s="373"/>
      <c r="U707" s="373"/>
      <c r="V707" s="373"/>
      <c r="W707" s="346">
        <v>45348</v>
      </c>
      <c r="X707" s="373">
        <v>5</v>
      </c>
      <c r="Y707" s="336">
        <f t="shared" ca="1" si="15"/>
        <v>112</v>
      </c>
      <c r="Z707" s="373"/>
      <c r="AA707" s="373"/>
      <c r="AB707" s="373"/>
    </row>
    <row r="708" spans="1:28" s="338" customFormat="1" ht="12.75" customHeight="1" x14ac:dyDescent="0.25">
      <c r="A708" s="425" t="s">
        <v>2179</v>
      </c>
      <c r="B708" s="376">
        <v>45264</v>
      </c>
      <c r="C708" s="425" t="s">
        <v>35</v>
      </c>
      <c r="D708" s="333" t="s">
        <v>177</v>
      </c>
      <c r="E708" s="499"/>
      <c r="F708" s="374" t="s">
        <v>2180</v>
      </c>
      <c r="G708" s="372" t="s">
        <v>2181</v>
      </c>
      <c r="H708" s="333">
        <v>1</v>
      </c>
      <c r="I708" s="333" t="s">
        <v>2182</v>
      </c>
      <c r="J708" s="333" t="s">
        <v>68</v>
      </c>
      <c r="K708" s="333" t="s">
        <v>69</v>
      </c>
      <c r="L708" s="333"/>
      <c r="M708" s="333"/>
      <c r="N708" s="333"/>
      <c r="O708" s="333"/>
      <c r="P708" s="462"/>
      <c r="Q708" s="396"/>
      <c r="R708" s="333"/>
      <c r="S708" s="373"/>
      <c r="T708" s="373"/>
      <c r="U708" s="373"/>
      <c r="V708" s="373"/>
      <c r="W708" s="346"/>
      <c r="X708" s="373"/>
      <c r="Y708" s="336" t="str">
        <f t="shared" ca="1" si="15"/>
        <v/>
      </c>
      <c r="Z708" s="373"/>
      <c r="AA708" s="373"/>
      <c r="AB708" s="373"/>
    </row>
    <row r="709" spans="1:28" s="338" customFormat="1" ht="12.75" customHeight="1" x14ac:dyDescent="0.25">
      <c r="A709" s="500" t="s">
        <v>2183</v>
      </c>
      <c r="B709" s="501">
        <v>45232</v>
      </c>
      <c r="C709" s="436" t="s">
        <v>60</v>
      </c>
      <c r="D709" s="415" t="s">
        <v>1843</v>
      </c>
      <c r="E709" s="425" t="s">
        <v>2184</v>
      </c>
      <c r="F709" s="427" t="s">
        <v>2185</v>
      </c>
      <c r="G709" s="428" t="s">
        <v>2186</v>
      </c>
      <c r="H709" s="415">
        <v>4</v>
      </c>
      <c r="I709" s="415">
        <v>37</v>
      </c>
      <c r="J709" s="415" t="s">
        <v>43</v>
      </c>
      <c r="K709" s="415" t="s">
        <v>32</v>
      </c>
      <c r="L709" s="415"/>
      <c r="M709" s="415" t="s">
        <v>33</v>
      </c>
      <c r="N709" s="415"/>
      <c r="O709" s="415"/>
      <c r="P709" s="502">
        <v>45236</v>
      </c>
      <c r="Q709" s="333"/>
      <c r="R709" s="333"/>
      <c r="S709" s="373"/>
      <c r="T709" s="373"/>
      <c r="U709" s="373"/>
      <c r="V709" s="373"/>
      <c r="W709" s="346">
        <v>45348</v>
      </c>
      <c r="X709" s="373">
        <v>4</v>
      </c>
      <c r="Y709" s="336">
        <f t="shared" ca="1" si="15"/>
        <v>112</v>
      </c>
      <c r="Z709" s="373"/>
      <c r="AA709" s="373"/>
      <c r="AB709" s="373"/>
    </row>
    <row r="710" spans="1:28" s="338" customFormat="1" ht="12.75" customHeight="1" x14ac:dyDescent="0.25">
      <c r="A710" s="347" t="s">
        <v>2187</v>
      </c>
      <c r="B710" s="376">
        <v>45232</v>
      </c>
      <c r="C710" s="425" t="s">
        <v>60</v>
      </c>
      <c r="D710" s="333" t="s">
        <v>1843</v>
      </c>
      <c r="E710" s="333"/>
      <c r="F710" s="374" t="s">
        <v>2188</v>
      </c>
      <c r="G710" s="372" t="s">
        <v>2189</v>
      </c>
      <c r="H710" s="333">
        <v>1</v>
      </c>
      <c r="I710" s="333">
        <v>37</v>
      </c>
      <c r="J710" s="333" t="s">
        <v>68</v>
      </c>
      <c r="K710" s="333" t="s">
        <v>69</v>
      </c>
      <c r="L710" s="333"/>
      <c r="M710" s="333"/>
      <c r="N710" s="417"/>
      <c r="O710" s="417"/>
      <c r="P710" s="462">
        <v>45236</v>
      </c>
      <c r="Q710" s="333"/>
      <c r="R710" s="333"/>
      <c r="S710" s="373"/>
      <c r="T710" s="373"/>
      <c r="U710" s="373"/>
      <c r="V710" s="373"/>
      <c r="W710" s="346">
        <v>45348</v>
      </c>
      <c r="X710" s="373">
        <v>1</v>
      </c>
      <c r="Y710" s="336">
        <f t="shared" ca="1" si="15"/>
        <v>112</v>
      </c>
      <c r="Z710" s="373"/>
      <c r="AA710" s="373"/>
      <c r="AB710" s="373"/>
    </row>
    <row r="711" spans="1:28" s="338" customFormat="1" ht="12.75" customHeight="1" x14ac:dyDescent="0.25">
      <c r="A711" s="347" t="s">
        <v>2190</v>
      </c>
      <c r="B711" s="376">
        <v>45232</v>
      </c>
      <c r="C711" s="425" t="s">
        <v>60</v>
      </c>
      <c r="D711" s="333" t="s">
        <v>1843</v>
      </c>
      <c r="E711" s="333"/>
      <c r="F711" s="374" t="s">
        <v>2191</v>
      </c>
      <c r="G711" s="372" t="s">
        <v>2192</v>
      </c>
      <c r="H711" s="333">
        <v>7</v>
      </c>
      <c r="I711" s="333">
        <v>37</v>
      </c>
      <c r="J711" s="333" t="s">
        <v>31</v>
      </c>
      <c r="K711" s="333" t="s">
        <v>32</v>
      </c>
      <c r="L711" s="333"/>
      <c r="M711" s="333" t="s">
        <v>33</v>
      </c>
      <c r="N711" s="333"/>
      <c r="O711" s="333"/>
      <c r="P711" s="462">
        <v>45236</v>
      </c>
      <c r="Q711" s="333"/>
      <c r="R711" s="333"/>
      <c r="S711" s="373"/>
      <c r="T711" s="373"/>
      <c r="U711" s="373"/>
      <c r="V711" s="373"/>
      <c r="W711" s="346">
        <v>45373</v>
      </c>
      <c r="X711" s="373">
        <v>10</v>
      </c>
      <c r="Y711" s="336">
        <f t="shared" ca="1" si="15"/>
        <v>137</v>
      </c>
      <c r="Z711" s="373"/>
      <c r="AA711" s="373"/>
      <c r="AB711" s="373"/>
    </row>
    <row r="712" spans="1:28" s="338" customFormat="1" ht="12.75" customHeight="1" x14ac:dyDescent="0.25">
      <c r="A712" s="347" t="s">
        <v>2193</v>
      </c>
      <c r="B712" s="376">
        <v>45233</v>
      </c>
      <c r="C712" s="425" t="s">
        <v>60</v>
      </c>
      <c r="D712" s="333" t="s">
        <v>1843</v>
      </c>
      <c r="E712" s="333"/>
      <c r="F712" s="374" t="s">
        <v>2194</v>
      </c>
      <c r="G712" s="372" t="s">
        <v>2195</v>
      </c>
      <c r="H712" s="333">
        <v>1</v>
      </c>
      <c r="I712" s="333">
        <v>37</v>
      </c>
      <c r="J712" s="333" t="s">
        <v>31</v>
      </c>
      <c r="K712" s="333" t="s">
        <v>32</v>
      </c>
      <c r="L712" s="333"/>
      <c r="M712" s="333" t="s">
        <v>33</v>
      </c>
      <c r="N712" s="333"/>
      <c r="O712" s="333"/>
      <c r="P712" s="462">
        <v>45236</v>
      </c>
      <c r="Q712" s="333"/>
      <c r="R712" s="333"/>
      <c r="S712" s="373"/>
      <c r="T712" s="373"/>
      <c r="U712" s="373"/>
      <c r="V712" s="373"/>
      <c r="W712" s="346">
        <v>45373</v>
      </c>
      <c r="X712" s="373">
        <v>1</v>
      </c>
      <c r="Y712" s="336">
        <f t="shared" ref="Y712:Y775" ca="1" si="16">IF(P712="","",IF(W712="",TODAY()-P712,W712-P712))</f>
        <v>137</v>
      </c>
      <c r="Z712" s="373"/>
      <c r="AA712" s="373"/>
      <c r="AB712" s="373"/>
    </row>
    <row r="713" spans="1:28" s="338" customFormat="1" ht="12.75" customHeight="1" x14ac:dyDescent="0.25">
      <c r="A713" s="347" t="s">
        <v>2196</v>
      </c>
      <c r="B713" s="376">
        <v>45233</v>
      </c>
      <c r="C713" s="425" t="s">
        <v>60</v>
      </c>
      <c r="D713" s="333" t="s">
        <v>1843</v>
      </c>
      <c r="E713" s="333" t="s">
        <v>2197</v>
      </c>
      <c r="F713" s="374" t="s">
        <v>2198</v>
      </c>
      <c r="G713" s="372" t="s">
        <v>2199</v>
      </c>
      <c r="H713" s="333">
        <v>1</v>
      </c>
      <c r="I713" s="333">
        <v>37</v>
      </c>
      <c r="J713" s="333" t="s">
        <v>31</v>
      </c>
      <c r="K713" s="333" t="s">
        <v>32</v>
      </c>
      <c r="L713" s="333"/>
      <c r="M713" s="333" t="s">
        <v>33</v>
      </c>
      <c r="N713" s="333"/>
      <c r="O713" s="333"/>
      <c r="P713" s="462">
        <v>45236</v>
      </c>
      <c r="Q713" s="333"/>
      <c r="R713" s="333"/>
      <c r="S713" s="373"/>
      <c r="T713" s="373"/>
      <c r="U713" s="373"/>
      <c r="V713" s="373"/>
      <c r="W713" s="346">
        <v>45373</v>
      </c>
      <c r="X713" s="373">
        <v>1</v>
      </c>
      <c r="Y713" s="336">
        <f t="shared" ca="1" si="16"/>
        <v>137</v>
      </c>
      <c r="Z713" s="373"/>
      <c r="AA713" s="373"/>
      <c r="AB713" s="373"/>
    </row>
    <row r="714" spans="1:28" s="395" customFormat="1" ht="12.75" customHeight="1" x14ac:dyDescent="0.25">
      <c r="A714" s="347" t="s">
        <v>2200</v>
      </c>
      <c r="B714" s="388">
        <v>45247</v>
      </c>
      <c r="C714" s="503" t="s">
        <v>60</v>
      </c>
      <c r="D714" s="326" t="s">
        <v>1843</v>
      </c>
      <c r="E714" s="333" t="s">
        <v>33</v>
      </c>
      <c r="F714" s="389" t="s">
        <v>2201</v>
      </c>
      <c r="G714" s="390" t="s">
        <v>2202</v>
      </c>
      <c r="H714" s="326">
        <v>12</v>
      </c>
      <c r="I714" s="326">
        <v>38</v>
      </c>
      <c r="J714" s="326" t="s">
        <v>43</v>
      </c>
      <c r="K714" s="326" t="s">
        <v>32</v>
      </c>
      <c r="L714" s="333"/>
      <c r="M714" s="333"/>
      <c r="N714" s="333"/>
      <c r="O714" s="333"/>
      <c r="P714" s="504">
        <v>45257</v>
      </c>
      <c r="Q714" s="333"/>
      <c r="R714" s="333"/>
      <c r="S714" s="373"/>
      <c r="T714" s="373"/>
      <c r="U714" s="373"/>
      <c r="V714" s="373"/>
      <c r="W714" s="346">
        <v>45373</v>
      </c>
      <c r="X714" s="393">
        <v>4</v>
      </c>
      <c r="Y714" s="336">
        <f t="shared" ca="1" si="16"/>
        <v>116</v>
      </c>
      <c r="Z714" s="393"/>
      <c r="AA714" s="393"/>
      <c r="AB714" s="393"/>
    </row>
    <row r="715" spans="1:28" s="338" customFormat="1" ht="12.75" customHeight="1" x14ac:dyDescent="0.25">
      <c r="A715" s="347" t="s">
        <v>2203</v>
      </c>
      <c r="B715" s="376">
        <v>45247</v>
      </c>
      <c r="C715" s="425" t="s">
        <v>60</v>
      </c>
      <c r="D715" s="333" t="s">
        <v>1843</v>
      </c>
      <c r="E715" s="333" t="s">
        <v>33</v>
      </c>
      <c r="F715" s="374" t="s">
        <v>2204</v>
      </c>
      <c r="G715" s="372" t="s">
        <v>2205</v>
      </c>
      <c r="H715" s="333">
        <v>1</v>
      </c>
      <c r="I715" s="333">
        <v>37</v>
      </c>
      <c r="J715" s="333" t="s">
        <v>43</v>
      </c>
      <c r="K715" s="333" t="s">
        <v>32</v>
      </c>
      <c r="L715" s="333"/>
      <c r="M715" s="333"/>
      <c r="N715" s="333"/>
      <c r="O715" s="333"/>
      <c r="P715" s="504">
        <v>45257</v>
      </c>
      <c r="Q715" s="333"/>
      <c r="R715" s="333"/>
      <c r="S715" s="373"/>
      <c r="T715" s="373"/>
      <c r="U715" s="373"/>
      <c r="V715" s="373"/>
      <c r="W715" s="346">
        <v>45373</v>
      </c>
      <c r="X715" s="373">
        <v>1</v>
      </c>
      <c r="Y715" s="336">
        <f t="shared" ca="1" si="16"/>
        <v>116</v>
      </c>
      <c r="Z715" s="373"/>
      <c r="AA715" s="373"/>
      <c r="AB715" s="373"/>
    </row>
    <row r="716" spans="1:28" s="338" customFormat="1" ht="12.75" customHeight="1" x14ac:dyDescent="0.25">
      <c r="A716" s="347" t="s">
        <v>2206</v>
      </c>
      <c r="B716" s="376">
        <v>45245</v>
      </c>
      <c r="C716" s="425" t="s">
        <v>60</v>
      </c>
      <c r="D716" s="333" t="s">
        <v>1843</v>
      </c>
      <c r="E716" s="333" t="s">
        <v>33</v>
      </c>
      <c r="F716" s="374" t="s">
        <v>2207</v>
      </c>
      <c r="G716" s="372" t="s">
        <v>2208</v>
      </c>
      <c r="H716" s="333">
        <v>72</v>
      </c>
      <c r="I716" s="333">
        <v>38</v>
      </c>
      <c r="J716" s="333" t="s">
        <v>46</v>
      </c>
      <c r="K716" s="333" t="s">
        <v>32</v>
      </c>
      <c r="L716" s="333"/>
      <c r="M716" s="333"/>
      <c r="N716" s="333"/>
      <c r="O716" s="333"/>
      <c r="P716" s="462">
        <v>45257</v>
      </c>
      <c r="Q716" s="333"/>
      <c r="R716" s="333"/>
      <c r="S716" s="373"/>
      <c r="T716" s="373"/>
      <c r="U716" s="373"/>
      <c r="V716" s="373"/>
      <c r="W716" s="346">
        <v>45348</v>
      </c>
      <c r="X716" s="373">
        <v>72</v>
      </c>
      <c r="Y716" s="336">
        <f t="shared" ca="1" si="16"/>
        <v>91</v>
      </c>
      <c r="Z716" s="373"/>
      <c r="AA716" s="373"/>
      <c r="AB716" s="373"/>
    </row>
    <row r="717" spans="1:28" s="338" customFormat="1" ht="12.75" customHeight="1" x14ac:dyDescent="0.25">
      <c r="A717" s="347" t="s">
        <v>2209</v>
      </c>
      <c r="B717" s="376">
        <v>45245</v>
      </c>
      <c r="C717" s="425" t="s">
        <v>60</v>
      </c>
      <c r="D717" s="333" t="s">
        <v>1843</v>
      </c>
      <c r="E717" s="333" t="s">
        <v>33</v>
      </c>
      <c r="F717" s="374" t="s">
        <v>2210</v>
      </c>
      <c r="G717" s="372" t="s">
        <v>2211</v>
      </c>
      <c r="H717" s="333">
        <v>24</v>
      </c>
      <c r="I717" s="333">
        <v>38</v>
      </c>
      <c r="J717" s="333" t="s">
        <v>541</v>
      </c>
      <c r="K717" s="333" t="s">
        <v>32</v>
      </c>
      <c r="L717" s="333"/>
      <c r="M717" s="333"/>
      <c r="N717" s="333"/>
      <c r="O717" s="333"/>
      <c r="P717" s="462">
        <v>45257</v>
      </c>
      <c r="Q717" s="333"/>
      <c r="R717" s="333"/>
      <c r="S717" s="373"/>
      <c r="T717" s="373"/>
      <c r="U717" s="373"/>
      <c r="V717" s="373"/>
      <c r="W717" s="346">
        <v>45348</v>
      </c>
      <c r="X717" s="373">
        <v>24</v>
      </c>
      <c r="Y717" s="336">
        <f t="shared" ca="1" si="16"/>
        <v>91</v>
      </c>
      <c r="Z717" s="373"/>
      <c r="AA717" s="373"/>
      <c r="AB717" s="373"/>
    </row>
    <row r="718" spans="1:28" s="338" customFormat="1" ht="12.75" customHeight="1" x14ac:dyDescent="0.25">
      <c r="A718" s="347" t="s">
        <v>2212</v>
      </c>
      <c r="B718" s="376">
        <v>45246</v>
      </c>
      <c r="C718" s="425" t="s">
        <v>60</v>
      </c>
      <c r="D718" s="333" t="s">
        <v>1843</v>
      </c>
      <c r="E718" s="333" t="s">
        <v>33</v>
      </c>
      <c r="F718" s="374" t="s">
        <v>2213</v>
      </c>
      <c r="G718" s="372" t="s">
        <v>2214</v>
      </c>
      <c r="H718" s="333">
        <v>36</v>
      </c>
      <c r="I718" s="333">
        <v>38</v>
      </c>
      <c r="J718" s="333" t="s">
        <v>46</v>
      </c>
      <c r="K718" s="333" t="s">
        <v>32</v>
      </c>
      <c r="L718" s="333"/>
      <c r="M718" s="333"/>
      <c r="N718" s="333"/>
      <c r="O718" s="333"/>
      <c r="P718" s="462">
        <v>45257</v>
      </c>
      <c r="Q718" s="333"/>
      <c r="R718" s="333"/>
      <c r="S718" s="373"/>
      <c r="T718" s="373"/>
      <c r="U718" s="373"/>
      <c r="V718" s="373"/>
      <c r="W718" s="346">
        <v>45348</v>
      </c>
      <c r="X718" s="482">
        <f>36 + 35</f>
        <v>71</v>
      </c>
      <c r="Y718" s="336">
        <f t="shared" ca="1" si="16"/>
        <v>91</v>
      </c>
      <c r="Z718" s="373"/>
      <c r="AA718" s="373"/>
      <c r="AB718" s="373"/>
    </row>
    <row r="719" spans="1:28" s="338" customFormat="1" ht="12.75" customHeight="1" x14ac:dyDescent="0.25">
      <c r="A719" s="347" t="s">
        <v>2215</v>
      </c>
      <c r="B719" s="376">
        <v>45247</v>
      </c>
      <c r="C719" s="425" t="s">
        <v>60</v>
      </c>
      <c r="D719" s="333" t="s">
        <v>1843</v>
      </c>
      <c r="E719" s="333" t="s">
        <v>33</v>
      </c>
      <c r="F719" s="374" t="s">
        <v>2216</v>
      </c>
      <c r="G719" s="372" t="s">
        <v>2217</v>
      </c>
      <c r="H719" s="333">
        <v>1</v>
      </c>
      <c r="I719" s="333">
        <v>38</v>
      </c>
      <c r="J719" s="333" t="s">
        <v>31</v>
      </c>
      <c r="K719" s="333" t="s">
        <v>32</v>
      </c>
      <c r="L719" s="333"/>
      <c r="M719" s="333"/>
      <c r="N719" s="333"/>
      <c r="O719" s="333"/>
      <c r="P719" s="462">
        <v>45257</v>
      </c>
      <c r="Q719" s="333"/>
      <c r="R719" s="333"/>
      <c r="S719" s="373"/>
      <c r="T719" s="373"/>
      <c r="U719" s="373"/>
      <c r="V719" s="373"/>
      <c r="W719" s="346">
        <v>45373</v>
      </c>
      <c r="X719" s="373">
        <v>1</v>
      </c>
      <c r="Y719" s="336">
        <f t="shared" ca="1" si="16"/>
        <v>116</v>
      </c>
      <c r="Z719" s="373"/>
      <c r="AA719" s="373"/>
      <c r="AB719" s="373"/>
    </row>
    <row r="720" spans="1:28" s="338" customFormat="1" ht="12.75" customHeight="1" x14ac:dyDescent="0.25">
      <c r="A720" s="347" t="s">
        <v>2218</v>
      </c>
      <c r="B720" s="407">
        <v>45264</v>
      </c>
      <c r="C720" s="448" t="s">
        <v>60</v>
      </c>
      <c r="D720" s="372" t="s">
        <v>1843</v>
      </c>
      <c r="E720" s="452"/>
      <c r="F720" s="374" t="s">
        <v>2219</v>
      </c>
      <c r="G720" s="372" t="s">
        <v>2220</v>
      </c>
      <c r="H720" s="372">
        <v>1</v>
      </c>
      <c r="I720" s="372">
        <v>38</v>
      </c>
      <c r="J720" s="372" t="s">
        <v>68</v>
      </c>
      <c r="K720" s="372" t="s">
        <v>69</v>
      </c>
      <c r="L720" s="452"/>
      <c r="M720" s="452"/>
      <c r="N720" s="452"/>
      <c r="O720" s="452"/>
      <c r="P720" s="462">
        <v>45257</v>
      </c>
      <c r="Q720" s="452"/>
      <c r="R720" s="452"/>
      <c r="S720" s="455"/>
      <c r="T720" s="455"/>
      <c r="U720" s="455"/>
      <c r="V720" s="455"/>
      <c r="W720" s="402">
        <v>45373</v>
      </c>
      <c r="X720" s="401">
        <v>1</v>
      </c>
      <c r="Y720" s="336">
        <f t="shared" ca="1" si="16"/>
        <v>116</v>
      </c>
      <c r="Z720" s="401"/>
      <c r="AA720" s="401"/>
      <c r="AB720" s="401"/>
    </row>
    <row r="721" spans="1:28" s="338" customFormat="1" ht="12.75" customHeight="1" x14ac:dyDescent="0.3">
      <c r="A721" s="347" t="s">
        <v>2221</v>
      </c>
      <c r="B721" s="376">
        <v>45274</v>
      </c>
      <c r="C721" s="425" t="s">
        <v>60</v>
      </c>
      <c r="D721" s="333" t="s">
        <v>1843</v>
      </c>
      <c r="E721" s="333"/>
      <c r="F721" s="374" t="s">
        <v>2222</v>
      </c>
      <c r="G721" s="372" t="s">
        <v>2223</v>
      </c>
      <c r="H721" s="333">
        <v>4</v>
      </c>
      <c r="I721" s="496">
        <v>35</v>
      </c>
      <c r="J721" s="333" t="s">
        <v>68</v>
      </c>
      <c r="K721" s="333" t="s">
        <v>69</v>
      </c>
      <c r="L721" s="333"/>
      <c r="M721" s="333"/>
      <c r="N721" s="417"/>
      <c r="O721" s="417"/>
      <c r="P721" s="462">
        <v>45257</v>
      </c>
      <c r="Q721" s="333"/>
      <c r="R721" s="333"/>
      <c r="S721" s="373"/>
      <c r="T721" s="373"/>
      <c r="U721" s="373"/>
      <c r="V721" s="373"/>
      <c r="W721" s="346">
        <v>45373</v>
      </c>
      <c r="X721" s="373">
        <v>2</v>
      </c>
      <c r="Y721" s="336">
        <f t="shared" ca="1" si="16"/>
        <v>116</v>
      </c>
      <c r="Z721" s="373"/>
      <c r="AA721" s="373"/>
      <c r="AB721" s="373"/>
    </row>
    <row r="722" spans="1:28" s="338" customFormat="1" ht="12.75" customHeight="1" x14ac:dyDescent="0.3">
      <c r="A722" s="347" t="s">
        <v>2224</v>
      </c>
      <c r="B722" s="376">
        <v>45274</v>
      </c>
      <c r="C722" s="425" t="s">
        <v>60</v>
      </c>
      <c r="D722" s="333" t="s">
        <v>1843</v>
      </c>
      <c r="E722" s="333"/>
      <c r="F722" s="374" t="s">
        <v>2225</v>
      </c>
      <c r="G722" s="372" t="s">
        <v>2226</v>
      </c>
      <c r="H722" s="333">
        <v>4</v>
      </c>
      <c r="I722" s="496">
        <v>35</v>
      </c>
      <c r="J722" s="333" t="s">
        <v>68</v>
      </c>
      <c r="K722" s="333" t="s">
        <v>69</v>
      </c>
      <c r="L722" s="333"/>
      <c r="M722" s="333"/>
      <c r="N722" s="417"/>
      <c r="O722" s="417"/>
      <c r="P722" s="462">
        <v>45257</v>
      </c>
      <c r="Q722" s="333"/>
      <c r="R722" s="333"/>
      <c r="S722" s="373"/>
      <c r="T722" s="373"/>
      <c r="U722" s="373"/>
      <c r="V722" s="373"/>
      <c r="W722" s="346">
        <v>45348</v>
      </c>
      <c r="X722" s="373">
        <v>4</v>
      </c>
      <c r="Y722" s="336">
        <f t="shared" ca="1" si="16"/>
        <v>91</v>
      </c>
      <c r="Z722" s="373"/>
      <c r="AA722" s="373"/>
      <c r="AB722" s="373"/>
    </row>
    <row r="723" spans="1:28" s="338" customFormat="1" ht="12.75" customHeight="1" x14ac:dyDescent="0.25">
      <c r="A723" s="347" t="s">
        <v>2227</v>
      </c>
      <c r="B723" s="376">
        <v>45264</v>
      </c>
      <c r="C723" s="425" t="s">
        <v>35</v>
      </c>
      <c r="D723" s="333" t="s">
        <v>36</v>
      </c>
      <c r="E723" s="333"/>
      <c r="F723" s="374" t="s">
        <v>2228</v>
      </c>
      <c r="G723" s="372" t="s">
        <v>2229</v>
      </c>
      <c r="H723" s="333">
        <v>1</v>
      </c>
      <c r="I723" s="333" t="s">
        <v>2230</v>
      </c>
      <c r="J723" s="333" t="s">
        <v>102</v>
      </c>
      <c r="K723" s="333" t="s">
        <v>69</v>
      </c>
      <c r="L723" s="333"/>
      <c r="M723" s="333"/>
      <c r="N723" s="333"/>
      <c r="O723" s="333"/>
      <c r="P723" s="462"/>
      <c r="Q723" s="333"/>
      <c r="R723" s="333"/>
      <c r="S723" s="373"/>
      <c r="T723" s="373"/>
      <c r="U723" s="373"/>
      <c r="V723" s="373"/>
      <c r="W723" s="346">
        <v>45405</v>
      </c>
      <c r="X723" s="373"/>
      <c r="Y723" s="336" t="str">
        <f t="shared" ca="1" si="16"/>
        <v/>
      </c>
      <c r="Z723" s="373"/>
      <c r="AA723" s="373"/>
      <c r="AB723" s="373"/>
    </row>
    <row r="724" spans="1:28" s="338" customFormat="1" ht="12.75" customHeight="1" x14ac:dyDescent="0.3">
      <c r="A724" s="347" t="s">
        <v>2231</v>
      </c>
      <c r="B724" s="363">
        <v>45274</v>
      </c>
      <c r="C724" s="425" t="s">
        <v>60</v>
      </c>
      <c r="D724" s="333" t="s">
        <v>1843</v>
      </c>
      <c r="E724" s="364"/>
      <c r="F724" s="365" t="s">
        <v>2232</v>
      </c>
      <c r="G724" s="366" t="s">
        <v>2233</v>
      </c>
      <c r="H724" s="364">
        <v>5</v>
      </c>
      <c r="I724" s="505">
        <v>35</v>
      </c>
      <c r="J724" s="364" t="s">
        <v>68</v>
      </c>
      <c r="K724" s="364" t="s">
        <v>69</v>
      </c>
      <c r="L724" s="364"/>
      <c r="M724" s="364"/>
      <c r="N724" s="485"/>
      <c r="O724" s="485"/>
      <c r="P724" s="462">
        <v>45257</v>
      </c>
      <c r="Q724" s="364"/>
      <c r="R724" s="364"/>
      <c r="S724" s="369"/>
      <c r="T724" s="369"/>
      <c r="U724" s="369"/>
      <c r="V724" s="369"/>
      <c r="W724" s="370">
        <v>45373</v>
      </c>
      <c r="X724" s="369">
        <v>1</v>
      </c>
      <c r="Y724" s="336">
        <f t="shared" ca="1" si="16"/>
        <v>116</v>
      </c>
      <c r="Z724" s="369"/>
      <c r="AA724" s="369"/>
      <c r="AB724" s="369"/>
    </row>
    <row r="725" spans="1:28" s="338" customFormat="1" ht="12.75" customHeight="1" x14ac:dyDescent="0.25">
      <c r="A725" s="347" t="s">
        <v>2234</v>
      </c>
      <c r="B725" s="376">
        <v>45265</v>
      </c>
      <c r="C725" s="425" t="s">
        <v>35</v>
      </c>
      <c r="D725" s="333" t="s">
        <v>71</v>
      </c>
      <c r="E725" s="333"/>
      <c r="F725" s="374" t="s">
        <v>2235</v>
      </c>
      <c r="G725" s="372" t="s">
        <v>499</v>
      </c>
      <c r="H725" s="333">
        <v>1</v>
      </c>
      <c r="I725" s="333" t="s">
        <v>2236</v>
      </c>
      <c r="J725" s="333" t="s">
        <v>68</v>
      </c>
      <c r="K725" s="333" t="s">
        <v>69</v>
      </c>
      <c r="L725" s="333"/>
      <c r="M725" s="333"/>
      <c r="N725" s="333"/>
      <c r="O725" s="333"/>
      <c r="P725" s="462"/>
      <c r="Q725" s="333"/>
      <c r="R725" s="333"/>
      <c r="S725" s="373"/>
      <c r="T725" s="373"/>
      <c r="U725" s="373"/>
      <c r="V725" s="373"/>
      <c r="W725" s="346">
        <v>45397</v>
      </c>
      <c r="X725" s="373"/>
      <c r="Y725" s="336" t="str">
        <f t="shared" ca="1" si="16"/>
        <v/>
      </c>
      <c r="Z725" s="373"/>
      <c r="AA725" s="373"/>
      <c r="AB725" s="373"/>
    </row>
    <row r="726" spans="1:28" s="410" customFormat="1" ht="12.75" customHeight="1" x14ac:dyDescent="0.3">
      <c r="A726" s="347" t="s">
        <v>2237</v>
      </c>
      <c r="B726" s="376">
        <v>45274</v>
      </c>
      <c r="C726" s="425" t="s">
        <v>60</v>
      </c>
      <c r="D726" s="333" t="s">
        <v>1843</v>
      </c>
      <c r="E726" s="333"/>
      <c r="F726" s="374" t="s">
        <v>2177</v>
      </c>
      <c r="G726" s="372" t="s">
        <v>2238</v>
      </c>
      <c r="H726" s="333">
        <v>1</v>
      </c>
      <c r="I726" s="496">
        <v>35</v>
      </c>
      <c r="J726" s="333" t="s">
        <v>68</v>
      </c>
      <c r="K726" s="333" t="s">
        <v>69</v>
      </c>
      <c r="L726" s="333"/>
      <c r="M726" s="333"/>
      <c r="N726" s="417"/>
      <c r="O726" s="417"/>
      <c r="P726" s="462">
        <v>45257</v>
      </c>
      <c r="Q726" s="333"/>
      <c r="R726" s="333"/>
      <c r="S726" s="373"/>
      <c r="T726" s="373"/>
      <c r="U726" s="373"/>
      <c r="V726" s="373"/>
      <c r="W726" s="346">
        <v>45373</v>
      </c>
      <c r="X726" s="373">
        <v>6</v>
      </c>
      <c r="Y726" s="336">
        <f t="shared" ca="1" si="16"/>
        <v>116</v>
      </c>
      <c r="Z726" s="373"/>
      <c r="AA726" s="373"/>
      <c r="AB726" s="373"/>
    </row>
    <row r="727" spans="1:28" s="338" customFormat="1" ht="12.75" customHeight="1" x14ac:dyDescent="0.25">
      <c r="A727" s="347" t="s">
        <v>2239</v>
      </c>
      <c r="B727" s="376">
        <v>45265</v>
      </c>
      <c r="C727" s="425" t="s">
        <v>35</v>
      </c>
      <c r="D727" s="333" t="s">
        <v>83</v>
      </c>
      <c r="E727" s="333">
        <v>6980379</v>
      </c>
      <c r="F727" s="374" t="s">
        <v>2240</v>
      </c>
      <c r="G727" s="372" t="s">
        <v>2241</v>
      </c>
      <c r="H727" s="333">
        <v>1</v>
      </c>
      <c r="I727" s="333" t="s">
        <v>2242</v>
      </c>
      <c r="J727" s="333" t="s">
        <v>68</v>
      </c>
      <c r="K727" s="333" t="s">
        <v>69</v>
      </c>
      <c r="L727" s="333"/>
      <c r="M727" s="333"/>
      <c r="N727" s="333"/>
      <c r="O727" s="333"/>
      <c r="P727" s="462">
        <v>45274</v>
      </c>
      <c r="Q727" s="333"/>
      <c r="R727" s="333"/>
      <c r="S727" s="373"/>
      <c r="T727" s="373"/>
      <c r="U727" s="373"/>
      <c r="V727" s="373"/>
      <c r="W727" s="346"/>
      <c r="X727" s="373"/>
      <c r="Y727" s="336">
        <f t="shared" ca="1" si="16"/>
        <v>312</v>
      </c>
      <c r="Z727" s="373"/>
      <c r="AA727" s="373"/>
      <c r="AB727" s="373"/>
    </row>
    <row r="728" spans="1:28" s="338" customFormat="1" ht="12.75" customHeight="1" x14ac:dyDescent="0.25">
      <c r="A728" s="347" t="s">
        <v>2243</v>
      </c>
      <c r="B728" s="376">
        <v>45222</v>
      </c>
      <c r="C728" s="425" t="s">
        <v>35</v>
      </c>
      <c r="D728" s="333" t="s">
        <v>2244</v>
      </c>
      <c r="E728" s="333"/>
      <c r="F728" s="374" t="s">
        <v>292</v>
      </c>
      <c r="G728" s="372" t="s">
        <v>293</v>
      </c>
      <c r="H728" s="333">
        <v>1</v>
      </c>
      <c r="I728" s="333" t="s">
        <v>277</v>
      </c>
      <c r="J728" s="333" t="s">
        <v>102</v>
      </c>
      <c r="K728" s="333" t="s">
        <v>69</v>
      </c>
      <c r="L728" s="333"/>
      <c r="M728" s="333"/>
      <c r="N728" s="333"/>
      <c r="O728" s="333"/>
      <c r="P728" s="462">
        <v>45222</v>
      </c>
      <c r="Q728" s="333"/>
      <c r="R728" s="333"/>
      <c r="S728" s="373"/>
      <c r="T728" s="373"/>
      <c r="U728" s="373"/>
      <c r="V728" s="373"/>
      <c r="W728" s="346">
        <v>45226</v>
      </c>
      <c r="X728" s="373"/>
      <c r="Y728" s="336">
        <f t="shared" ca="1" si="16"/>
        <v>4</v>
      </c>
      <c r="Z728" s="373"/>
      <c r="AA728" s="373"/>
      <c r="AB728" s="373"/>
    </row>
    <row r="729" spans="1:28" s="338" customFormat="1" ht="12.75" customHeight="1" x14ac:dyDescent="0.25">
      <c r="A729" s="347" t="s">
        <v>2245</v>
      </c>
      <c r="B729" s="376">
        <v>45222</v>
      </c>
      <c r="C729" s="425" t="s">
        <v>35</v>
      </c>
      <c r="D729" s="333" t="s">
        <v>2244</v>
      </c>
      <c r="E729" s="333"/>
      <c r="F729" s="374" t="s">
        <v>295</v>
      </c>
      <c r="G729" s="372" t="s">
        <v>296</v>
      </c>
      <c r="H729" s="333">
        <v>1</v>
      </c>
      <c r="I729" s="333" t="s">
        <v>277</v>
      </c>
      <c r="J729" s="333" t="s">
        <v>102</v>
      </c>
      <c r="K729" s="333" t="s">
        <v>69</v>
      </c>
      <c r="L729" s="333"/>
      <c r="M729" s="333"/>
      <c r="N729" s="333"/>
      <c r="O729" s="333"/>
      <c r="P729" s="462">
        <v>45222</v>
      </c>
      <c r="Q729" s="333"/>
      <c r="R729" s="333"/>
      <c r="S729" s="373"/>
      <c r="T729" s="373"/>
      <c r="U729" s="373"/>
      <c r="V729" s="373"/>
      <c r="W729" s="346">
        <v>45226</v>
      </c>
      <c r="X729" s="373"/>
      <c r="Y729" s="336">
        <f t="shared" ca="1" si="16"/>
        <v>4</v>
      </c>
      <c r="Z729" s="373"/>
      <c r="AA729" s="373"/>
      <c r="AB729" s="373"/>
    </row>
    <row r="730" spans="1:28" s="338" customFormat="1" ht="12.75" customHeight="1" x14ac:dyDescent="0.25">
      <c r="A730" s="347" t="s">
        <v>2246</v>
      </c>
      <c r="B730" s="376">
        <v>45222</v>
      </c>
      <c r="C730" s="425" t="s">
        <v>35</v>
      </c>
      <c r="D730" s="333" t="s">
        <v>2244</v>
      </c>
      <c r="E730" s="333"/>
      <c r="F730" s="374" t="s">
        <v>2247</v>
      </c>
      <c r="G730" s="372" t="s">
        <v>284</v>
      </c>
      <c r="H730" s="333">
        <v>1</v>
      </c>
      <c r="I730" s="333" t="s">
        <v>277</v>
      </c>
      <c r="J730" s="333" t="s">
        <v>102</v>
      </c>
      <c r="K730" s="333" t="s">
        <v>69</v>
      </c>
      <c r="L730" s="333"/>
      <c r="M730" s="333"/>
      <c r="N730" s="333"/>
      <c r="O730" s="333"/>
      <c r="P730" s="462">
        <v>45222</v>
      </c>
      <c r="Q730" s="333"/>
      <c r="R730" s="333"/>
      <c r="S730" s="373"/>
      <c r="T730" s="373"/>
      <c r="U730" s="373"/>
      <c r="V730" s="373"/>
      <c r="W730" s="346">
        <v>45226</v>
      </c>
      <c r="X730" s="373">
        <v>5</v>
      </c>
      <c r="Y730" s="336">
        <f t="shared" ca="1" si="16"/>
        <v>4</v>
      </c>
      <c r="Z730" s="373"/>
      <c r="AA730" s="373"/>
      <c r="AB730" s="373"/>
    </row>
    <row r="731" spans="1:28" s="338" customFormat="1" ht="12.75" customHeight="1" x14ac:dyDescent="0.25">
      <c r="A731" s="347" t="s">
        <v>2248</v>
      </c>
      <c r="B731" s="376">
        <v>45222</v>
      </c>
      <c r="C731" s="425" t="s">
        <v>35</v>
      </c>
      <c r="D731" s="333" t="s">
        <v>2244</v>
      </c>
      <c r="E731" s="333"/>
      <c r="F731" s="374" t="s">
        <v>286</v>
      </c>
      <c r="G731" s="372" t="s">
        <v>287</v>
      </c>
      <c r="H731" s="333">
        <v>1</v>
      </c>
      <c r="I731" s="333" t="s">
        <v>277</v>
      </c>
      <c r="J731" s="333" t="s">
        <v>102</v>
      </c>
      <c r="K731" s="333" t="s">
        <v>69</v>
      </c>
      <c r="L731" s="333"/>
      <c r="M731" s="333"/>
      <c r="N731" s="333"/>
      <c r="O731" s="333"/>
      <c r="P731" s="462">
        <v>45222</v>
      </c>
      <c r="Q731" s="333"/>
      <c r="R731" s="333"/>
      <c r="S731" s="373"/>
      <c r="T731" s="373"/>
      <c r="U731" s="373"/>
      <c r="V731" s="373"/>
      <c r="W731" s="346">
        <v>45226</v>
      </c>
      <c r="X731" s="373">
        <v>1</v>
      </c>
      <c r="Y731" s="336">
        <f t="shared" ca="1" si="16"/>
        <v>4</v>
      </c>
      <c r="Z731" s="373"/>
      <c r="AA731" s="373"/>
      <c r="AB731" s="373"/>
    </row>
    <row r="732" spans="1:28" s="338" customFormat="1" ht="12.75" customHeight="1" x14ac:dyDescent="0.25">
      <c r="A732" s="347" t="s">
        <v>2249</v>
      </c>
      <c r="B732" s="376">
        <v>45222</v>
      </c>
      <c r="C732" s="425" t="s">
        <v>35</v>
      </c>
      <c r="D732" s="333" t="s">
        <v>2244</v>
      </c>
      <c r="E732" s="333"/>
      <c r="F732" s="374" t="s">
        <v>2250</v>
      </c>
      <c r="G732" s="372" t="s">
        <v>276</v>
      </c>
      <c r="H732" s="333">
        <v>33</v>
      </c>
      <c r="I732" s="333" t="s">
        <v>277</v>
      </c>
      <c r="J732" s="333" t="s">
        <v>102</v>
      </c>
      <c r="K732" s="333" t="s">
        <v>69</v>
      </c>
      <c r="L732" s="333"/>
      <c r="M732" s="333"/>
      <c r="N732" s="333"/>
      <c r="O732" s="333"/>
      <c r="P732" s="462">
        <v>45222</v>
      </c>
      <c r="Q732" s="333"/>
      <c r="R732" s="333"/>
      <c r="S732" s="373"/>
      <c r="T732" s="373"/>
      <c r="U732" s="373"/>
      <c r="V732" s="373"/>
      <c r="W732" s="346">
        <v>45226</v>
      </c>
      <c r="X732" s="373"/>
      <c r="Y732" s="336">
        <f t="shared" ca="1" si="16"/>
        <v>4</v>
      </c>
      <c r="Z732" s="373"/>
      <c r="AA732" s="373"/>
      <c r="AB732" s="373"/>
    </row>
    <row r="733" spans="1:28" s="338" customFormat="1" ht="12.75" customHeight="1" x14ac:dyDescent="0.25">
      <c r="A733" s="347" t="s">
        <v>2251</v>
      </c>
      <c r="B733" s="376">
        <v>45222</v>
      </c>
      <c r="C733" s="425" t="s">
        <v>35</v>
      </c>
      <c r="D733" s="333" t="s">
        <v>2244</v>
      </c>
      <c r="E733" s="333"/>
      <c r="F733" s="374" t="s">
        <v>2252</v>
      </c>
      <c r="G733" s="372" t="s">
        <v>2253</v>
      </c>
      <c r="H733" s="333">
        <v>5</v>
      </c>
      <c r="I733" s="333" t="s">
        <v>277</v>
      </c>
      <c r="J733" s="333" t="s">
        <v>102</v>
      </c>
      <c r="K733" s="333" t="s">
        <v>69</v>
      </c>
      <c r="L733" s="333"/>
      <c r="M733" s="333"/>
      <c r="N733" s="333"/>
      <c r="O733" s="333"/>
      <c r="P733" s="462">
        <v>45222</v>
      </c>
      <c r="Q733" s="333"/>
      <c r="R733" s="333"/>
      <c r="S733" s="373"/>
      <c r="T733" s="373"/>
      <c r="U733" s="373"/>
      <c r="V733" s="373"/>
      <c r="W733" s="346">
        <v>45226</v>
      </c>
      <c r="X733" s="373"/>
      <c r="Y733" s="336">
        <f t="shared" ca="1" si="16"/>
        <v>4</v>
      </c>
      <c r="Z733" s="373"/>
      <c r="AA733" s="373"/>
      <c r="AB733" s="373"/>
    </row>
    <row r="734" spans="1:28" s="338" customFormat="1" ht="12.75" customHeight="1" x14ac:dyDescent="0.25">
      <c r="A734" s="347" t="s">
        <v>2254</v>
      </c>
      <c r="B734" s="376">
        <v>45222</v>
      </c>
      <c r="C734" s="425" t="s">
        <v>35</v>
      </c>
      <c r="D734" s="333" t="s">
        <v>2244</v>
      </c>
      <c r="E734" s="333"/>
      <c r="F734" s="374" t="s">
        <v>2255</v>
      </c>
      <c r="G734" s="372" t="s">
        <v>2253</v>
      </c>
      <c r="H734" s="333">
        <v>1</v>
      </c>
      <c r="I734" s="333" t="s">
        <v>277</v>
      </c>
      <c r="J734" s="333" t="s">
        <v>102</v>
      </c>
      <c r="K734" s="333" t="s">
        <v>69</v>
      </c>
      <c r="L734" s="333"/>
      <c r="M734" s="333"/>
      <c r="N734" s="333"/>
      <c r="O734" s="333"/>
      <c r="P734" s="462">
        <v>45222</v>
      </c>
      <c r="Q734" s="333"/>
      <c r="R734" s="333"/>
      <c r="S734" s="373"/>
      <c r="T734" s="373"/>
      <c r="U734" s="373"/>
      <c r="V734" s="373"/>
      <c r="W734" s="346">
        <v>45226</v>
      </c>
      <c r="X734" s="373">
        <v>1</v>
      </c>
      <c r="Y734" s="336">
        <f t="shared" ca="1" si="16"/>
        <v>4</v>
      </c>
      <c r="Z734" s="373"/>
      <c r="AA734" s="373"/>
      <c r="AB734" s="373"/>
    </row>
    <row r="735" spans="1:28" s="338" customFormat="1" ht="12.75" customHeight="1" x14ac:dyDescent="0.25">
      <c r="A735" s="347" t="s">
        <v>2256</v>
      </c>
      <c r="B735" s="376">
        <v>45222</v>
      </c>
      <c r="C735" s="425" t="s">
        <v>35</v>
      </c>
      <c r="D735" s="333" t="s">
        <v>2244</v>
      </c>
      <c r="E735" s="333"/>
      <c r="F735" s="374" t="s">
        <v>2257</v>
      </c>
      <c r="G735" s="372" t="s">
        <v>276</v>
      </c>
      <c r="H735" s="333">
        <v>1</v>
      </c>
      <c r="I735" s="333" t="s">
        <v>277</v>
      </c>
      <c r="J735" s="333" t="s">
        <v>102</v>
      </c>
      <c r="K735" s="333" t="s">
        <v>69</v>
      </c>
      <c r="L735" s="333"/>
      <c r="M735" s="333"/>
      <c r="N735" s="333"/>
      <c r="O735" s="333"/>
      <c r="P735" s="462">
        <v>45222</v>
      </c>
      <c r="Q735" s="333"/>
      <c r="R735" s="333"/>
      <c r="S735" s="373"/>
      <c r="T735" s="373"/>
      <c r="U735" s="373"/>
      <c r="V735" s="373"/>
      <c r="W735" s="346">
        <v>45226</v>
      </c>
      <c r="X735" s="373"/>
      <c r="Y735" s="336">
        <f t="shared" ca="1" si="16"/>
        <v>4</v>
      </c>
      <c r="Z735" s="373"/>
      <c r="AA735" s="373"/>
      <c r="AB735" s="373"/>
    </row>
    <row r="736" spans="1:28" s="338" customFormat="1" ht="12.75" customHeight="1" x14ac:dyDescent="0.25">
      <c r="A736" s="347" t="s">
        <v>2258</v>
      </c>
      <c r="B736" s="376">
        <v>45222</v>
      </c>
      <c r="C736" s="425" t="s">
        <v>35</v>
      </c>
      <c r="D736" s="333" t="s">
        <v>2244</v>
      </c>
      <c r="E736" s="333"/>
      <c r="F736" s="374" t="s">
        <v>2252</v>
      </c>
      <c r="G736" s="372" t="s">
        <v>2253</v>
      </c>
      <c r="H736" s="333">
        <v>3</v>
      </c>
      <c r="I736" s="333" t="s">
        <v>277</v>
      </c>
      <c r="J736" s="333" t="s">
        <v>102</v>
      </c>
      <c r="K736" s="333" t="s">
        <v>69</v>
      </c>
      <c r="L736" s="333"/>
      <c r="M736" s="333"/>
      <c r="N736" s="333"/>
      <c r="O736" s="333"/>
      <c r="P736" s="462">
        <v>45222</v>
      </c>
      <c r="Q736" s="333"/>
      <c r="R736" s="333"/>
      <c r="S736" s="373"/>
      <c r="T736" s="373"/>
      <c r="U736" s="373"/>
      <c r="V736" s="373"/>
      <c r="W736" s="346">
        <v>45226</v>
      </c>
      <c r="X736" s="373">
        <v>3</v>
      </c>
      <c r="Y736" s="336">
        <f t="shared" ca="1" si="16"/>
        <v>4</v>
      </c>
      <c r="Z736" s="373"/>
      <c r="AA736" s="373"/>
      <c r="AB736" s="373"/>
    </row>
    <row r="737" spans="1:28" s="338" customFormat="1" ht="12.75" customHeight="1" x14ac:dyDescent="0.25">
      <c r="A737" s="347" t="s">
        <v>2259</v>
      </c>
      <c r="B737" s="376">
        <v>45222</v>
      </c>
      <c r="C737" s="425" t="s">
        <v>35</v>
      </c>
      <c r="D737" s="333" t="s">
        <v>2244</v>
      </c>
      <c r="E737" s="333"/>
      <c r="F737" s="374" t="s">
        <v>2260</v>
      </c>
      <c r="G737" s="372" t="s">
        <v>2261</v>
      </c>
      <c r="H737" s="333">
        <v>1</v>
      </c>
      <c r="I737" s="333" t="s">
        <v>277</v>
      </c>
      <c r="J737" s="333" t="s">
        <v>102</v>
      </c>
      <c r="K737" s="333" t="s">
        <v>69</v>
      </c>
      <c r="L737" s="333"/>
      <c r="M737" s="333"/>
      <c r="N737" s="333"/>
      <c r="O737" s="333"/>
      <c r="P737" s="462">
        <v>45222</v>
      </c>
      <c r="Q737" s="333"/>
      <c r="R737" s="333"/>
      <c r="S737" s="373"/>
      <c r="T737" s="373"/>
      <c r="U737" s="373"/>
      <c r="V737" s="373"/>
      <c r="W737" s="346">
        <v>45226</v>
      </c>
      <c r="X737" s="373">
        <v>1</v>
      </c>
      <c r="Y737" s="336">
        <f t="shared" ca="1" si="16"/>
        <v>4</v>
      </c>
      <c r="Z737" s="373"/>
      <c r="AA737" s="373"/>
      <c r="AB737" s="373"/>
    </row>
    <row r="738" spans="1:28" s="338" customFormat="1" ht="12.75" customHeight="1" x14ac:dyDescent="0.25">
      <c r="A738" s="347" t="s">
        <v>2262</v>
      </c>
      <c r="B738" s="376">
        <v>45222</v>
      </c>
      <c r="C738" s="425" t="s">
        <v>35</v>
      </c>
      <c r="D738" s="333" t="s">
        <v>2244</v>
      </c>
      <c r="E738" s="333"/>
      <c r="F738" s="374" t="s">
        <v>2263</v>
      </c>
      <c r="G738" s="372" t="s">
        <v>2264</v>
      </c>
      <c r="H738" s="333">
        <v>2</v>
      </c>
      <c r="I738" s="333" t="s">
        <v>277</v>
      </c>
      <c r="J738" s="333" t="s">
        <v>102</v>
      </c>
      <c r="K738" s="333" t="s">
        <v>69</v>
      </c>
      <c r="L738" s="333"/>
      <c r="M738" s="333"/>
      <c r="N738" s="333"/>
      <c r="O738" s="333"/>
      <c r="P738" s="462">
        <v>45222</v>
      </c>
      <c r="Q738" s="333"/>
      <c r="R738" s="333"/>
      <c r="S738" s="373"/>
      <c r="T738" s="373"/>
      <c r="U738" s="373"/>
      <c r="V738" s="373"/>
      <c r="W738" s="346">
        <v>45226</v>
      </c>
      <c r="X738" s="373">
        <v>1</v>
      </c>
      <c r="Y738" s="336">
        <f t="shared" ca="1" si="16"/>
        <v>4</v>
      </c>
      <c r="Z738" s="373"/>
      <c r="AA738" s="373"/>
      <c r="AB738" s="373"/>
    </row>
    <row r="739" spans="1:28" s="338" customFormat="1" ht="12.75" customHeight="1" x14ac:dyDescent="0.25">
      <c r="A739" s="347" t="s">
        <v>2265</v>
      </c>
      <c r="B739" s="376">
        <v>45222</v>
      </c>
      <c r="C739" s="425" t="s">
        <v>35</v>
      </c>
      <c r="D739" s="333" t="s">
        <v>2244</v>
      </c>
      <c r="E739" s="333"/>
      <c r="F739" s="374" t="s">
        <v>2266</v>
      </c>
      <c r="G739" s="372" t="s">
        <v>2267</v>
      </c>
      <c r="H739" s="333">
        <v>2</v>
      </c>
      <c r="I739" s="333" t="s">
        <v>277</v>
      </c>
      <c r="J739" s="333" t="s">
        <v>102</v>
      </c>
      <c r="K739" s="333" t="s">
        <v>69</v>
      </c>
      <c r="L739" s="333"/>
      <c r="M739" s="333"/>
      <c r="N739" s="333"/>
      <c r="O739" s="333"/>
      <c r="P739" s="462">
        <v>45222</v>
      </c>
      <c r="Q739" s="333"/>
      <c r="R739" s="333"/>
      <c r="S739" s="373"/>
      <c r="T739" s="373"/>
      <c r="U739" s="373"/>
      <c r="V739" s="373"/>
      <c r="W739" s="346">
        <v>45226</v>
      </c>
      <c r="X739" s="373">
        <v>4</v>
      </c>
      <c r="Y739" s="336">
        <f t="shared" ca="1" si="16"/>
        <v>4</v>
      </c>
      <c r="Z739" s="373"/>
      <c r="AA739" s="373"/>
      <c r="AB739" s="373"/>
    </row>
    <row r="740" spans="1:28" s="338" customFormat="1" ht="12.75" customHeight="1" x14ac:dyDescent="0.25">
      <c r="A740" s="347" t="s">
        <v>2268</v>
      </c>
      <c r="B740" s="376">
        <v>45222</v>
      </c>
      <c r="C740" s="425" t="s">
        <v>35</v>
      </c>
      <c r="D740" s="333" t="s">
        <v>2244</v>
      </c>
      <c r="E740" s="333"/>
      <c r="F740" s="374" t="s">
        <v>295</v>
      </c>
      <c r="G740" s="372" t="s">
        <v>296</v>
      </c>
      <c r="H740" s="333">
        <v>2</v>
      </c>
      <c r="I740" s="333" t="s">
        <v>277</v>
      </c>
      <c r="J740" s="333" t="s">
        <v>102</v>
      </c>
      <c r="K740" s="333" t="s">
        <v>69</v>
      </c>
      <c r="L740" s="333"/>
      <c r="M740" s="333"/>
      <c r="N740" s="333"/>
      <c r="O740" s="333"/>
      <c r="P740" s="462">
        <v>45222</v>
      </c>
      <c r="Q740" s="333"/>
      <c r="R740" s="333"/>
      <c r="S740" s="373"/>
      <c r="T740" s="373"/>
      <c r="U740" s="373"/>
      <c r="V740" s="373"/>
      <c r="W740" s="346">
        <v>45226</v>
      </c>
      <c r="X740" s="373"/>
      <c r="Y740" s="336">
        <f t="shared" ca="1" si="16"/>
        <v>4</v>
      </c>
      <c r="Z740" s="373"/>
      <c r="AA740" s="373"/>
      <c r="AB740" s="373"/>
    </row>
    <row r="741" spans="1:28" s="338" customFormat="1" ht="12.75" customHeight="1" x14ac:dyDescent="0.25">
      <c r="A741" s="347" t="s">
        <v>2269</v>
      </c>
      <c r="B741" s="376">
        <v>45222</v>
      </c>
      <c r="C741" s="425" t="s">
        <v>35</v>
      </c>
      <c r="D741" s="333" t="s">
        <v>2244</v>
      </c>
      <c r="E741" s="333"/>
      <c r="F741" s="374" t="s">
        <v>2270</v>
      </c>
      <c r="G741" s="372" t="s">
        <v>2271</v>
      </c>
      <c r="H741" s="333">
        <v>2</v>
      </c>
      <c r="I741" s="333" t="s">
        <v>277</v>
      </c>
      <c r="J741" s="333" t="s">
        <v>102</v>
      </c>
      <c r="K741" s="333" t="s">
        <v>69</v>
      </c>
      <c r="L741" s="333"/>
      <c r="M741" s="333"/>
      <c r="N741" s="333"/>
      <c r="O741" s="333"/>
      <c r="P741" s="462">
        <v>45222</v>
      </c>
      <c r="Q741" s="333"/>
      <c r="R741" s="333"/>
      <c r="S741" s="373"/>
      <c r="T741" s="373"/>
      <c r="U741" s="373"/>
      <c r="V741" s="373"/>
      <c r="W741" s="346">
        <v>45226</v>
      </c>
      <c r="X741" s="373">
        <v>2</v>
      </c>
      <c r="Y741" s="336">
        <f t="shared" ca="1" si="16"/>
        <v>4</v>
      </c>
      <c r="Z741" s="373"/>
      <c r="AA741" s="373"/>
      <c r="AB741" s="373"/>
    </row>
    <row r="742" spans="1:28" s="338" customFormat="1" ht="12.75" customHeight="1" x14ac:dyDescent="0.25">
      <c r="A742" s="347" t="s">
        <v>2272</v>
      </c>
      <c r="B742" s="376">
        <v>45222</v>
      </c>
      <c r="C742" s="425" t="s">
        <v>35</v>
      </c>
      <c r="D742" s="333" t="s">
        <v>2244</v>
      </c>
      <c r="E742" s="333"/>
      <c r="F742" s="374" t="s">
        <v>2273</v>
      </c>
      <c r="G742" s="372" t="s">
        <v>2274</v>
      </c>
      <c r="H742" s="333">
        <v>1</v>
      </c>
      <c r="I742" s="333" t="s">
        <v>277</v>
      </c>
      <c r="J742" s="333" t="s">
        <v>102</v>
      </c>
      <c r="K742" s="333" t="s">
        <v>69</v>
      </c>
      <c r="L742" s="333"/>
      <c r="M742" s="333"/>
      <c r="N742" s="333"/>
      <c r="O742" s="333"/>
      <c r="P742" s="462">
        <v>45222</v>
      </c>
      <c r="Q742" s="333"/>
      <c r="R742" s="333"/>
      <c r="S742" s="373"/>
      <c r="T742" s="373"/>
      <c r="U742" s="373"/>
      <c r="V742" s="373"/>
      <c r="W742" s="346">
        <v>45226</v>
      </c>
      <c r="X742" s="373">
        <v>1</v>
      </c>
      <c r="Y742" s="336">
        <f t="shared" ca="1" si="16"/>
        <v>4</v>
      </c>
      <c r="Z742" s="373"/>
      <c r="AA742" s="373"/>
      <c r="AB742" s="373"/>
    </row>
    <row r="743" spans="1:28" s="338" customFormat="1" ht="12.75" customHeight="1" x14ac:dyDescent="0.25">
      <c r="A743" s="347" t="s">
        <v>2275</v>
      </c>
      <c r="B743" s="376">
        <v>45222</v>
      </c>
      <c r="C743" s="425" t="s">
        <v>35</v>
      </c>
      <c r="D743" s="333" t="s">
        <v>2244</v>
      </c>
      <c r="E743" s="333"/>
      <c r="F743" s="374" t="s">
        <v>2276</v>
      </c>
      <c r="G743" s="372" t="s">
        <v>2274</v>
      </c>
      <c r="H743" s="333">
        <v>6</v>
      </c>
      <c r="I743" s="333" t="s">
        <v>277</v>
      </c>
      <c r="J743" s="333" t="s">
        <v>102</v>
      </c>
      <c r="K743" s="333" t="s">
        <v>69</v>
      </c>
      <c r="L743" s="333"/>
      <c r="M743" s="333"/>
      <c r="N743" s="333"/>
      <c r="O743" s="333"/>
      <c r="P743" s="462">
        <v>45222</v>
      </c>
      <c r="Q743" s="333"/>
      <c r="R743" s="333"/>
      <c r="S743" s="373"/>
      <c r="T743" s="373"/>
      <c r="U743" s="373"/>
      <c r="V743" s="373"/>
      <c r="W743" s="346">
        <v>45226</v>
      </c>
      <c r="X743" s="373">
        <v>1</v>
      </c>
      <c r="Y743" s="336">
        <f t="shared" ca="1" si="16"/>
        <v>4</v>
      </c>
      <c r="Z743" s="373"/>
      <c r="AA743" s="373"/>
      <c r="AB743" s="373"/>
    </row>
    <row r="744" spans="1:28" s="338" customFormat="1" ht="12.75" customHeight="1" x14ac:dyDescent="0.25">
      <c r="A744" s="347" t="s">
        <v>2277</v>
      </c>
      <c r="B744" s="376">
        <v>45222</v>
      </c>
      <c r="C744" s="425" t="s">
        <v>35</v>
      </c>
      <c r="D744" s="333" t="s">
        <v>2244</v>
      </c>
      <c r="E744" s="333"/>
      <c r="F744" s="374" t="s">
        <v>2278</v>
      </c>
      <c r="G744" s="372" t="s">
        <v>2279</v>
      </c>
      <c r="H744" s="333">
        <v>1</v>
      </c>
      <c r="I744" s="333" t="s">
        <v>277</v>
      </c>
      <c r="J744" s="333" t="s">
        <v>102</v>
      </c>
      <c r="K744" s="333" t="s">
        <v>69</v>
      </c>
      <c r="L744" s="333"/>
      <c r="M744" s="333"/>
      <c r="N744" s="333"/>
      <c r="O744" s="333"/>
      <c r="P744" s="462">
        <v>45222</v>
      </c>
      <c r="Q744" s="333"/>
      <c r="R744" s="333"/>
      <c r="S744" s="373"/>
      <c r="T744" s="373"/>
      <c r="U744" s="373"/>
      <c r="V744" s="373"/>
      <c r="W744" s="346">
        <v>45226</v>
      </c>
      <c r="X744" s="373"/>
      <c r="Y744" s="336">
        <f t="shared" ca="1" si="16"/>
        <v>4</v>
      </c>
      <c r="Z744" s="373"/>
      <c r="AA744" s="373"/>
      <c r="AB744" s="373"/>
    </row>
    <row r="745" spans="1:28" s="338" customFormat="1" ht="12.75" customHeight="1" x14ac:dyDescent="0.25">
      <c r="A745" s="347" t="s">
        <v>2280</v>
      </c>
      <c r="B745" s="376">
        <v>45222</v>
      </c>
      <c r="C745" s="425" t="s">
        <v>35</v>
      </c>
      <c r="D745" s="333" t="s">
        <v>2244</v>
      </c>
      <c r="E745" s="333"/>
      <c r="F745" s="374" t="s">
        <v>2281</v>
      </c>
      <c r="G745" s="372" t="s">
        <v>2267</v>
      </c>
      <c r="H745" s="333">
        <v>2</v>
      </c>
      <c r="I745" s="333" t="s">
        <v>277</v>
      </c>
      <c r="J745" s="333" t="s">
        <v>102</v>
      </c>
      <c r="K745" s="333" t="s">
        <v>69</v>
      </c>
      <c r="L745" s="333"/>
      <c r="M745" s="333"/>
      <c r="N745" s="333"/>
      <c r="O745" s="333"/>
      <c r="P745" s="462">
        <v>45222</v>
      </c>
      <c r="Q745" s="333"/>
      <c r="R745" s="333"/>
      <c r="S745" s="373"/>
      <c r="T745" s="373"/>
      <c r="U745" s="373"/>
      <c r="V745" s="373"/>
      <c r="W745" s="346">
        <v>45226</v>
      </c>
      <c r="X745" s="373"/>
      <c r="Y745" s="336">
        <f t="shared" ca="1" si="16"/>
        <v>4</v>
      </c>
      <c r="Z745" s="373"/>
      <c r="AA745" s="373"/>
      <c r="AB745" s="373"/>
    </row>
    <row r="746" spans="1:28" s="338" customFormat="1" ht="12.75" customHeight="1" x14ac:dyDescent="0.25">
      <c r="A746" s="347" t="s">
        <v>2282</v>
      </c>
      <c r="B746" s="376">
        <v>45222</v>
      </c>
      <c r="C746" s="425" t="s">
        <v>35</v>
      </c>
      <c r="D746" s="333" t="s">
        <v>2244</v>
      </c>
      <c r="E746" s="333"/>
      <c r="F746" s="374" t="s">
        <v>2283</v>
      </c>
      <c r="G746" s="372" t="s">
        <v>2284</v>
      </c>
      <c r="H746" s="333">
        <v>4</v>
      </c>
      <c r="I746" s="333" t="s">
        <v>277</v>
      </c>
      <c r="J746" s="333" t="s">
        <v>102</v>
      </c>
      <c r="K746" s="333" t="s">
        <v>69</v>
      </c>
      <c r="L746" s="333"/>
      <c r="M746" s="333"/>
      <c r="N746" s="333"/>
      <c r="O746" s="333"/>
      <c r="P746" s="462">
        <v>45222</v>
      </c>
      <c r="Q746" s="333"/>
      <c r="R746" s="333"/>
      <c r="S746" s="373"/>
      <c r="T746" s="373"/>
      <c r="U746" s="373"/>
      <c r="V746" s="373"/>
      <c r="W746" s="346">
        <v>45226</v>
      </c>
      <c r="X746" s="373"/>
      <c r="Y746" s="336">
        <f t="shared" ca="1" si="16"/>
        <v>4</v>
      </c>
      <c r="Z746" s="373"/>
      <c r="AA746" s="373"/>
      <c r="AB746" s="373"/>
    </row>
    <row r="747" spans="1:28" s="338" customFormat="1" ht="12.75" customHeight="1" x14ac:dyDescent="0.25">
      <c r="A747" s="347" t="s">
        <v>2285</v>
      </c>
      <c r="B747" s="376">
        <v>45222</v>
      </c>
      <c r="C747" s="425" t="s">
        <v>35</v>
      </c>
      <c r="D747" s="333" t="s">
        <v>2244</v>
      </c>
      <c r="E747" s="333"/>
      <c r="F747" s="374" t="s">
        <v>2286</v>
      </c>
      <c r="G747" s="372" t="s">
        <v>2287</v>
      </c>
      <c r="H747" s="333">
        <v>1</v>
      </c>
      <c r="I747" s="333" t="s">
        <v>277</v>
      </c>
      <c r="J747" s="333" t="s">
        <v>102</v>
      </c>
      <c r="K747" s="333" t="s">
        <v>69</v>
      </c>
      <c r="L747" s="333"/>
      <c r="M747" s="333"/>
      <c r="N747" s="333"/>
      <c r="O747" s="333"/>
      <c r="P747" s="462">
        <v>45222</v>
      </c>
      <c r="Q747" s="333"/>
      <c r="R747" s="333"/>
      <c r="S747" s="373"/>
      <c r="T747" s="373"/>
      <c r="U747" s="373"/>
      <c r="V747" s="373"/>
      <c r="W747" s="346">
        <v>45226</v>
      </c>
      <c r="X747" s="373"/>
      <c r="Y747" s="336">
        <f t="shared" ca="1" si="16"/>
        <v>4</v>
      </c>
      <c r="Z747" s="373"/>
      <c r="AA747" s="373"/>
      <c r="AB747" s="373"/>
    </row>
    <row r="748" spans="1:28" s="338" customFormat="1" ht="12.75" customHeight="1" x14ac:dyDescent="0.25">
      <c r="A748" s="347" t="s">
        <v>2288</v>
      </c>
      <c r="B748" s="376">
        <v>45222</v>
      </c>
      <c r="C748" s="425" t="s">
        <v>35</v>
      </c>
      <c r="D748" s="333" t="s">
        <v>2244</v>
      </c>
      <c r="E748" s="333"/>
      <c r="F748" s="374" t="s">
        <v>2289</v>
      </c>
      <c r="G748" s="372" t="s">
        <v>2290</v>
      </c>
      <c r="H748" s="333">
        <v>1</v>
      </c>
      <c r="I748" s="333" t="s">
        <v>277</v>
      </c>
      <c r="J748" s="333" t="s">
        <v>102</v>
      </c>
      <c r="K748" s="333" t="s">
        <v>69</v>
      </c>
      <c r="L748" s="333"/>
      <c r="M748" s="333"/>
      <c r="N748" s="333"/>
      <c r="O748" s="333"/>
      <c r="P748" s="462">
        <v>45222</v>
      </c>
      <c r="Q748" s="333"/>
      <c r="R748" s="333"/>
      <c r="S748" s="373"/>
      <c r="T748" s="373"/>
      <c r="U748" s="373"/>
      <c r="V748" s="373"/>
      <c r="W748" s="346">
        <v>44938</v>
      </c>
      <c r="X748" s="373"/>
      <c r="Y748" s="336">
        <f t="shared" ca="1" si="16"/>
        <v>-284</v>
      </c>
      <c r="Z748" s="373"/>
      <c r="AA748" s="373"/>
      <c r="AB748" s="373"/>
    </row>
    <row r="749" spans="1:28" s="338" customFormat="1" ht="12.75" customHeight="1" x14ac:dyDescent="0.25">
      <c r="A749" s="347" t="s">
        <v>2291</v>
      </c>
      <c r="B749" s="376">
        <v>45222</v>
      </c>
      <c r="C749" s="425" t="s">
        <v>35</v>
      </c>
      <c r="D749" s="333" t="s">
        <v>2244</v>
      </c>
      <c r="E749" s="333"/>
      <c r="F749" s="374" t="s">
        <v>2292</v>
      </c>
      <c r="G749" s="372" t="s">
        <v>2253</v>
      </c>
      <c r="H749" s="333">
        <v>2</v>
      </c>
      <c r="I749" s="333" t="s">
        <v>277</v>
      </c>
      <c r="J749" s="333" t="s">
        <v>102</v>
      </c>
      <c r="K749" s="333" t="s">
        <v>69</v>
      </c>
      <c r="L749" s="333"/>
      <c r="M749" s="333"/>
      <c r="N749" s="333"/>
      <c r="O749" s="333"/>
      <c r="P749" s="462">
        <v>45222</v>
      </c>
      <c r="Q749" s="333"/>
      <c r="R749" s="333"/>
      <c r="S749" s="373"/>
      <c r="T749" s="373"/>
      <c r="U749" s="373"/>
      <c r="V749" s="373"/>
      <c r="W749" s="346">
        <v>45226</v>
      </c>
      <c r="X749" s="373"/>
      <c r="Y749" s="336">
        <f t="shared" ca="1" si="16"/>
        <v>4</v>
      </c>
      <c r="Z749" s="373"/>
      <c r="AA749" s="373"/>
      <c r="AB749" s="373"/>
    </row>
    <row r="750" spans="1:28" s="338" customFormat="1" ht="12.75" customHeight="1" x14ac:dyDescent="0.25">
      <c r="A750" s="347" t="s">
        <v>2293</v>
      </c>
      <c r="B750" s="376">
        <v>45222</v>
      </c>
      <c r="C750" s="425" t="s">
        <v>35</v>
      </c>
      <c r="D750" s="333" t="s">
        <v>2244</v>
      </c>
      <c r="E750" s="333"/>
      <c r="F750" s="374" t="s">
        <v>275</v>
      </c>
      <c r="G750" s="372" t="s">
        <v>276</v>
      </c>
      <c r="H750" s="333">
        <v>2</v>
      </c>
      <c r="I750" s="333" t="s">
        <v>277</v>
      </c>
      <c r="J750" s="333" t="s">
        <v>102</v>
      </c>
      <c r="K750" s="333" t="s">
        <v>69</v>
      </c>
      <c r="L750" s="333"/>
      <c r="M750" s="333"/>
      <c r="N750" s="333"/>
      <c r="O750" s="333"/>
      <c r="P750" s="462">
        <v>45222</v>
      </c>
      <c r="Q750" s="333"/>
      <c r="R750" s="333"/>
      <c r="S750" s="373"/>
      <c r="T750" s="373"/>
      <c r="U750" s="373"/>
      <c r="V750" s="373"/>
      <c r="W750" s="346">
        <v>44938</v>
      </c>
      <c r="X750" s="373"/>
      <c r="Y750" s="336">
        <f t="shared" ca="1" si="16"/>
        <v>-284</v>
      </c>
      <c r="Z750" s="373"/>
      <c r="AA750" s="373"/>
      <c r="AB750" s="373"/>
    </row>
    <row r="751" spans="1:28" s="338" customFormat="1" ht="12.75" customHeight="1" x14ac:dyDescent="0.25">
      <c r="A751" s="347" t="s">
        <v>2294</v>
      </c>
      <c r="B751" s="376">
        <v>45222</v>
      </c>
      <c r="C751" s="425" t="s">
        <v>35</v>
      </c>
      <c r="D751" s="333" t="s">
        <v>2244</v>
      </c>
      <c r="E751" s="333"/>
      <c r="F751" s="374" t="s">
        <v>2295</v>
      </c>
      <c r="G751" s="372" t="s">
        <v>2267</v>
      </c>
      <c r="H751" s="333">
        <v>2</v>
      </c>
      <c r="I751" s="333" t="s">
        <v>277</v>
      </c>
      <c r="J751" s="333" t="s">
        <v>102</v>
      </c>
      <c r="K751" s="333" t="s">
        <v>69</v>
      </c>
      <c r="L751" s="333"/>
      <c r="M751" s="333"/>
      <c r="N751" s="333"/>
      <c r="O751" s="333"/>
      <c r="P751" s="462">
        <v>45222</v>
      </c>
      <c r="Q751" s="333"/>
      <c r="R751" s="333"/>
      <c r="S751" s="373"/>
      <c r="T751" s="373"/>
      <c r="U751" s="373"/>
      <c r="V751" s="373"/>
      <c r="W751" s="346">
        <v>45209</v>
      </c>
      <c r="X751" s="373"/>
      <c r="Y751" s="336">
        <f t="shared" ca="1" si="16"/>
        <v>-13</v>
      </c>
      <c r="Z751" s="373"/>
      <c r="AA751" s="373"/>
      <c r="AB751" s="373"/>
    </row>
    <row r="752" spans="1:28" s="338" customFormat="1" ht="12.75" customHeight="1" x14ac:dyDescent="0.25">
      <c r="A752" s="347" t="s">
        <v>2296</v>
      </c>
      <c r="B752" s="376">
        <v>45222</v>
      </c>
      <c r="C752" s="425" t="s">
        <v>35</v>
      </c>
      <c r="D752" s="333" t="s">
        <v>2244</v>
      </c>
      <c r="E752" s="333"/>
      <c r="F752" s="374" t="s">
        <v>2297</v>
      </c>
      <c r="G752" s="372" t="s">
        <v>1785</v>
      </c>
      <c r="H752" s="333">
        <v>4</v>
      </c>
      <c r="I752" s="333" t="s">
        <v>277</v>
      </c>
      <c r="J752" s="333" t="s">
        <v>102</v>
      </c>
      <c r="K752" s="333" t="s">
        <v>69</v>
      </c>
      <c r="L752" s="333"/>
      <c r="M752" s="333"/>
      <c r="N752" s="333"/>
      <c r="O752" s="333"/>
      <c r="P752" s="462">
        <v>45222</v>
      </c>
      <c r="Q752" s="333"/>
      <c r="R752" s="333"/>
      <c r="S752" s="373"/>
      <c r="T752" s="373"/>
      <c r="U752" s="373"/>
      <c r="V752" s="373"/>
      <c r="W752" s="346">
        <v>45261</v>
      </c>
      <c r="X752" s="373">
        <v>4</v>
      </c>
      <c r="Y752" s="336">
        <f t="shared" ca="1" si="16"/>
        <v>39</v>
      </c>
      <c r="Z752" s="373"/>
      <c r="AA752" s="373"/>
      <c r="AB752" s="373"/>
    </row>
    <row r="753" spans="1:28" s="338" customFormat="1" ht="12.75" customHeight="1" x14ac:dyDescent="0.25">
      <c r="A753" s="347" t="s">
        <v>2298</v>
      </c>
      <c r="B753" s="376">
        <v>45222</v>
      </c>
      <c r="C753" s="425" t="s">
        <v>35</v>
      </c>
      <c r="D753" s="333" t="s">
        <v>2244</v>
      </c>
      <c r="E753" s="333"/>
      <c r="F753" s="374" t="s">
        <v>2299</v>
      </c>
      <c r="G753" s="372" t="s">
        <v>1785</v>
      </c>
      <c r="H753" s="333">
        <v>10</v>
      </c>
      <c r="I753" s="333" t="s">
        <v>277</v>
      </c>
      <c r="J753" s="333" t="s">
        <v>102</v>
      </c>
      <c r="K753" s="333" t="s">
        <v>69</v>
      </c>
      <c r="L753" s="333"/>
      <c r="M753" s="333"/>
      <c r="N753" s="333"/>
      <c r="O753" s="333"/>
      <c r="P753" s="462">
        <v>45222</v>
      </c>
      <c r="Q753" s="333"/>
      <c r="R753" s="333"/>
      <c r="S753" s="373"/>
      <c r="T753" s="373"/>
      <c r="U753" s="373"/>
      <c r="V753" s="373"/>
      <c r="W753" s="346">
        <v>45261</v>
      </c>
      <c r="X753" s="373">
        <v>10</v>
      </c>
      <c r="Y753" s="336">
        <f t="shared" ca="1" si="16"/>
        <v>39</v>
      </c>
      <c r="Z753" s="373"/>
      <c r="AA753" s="373"/>
      <c r="AB753" s="373"/>
    </row>
    <row r="754" spans="1:28" s="338" customFormat="1" ht="12.75" customHeight="1" x14ac:dyDescent="0.25">
      <c r="A754" s="347" t="s">
        <v>2300</v>
      </c>
      <c r="B754" s="376">
        <v>45222</v>
      </c>
      <c r="C754" s="425" t="s">
        <v>35</v>
      </c>
      <c r="D754" s="333" t="s">
        <v>2244</v>
      </c>
      <c r="E754" s="333"/>
      <c r="F754" s="374" t="s">
        <v>2301</v>
      </c>
      <c r="G754" s="372" t="s">
        <v>1785</v>
      </c>
      <c r="H754" s="333">
        <v>1</v>
      </c>
      <c r="I754" s="333" t="s">
        <v>277</v>
      </c>
      <c r="J754" s="333" t="s">
        <v>102</v>
      </c>
      <c r="K754" s="333" t="s">
        <v>69</v>
      </c>
      <c r="L754" s="333"/>
      <c r="M754" s="333"/>
      <c r="N754" s="333"/>
      <c r="O754" s="333"/>
      <c r="P754" s="462">
        <v>45222</v>
      </c>
      <c r="Q754" s="333"/>
      <c r="R754" s="333"/>
      <c r="S754" s="373"/>
      <c r="T754" s="373"/>
      <c r="U754" s="373"/>
      <c r="V754" s="373"/>
      <c r="W754" s="346">
        <v>45261</v>
      </c>
      <c r="X754" s="373">
        <v>1</v>
      </c>
      <c r="Y754" s="336">
        <f t="shared" ca="1" si="16"/>
        <v>39</v>
      </c>
      <c r="Z754" s="373"/>
      <c r="AA754" s="373"/>
      <c r="AB754" s="373"/>
    </row>
    <row r="755" spans="1:28" s="338" customFormat="1" ht="12.75" customHeight="1" x14ac:dyDescent="0.25">
      <c r="A755" s="347" t="s">
        <v>2302</v>
      </c>
      <c r="B755" s="376">
        <v>45222</v>
      </c>
      <c r="C755" s="425" t="s">
        <v>35</v>
      </c>
      <c r="D755" s="333" t="s">
        <v>2244</v>
      </c>
      <c r="E755" s="333"/>
      <c r="F755" s="374" t="s">
        <v>2303</v>
      </c>
      <c r="G755" s="372" t="s">
        <v>1785</v>
      </c>
      <c r="H755" s="333">
        <v>2</v>
      </c>
      <c r="I755" s="333" t="s">
        <v>277</v>
      </c>
      <c r="J755" s="333" t="s">
        <v>102</v>
      </c>
      <c r="K755" s="333" t="s">
        <v>69</v>
      </c>
      <c r="L755" s="333"/>
      <c r="M755" s="333"/>
      <c r="N755" s="333"/>
      <c r="O755" s="333"/>
      <c r="P755" s="462">
        <v>45222</v>
      </c>
      <c r="Q755" s="333"/>
      <c r="R755" s="333"/>
      <c r="S755" s="373"/>
      <c r="T755" s="373"/>
      <c r="U755" s="373"/>
      <c r="V755" s="373"/>
      <c r="W755" s="346">
        <v>45261</v>
      </c>
      <c r="X755" s="373">
        <v>2</v>
      </c>
      <c r="Y755" s="336">
        <f t="shared" ca="1" si="16"/>
        <v>39</v>
      </c>
      <c r="Z755" s="373"/>
      <c r="AA755" s="373"/>
      <c r="AB755" s="373"/>
    </row>
    <row r="756" spans="1:28" s="338" customFormat="1" ht="12.75" customHeight="1" x14ac:dyDescent="0.25">
      <c r="A756" s="347" t="s">
        <v>2304</v>
      </c>
      <c r="B756" s="376">
        <v>45222</v>
      </c>
      <c r="C756" s="425" t="s">
        <v>35</v>
      </c>
      <c r="D756" s="333" t="s">
        <v>2244</v>
      </c>
      <c r="E756" s="333"/>
      <c r="F756" s="374" t="s">
        <v>2305</v>
      </c>
      <c r="G756" s="372" t="s">
        <v>2306</v>
      </c>
      <c r="H756" s="333">
        <v>172</v>
      </c>
      <c r="I756" s="333" t="s">
        <v>277</v>
      </c>
      <c r="J756" s="333" t="s">
        <v>102</v>
      </c>
      <c r="K756" s="333" t="s">
        <v>69</v>
      </c>
      <c r="L756" s="333"/>
      <c r="M756" s="333"/>
      <c r="N756" s="333"/>
      <c r="O756" s="333"/>
      <c r="P756" s="462">
        <v>45222</v>
      </c>
      <c r="Q756" s="333"/>
      <c r="R756" s="333"/>
      <c r="S756" s="373"/>
      <c r="T756" s="373"/>
      <c r="U756" s="373"/>
      <c r="V756" s="373"/>
      <c r="W756" s="346">
        <v>45261</v>
      </c>
      <c r="X756" s="373">
        <v>172</v>
      </c>
      <c r="Y756" s="336">
        <f t="shared" ca="1" si="16"/>
        <v>39</v>
      </c>
      <c r="Z756" s="373"/>
      <c r="AA756" s="373"/>
      <c r="AB756" s="373"/>
    </row>
    <row r="757" spans="1:28" s="338" customFormat="1" ht="12.75" customHeight="1" x14ac:dyDescent="0.25">
      <c r="A757" s="347" t="s">
        <v>2307</v>
      </c>
      <c r="B757" s="376">
        <v>45222</v>
      </c>
      <c r="C757" s="425" t="s">
        <v>35</v>
      </c>
      <c r="D757" s="333" t="s">
        <v>2244</v>
      </c>
      <c r="E757" s="333"/>
      <c r="F757" s="374" t="s">
        <v>2308</v>
      </c>
      <c r="G757" s="372" t="s">
        <v>2309</v>
      </c>
      <c r="H757" s="333">
        <v>8</v>
      </c>
      <c r="I757" s="333" t="s">
        <v>277</v>
      </c>
      <c r="J757" s="333" t="s">
        <v>102</v>
      </c>
      <c r="K757" s="333" t="s">
        <v>69</v>
      </c>
      <c r="L757" s="333"/>
      <c r="M757" s="333"/>
      <c r="N757" s="333"/>
      <c r="O757" s="333"/>
      <c r="P757" s="462">
        <v>45222</v>
      </c>
      <c r="Q757" s="333"/>
      <c r="R757" s="333"/>
      <c r="S757" s="373"/>
      <c r="T757" s="373"/>
      <c r="U757" s="373"/>
      <c r="V757" s="373"/>
      <c r="W757" s="346">
        <v>45261</v>
      </c>
      <c r="X757" s="373">
        <v>8</v>
      </c>
      <c r="Y757" s="336">
        <f t="shared" ca="1" si="16"/>
        <v>39</v>
      </c>
      <c r="Z757" s="373"/>
      <c r="AA757" s="373"/>
      <c r="AB757" s="373"/>
    </row>
    <row r="758" spans="1:28" s="338" customFormat="1" ht="12.75" customHeight="1" x14ac:dyDescent="0.25">
      <c r="A758" s="347" t="s">
        <v>2310</v>
      </c>
      <c r="B758" s="376">
        <v>45222</v>
      </c>
      <c r="C758" s="425" t="s">
        <v>35</v>
      </c>
      <c r="D758" s="333" t="s">
        <v>2244</v>
      </c>
      <c r="E758" s="333"/>
      <c r="F758" s="374" t="s">
        <v>2311</v>
      </c>
      <c r="G758" s="372" t="s">
        <v>2309</v>
      </c>
      <c r="H758" s="333">
        <v>8</v>
      </c>
      <c r="I758" s="333" t="s">
        <v>277</v>
      </c>
      <c r="J758" s="333" t="s">
        <v>102</v>
      </c>
      <c r="K758" s="333" t="s">
        <v>69</v>
      </c>
      <c r="L758" s="333"/>
      <c r="M758" s="333"/>
      <c r="N758" s="333"/>
      <c r="O758" s="333"/>
      <c r="P758" s="462">
        <v>45222</v>
      </c>
      <c r="Q758" s="333"/>
      <c r="R758" s="333"/>
      <c r="S758" s="373"/>
      <c r="T758" s="373"/>
      <c r="U758" s="373"/>
      <c r="V758" s="373"/>
      <c r="W758" s="346">
        <v>45261</v>
      </c>
      <c r="X758" s="373">
        <v>8</v>
      </c>
      <c r="Y758" s="336">
        <f t="shared" ca="1" si="16"/>
        <v>39</v>
      </c>
      <c r="Z758" s="373"/>
      <c r="AA758" s="373"/>
      <c r="AB758" s="373"/>
    </row>
    <row r="759" spans="1:28" s="338" customFormat="1" ht="12.75" customHeight="1" x14ac:dyDescent="0.25">
      <c r="A759" s="347" t="s">
        <v>2312</v>
      </c>
      <c r="B759" s="376">
        <v>45222</v>
      </c>
      <c r="C759" s="425" t="s">
        <v>35</v>
      </c>
      <c r="D759" s="333" t="s">
        <v>2244</v>
      </c>
      <c r="E759" s="333"/>
      <c r="F759" s="374" t="s">
        <v>2313</v>
      </c>
      <c r="G759" s="372" t="s">
        <v>2314</v>
      </c>
      <c r="H759" s="333">
        <v>4</v>
      </c>
      <c r="I759" s="333" t="s">
        <v>277</v>
      </c>
      <c r="J759" s="333" t="s">
        <v>102</v>
      </c>
      <c r="K759" s="333" t="s">
        <v>69</v>
      </c>
      <c r="L759" s="333"/>
      <c r="M759" s="333"/>
      <c r="N759" s="333"/>
      <c r="O759" s="333"/>
      <c r="P759" s="462">
        <v>45222</v>
      </c>
      <c r="Q759" s="333"/>
      <c r="R759" s="333"/>
      <c r="S759" s="373"/>
      <c r="T759" s="373"/>
      <c r="U759" s="373"/>
      <c r="V759" s="373"/>
      <c r="W759" s="346">
        <v>45261</v>
      </c>
      <c r="X759" s="373">
        <v>4</v>
      </c>
      <c r="Y759" s="336">
        <f t="shared" ca="1" si="16"/>
        <v>39</v>
      </c>
      <c r="Z759" s="373"/>
      <c r="AA759" s="373"/>
      <c r="AB759" s="373"/>
    </row>
    <row r="760" spans="1:28" s="338" customFormat="1" ht="12.75" customHeight="1" x14ac:dyDescent="0.25">
      <c r="A760" s="347" t="s">
        <v>2315</v>
      </c>
      <c r="B760" s="376">
        <v>45222</v>
      </c>
      <c r="C760" s="425" t="s">
        <v>35</v>
      </c>
      <c r="D760" s="333" t="s">
        <v>2244</v>
      </c>
      <c r="E760" s="333"/>
      <c r="F760" s="374" t="s">
        <v>2316</v>
      </c>
      <c r="G760" s="372" t="s">
        <v>2314</v>
      </c>
      <c r="H760" s="333">
        <v>2</v>
      </c>
      <c r="I760" s="333" t="s">
        <v>277</v>
      </c>
      <c r="J760" s="333" t="s">
        <v>102</v>
      </c>
      <c r="K760" s="333" t="s">
        <v>69</v>
      </c>
      <c r="L760" s="333"/>
      <c r="M760" s="333"/>
      <c r="N760" s="333"/>
      <c r="O760" s="333"/>
      <c r="P760" s="462">
        <v>45222</v>
      </c>
      <c r="Q760" s="333"/>
      <c r="R760" s="333"/>
      <c r="S760" s="373"/>
      <c r="T760" s="373"/>
      <c r="U760" s="373"/>
      <c r="V760" s="373"/>
      <c r="W760" s="346">
        <v>45261</v>
      </c>
      <c r="X760" s="373">
        <v>2</v>
      </c>
      <c r="Y760" s="336">
        <f t="shared" ca="1" si="16"/>
        <v>39</v>
      </c>
      <c r="Z760" s="373"/>
      <c r="AA760" s="373"/>
      <c r="AB760" s="373"/>
    </row>
    <row r="761" spans="1:28" s="338" customFormat="1" ht="12.75" customHeight="1" x14ac:dyDescent="0.25">
      <c r="A761" s="347" t="s">
        <v>2317</v>
      </c>
      <c r="B761" s="376">
        <v>45222</v>
      </c>
      <c r="C761" s="425" t="s">
        <v>35</v>
      </c>
      <c r="D761" s="333" t="s">
        <v>2244</v>
      </c>
      <c r="E761" s="333"/>
      <c r="F761" s="374" t="s">
        <v>2318</v>
      </c>
      <c r="G761" s="372" t="s">
        <v>2314</v>
      </c>
      <c r="H761" s="333">
        <v>6</v>
      </c>
      <c r="I761" s="333" t="s">
        <v>277</v>
      </c>
      <c r="J761" s="333" t="s">
        <v>102</v>
      </c>
      <c r="K761" s="333" t="s">
        <v>69</v>
      </c>
      <c r="L761" s="333"/>
      <c r="M761" s="333"/>
      <c r="N761" s="333"/>
      <c r="O761" s="333"/>
      <c r="P761" s="462">
        <v>45222</v>
      </c>
      <c r="Q761" s="333"/>
      <c r="R761" s="333"/>
      <c r="S761" s="373"/>
      <c r="T761" s="373"/>
      <c r="U761" s="373"/>
      <c r="V761" s="373"/>
      <c r="W761" s="346">
        <v>45261</v>
      </c>
      <c r="X761" s="373">
        <v>6</v>
      </c>
      <c r="Y761" s="336">
        <f t="shared" ca="1" si="16"/>
        <v>39</v>
      </c>
      <c r="Z761" s="373"/>
      <c r="AA761" s="373"/>
      <c r="AB761" s="373"/>
    </row>
    <row r="762" spans="1:28" s="338" customFormat="1" ht="12.75" customHeight="1" x14ac:dyDescent="0.25">
      <c r="A762" s="347" t="s">
        <v>2319</v>
      </c>
      <c r="B762" s="376">
        <v>45222</v>
      </c>
      <c r="C762" s="425" t="s">
        <v>35</v>
      </c>
      <c r="D762" s="333" t="s">
        <v>2244</v>
      </c>
      <c r="E762" s="333"/>
      <c r="F762" s="374" t="s">
        <v>2320</v>
      </c>
      <c r="G762" s="372" t="s">
        <v>2314</v>
      </c>
      <c r="H762" s="333">
        <v>1</v>
      </c>
      <c r="I762" s="333" t="s">
        <v>277</v>
      </c>
      <c r="J762" s="333" t="s">
        <v>102</v>
      </c>
      <c r="K762" s="333" t="s">
        <v>69</v>
      </c>
      <c r="L762" s="333"/>
      <c r="M762" s="333"/>
      <c r="N762" s="333"/>
      <c r="O762" s="333"/>
      <c r="P762" s="462">
        <v>45222</v>
      </c>
      <c r="Q762" s="333"/>
      <c r="R762" s="333"/>
      <c r="S762" s="373"/>
      <c r="T762" s="373"/>
      <c r="U762" s="373"/>
      <c r="V762" s="373"/>
      <c r="W762" s="346">
        <v>45261</v>
      </c>
      <c r="X762" s="373">
        <v>1</v>
      </c>
      <c r="Y762" s="336">
        <f t="shared" ca="1" si="16"/>
        <v>39</v>
      </c>
      <c r="Z762" s="373"/>
      <c r="AA762" s="373"/>
      <c r="AB762" s="373"/>
    </row>
    <row r="763" spans="1:28" s="338" customFormat="1" ht="12.75" customHeight="1" x14ac:dyDescent="0.25">
      <c r="A763" s="347" t="s">
        <v>2321</v>
      </c>
      <c r="B763" s="376">
        <v>45222</v>
      </c>
      <c r="C763" s="425" t="s">
        <v>35</v>
      </c>
      <c r="D763" s="333" t="s">
        <v>2244</v>
      </c>
      <c r="E763" s="333"/>
      <c r="F763" s="374" t="s">
        <v>2322</v>
      </c>
      <c r="G763" s="372" t="s">
        <v>2323</v>
      </c>
      <c r="H763" s="333">
        <v>69</v>
      </c>
      <c r="I763" s="333" t="s">
        <v>277</v>
      </c>
      <c r="J763" s="333" t="s">
        <v>102</v>
      </c>
      <c r="K763" s="333" t="s">
        <v>69</v>
      </c>
      <c r="L763" s="333"/>
      <c r="M763" s="333"/>
      <c r="N763" s="333"/>
      <c r="O763" s="333"/>
      <c r="P763" s="462">
        <v>45222</v>
      </c>
      <c r="Q763" s="333"/>
      <c r="R763" s="333"/>
      <c r="S763" s="373"/>
      <c r="T763" s="373"/>
      <c r="U763" s="373"/>
      <c r="V763" s="373"/>
      <c r="W763" s="346">
        <v>45261</v>
      </c>
      <c r="X763" s="373">
        <v>75</v>
      </c>
      <c r="Y763" s="336">
        <f t="shared" ca="1" si="16"/>
        <v>39</v>
      </c>
      <c r="Z763" s="373"/>
      <c r="AA763" s="373"/>
      <c r="AB763" s="373" t="s">
        <v>2324</v>
      </c>
    </row>
    <row r="764" spans="1:28" s="338" customFormat="1" ht="12.75" customHeight="1" x14ac:dyDescent="0.25">
      <c r="A764" s="347" t="s">
        <v>2325</v>
      </c>
      <c r="B764" s="376">
        <v>45222</v>
      </c>
      <c r="C764" s="425" t="s">
        <v>35</v>
      </c>
      <c r="D764" s="333" t="s">
        <v>2244</v>
      </c>
      <c r="E764" s="333"/>
      <c r="F764" s="374" t="s">
        <v>2326</v>
      </c>
      <c r="G764" s="372" t="s">
        <v>1175</v>
      </c>
      <c r="H764" s="333">
        <v>1</v>
      </c>
      <c r="I764" s="333" t="s">
        <v>277</v>
      </c>
      <c r="J764" s="333" t="s">
        <v>102</v>
      </c>
      <c r="K764" s="333" t="s">
        <v>69</v>
      </c>
      <c r="L764" s="333"/>
      <c r="M764" s="333"/>
      <c r="N764" s="333"/>
      <c r="O764" s="333"/>
      <c r="P764" s="462">
        <v>45222</v>
      </c>
      <c r="Q764" s="333"/>
      <c r="R764" s="333"/>
      <c r="S764" s="373"/>
      <c r="T764" s="373"/>
      <c r="U764" s="373"/>
      <c r="V764" s="373"/>
      <c r="W764" s="346">
        <v>45261</v>
      </c>
      <c r="X764" s="373">
        <v>1</v>
      </c>
      <c r="Y764" s="336">
        <f t="shared" ca="1" si="16"/>
        <v>39</v>
      </c>
      <c r="Z764" s="373"/>
      <c r="AA764" s="373"/>
      <c r="AB764" s="373"/>
    </row>
    <row r="765" spans="1:28" s="338" customFormat="1" ht="12.75" customHeight="1" x14ac:dyDescent="0.25">
      <c r="A765" s="347" t="s">
        <v>2327</v>
      </c>
      <c r="B765" s="376">
        <v>45222</v>
      </c>
      <c r="C765" s="425" t="s">
        <v>35</v>
      </c>
      <c r="D765" s="333" t="s">
        <v>2244</v>
      </c>
      <c r="E765" s="333"/>
      <c r="F765" s="374" t="s">
        <v>2328</v>
      </c>
      <c r="G765" s="372" t="s">
        <v>2329</v>
      </c>
      <c r="H765" s="333">
        <v>2</v>
      </c>
      <c r="I765" s="333" t="s">
        <v>277</v>
      </c>
      <c r="J765" s="333" t="s">
        <v>102</v>
      </c>
      <c r="K765" s="333" t="s">
        <v>69</v>
      </c>
      <c r="L765" s="333"/>
      <c r="M765" s="333"/>
      <c r="N765" s="333"/>
      <c r="O765" s="333"/>
      <c r="P765" s="462">
        <v>45222</v>
      </c>
      <c r="Q765" s="333"/>
      <c r="R765" s="333"/>
      <c r="S765" s="373"/>
      <c r="T765" s="373"/>
      <c r="U765" s="373"/>
      <c r="V765" s="373"/>
      <c r="W765" s="346">
        <v>45261</v>
      </c>
      <c r="X765" s="373">
        <v>2</v>
      </c>
      <c r="Y765" s="336">
        <f t="shared" ca="1" si="16"/>
        <v>39</v>
      </c>
      <c r="Z765" s="373"/>
      <c r="AA765" s="373"/>
      <c r="AB765" s="373"/>
    </row>
    <row r="766" spans="1:28" s="338" customFormat="1" ht="12.75" customHeight="1" x14ac:dyDescent="0.25">
      <c r="A766" s="347" t="s">
        <v>2330</v>
      </c>
      <c r="B766" s="376">
        <v>45222</v>
      </c>
      <c r="C766" s="425" t="s">
        <v>35</v>
      </c>
      <c r="D766" s="333" t="s">
        <v>2244</v>
      </c>
      <c r="E766" s="333"/>
      <c r="F766" s="374" t="s">
        <v>2331</v>
      </c>
      <c r="G766" s="372" t="s">
        <v>2329</v>
      </c>
      <c r="H766" s="333">
        <v>4</v>
      </c>
      <c r="I766" s="333" t="s">
        <v>277</v>
      </c>
      <c r="J766" s="333" t="s">
        <v>102</v>
      </c>
      <c r="K766" s="333" t="s">
        <v>69</v>
      </c>
      <c r="L766" s="333"/>
      <c r="M766" s="333"/>
      <c r="N766" s="333"/>
      <c r="O766" s="333"/>
      <c r="P766" s="462">
        <v>45222</v>
      </c>
      <c r="Q766" s="333"/>
      <c r="R766" s="333"/>
      <c r="S766" s="373"/>
      <c r="T766" s="373"/>
      <c r="U766" s="373"/>
      <c r="V766" s="373"/>
      <c r="W766" s="346">
        <v>45261</v>
      </c>
      <c r="X766" s="373">
        <v>4</v>
      </c>
      <c r="Y766" s="336">
        <f t="shared" ca="1" si="16"/>
        <v>39</v>
      </c>
      <c r="Z766" s="373"/>
      <c r="AA766" s="373"/>
      <c r="AB766" s="373"/>
    </row>
    <row r="767" spans="1:28" s="338" customFormat="1" ht="12.75" customHeight="1" x14ac:dyDescent="0.25">
      <c r="A767" s="347" t="s">
        <v>2332</v>
      </c>
      <c r="B767" s="376">
        <v>45222</v>
      </c>
      <c r="C767" s="425" t="s">
        <v>35</v>
      </c>
      <c r="D767" s="333" t="s">
        <v>2244</v>
      </c>
      <c r="E767" s="333"/>
      <c r="F767" s="374" t="s">
        <v>2333</v>
      </c>
      <c r="G767" s="372" t="s">
        <v>2329</v>
      </c>
      <c r="H767" s="333">
        <v>6</v>
      </c>
      <c r="I767" s="333" t="s">
        <v>277</v>
      </c>
      <c r="J767" s="333" t="s">
        <v>102</v>
      </c>
      <c r="K767" s="333" t="s">
        <v>69</v>
      </c>
      <c r="L767" s="333"/>
      <c r="M767" s="333"/>
      <c r="N767" s="333"/>
      <c r="O767" s="333"/>
      <c r="P767" s="462">
        <v>45222</v>
      </c>
      <c r="Q767" s="333"/>
      <c r="R767" s="333"/>
      <c r="S767" s="373"/>
      <c r="T767" s="373"/>
      <c r="U767" s="373"/>
      <c r="V767" s="373"/>
      <c r="W767" s="346">
        <v>45261</v>
      </c>
      <c r="X767" s="373">
        <v>6</v>
      </c>
      <c r="Y767" s="336">
        <f t="shared" ca="1" si="16"/>
        <v>39</v>
      </c>
      <c r="Z767" s="373"/>
      <c r="AA767" s="373"/>
      <c r="AB767" s="373"/>
    </row>
    <row r="768" spans="1:28" s="338" customFormat="1" ht="12.75" customHeight="1" x14ac:dyDescent="0.25">
      <c r="A768" s="347" t="s">
        <v>2334</v>
      </c>
      <c r="B768" s="376">
        <v>45222</v>
      </c>
      <c r="C768" s="425" t="s">
        <v>35</v>
      </c>
      <c r="D768" s="333" t="s">
        <v>2244</v>
      </c>
      <c r="E768" s="333"/>
      <c r="F768" s="374" t="s">
        <v>2335</v>
      </c>
      <c r="G768" s="372" t="s">
        <v>1785</v>
      </c>
      <c r="H768" s="333">
        <v>2</v>
      </c>
      <c r="I768" s="333" t="s">
        <v>277</v>
      </c>
      <c r="J768" s="333" t="s">
        <v>102</v>
      </c>
      <c r="K768" s="333" t="s">
        <v>69</v>
      </c>
      <c r="L768" s="333"/>
      <c r="M768" s="333"/>
      <c r="N768" s="333"/>
      <c r="O768" s="333"/>
      <c r="P768" s="462">
        <v>45222</v>
      </c>
      <c r="Q768" s="333"/>
      <c r="R768" s="333"/>
      <c r="S768" s="373"/>
      <c r="T768" s="373"/>
      <c r="U768" s="373"/>
      <c r="V768" s="373"/>
      <c r="W768" s="346">
        <v>45160</v>
      </c>
      <c r="X768" s="373"/>
      <c r="Y768" s="336">
        <f t="shared" ca="1" si="16"/>
        <v>-62</v>
      </c>
      <c r="Z768" s="373"/>
      <c r="AA768" s="373"/>
      <c r="AB768" s="373"/>
    </row>
    <row r="769" spans="1:28" s="338" customFormat="1" ht="12.75" customHeight="1" x14ac:dyDescent="0.25">
      <c r="A769" s="347" t="s">
        <v>2336</v>
      </c>
      <c r="B769" s="376">
        <v>45222</v>
      </c>
      <c r="C769" s="425" t="s">
        <v>35</v>
      </c>
      <c r="D769" s="333" t="s">
        <v>2244</v>
      </c>
      <c r="E769" s="333"/>
      <c r="F769" s="374" t="s">
        <v>2337</v>
      </c>
      <c r="G769" s="372" t="s">
        <v>1785</v>
      </c>
      <c r="H769" s="333">
        <v>2</v>
      </c>
      <c r="I769" s="333" t="s">
        <v>277</v>
      </c>
      <c r="J769" s="333" t="s">
        <v>102</v>
      </c>
      <c r="K769" s="333" t="s">
        <v>69</v>
      </c>
      <c r="L769" s="333"/>
      <c r="M769" s="333"/>
      <c r="N769" s="417"/>
      <c r="O769" s="417"/>
      <c r="P769" s="462">
        <v>45222</v>
      </c>
      <c r="Q769" s="333"/>
      <c r="R769" s="333"/>
      <c r="S769" s="373"/>
      <c r="T769" s="373"/>
      <c r="U769" s="373"/>
      <c r="V769" s="373"/>
      <c r="W769" s="346">
        <v>44938</v>
      </c>
      <c r="X769" s="373"/>
      <c r="Y769" s="336">
        <f t="shared" ca="1" si="16"/>
        <v>-284</v>
      </c>
      <c r="Z769" s="373"/>
      <c r="AA769" s="373"/>
      <c r="AB769" s="373"/>
    </row>
    <row r="770" spans="1:28" s="338" customFormat="1" ht="12.75" customHeight="1" x14ac:dyDescent="0.25">
      <c r="A770" s="347" t="s">
        <v>2338</v>
      </c>
      <c r="B770" s="376">
        <v>45222</v>
      </c>
      <c r="C770" s="425" t="s">
        <v>35</v>
      </c>
      <c r="D770" s="364" t="s">
        <v>2244</v>
      </c>
      <c r="E770" s="364"/>
      <c r="F770" s="365" t="s">
        <v>2339</v>
      </c>
      <c r="G770" s="366" t="s">
        <v>1785</v>
      </c>
      <c r="H770" s="364">
        <v>3</v>
      </c>
      <c r="I770" s="333" t="s">
        <v>277</v>
      </c>
      <c r="J770" s="333" t="s">
        <v>102</v>
      </c>
      <c r="K770" s="333" t="s">
        <v>69</v>
      </c>
      <c r="L770" s="364"/>
      <c r="M770" s="364"/>
      <c r="N770" s="485"/>
      <c r="O770" s="485"/>
      <c r="P770" s="462">
        <v>45222</v>
      </c>
      <c r="Q770" s="364"/>
      <c r="R770" s="364"/>
      <c r="S770" s="369"/>
      <c r="T770" s="369"/>
      <c r="U770" s="369"/>
      <c r="V770" s="369"/>
      <c r="W770" s="370">
        <v>44938</v>
      </c>
      <c r="X770" s="369"/>
      <c r="Y770" s="336">
        <f t="shared" ca="1" si="16"/>
        <v>-284</v>
      </c>
      <c r="Z770" s="369"/>
      <c r="AA770" s="369"/>
      <c r="AB770" s="369"/>
    </row>
    <row r="771" spans="1:28" s="338" customFormat="1" ht="12.75" customHeight="1" x14ac:dyDescent="0.25">
      <c r="A771" s="347" t="s">
        <v>2340</v>
      </c>
      <c r="B771" s="376">
        <v>45222</v>
      </c>
      <c r="C771" s="425" t="s">
        <v>35</v>
      </c>
      <c r="D771" s="333" t="s">
        <v>2244</v>
      </c>
      <c r="E771" s="333"/>
      <c r="F771" s="374" t="s">
        <v>2341</v>
      </c>
      <c r="G771" s="372" t="s">
        <v>1785</v>
      </c>
      <c r="H771" s="333">
        <v>8</v>
      </c>
      <c r="I771" s="333" t="s">
        <v>277</v>
      </c>
      <c r="J771" s="333" t="s">
        <v>102</v>
      </c>
      <c r="K771" s="333" t="s">
        <v>69</v>
      </c>
      <c r="L771" s="333"/>
      <c r="M771" s="333"/>
      <c r="N771" s="417"/>
      <c r="O771" s="417"/>
      <c r="P771" s="462">
        <v>45222</v>
      </c>
      <c r="Q771" s="333"/>
      <c r="R771" s="333"/>
      <c r="S771" s="373"/>
      <c r="T771" s="373"/>
      <c r="U771" s="373"/>
      <c r="V771" s="373"/>
      <c r="W771" s="346">
        <v>44938</v>
      </c>
      <c r="X771" s="373"/>
      <c r="Y771" s="336">
        <f t="shared" ca="1" si="16"/>
        <v>-284</v>
      </c>
      <c r="Z771" s="373"/>
      <c r="AA771" s="373"/>
      <c r="AB771" s="373"/>
    </row>
    <row r="772" spans="1:28" s="338" customFormat="1" ht="12.75" customHeight="1" x14ac:dyDescent="0.25">
      <c r="A772" s="347" t="s">
        <v>2342</v>
      </c>
      <c r="B772" s="376">
        <v>45222</v>
      </c>
      <c r="C772" s="425" t="s">
        <v>35</v>
      </c>
      <c r="D772" s="333" t="s">
        <v>2244</v>
      </c>
      <c r="E772" s="333"/>
      <c r="F772" s="374" t="s">
        <v>2343</v>
      </c>
      <c r="G772" s="372" t="s">
        <v>1785</v>
      </c>
      <c r="H772" s="333">
        <v>3</v>
      </c>
      <c r="I772" s="333" t="s">
        <v>277</v>
      </c>
      <c r="J772" s="333" t="s">
        <v>102</v>
      </c>
      <c r="K772" s="333" t="s">
        <v>69</v>
      </c>
      <c r="L772" s="333"/>
      <c r="M772" s="333"/>
      <c r="N772" s="417"/>
      <c r="O772" s="417"/>
      <c r="P772" s="462">
        <v>45222</v>
      </c>
      <c r="Q772" s="333"/>
      <c r="R772" s="333"/>
      <c r="S772" s="373"/>
      <c r="T772" s="373"/>
      <c r="U772" s="373"/>
      <c r="V772" s="373"/>
      <c r="W772" s="346">
        <v>44938</v>
      </c>
      <c r="X772" s="373"/>
      <c r="Y772" s="336">
        <f t="shared" ca="1" si="16"/>
        <v>-284</v>
      </c>
      <c r="Z772" s="373"/>
      <c r="AA772" s="373"/>
      <c r="AB772" s="373"/>
    </row>
    <row r="773" spans="1:28" s="338" customFormat="1" ht="12.75" customHeight="1" x14ac:dyDescent="0.25">
      <c r="A773" s="347" t="s">
        <v>2344</v>
      </c>
      <c r="B773" s="376">
        <v>45222</v>
      </c>
      <c r="C773" s="425" t="s">
        <v>35</v>
      </c>
      <c r="D773" s="333" t="s">
        <v>2244</v>
      </c>
      <c r="E773" s="333"/>
      <c r="F773" s="374" t="s">
        <v>2345</v>
      </c>
      <c r="G773" s="372" t="s">
        <v>1785</v>
      </c>
      <c r="H773" s="333">
        <v>1</v>
      </c>
      <c r="I773" s="333" t="s">
        <v>277</v>
      </c>
      <c r="J773" s="333" t="s">
        <v>102</v>
      </c>
      <c r="K773" s="333" t="s">
        <v>69</v>
      </c>
      <c r="L773" s="333"/>
      <c r="M773" s="333"/>
      <c r="N773" s="417"/>
      <c r="O773" s="417"/>
      <c r="P773" s="462">
        <v>45222</v>
      </c>
      <c r="Q773" s="333"/>
      <c r="R773" s="333"/>
      <c r="S773" s="373"/>
      <c r="T773" s="373"/>
      <c r="U773" s="373"/>
      <c r="V773" s="373"/>
      <c r="W773" s="346">
        <v>44938</v>
      </c>
      <c r="X773" s="373"/>
      <c r="Y773" s="336">
        <f t="shared" ca="1" si="16"/>
        <v>-284</v>
      </c>
      <c r="Z773" s="373"/>
      <c r="AA773" s="373"/>
      <c r="AB773" s="373"/>
    </row>
    <row r="774" spans="1:28" s="338" customFormat="1" ht="12.75" customHeight="1" x14ac:dyDescent="0.25">
      <c r="A774" s="347" t="s">
        <v>2346</v>
      </c>
      <c r="B774" s="376">
        <v>45222</v>
      </c>
      <c r="C774" s="425" t="s">
        <v>35</v>
      </c>
      <c r="D774" s="333" t="s">
        <v>2244</v>
      </c>
      <c r="E774" s="333"/>
      <c r="F774" s="374" t="s">
        <v>2347</v>
      </c>
      <c r="G774" s="372" t="s">
        <v>1785</v>
      </c>
      <c r="H774" s="333">
        <v>2</v>
      </c>
      <c r="I774" s="333" t="s">
        <v>277</v>
      </c>
      <c r="J774" s="333" t="s">
        <v>102</v>
      </c>
      <c r="K774" s="333" t="s">
        <v>69</v>
      </c>
      <c r="L774" s="333"/>
      <c r="M774" s="333"/>
      <c r="N774" s="417"/>
      <c r="O774" s="417"/>
      <c r="P774" s="462">
        <v>45222</v>
      </c>
      <c r="Q774" s="333"/>
      <c r="R774" s="333"/>
      <c r="S774" s="373"/>
      <c r="T774" s="373"/>
      <c r="U774" s="373"/>
      <c r="V774" s="373"/>
      <c r="W774" s="346">
        <v>45261</v>
      </c>
      <c r="X774" s="373">
        <v>2</v>
      </c>
      <c r="Y774" s="336">
        <f t="shared" ca="1" si="16"/>
        <v>39</v>
      </c>
      <c r="Z774" s="373"/>
      <c r="AA774" s="373"/>
      <c r="AB774" s="373"/>
    </row>
    <row r="775" spans="1:28" s="338" customFormat="1" ht="12.75" customHeight="1" x14ac:dyDescent="0.25">
      <c r="A775" s="347" t="s">
        <v>2348</v>
      </c>
      <c r="B775" s="376">
        <v>45222</v>
      </c>
      <c r="C775" s="425" t="s">
        <v>35</v>
      </c>
      <c r="D775" s="333" t="s">
        <v>2244</v>
      </c>
      <c r="E775" s="333"/>
      <c r="F775" s="374" t="s">
        <v>2349</v>
      </c>
      <c r="G775" s="372" t="s">
        <v>1785</v>
      </c>
      <c r="H775" s="333">
        <v>1</v>
      </c>
      <c r="I775" s="333" t="s">
        <v>277</v>
      </c>
      <c r="J775" s="333" t="s">
        <v>102</v>
      </c>
      <c r="K775" s="333" t="s">
        <v>69</v>
      </c>
      <c r="L775" s="333"/>
      <c r="M775" s="333"/>
      <c r="N775" s="417"/>
      <c r="O775" s="417"/>
      <c r="P775" s="462">
        <v>45222</v>
      </c>
      <c r="Q775" s="333"/>
      <c r="R775" s="333"/>
      <c r="S775" s="373"/>
      <c r="T775" s="373"/>
      <c r="U775" s="373"/>
      <c r="V775" s="373"/>
      <c r="W775" s="346">
        <v>45261</v>
      </c>
      <c r="X775" s="373">
        <v>1</v>
      </c>
      <c r="Y775" s="336">
        <f t="shared" ca="1" si="16"/>
        <v>39</v>
      </c>
      <c r="Z775" s="373"/>
      <c r="AA775" s="373"/>
      <c r="AB775" s="373"/>
    </row>
    <row r="776" spans="1:28" s="338" customFormat="1" ht="12.75" customHeight="1" x14ac:dyDescent="0.25">
      <c r="A776" s="347" t="s">
        <v>2350</v>
      </c>
      <c r="B776" s="376">
        <v>45222</v>
      </c>
      <c r="C776" s="425" t="s">
        <v>35</v>
      </c>
      <c r="D776" s="333" t="s">
        <v>2244</v>
      </c>
      <c r="E776" s="333"/>
      <c r="F776" s="374" t="s">
        <v>2351</v>
      </c>
      <c r="G776" s="372">
        <v>1</v>
      </c>
      <c r="H776" s="333">
        <v>4</v>
      </c>
      <c r="I776" s="333" t="s">
        <v>277</v>
      </c>
      <c r="J776" s="333" t="s">
        <v>102</v>
      </c>
      <c r="K776" s="333" t="s">
        <v>69</v>
      </c>
      <c r="L776" s="333"/>
      <c r="M776" s="333"/>
      <c r="N776" s="417"/>
      <c r="O776" s="417"/>
      <c r="P776" s="462">
        <v>45222</v>
      </c>
      <c r="Q776" s="333"/>
      <c r="R776" s="333"/>
      <c r="S776" s="373"/>
      <c r="T776" s="373"/>
      <c r="U776" s="373"/>
      <c r="V776" s="373"/>
      <c r="W776" s="346">
        <v>45261</v>
      </c>
      <c r="X776" s="373">
        <v>4</v>
      </c>
      <c r="Y776" s="336">
        <f t="shared" ref="Y776:Y839" ca="1" si="17">IF(P776="","",IF(W776="",TODAY()-P776,W776-P776))</f>
        <v>39</v>
      </c>
      <c r="Z776" s="373"/>
      <c r="AA776" s="373"/>
      <c r="AB776" s="373"/>
    </row>
    <row r="777" spans="1:28" s="338" customFormat="1" ht="12.75" customHeight="1" x14ac:dyDescent="0.25">
      <c r="A777" s="347" t="s">
        <v>2352</v>
      </c>
      <c r="B777" s="376">
        <v>45222</v>
      </c>
      <c r="C777" s="425" t="s">
        <v>35</v>
      </c>
      <c r="D777" s="333" t="s">
        <v>2244</v>
      </c>
      <c r="E777" s="333"/>
      <c r="F777" s="374" t="s">
        <v>2353</v>
      </c>
      <c r="G777" s="372" t="s">
        <v>2354</v>
      </c>
      <c r="H777" s="333">
        <v>4</v>
      </c>
      <c r="I777" s="333" t="s">
        <v>277</v>
      </c>
      <c r="J777" s="333" t="s">
        <v>102</v>
      </c>
      <c r="K777" s="333" t="s">
        <v>69</v>
      </c>
      <c r="L777" s="333"/>
      <c r="M777" s="333"/>
      <c r="N777" s="417"/>
      <c r="O777" s="417"/>
      <c r="P777" s="462">
        <v>45222</v>
      </c>
      <c r="Q777" s="333"/>
      <c r="R777" s="333"/>
      <c r="S777" s="373"/>
      <c r="T777" s="373"/>
      <c r="U777" s="373"/>
      <c r="V777" s="373"/>
      <c r="W777" s="346">
        <v>45261</v>
      </c>
      <c r="X777" s="373">
        <v>4</v>
      </c>
      <c r="Y777" s="336">
        <f t="shared" ca="1" si="17"/>
        <v>39</v>
      </c>
      <c r="Z777" s="373"/>
      <c r="AA777" s="373"/>
      <c r="AB777" s="373"/>
    </row>
    <row r="778" spans="1:28" s="338" customFormat="1" ht="12.75" customHeight="1" x14ac:dyDescent="0.25">
      <c r="A778" s="347" t="s">
        <v>2355</v>
      </c>
      <c r="B778" s="376">
        <v>45222</v>
      </c>
      <c r="C778" s="425" t="s">
        <v>35</v>
      </c>
      <c r="D778" s="333" t="s">
        <v>2244</v>
      </c>
      <c r="E778" s="333"/>
      <c r="F778" s="374" t="s">
        <v>2356</v>
      </c>
      <c r="G778" s="372" t="s">
        <v>2354</v>
      </c>
      <c r="H778" s="333">
        <v>3</v>
      </c>
      <c r="I778" s="333" t="s">
        <v>277</v>
      </c>
      <c r="J778" s="333" t="s">
        <v>102</v>
      </c>
      <c r="K778" s="333" t="s">
        <v>69</v>
      </c>
      <c r="L778" s="333"/>
      <c r="M778" s="333"/>
      <c r="N778" s="417"/>
      <c r="O778" s="417"/>
      <c r="P778" s="462">
        <v>45222</v>
      </c>
      <c r="Q778" s="333"/>
      <c r="R778" s="333"/>
      <c r="S778" s="373"/>
      <c r="T778" s="373"/>
      <c r="U778" s="373"/>
      <c r="V778" s="373"/>
      <c r="W778" s="346">
        <v>45261</v>
      </c>
      <c r="X778" s="373">
        <v>3</v>
      </c>
      <c r="Y778" s="336">
        <f t="shared" ca="1" si="17"/>
        <v>39</v>
      </c>
      <c r="Z778" s="373"/>
      <c r="AA778" s="373"/>
      <c r="AB778" s="373"/>
    </row>
    <row r="779" spans="1:28" s="338" customFormat="1" ht="12.75" customHeight="1" x14ac:dyDescent="0.25">
      <c r="A779" s="347" t="s">
        <v>2357</v>
      </c>
      <c r="B779" s="376">
        <v>45222</v>
      </c>
      <c r="C779" s="425" t="s">
        <v>35</v>
      </c>
      <c r="D779" s="333" t="s">
        <v>2244</v>
      </c>
      <c r="E779" s="333"/>
      <c r="F779" s="374" t="s">
        <v>2358</v>
      </c>
      <c r="G779" s="372" t="s">
        <v>2354</v>
      </c>
      <c r="H779" s="333">
        <v>1</v>
      </c>
      <c r="I779" s="333" t="s">
        <v>277</v>
      </c>
      <c r="J779" s="333" t="s">
        <v>102</v>
      </c>
      <c r="K779" s="333" t="s">
        <v>69</v>
      </c>
      <c r="L779" s="333"/>
      <c r="M779" s="333"/>
      <c r="N779" s="417"/>
      <c r="O779" s="417"/>
      <c r="P779" s="462">
        <v>45222</v>
      </c>
      <c r="Q779" s="333"/>
      <c r="R779" s="333"/>
      <c r="S779" s="373"/>
      <c r="T779" s="373"/>
      <c r="U779" s="373"/>
      <c r="V779" s="373"/>
      <c r="W779" s="346">
        <v>45261</v>
      </c>
      <c r="X779" s="373">
        <v>1</v>
      </c>
      <c r="Y779" s="336">
        <f t="shared" ca="1" si="17"/>
        <v>39</v>
      </c>
      <c r="Z779" s="373"/>
      <c r="AA779" s="373"/>
      <c r="AB779" s="373"/>
    </row>
    <row r="780" spans="1:28" s="338" customFormat="1" ht="12.75" customHeight="1" x14ac:dyDescent="0.25">
      <c r="A780" s="347" t="s">
        <v>2359</v>
      </c>
      <c r="B780" s="376">
        <v>45222</v>
      </c>
      <c r="C780" s="425" t="s">
        <v>35</v>
      </c>
      <c r="D780" s="333" t="s">
        <v>2244</v>
      </c>
      <c r="E780" s="333"/>
      <c r="F780" s="374" t="s">
        <v>2360</v>
      </c>
      <c r="G780" s="372" t="s">
        <v>2354</v>
      </c>
      <c r="H780" s="333">
        <v>2</v>
      </c>
      <c r="I780" s="333" t="s">
        <v>277</v>
      </c>
      <c r="J780" s="333" t="s">
        <v>102</v>
      </c>
      <c r="K780" s="333" t="s">
        <v>69</v>
      </c>
      <c r="L780" s="333"/>
      <c r="M780" s="333"/>
      <c r="N780" s="417"/>
      <c r="O780" s="417"/>
      <c r="P780" s="462">
        <v>45222</v>
      </c>
      <c r="Q780" s="333"/>
      <c r="R780" s="333"/>
      <c r="S780" s="373"/>
      <c r="T780" s="373"/>
      <c r="U780" s="373"/>
      <c r="V780" s="373"/>
      <c r="W780" s="346">
        <v>45261</v>
      </c>
      <c r="X780" s="373">
        <v>2</v>
      </c>
      <c r="Y780" s="336">
        <f t="shared" ca="1" si="17"/>
        <v>39</v>
      </c>
      <c r="Z780" s="373"/>
      <c r="AA780" s="373"/>
      <c r="AB780" s="373"/>
    </row>
    <row r="781" spans="1:28" s="338" customFormat="1" ht="12.75" customHeight="1" x14ac:dyDescent="0.25">
      <c r="A781" s="347" t="s">
        <v>2361</v>
      </c>
      <c r="B781" s="376">
        <v>45222</v>
      </c>
      <c r="C781" s="425" t="s">
        <v>35</v>
      </c>
      <c r="D781" s="333" t="s">
        <v>2244</v>
      </c>
      <c r="E781" s="333"/>
      <c r="F781" s="374" t="s">
        <v>2362</v>
      </c>
      <c r="G781" s="372" t="s">
        <v>2354</v>
      </c>
      <c r="H781" s="333">
        <v>2</v>
      </c>
      <c r="I781" s="333" t="s">
        <v>277</v>
      </c>
      <c r="J781" s="333" t="s">
        <v>102</v>
      </c>
      <c r="K781" s="333" t="s">
        <v>69</v>
      </c>
      <c r="L781" s="333"/>
      <c r="M781" s="333"/>
      <c r="N781" s="417"/>
      <c r="O781" s="417"/>
      <c r="P781" s="462">
        <v>45222</v>
      </c>
      <c r="Q781" s="333"/>
      <c r="R781" s="333"/>
      <c r="S781" s="373"/>
      <c r="T781" s="373"/>
      <c r="U781" s="373"/>
      <c r="V781" s="373"/>
      <c r="W781" s="346">
        <v>45261</v>
      </c>
      <c r="X781" s="373">
        <v>2</v>
      </c>
      <c r="Y781" s="336">
        <f t="shared" ca="1" si="17"/>
        <v>39</v>
      </c>
      <c r="Z781" s="373"/>
      <c r="AA781" s="373"/>
      <c r="AB781" s="373"/>
    </row>
    <row r="782" spans="1:28" s="338" customFormat="1" ht="12.75" customHeight="1" x14ac:dyDescent="0.25">
      <c r="A782" s="347" t="s">
        <v>2363</v>
      </c>
      <c r="B782" s="376">
        <v>45222</v>
      </c>
      <c r="C782" s="425" t="s">
        <v>35</v>
      </c>
      <c r="D782" s="333" t="s">
        <v>2244</v>
      </c>
      <c r="E782" s="333"/>
      <c r="F782" s="374" t="s">
        <v>2364</v>
      </c>
      <c r="G782" s="372" t="s">
        <v>2354</v>
      </c>
      <c r="H782" s="333">
        <v>1</v>
      </c>
      <c r="I782" s="333" t="s">
        <v>277</v>
      </c>
      <c r="J782" s="333" t="s">
        <v>102</v>
      </c>
      <c r="K782" s="333" t="s">
        <v>69</v>
      </c>
      <c r="L782" s="333"/>
      <c r="M782" s="333"/>
      <c r="N782" s="417"/>
      <c r="O782" s="417"/>
      <c r="P782" s="462">
        <v>45222</v>
      </c>
      <c r="Q782" s="333"/>
      <c r="R782" s="333"/>
      <c r="S782" s="373"/>
      <c r="T782" s="373"/>
      <c r="U782" s="373"/>
      <c r="V782" s="373"/>
      <c r="W782" s="346">
        <v>45261</v>
      </c>
      <c r="X782" s="373">
        <v>1</v>
      </c>
      <c r="Y782" s="336">
        <f t="shared" ca="1" si="17"/>
        <v>39</v>
      </c>
      <c r="Z782" s="373"/>
      <c r="AA782" s="373"/>
      <c r="AB782" s="373"/>
    </row>
    <row r="783" spans="1:28" s="338" customFormat="1" ht="12.75" customHeight="1" x14ac:dyDescent="0.25">
      <c r="A783" s="347" t="s">
        <v>2365</v>
      </c>
      <c r="B783" s="376">
        <v>45222</v>
      </c>
      <c r="C783" s="425" t="s">
        <v>35</v>
      </c>
      <c r="D783" s="333" t="s">
        <v>2244</v>
      </c>
      <c r="E783" s="333"/>
      <c r="F783" s="374" t="s">
        <v>2366</v>
      </c>
      <c r="G783" s="372" t="s">
        <v>2354</v>
      </c>
      <c r="H783" s="333">
        <v>4</v>
      </c>
      <c r="I783" s="333" t="s">
        <v>277</v>
      </c>
      <c r="J783" s="333" t="s">
        <v>102</v>
      </c>
      <c r="K783" s="333" t="s">
        <v>69</v>
      </c>
      <c r="L783" s="333"/>
      <c r="M783" s="333"/>
      <c r="N783" s="417"/>
      <c r="O783" s="417"/>
      <c r="P783" s="462">
        <v>45222</v>
      </c>
      <c r="Q783" s="333"/>
      <c r="R783" s="333"/>
      <c r="S783" s="373"/>
      <c r="T783" s="373"/>
      <c r="U783" s="373"/>
      <c r="V783" s="373"/>
      <c r="W783" s="346">
        <v>45261</v>
      </c>
      <c r="X783" s="373">
        <v>4</v>
      </c>
      <c r="Y783" s="336">
        <f t="shared" ca="1" si="17"/>
        <v>39</v>
      </c>
      <c r="Z783" s="373"/>
      <c r="AA783" s="373"/>
      <c r="AB783" s="373"/>
    </row>
    <row r="784" spans="1:28" s="338" customFormat="1" ht="12.75" customHeight="1" x14ac:dyDescent="0.25">
      <c r="A784" s="347" t="s">
        <v>2367</v>
      </c>
      <c r="B784" s="376">
        <v>45222</v>
      </c>
      <c r="C784" s="425" t="s">
        <v>35</v>
      </c>
      <c r="D784" s="333" t="s">
        <v>2244</v>
      </c>
      <c r="E784" s="333"/>
      <c r="F784" s="374" t="s">
        <v>2368</v>
      </c>
      <c r="G784" s="372" t="s">
        <v>1785</v>
      </c>
      <c r="H784" s="333">
        <v>2</v>
      </c>
      <c r="I784" s="333" t="s">
        <v>277</v>
      </c>
      <c r="J784" s="333" t="s">
        <v>102</v>
      </c>
      <c r="K784" s="333" t="s">
        <v>69</v>
      </c>
      <c r="L784" s="333"/>
      <c r="M784" s="333"/>
      <c r="N784" s="417"/>
      <c r="O784" s="417"/>
      <c r="P784" s="462">
        <v>45222</v>
      </c>
      <c r="Q784" s="333"/>
      <c r="R784" s="333"/>
      <c r="S784" s="373"/>
      <c r="T784" s="373"/>
      <c r="U784" s="373"/>
      <c r="V784" s="373"/>
      <c r="W784" s="346">
        <v>45261</v>
      </c>
      <c r="X784" s="373">
        <v>2</v>
      </c>
      <c r="Y784" s="336">
        <f t="shared" ca="1" si="17"/>
        <v>39</v>
      </c>
      <c r="Z784" s="373"/>
      <c r="AA784" s="373"/>
      <c r="AB784" s="373"/>
    </row>
    <row r="785" spans="1:28" s="338" customFormat="1" ht="12.75" customHeight="1" x14ac:dyDescent="0.25">
      <c r="A785" s="347" t="s">
        <v>2369</v>
      </c>
      <c r="B785" s="376">
        <v>45222</v>
      </c>
      <c r="C785" s="425" t="s">
        <v>35</v>
      </c>
      <c r="D785" s="333" t="s">
        <v>2244</v>
      </c>
      <c r="E785" s="333"/>
      <c r="F785" s="374" t="s">
        <v>2370</v>
      </c>
      <c r="G785" s="372" t="s">
        <v>2354</v>
      </c>
      <c r="H785" s="333">
        <v>1</v>
      </c>
      <c r="I785" s="333" t="s">
        <v>277</v>
      </c>
      <c r="J785" s="333" t="s">
        <v>102</v>
      </c>
      <c r="K785" s="333" t="s">
        <v>69</v>
      </c>
      <c r="L785" s="333"/>
      <c r="M785" s="333"/>
      <c r="N785" s="417"/>
      <c r="O785" s="417"/>
      <c r="P785" s="462">
        <v>45222</v>
      </c>
      <c r="Q785" s="333"/>
      <c r="R785" s="333"/>
      <c r="S785" s="373"/>
      <c r="T785" s="373"/>
      <c r="U785" s="373"/>
      <c r="V785" s="373"/>
      <c r="W785" s="346">
        <v>45261</v>
      </c>
      <c r="X785" s="373">
        <v>1</v>
      </c>
      <c r="Y785" s="336">
        <f t="shared" ca="1" si="17"/>
        <v>39</v>
      </c>
      <c r="Z785" s="373"/>
      <c r="AA785" s="373"/>
      <c r="AB785" s="373"/>
    </row>
    <row r="786" spans="1:28" s="338" customFormat="1" ht="12.75" customHeight="1" x14ac:dyDescent="0.25">
      <c r="A786" s="347" t="s">
        <v>2371</v>
      </c>
      <c r="B786" s="376">
        <v>45222</v>
      </c>
      <c r="C786" s="425" t="s">
        <v>35</v>
      </c>
      <c r="D786" s="333" t="s">
        <v>2244</v>
      </c>
      <c r="E786" s="333"/>
      <c r="F786" s="374" t="s">
        <v>2372</v>
      </c>
      <c r="G786" s="372" t="s">
        <v>2354</v>
      </c>
      <c r="H786" s="333">
        <v>3</v>
      </c>
      <c r="I786" s="333" t="s">
        <v>277</v>
      </c>
      <c r="J786" s="333" t="s">
        <v>102</v>
      </c>
      <c r="K786" s="333" t="s">
        <v>69</v>
      </c>
      <c r="L786" s="333"/>
      <c r="M786" s="333"/>
      <c r="N786" s="417"/>
      <c r="O786" s="417"/>
      <c r="P786" s="462">
        <v>45222</v>
      </c>
      <c r="Q786" s="333"/>
      <c r="R786" s="333"/>
      <c r="S786" s="373"/>
      <c r="T786" s="373"/>
      <c r="U786" s="373"/>
      <c r="V786" s="373"/>
      <c r="W786" s="346">
        <v>45261</v>
      </c>
      <c r="X786" s="373">
        <v>3</v>
      </c>
      <c r="Y786" s="336">
        <f t="shared" ca="1" si="17"/>
        <v>39</v>
      </c>
      <c r="Z786" s="373"/>
      <c r="AA786" s="373"/>
      <c r="AB786" s="373"/>
    </row>
    <row r="787" spans="1:28" s="338" customFormat="1" ht="12.75" customHeight="1" x14ac:dyDescent="0.25">
      <c r="A787" s="347" t="s">
        <v>2373</v>
      </c>
      <c r="B787" s="376">
        <v>45222</v>
      </c>
      <c r="C787" s="425" t="s">
        <v>35</v>
      </c>
      <c r="D787" s="333" t="s">
        <v>2244</v>
      </c>
      <c r="E787" s="333"/>
      <c r="F787" s="374" t="s">
        <v>2374</v>
      </c>
      <c r="G787" s="372" t="s">
        <v>1785</v>
      </c>
      <c r="H787" s="333">
        <v>16</v>
      </c>
      <c r="I787" s="333" t="s">
        <v>277</v>
      </c>
      <c r="J787" s="333" t="s">
        <v>102</v>
      </c>
      <c r="K787" s="333" t="s">
        <v>69</v>
      </c>
      <c r="L787" s="333"/>
      <c r="M787" s="333"/>
      <c r="N787" s="417"/>
      <c r="O787" s="417"/>
      <c r="P787" s="462">
        <v>45222</v>
      </c>
      <c r="Q787" s="333"/>
      <c r="R787" s="333"/>
      <c r="S787" s="373"/>
      <c r="T787" s="373"/>
      <c r="U787" s="373"/>
      <c r="V787" s="373"/>
      <c r="W787" s="346">
        <v>45261</v>
      </c>
      <c r="X787" s="373">
        <v>16</v>
      </c>
      <c r="Y787" s="336">
        <f t="shared" ca="1" si="17"/>
        <v>39</v>
      </c>
      <c r="Z787" s="373"/>
      <c r="AA787" s="373"/>
      <c r="AB787" s="373"/>
    </row>
    <row r="788" spans="1:28" s="338" customFormat="1" ht="12.75" customHeight="1" x14ac:dyDescent="0.25">
      <c r="A788" s="347" t="s">
        <v>2375</v>
      </c>
      <c r="B788" s="376">
        <v>45222</v>
      </c>
      <c r="C788" s="425" t="s">
        <v>35</v>
      </c>
      <c r="D788" s="333" t="s">
        <v>2244</v>
      </c>
      <c r="E788" s="333"/>
      <c r="F788" s="374" t="s">
        <v>2376</v>
      </c>
      <c r="G788" s="372" t="s">
        <v>1785</v>
      </c>
      <c r="H788" s="333">
        <v>9</v>
      </c>
      <c r="I788" s="333" t="s">
        <v>277</v>
      </c>
      <c r="J788" s="333" t="s">
        <v>102</v>
      </c>
      <c r="K788" s="333" t="s">
        <v>69</v>
      </c>
      <c r="L788" s="333"/>
      <c r="M788" s="333"/>
      <c r="N788" s="417"/>
      <c r="O788" s="417"/>
      <c r="P788" s="462">
        <v>45222</v>
      </c>
      <c r="Q788" s="333"/>
      <c r="R788" s="333"/>
      <c r="S788" s="373"/>
      <c r="T788" s="373"/>
      <c r="U788" s="373"/>
      <c r="V788" s="373"/>
      <c r="W788" s="346">
        <v>45261</v>
      </c>
      <c r="X788" s="373">
        <v>9</v>
      </c>
      <c r="Y788" s="336">
        <f t="shared" ca="1" si="17"/>
        <v>39</v>
      </c>
      <c r="Z788" s="373"/>
      <c r="AA788" s="373"/>
      <c r="AB788" s="373"/>
    </row>
    <row r="789" spans="1:28" s="338" customFormat="1" ht="12.75" customHeight="1" x14ac:dyDescent="0.25">
      <c r="A789" s="347" t="s">
        <v>2377</v>
      </c>
      <c r="B789" s="376">
        <v>45222</v>
      </c>
      <c r="C789" s="425" t="s">
        <v>35</v>
      </c>
      <c r="D789" s="333" t="s">
        <v>2244</v>
      </c>
      <c r="E789" s="333"/>
      <c r="F789" s="374" t="s">
        <v>2378</v>
      </c>
      <c r="G789" s="372" t="s">
        <v>1785</v>
      </c>
      <c r="H789" s="333">
        <v>2</v>
      </c>
      <c r="I789" s="333" t="s">
        <v>277</v>
      </c>
      <c r="J789" s="333" t="s">
        <v>102</v>
      </c>
      <c r="K789" s="333" t="s">
        <v>69</v>
      </c>
      <c r="L789" s="333"/>
      <c r="M789" s="333"/>
      <c r="N789" s="417"/>
      <c r="O789" s="417"/>
      <c r="P789" s="462">
        <v>45222</v>
      </c>
      <c r="Q789" s="333"/>
      <c r="R789" s="333"/>
      <c r="S789" s="373"/>
      <c r="T789" s="373"/>
      <c r="U789" s="373"/>
      <c r="V789" s="373"/>
      <c r="W789" s="346">
        <v>45261</v>
      </c>
      <c r="X789" s="373">
        <v>2</v>
      </c>
      <c r="Y789" s="336">
        <f t="shared" ca="1" si="17"/>
        <v>39</v>
      </c>
      <c r="Z789" s="373"/>
      <c r="AA789" s="373"/>
      <c r="AB789" s="373"/>
    </row>
    <row r="790" spans="1:28" s="338" customFormat="1" ht="12.75" customHeight="1" x14ac:dyDescent="0.25">
      <c r="A790" s="347" t="s">
        <v>2379</v>
      </c>
      <c r="B790" s="376">
        <v>45222</v>
      </c>
      <c r="C790" s="425" t="s">
        <v>35</v>
      </c>
      <c r="D790" s="333" t="s">
        <v>2244</v>
      </c>
      <c r="E790" s="333"/>
      <c r="F790" s="374" t="s">
        <v>2380</v>
      </c>
      <c r="G790" s="372" t="s">
        <v>1785</v>
      </c>
      <c r="H790" s="333">
        <v>6</v>
      </c>
      <c r="I790" s="333" t="s">
        <v>277</v>
      </c>
      <c r="J790" s="333" t="s">
        <v>102</v>
      </c>
      <c r="K790" s="333" t="s">
        <v>69</v>
      </c>
      <c r="L790" s="333"/>
      <c r="M790" s="333"/>
      <c r="N790" s="417"/>
      <c r="O790" s="417"/>
      <c r="P790" s="462">
        <v>45222</v>
      </c>
      <c r="Q790" s="333"/>
      <c r="R790" s="333"/>
      <c r="S790" s="373"/>
      <c r="T790" s="373"/>
      <c r="U790" s="373"/>
      <c r="V790" s="373"/>
      <c r="W790" s="346">
        <v>45261</v>
      </c>
      <c r="X790" s="373">
        <v>6</v>
      </c>
      <c r="Y790" s="336">
        <f t="shared" ca="1" si="17"/>
        <v>39</v>
      </c>
      <c r="Z790" s="373"/>
      <c r="AA790" s="373"/>
      <c r="AB790" s="373"/>
    </row>
    <row r="791" spans="1:28" s="338" customFormat="1" ht="12.75" customHeight="1" x14ac:dyDescent="0.25">
      <c r="A791" s="347" t="s">
        <v>2381</v>
      </c>
      <c r="B791" s="376">
        <v>45222</v>
      </c>
      <c r="C791" s="425" t="s">
        <v>35</v>
      </c>
      <c r="D791" s="333" t="s">
        <v>2244</v>
      </c>
      <c r="E791" s="333"/>
      <c r="F791" s="374" t="s">
        <v>2382</v>
      </c>
      <c r="G791" s="372" t="s">
        <v>2354</v>
      </c>
      <c r="H791" s="333">
        <v>3</v>
      </c>
      <c r="I791" s="333" t="s">
        <v>277</v>
      </c>
      <c r="J791" s="333" t="s">
        <v>102</v>
      </c>
      <c r="K791" s="333" t="s">
        <v>69</v>
      </c>
      <c r="L791" s="333"/>
      <c r="M791" s="333"/>
      <c r="N791" s="417"/>
      <c r="O791" s="417"/>
      <c r="P791" s="462">
        <v>45222</v>
      </c>
      <c r="Q791" s="333"/>
      <c r="R791" s="333"/>
      <c r="S791" s="373"/>
      <c r="T791" s="373"/>
      <c r="U791" s="373"/>
      <c r="V791" s="373"/>
      <c r="W791" s="346">
        <v>45261</v>
      </c>
      <c r="X791" s="373">
        <v>3</v>
      </c>
      <c r="Y791" s="336">
        <f t="shared" ca="1" si="17"/>
        <v>39</v>
      </c>
      <c r="Z791" s="373"/>
      <c r="AA791" s="373"/>
      <c r="AB791" s="373"/>
    </row>
    <row r="792" spans="1:28" s="338" customFormat="1" ht="12.75" customHeight="1" x14ac:dyDescent="0.25">
      <c r="A792" s="347" t="s">
        <v>2383</v>
      </c>
      <c r="B792" s="376">
        <v>45222</v>
      </c>
      <c r="C792" s="425" t="s">
        <v>35</v>
      </c>
      <c r="D792" s="333" t="s">
        <v>2244</v>
      </c>
      <c r="E792" s="333"/>
      <c r="F792" s="374" t="s">
        <v>2384</v>
      </c>
      <c r="G792" s="372" t="s">
        <v>2354</v>
      </c>
      <c r="H792" s="333">
        <v>1</v>
      </c>
      <c r="I792" s="333" t="s">
        <v>277</v>
      </c>
      <c r="J792" s="333" t="s">
        <v>102</v>
      </c>
      <c r="K792" s="333" t="s">
        <v>69</v>
      </c>
      <c r="L792" s="333"/>
      <c r="M792" s="333"/>
      <c r="N792" s="417"/>
      <c r="O792" s="417"/>
      <c r="P792" s="462">
        <v>45222</v>
      </c>
      <c r="Q792" s="333"/>
      <c r="R792" s="333"/>
      <c r="S792" s="373"/>
      <c r="T792" s="373"/>
      <c r="U792" s="373"/>
      <c r="V792" s="373"/>
      <c r="W792" s="346">
        <v>45261</v>
      </c>
      <c r="X792" s="373">
        <v>1</v>
      </c>
      <c r="Y792" s="336">
        <f t="shared" ca="1" si="17"/>
        <v>39</v>
      </c>
      <c r="Z792" s="373"/>
      <c r="AA792" s="373"/>
      <c r="AB792" s="373"/>
    </row>
    <row r="793" spans="1:28" s="338" customFormat="1" ht="12.75" customHeight="1" x14ac:dyDescent="0.25">
      <c r="A793" s="347" t="s">
        <v>2385</v>
      </c>
      <c r="B793" s="376">
        <v>45222</v>
      </c>
      <c r="C793" s="425" t="s">
        <v>35</v>
      </c>
      <c r="D793" s="333" t="s">
        <v>2244</v>
      </c>
      <c r="E793" s="333"/>
      <c r="F793" s="374" t="s">
        <v>2386</v>
      </c>
      <c r="G793" s="372" t="s">
        <v>2354</v>
      </c>
      <c r="H793" s="333">
        <v>3</v>
      </c>
      <c r="I793" s="333" t="s">
        <v>277</v>
      </c>
      <c r="J793" s="333" t="s">
        <v>102</v>
      </c>
      <c r="K793" s="333" t="s">
        <v>69</v>
      </c>
      <c r="L793" s="333"/>
      <c r="M793" s="333"/>
      <c r="N793" s="417"/>
      <c r="O793" s="417"/>
      <c r="P793" s="462">
        <v>45222</v>
      </c>
      <c r="Q793" s="333"/>
      <c r="R793" s="333"/>
      <c r="S793" s="373"/>
      <c r="T793" s="373"/>
      <c r="U793" s="373"/>
      <c r="V793" s="373"/>
      <c r="W793" s="346">
        <v>45261</v>
      </c>
      <c r="X793" s="373">
        <v>3</v>
      </c>
      <c r="Y793" s="336">
        <f t="shared" ca="1" si="17"/>
        <v>39</v>
      </c>
      <c r="Z793" s="373"/>
      <c r="AA793" s="373"/>
      <c r="AB793" s="373"/>
    </row>
    <row r="794" spans="1:28" s="338" customFormat="1" ht="12.75" customHeight="1" x14ac:dyDescent="0.25">
      <c r="A794" s="347" t="s">
        <v>2387</v>
      </c>
      <c r="B794" s="376">
        <v>45222</v>
      </c>
      <c r="C794" s="425" t="s">
        <v>35</v>
      </c>
      <c r="D794" s="333" t="s">
        <v>2244</v>
      </c>
      <c r="E794" s="333"/>
      <c r="F794" s="374" t="s">
        <v>2388</v>
      </c>
      <c r="G794" s="372" t="s">
        <v>2354</v>
      </c>
      <c r="H794" s="333">
        <v>2</v>
      </c>
      <c r="I794" s="333" t="s">
        <v>277</v>
      </c>
      <c r="J794" s="333" t="s">
        <v>102</v>
      </c>
      <c r="K794" s="333" t="s">
        <v>69</v>
      </c>
      <c r="L794" s="333"/>
      <c r="M794" s="333"/>
      <c r="N794" s="417"/>
      <c r="O794" s="417"/>
      <c r="P794" s="462">
        <v>45222</v>
      </c>
      <c r="Q794" s="333"/>
      <c r="R794" s="333"/>
      <c r="S794" s="373"/>
      <c r="T794" s="373"/>
      <c r="U794" s="373"/>
      <c r="V794" s="373"/>
      <c r="W794" s="346">
        <v>45261</v>
      </c>
      <c r="X794" s="373">
        <v>2</v>
      </c>
      <c r="Y794" s="336">
        <f t="shared" ca="1" si="17"/>
        <v>39</v>
      </c>
      <c r="Z794" s="373"/>
      <c r="AA794" s="373"/>
      <c r="AB794" s="373"/>
    </row>
    <row r="795" spans="1:28" s="338" customFormat="1" ht="12.75" customHeight="1" x14ac:dyDescent="0.25">
      <c r="A795" s="347" t="s">
        <v>2389</v>
      </c>
      <c r="B795" s="376">
        <v>45222</v>
      </c>
      <c r="C795" s="425" t="s">
        <v>35</v>
      </c>
      <c r="D795" s="333" t="s">
        <v>2244</v>
      </c>
      <c r="E795" s="333"/>
      <c r="F795" s="374" t="s">
        <v>2390</v>
      </c>
      <c r="G795" s="372" t="s">
        <v>1785</v>
      </c>
      <c r="H795" s="333">
        <v>1</v>
      </c>
      <c r="I795" s="333" t="s">
        <v>277</v>
      </c>
      <c r="J795" s="333" t="s">
        <v>102</v>
      </c>
      <c r="K795" s="333" t="s">
        <v>69</v>
      </c>
      <c r="L795" s="333"/>
      <c r="M795" s="333"/>
      <c r="N795" s="417"/>
      <c r="O795" s="417"/>
      <c r="P795" s="462">
        <v>45222</v>
      </c>
      <c r="Q795" s="333"/>
      <c r="R795" s="333"/>
      <c r="S795" s="373"/>
      <c r="T795" s="373"/>
      <c r="U795" s="373"/>
      <c r="V795" s="373"/>
      <c r="W795" s="346">
        <v>45261</v>
      </c>
      <c r="X795" s="373">
        <v>1</v>
      </c>
      <c r="Y795" s="336">
        <f t="shared" ca="1" si="17"/>
        <v>39</v>
      </c>
      <c r="Z795" s="373"/>
      <c r="AA795" s="373"/>
      <c r="AB795" s="373"/>
    </row>
    <row r="796" spans="1:28" s="338" customFormat="1" ht="12.75" customHeight="1" x14ac:dyDescent="0.25">
      <c r="A796" s="347" t="s">
        <v>2391</v>
      </c>
      <c r="B796" s="376">
        <v>45222</v>
      </c>
      <c r="C796" s="425" t="s">
        <v>35</v>
      </c>
      <c r="D796" s="333" t="s">
        <v>2244</v>
      </c>
      <c r="E796" s="333"/>
      <c r="F796" s="374" t="s">
        <v>2392</v>
      </c>
      <c r="G796" s="372" t="s">
        <v>2393</v>
      </c>
      <c r="H796" s="333">
        <v>9</v>
      </c>
      <c r="I796" s="333" t="s">
        <v>277</v>
      </c>
      <c r="J796" s="333" t="s">
        <v>102</v>
      </c>
      <c r="K796" s="333" t="s">
        <v>69</v>
      </c>
      <c r="L796" s="333"/>
      <c r="M796" s="333"/>
      <c r="N796" s="417"/>
      <c r="O796" s="417"/>
      <c r="P796" s="462">
        <v>45222</v>
      </c>
      <c r="Q796" s="333"/>
      <c r="R796" s="333"/>
      <c r="S796" s="373"/>
      <c r="T796" s="373"/>
      <c r="U796" s="373"/>
      <c r="V796" s="373"/>
      <c r="W796" s="346">
        <v>45160</v>
      </c>
      <c r="X796" s="373"/>
      <c r="Y796" s="336">
        <f t="shared" ca="1" si="17"/>
        <v>-62</v>
      </c>
      <c r="Z796" s="373"/>
      <c r="AA796" s="373"/>
      <c r="AB796" s="373"/>
    </row>
    <row r="797" spans="1:28" s="338" customFormat="1" ht="12.75" customHeight="1" x14ac:dyDescent="0.25">
      <c r="A797" s="347" t="s">
        <v>2394</v>
      </c>
      <c r="B797" s="376">
        <v>45222</v>
      </c>
      <c r="C797" s="425" t="s">
        <v>35</v>
      </c>
      <c r="D797" s="333" t="s">
        <v>2244</v>
      </c>
      <c r="E797" s="333"/>
      <c r="F797" s="374" t="s">
        <v>2395</v>
      </c>
      <c r="G797" s="372" t="s">
        <v>2393</v>
      </c>
      <c r="H797" s="333">
        <v>2</v>
      </c>
      <c r="I797" s="333" t="s">
        <v>277</v>
      </c>
      <c r="J797" s="333" t="s">
        <v>102</v>
      </c>
      <c r="K797" s="333" t="s">
        <v>69</v>
      </c>
      <c r="L797" s="333"/>
      <c r="M797" s="333"/>
      <c r="N797" s="417"/>
      <c r="O797" s="417"/>
      <c r="P797" s="462">
        <v>45222</v>
      </c>
      <c r="Q797" s="333"/>
      <c r="R797" s="333"/>
      <c r="S797" s="373"/>
      <c r="T797" s="373"/>
      <c r="U797" s="373"/>
      <c r="V797" s="373"/>
      <c r="W797" s="346">
        <v>44938</v>
      </c>
      <c r="X797" s="373"/>
      <c r="Y797" s="336">
        <f t="shared" ca="1" si="17"/>
        <v>-284</v>
      </c>
      <c r="Z797" s="373"/>
      <c r="AA797" s="373"/>
      <c r="AB797" s="373"/>
    </row>
    <row r="798" spans="1:28" s="338" customFormat="1" ht="12.75" customHeight="1" x14ac:dyDescent="0.25">
      <c r="A798" s="347" t="s">
        <v>2396</v>
      </c>
      <c r="B798" s="376">
        <v>45222</v>
      </c>
      <c r="C798" s="425" t="s">
        <v>35</v>
      </c>
      <c r="D798" s="333" t="s">
        <v>2244</v>
      </c>
      <c r="E798" s="333"/>
      <c r="F798" s="374" t="s">
        <v>2397</v>
      </c>
      <c r="G798" s="372" t="s">
        <v>2393</v>
      </c>
      <c r="H798" s="333">
        <v>15</v>
      </c>
      <c r="I798" s="333" t="s">
        <v>277</v>
      </c>
      <c r="J798" s="333" t="s">
        <v>102</v>
      </c>
      <c r="K798" s="333" t="s">
        <v>69</v>
      </c>
      <c r="L798" s="333"/>
      <c r="M798" s="333"/>
      <c r="N798" s="417"/>
      <c r="O798" s="417"/>
      <c r="P798" s="462">
        <v>45222</v>
      </c>
      <c r="Q798" s="333"/>
      <c r="R798" s="333"/>
      <c r="S798" s="373"/>
      <c r="T798" s="373"/>
      <c r="U798" s="373"/>
      <c r="V798" s="373"/>
      <c r="W798" s="346">
        <v>44938</v>
      </c>
      <c r="X798" s="373"/>
      <c r="Y798" s="336">
        <f t="shared" ca="1" si="17"/>
        <v>-284</v>
      </c>
      <c r="Z798" s="373"/>
      <c r="AA798" s="373"/>
      <c r="AB798" s="373"/>
    </row>
    <row r="799" spans="1:28" s="338" customFormat="1" ht="12.75" customHeight="1" x14ac:dyDescent="0.25">
      <c r="A799" s="347" t="s">
        <v>2398</v>
      </c>
      <c r="B799" s="376">
        <v>45222</v>
      </c>
      <c r="C799" s="425" t="s">
        <v>35</v>
      </c>
      <c r="D799" s="333" t="s">
        <v>2244</v>
      </c>
      <c r="E799" s="333"/>
      <c r="F799" s="374" t="s">
        <v>2399</v>
      </c>
      <c r="G799" s="372" t="s">
        <v>2400</v>
      </c>
      <c r="H799" s="333">
        <v>2</v>
      </c>
      <c r="I799" s="333" t="s">
        <v>277</v>
      </c>
      <c r="J799" s="333" t="s">
        <v>102</v>
      </c>
      <c r="K799" s="333" t="s">
        <v>69</v>
      </c>
      <c r="L799" s="333"/>
      <c r="M799" s="333"/>
      <c r="N799" s="417"/>
      <c r="O799" s="417"/>
      <c r="P799" s="462">
        <v>45222</v>
      </c>
      <c r="Q799" s="333"/>
      <c r="R799" s="333"/>
      <c r="S799" s="373"/>
      <c r="T799" s="373"/>
      <c r="U799" s="373"/>
      <c r="V799" s="373"/>
      <c r="W799" s="346">
        <v>45226</v>
      </c>
      <c r="X799" s="373"/>
      <c r="Y799" s="336">
        <f t="shared" ca="1" si="17"/>
        <v>4</v>
      </c>
      <c r="Z799" s="373"/>
      <c r="AA799" s="373"/>
      <c r="AB799" s="373"/>
    </row>
    <row r="800" spans="1:28" s="338" customFormat="1" ht="12.75" customHeight="1" x14ac:dyDescent="0.25">
      <c r="A800" s="347" t="s">
        <v>2401</v>
      </c>
      <c r="B800" s="376">
        <v>45222</v>
      </c>
      <c r="C800" s="425" t="s">
        <v>35</v>
      </c>
      <c r="D800" s="333" t="s">
        <v>2244</v>
      </c>
      <c r="E800" s="333"/>
      <c r="F800" s="374" t="s">
        <v>2402</v>
      </c>
      <c r="G800" s="372" t="s">
        <v>2403</v>
      </c>
      <c r="H800" s="333">
        <v>6</v>
      </c>
      <c r="I800" s="333" t="s">
        <v>277</v>
      </c>
      <c r="J800" s="333" t="s">
        <v>102</v>
      </c>
      <c r="K800" s="333" t="s">
        <v>69</v>
      </c>
      <c r="L800" s="333"/>
      <c r="M800" s="333"/>
      <c r="N800" s="417"/>
      <c r="O800" s="417"/>
      <c r="P800" s="462">
        <v>45222</v>
      </c>
      <c r="Q800" s="333"/>
      <c r="R800" s="333"/>
      <c r="S800" s="373"/>
      <c r="T800" s="373"/>
      <c r="U800" s="373"/>
      <c r="V800" s="373"/>
      <c r="W800" s="346">
        <v>44938</v>
      </c>
      <c r="X800" s="373"/>
      <c r="Y800" s="336">
        <f t="shared" ca="1" si="17"/>
        <v>-284</v>
      </c>
      <c r="Z800" s="373"/>
      <c r="AA800" s="373"/>
      <c r="AB800" s="373"/>
    </row>
    <row r="801" spans="1:28" s="338" customFormat="1" ht="12.75" customHeight="1" x14ac:dyDescent="0.25">
      <c r="A801" s="347" t="s">
        <v>2404</v>
      </c>
      <c r="B801" s="376">
        <v>45222</v>
      </c>
      <c r="C801" s="425" t="s">
        <v>35</v>
      </c>
      <c r="D801" s="333" t="s">
        <v>2244</v>
      </c>
      <c r="E801" s="333"/>
      <c r="F801" s="374" t="s">
        <v>2405</v>
      </c>
      <c r="G801" s="372" t="s">
        <v>1189</v>
      </c>
      <c r="H801" s="333">
        <v>4</v>
      </c>
      <c r="I801" s="333" t="s">
        <v>277</v>
      </c>
      <c r="J801" s="333" t="s">
        <v>102</v>
      </c>
      <c r="K801" s="333" t="s">
        <v>69</v>
      </c>
      <c r="L801" s="333"/>
      <c r="M801" s="333"/>
      <c r="N801" s="417"/>
      <c r="O801" s="417"/>
      <c r="P801" s="462">
        <v>45222</v>
      </c>
      <c r="Q801" s="333"/>
      <c r="R801" s="333"/>
      <c r="S801" s="373"/>
      <c r="T801" s="373"/>
      <c r="U801" s="373"/>
      <c r="V801" s="373"/>
      <c r="W801" s="346">
        <v>44938</v>
      </c>
      <c r="X801" s="373"/>
      <c r="Y801" s="336">
        <f t="shared" ca="1" si="17"/>
        <v>-284</v>
      </c>
      <c r="Z801" s="373"/>
      <c r="AA801" s="373"/>
      <c r="AB801" s="373"/>
    </row>
    <row r="802" spans="1:28" s="338" customFormat="1" ht="12.75" customHeight="1" x14ac:dyDescent="0.25">
      <c r="A802" s="347" t="s">
        <v>2406</v>
      </c>
      <c r="B802" s="376">
        <v>45222</v>
      </c>
      <c r="C802" s="425" t="s">
        <v>35</v>
      </c>
      <c r="D802" s="333" t="s">
        <v>2407</v>
      </c>
      <c r="E802" s="333"/>
      <c r="F802" s="374" t="s">
        <v>2408</v>
      </c>
      <c r="G802" s="372" t="s">
        <v>2354</v>
      </c>
      <c r="H802" s="333">
        <v>6</v>
      </c>
      <c r="I802" s="333" t="s">
        <v>277</v>
      </c>
      <c r="J802" s="333" t="s">
        <v>102</v>
      </c>
      <c r="K802" s="333" t="s">
        <v>69</v>
      </c>
      <c r="L802" s="333"/>
      <c r="M802" s="333"/>
      <c r="N802" s="417"/>
      <c r="O802" s="417"/>
      <c r="P802" s="462">
        <v>45222</v>
      </c>
      <c r="Q802" s="333"/>
      <c r="R802" s="333"/>
      <c r="S802" s="373"/>
      <c r="T802" s="373"/>
      <c r="U802" s="373"/>
      <c r="V802" s="373"/>
      <c r="W802" s="346">
        <v>44938</v>
      </c>
      <c r="X802" s="373"/>
      <c r="Y802" s="336">
        <f t="shared" ca="1" si="17"/>
        <v>-284</v>
      </c>
      <c r="Z802" s="373"/>
      <c r="AA802" s="373"/>
      <c r="AB802" s="373"/>
    </row>
    <row r="803" spans="1:28" s="338" customFormat="1" ht="12.75" customHeight="1" x14ac:dyDescent="0.25">
      <c r="A803" s="347" t="s">
        <v>2409</v>
      </c>
      <c r="B803" s="376">
        <v>45222</v>
      </c>
      <c r="C803" s="425" t="s">
        <v>35</v>
      </c>
      <c r="D803" s="333" t="s">
        <v>2407</v>
      </c>
      <c r="E803" s="333"/>
      <c r="F803" s="374" t="s">
        <v>2410</v>
      </c>
      <c r="G803" s="372" t="s">
        <v>1201</v>
      </c>
      <c r="H803" s="333">
        <v>3</v>
      </c>
      <c r="I803" s="333" t="s">
        <v>277</v>
      </c>
      <c r="J803" s="333" t="s">
        <v>102</v>
      </c>
      <c r="K803" s="333" t="s">
        <v>69</v>
      </c>
      <c r="L803" s="333"/>
      <c r="M803" s="333"/>
      <c r="N803" s="417"/>
      <c r="O803" s="417"/>
      <c r="P803" s="462">
        <v>45222</v>
      </c>
      <c r="Q803" s="333"/>
      <c r="R803" s="333"/>
      <c r="S803" s="373"/>
      <c r="T803" s="373"/>
      <c r="U803" s="373"/>
      <c r="V803" s="373"/>
      <c r="W803" s="346">
        <v>45226</v>
      </c>
      <c r="X803" s="373"/>
      <c r="Y803" s="336">
        <f t="shared" ca="1" si="17"/>
        <v>4</v>
      </c>
      <c r="Z803" s="373"/>
      <c r="AA803" s="373"/>
      <c r="AB803" s="373"/>
    </row>
    <row r="804" spans="1:28" s="338" customFormat="1" ht="12.75" customHeight="1" x14ac:dyDescent="0.25">
      <c r="A804" s="347" t="s">
        <v>2411</v>
      </c>
      <c r="B804" s="376">
        <v>45222</v>
      </c>
      <c r="C804" s="425" t="s">
        <v>35</v>
      </c>
      <c r="D804" s="333" t="s">
        <v>2407</v>
      </c>
      <c r="E804" s="333"/>
      <c r="F804" s="374" t="s">
        <v>2412</v>
      </c>
      <c r="G804" s="372" t="s">
        <v>2329</v>
      </c>
      <c r="H804" s="333">
        <v>3</v>
      </c>
      <c r="I804" s="333" t="s">
        <v>277</v>
      </c>
      <c r="J804" s="333" t="s">
        <v>102</v>
      </c>
      <c r="K804" s="333" t="s">
        <v>69</v>
      </c>
      <c r="L804" s="333"/>
      <c r="M804" s="333"/>
      <c r="N804" s="417"/>
      <c r="O804" s="417"/>
      <c r="P804" s="462">
        <v>45222</v>
      </c>
      <c r="Q804" s="333"/>
      <c r="R804" s="333"/>
      <c r="S804" s="373"/>
      <c r="T804" s="373"/>
      <c r="U804" s="373"/>
      <c r="V804" s="373"/>
      <c r="W804" s="346">
        <v>45226</v>
      </c>
      <c r="X804" s="373"/>
      <c r="Y804" s="336">
        <f t="shared" ca="1" si="17"/>
        <v>4</v>
      </c>
      <c r="Z804" s="373"/>
      <c r="AA804" s="373"/>
      <c r="AB804" s="373"/>
    </row>
    <row r="805" spans="1:28" s="338" customFormat="1" ht="12.75" customHeight="1" x14ac:dyDescent="0.25">
      <c r="A805" s="347" t="s">
        <v>2413</v>
      </c>
      <c r="B805" s="376">
        <v>45222</v>
      </c>
      <c r="C805" s="425" t="s">
        <v>35</v>
      </c>
      <c r="D805" s="333" t="s">
        <v>2407</v>
      </c>
      <c r="E805" s="333"/>
      <c r="F805" s="374" t="s">
        <v>2322</v>
      </c>
      <c r="G805" s="372" t="s">
        <v>2323</v>
      </c>
      <c r="H805" s="333">
        <v>6</v>
      </c>
      <c r="I805" s="333" t="s">
        <v>277</v>
      </c>
      <c r="J805" s="333" t="s">
        <v>102</v>
      </c>
      <c r="K805" s="333" t="s">
        <v>69</v>
      </c>
      <c r="L805" s="333"/>
      <c r="M805" s="333"/>
      <c r="N805" s="417"/>
      <c r="O805" s="417"/>
      <c r="P805" s="462">
        <v>45222</v>
      </c>
      <c r="Q805" s="333"/>
      <c r="R805" s="333"/>
      <c r="S805" s="373"/>
      <c r="T805" s="373"/>
      <c r="U805" s="373"/>
      <c r="V805" s="373"/>
      <c r="W805" s="346">
        <v>44938</v>
      </c>
      <c r="X805" s="373"/>
      <c r="Y805" s="336">
        <f t="shared" ca="1" si="17"/>
        <v>-284</v>
      </c>
      <c r="Z805" s="373"/>
      <c r="AA805" s="373"/>
      <c r="AB805" s="373"/>
    </row>
    <row r="806" spans="1:28" s="338" customFormat="1" ht="12.75" customHeight="1" x14ac:dyDescent="0.25">
      <c r="A806" s="347" t="s">
        <v>2414</v>
      </c>
      <c r="B806" s="376">
        <v>45222</v>
      </c>
      <c r="C806" s="425" t="s">
        <v>35</v>
      </c>
      <c r="D806" s="333" t="s">
        <v>2407</v>
      </c>
      <c r="E806" s="333"/>
      <c r="F806" s="374" t="s">
        <v>2415</v>
      </c>
      <c r="G806" s="372" t="s">
        <v>2329</v>
      </c>
      <c r="H806" s="333">
        <v>12</v>
      </c>
      <c r="I806" s="333" t="s">
        <v>277</v>
      </c>
      <c r="J806" s="333" t="s">
        <v>102</v>
      </c>
      <c r="K806" s="333" t="s">
        <v>69</v>
      </c>
      <c r="L806" s="333"/>
      <c r="M806" s="333"/>
      <c r="N806" s="417"/>
      <c r="O806" s="417"/>
      <c r="P806" s="462">
        <v>45222</v>
      </c>
      <c r="Q806" s="333"/>
      <c r="R806" s="333"/>
      <c r="S806" s="373"/>
      <c r="T806" s="373"/>
      <c r="U806" s="373"/>
      <c r="V806" s="373"/>
      <c r="W806" s="346">
        <v>45226</v>
      </c>
      <c r="X806" s="373"/>
      <c r="Y806" s="336">
        <f t="shared" ca="1" si="17"/>
        <v>4</v>
      </c>
      <c r="Z806" s="373"/>
      <c r="AA806" s="373"/>
      <c r="AB806" s="373"/>
    </row>
    <row r="807" spans="1:28" s="338" customFormat="1" ht="12.75" customHeight="1" x14ac:dyDescent="0.25">
      <c r="A807" s="347" t="s">
        <v>2416</v>
      </c>
      <c r="B807" s="376">
        <v>45222</v>
      </c>
      <c r="C807" s="425" t="s">
        <v>35</v>
      </c>
      <c r="D807" s="333" t="s">
        <v>2407</v>
      </c>
      <c r="E807" s="333"/>
      <c r="F807" s="374" t="s">
        <v>2417</v>
      </c>
      <c r="G807" s="372" t="s">
        <v>2329</v>
      </c>
      <c r="H807" s="333">
        <v>9</v>
      </c>
      <c r="I807" s="333" t="s">
        <v>277</v>
      </c>
      <c r="J807" s="333" t="s">
        <v>102</v>
      </c>
      <c r="K807" s="333" t="s">
        <v>69</v>
      </c>
      <c r="L807" s="333"/>
      <c r="M807" s="333"/>
      <c r="N807" s="417"/>
      <c r="O807" s="417"/>
      <c r="P807" s="462">
        <v>45222</v>
      </c>
      <c r="Q807" s="333"/>
      <c r="R807" s="333"/>
      <c r="S807" s="373"/>
      <c r="T807" s="373"/>
      <c r="U807" s="373"/>
      <c r="V807" s="373"/>
      <c r="W807" s="346">
        <v>45226</v>
      </c>
      <c r="X807" s="373"/>
      <c r="Y807" s="336">
        <f t="shared" ca="1" si="17"/>
        <v>4</v>
      </c>
      <c r="Z807" s="373"/>
      <c r="AA807" s="373"/>
      <c r="AB807" s="373"/>
    </row>
    <row r="808" spans="1:28" s="338" customFormat="1" ht="12.75" customHeight="1" x14ac:dyDescent="0.25">
      <c r="A808" s="347" t="s">
        <v>2418</v>
      </c>
      <c r="B808" s="376">
        <v>45222</v>
      </c>
      <c r="C808" s="425" t="s">
        <v>35</v>
      </c>
      <c r="D808" s="333" t="s">
        <v>2407</v>
      </c>
      <c r="E808" s="333"/>
      <c r="F808" s="374" t="s">
        <v>2270</v>
      </c>
      <c r="G808" s="372" t="s">
        <v>1189</v>
      </c>
      <c r="H808" s="333">
        <v>3</v>
      </c>
      <c r="I808" s="333" t="s">
        <v>277</v>
      </c>
      <c r="J808" s="333" t="s">
        <v>102</v>
      </c>
      <c r="K808" s="333" t="s">
        <v>69</v>
      </c>
      <c r="L808" s="333"/>
      <c r="M808" s="333"/>
      <c r="N808" s="417"/>
      <c r="O808" s="417"/>
      <c r="P808" s="462">
        <v>45222</v>
      </c>
      <c r="Q808" s="333"/>
      <c r="R808" s="333"/>
      <c r="S808" s="373"/>
      <c r="T808" s="373"/>
      <c r="U808" s="373"/>
      <c r="V808" s="373"/>
      <c r="W808" s="346">
        <v>45226</v>
      </c>
      <c r="X808" s="373">
        <v>3</v>
      </c>
      <c r="Y808" s="336">
        <f t="shared" ca="1" si="17"/>
        <v>4</v>
      </c>
      <c r="Z808" s="373"/>
      <c r="AA808" s="373"/>
      <c r="AB808" s="373"/>
    </row>
    <row r="809" spans="1:28" s="338" customFormat="1" ht="12.75" customHeight="1" x14ac:dyDescent="0.25">
      <c r="A809" s="347" t="s">
        <v>2419</v>
      </c>
      <c r="B809" s="376">
        <v>45222</v>
      </c>
      <c r="C809" s="425" t="s">
        <v>35</v>
      </c>
      <c r="D809" s="333" t="s">
        <v>2407</v>
      </c>
      <c r="E809" s="333"/>
      <c r="F809" s="374" t="s">
        <v>2420</v>
      </c>
      <c r="G809" s="372" t="s">
        <v>1181</v>
      </c>
      <c r="H809" s="333">
        <v>12</v>
      </c>
      <c r="I809" s="333" t="s">
        <v>277</v>
      </c>
      <c r="J809" s="333" t="s">
        <v>102</v>
      </c>
      <c r="K809" s="333" t="s">
        <v>69</v>
      </c>
      <c r="L809" s="333"/>
      <c r="M809" s="333"/>
      <c r="N809" s="417"/>
      <c r="O809" s="417"/>
      <c r="P809" s="462">
        <v>45222</v>
      </c>
      <c r="Q809" s="333"/>
      <c r="R809" s="333"/>
      <c r="S809" s="373"/>
      <c r="T809" s="373"/>
      <c r="U809" s="373"/>
      <c r="V809" s="373"/>
      <c r="W809" s="346">
        <v>45226</v>
      </c>
      <c r="X809" s="373"/>
      <c r="Y809" s="336">
        <f t="shared" ca="1" si="17"/>
        <v>4</v>
      </c>
      <c r="Z809" s="373"/>
      <c r="AA809" s="373"/>
      <c r="AB809" s="373"/>
    </row>
    <row r="810" spans="1:28" s="338" customFormat="1" ht="12.75" customHeight="1" x14ac:dyDescent="0.25">
      <c r="A810" s="347" t="s">
        <v>2421</v>
      </c>
      <c r="B810" s="376">
        <v>45222</v>
      </c>
      <c r="C810" s="425" t="s">
        <v>35</v>
      </c>
      <c r="D810" s="333" t="s">
        <v>2407</v>
      </c>
      <c r="E810" s="333"/>
      <c r="F810" s="374" t="s">
        <v>2250</v>
      </c>
      <c r="G810" s="372" t="s">
        <v>2422</v>
      </c>
      <c r="H810" s="333">
        <v>93</v>
      </c>
      <c r="I810" s="333" t="s">
        <v>277</v>
      </c>
      <c r="J810" s="333" t="s">
        <v>102</v>
      </c>
      <c r="K810" s="333" t="s">
        <v>69</v>
      </c>
      <c r="L810" s="333"/>
      <c r="M810" s="333"/>
      <c r="N810" s="417"/>
      <c r="O810" s="417"/>
      <c r="P810" s="462">
        <v>45222</v>
      </c>
      <c r="Q810" s="333"/>
      <c r="R810" s="333"/>
      <c r="S810" s="373"/>
      <c r="T810" s="373"/>
      <c r="U810" s="373"/>
      <c r="V810" s="373"/>
      <c r="W810" s="346">
        <v>45226</v>
      </c>
      <c r="X810" s="373"/>
      <c r="Y810" s="336">
        <f t="shared" ca="1" si="17"/>
        <v>4</v>
      </c>
      <c r="Z810" s="373"/>
      <c r="AA810" s="373"/>
      <c r="AB810" s="373"/>
    </row>
    <row r="811" spans="1:28" s="338" customFormat="1" ht="12.75" customHeight="1" x14ac:dyDescent="0.25">
      <c r="A811" s="347" t="s">
        <v>2423</v>
      </c>
      <c r="B811" s="376">
        <v>45222</v>
      </c>
      <c r="C811" s="425" t="s">
        <v>35</v>
      </c>
      <c r="D811" s="333" t="s">
        <v>2407</v>
      </c>
      <c r="E811" s="333"/>
      <c r="F811" s="374" t="s">
        <v>2424</v>
      </c>
      <c r="G811" s="372" t="s">
        <v>2329</v>
      </c>
      <c r="H811" s="333">
        <v>6</v>
      </c>
      <c r="I811" s="333" t="s">
        <v>277</v>
      </c>
      <c r="J811" s="333" t="s">
        <v>102</v>
      </c>
      <c r="K811" s="333" t="s">
        <v>69</v>
      </c>
      <c r="L811" s="333"/>
      <c r="M811" s="333"/>
      <c r="N811" s="417"/>
      <c r="O811" s="417"/>
      <c r="P811" s="462">
        <v>45222</v>
      </c>
      <c r="Q811" s="333"/>
      <c r="R811" s="333"/>
      <c r="S811" s="373"/>
      <c r="T811" s="373"/>
      <c r="U811" s="373"/>
      <c r="V811" s="373"/>
      <c r="W811" s="346">
        <v>45226</v>
      </c>
      <c r="X811" s="373"/>
      <c r="Y811" s="336">
        <f t="shared" ca="1" si="17"/>
        <v>4</v>
      </c>
      <c r="Z811" s="373"/>
      <c r="AA811" s="373"/>
      <c r="AB811" s="373"/>
    </row>
    <row r="812" spans="1:28" s="338" customFormat="1" ht="12.75" customHeight="1" x14ac:dyDescent="0.25">
      <c r="A812" s="347" t="s">
        <v>2425</v>
      </c>
      <c r="B812" s="376">
        <v>45222</v>
      </c>
      <c r="C812" s="425" t="s">
        <v>35</v>
      </c>
      <c r="D812" s="333" t="s">
        <v>2407</v>
      </c>
      <c r="E812" s="333"/>
      <c r="F812" s="374" t="s">
        <v>2426</v>
      </c>
      <c r="G812" s="372" t="s">
        <v>1181</v>
      </c>
      <c r="H812" s="333">
        <v>8</v>
      </c>
      <c r="I812" s="333" t="s">
        <v>277</v>
      </c>
      <c r="J812" s="333" t="s">
        <v>102</v>
      </c>
      <c r="K812" s="333" t="s">
        <v>69</v>
      </c>
      <c r="L812" s="333"/>
      <c r="M812" s="333"/>
      <c r="N812" s="417"/>
      <c r="O812" s="417"/>
      <c r="P812" s="462">
        <v>45222</v>
      </c>
      <c r="Q812" s="333"/>
      <c r="R812" s="333"/>
      <c r="S812" s="373"/>
      <c r="T812" s="373"/>
      <c r="U812" s="373"/>
      <c r="V812" s="373"/>
      <c r="W812" s="346">
        <v>45226</v>
      </c>
      <c r="X812" s="373"/>
      <c r="Y812" s="336">
        <f t="shared" ca="1" si="17"/>
        <v>4</v>
      </c>
      <c r="Z812" s="373"/>
      <c r="AA812" s="373"/>
      <c r="AB812" s="373"/>
    </row>
    <row r="813" spans="1:28" s="338" customFormat="1" ht="12.75" customHeight="1" x14ac:dyDescent="0.25">
      <c r="A813" s="347" t="s">
        <v>2427</v>
      </c>
      <c r="B813" s="376">
        <v>45222</v>
      </c>
      <c r="C813" s="425" t="s">
        <v>35</v>
      </c>
      <c r="D813" s="333" t="s">
        <v>2407</v>
      </c>
      <c r="E813" s="333"/>
      <c r="F813" s="374" t="s">
        <v>2257</v>
      </c>
      <c r="G813" s="372" t="s">
        <v>2422</v>
      </c>
      <c r="H813" s="333">
        <v>3</v>
      </c>
      <c r="I813" s="333" t="s">
        <v>277</v>
      </c>
      <c r="J813" s="333" t="s">
        <v>102</v>
      </c>
      <c r="K813" s="333" t="s">
        <v>69</v>
      </c>
      <c r="L813" s="333"/>
      <c r="M813" s="333"/>
      <c r="N813" s="417"/>
      <c r="O813" s="417"/>
      <c r="P813" s="462">
        <v>45222</v>
      </c>
      <c r="Q813" s="333"/>
      <c r="R813" s="333"/>
      <c r="S813" s="373"/>
      <c r="T813" s="373"/>
      <c r="U813" s="373"/>
      <c r="V813" s="373"/>
      <c r="W813" s="346">
        <v>45226</v>
      </c>
      <c r="X813" s="373"/>
      <c r="Y813" s="336">
        <f t="shared" ca="1" si="17"/>
        <v>4</v>
      </c>
      <c r="Z813" s="373"/>
      <c r="AA813" s="373"/>
      <c r="AB813" s="373"/>
    </row>
    <row r="814" spans="1:28" s="338" customFormat="1" ht="12.75" customHeight="1" x14ac:dyDescent="0.25">
      <c r="A814" s="347" t="s">
        <v>2428</v>
      </c>
      <c r="B814" s="376">
        <v>45222</v>
      </c>
      <c r="C814" s="425" t="s">
        <v>35</v>
      </c>
      <c r="D814" s="333" t="s">
        <v>2407</v>
      </c>
      <c r="E814" s="333"/>
      <c r="F814" s="374" t="s">
        <v>2429</v>
      </c>
      <c r="G814" s="372" t="s">
        <v>2430</v>
      </c>
      <c r="H814" s="333">
        <v>9</v>
      </c>
      <c r="I814" s="333" t="s">
        <v>277</v>
      </c>
      <c r="J814" s="333" t="s">
        <v>102</v>
      </c>
      <c r="K814" s="333" t="s">
        <v>69</v>
      </c>
      <c r="L814" s="333"/>
      <c r="M814" s="333"/>
      <c r="N814" s="417"/>
      <c r="O814" s="417"/>
      <c r="P814" s="462">
        <v>45222</v>
      </c>
      <c r="Q814" s="333"/>
      <c r="R814" s="333"/>
      <c r="S814" s="373"/>
      <c r="T814" s="373"/>
      <c r="U814" s="373"/>
      <c r="V814" s="373"/>
      <c r="W814" s="346">
        <v>45226</v>
      </c>
      <c r="X814" s="373"/>
      <c r="Y814" s="336">
        <f t="shared" ca="1" si="17"/>
        <v>4</v>
      </c>
      <c r="Z814" s="373"/>
      <c r="AA814" s="373"/>
      <c r="AB814" s="373"/>
    </row>
    <row r="815" spans="1:28" s="338" customFormat="1" ht="12.75" customHeight="1" x14ac:dyDescent="0.25">
      <c r="A815" s="347" t="s">
        <v>2431</v>
      </c>
      <c r="B815" s="376">
        <v>45222</v>
      </c>
      <c r="C815" s="425" t="s">
        <v>35</v>
      </c>
      <c r="D815" s="333" t="s">
        <v>2407</v>
      </c>
      <c r="E815" s="333"/>
      <c r="F815" s="374" t="s">
        <v>2432</v>
      </c>
      <c r="G815" s="372" t="s">
        <v>2433</v>
      </c>
      <c r="H815" s="333">
        <v>2</v>
      </c>
      <c r="I815" s="333" t="s">
        <v>277</v>
      </c>
      <c r="J815" s="333" t="s">
        <v>102</v>
      </c>
      <c r="K815" s="333" t="s">
        <v>69</v>
      </c>
      <c r="L815" s="333"/>
      <c r="M815" s="333"/>
      <c r="N815" s="417"/>
      <c r="O815" s="417"/>
      <c r="P815" s="462">
        <v>45222</v>
      </c>
      <c r="Q815" s="333"/>
      <c r="R815" s="333"/>
      <c r="S815" s="373"/>
      <c r="T815" s="373"/>
      <c r="U815" s="373"/>
      <c r="V815" s="373"/>
      <c r="W815" s="346">
        <v>45226</v>
      </c>
      <c r="X815" s="373"/>
      <c r="Y815" s="336">
        <f t="shared" ca="1" si="17"/>
        <v>4</v>
      </c>
      <c r="Z815" s="373"/>
      <c r="AA815" s="373"/>
      <c r="AB815" s="373"/>
    </row>
    <row r="816" spans="1:28" s="338" customFormat="1" ht="12.75" customHeight="1" x14ac:dyDescent="0.25">
      <c r="A816" s="347" t="s">
        <v>2434</v>
      </c>
      <c r="B816" s="376">
        <v>45222</v>
      </c>
      <c r="C816" s="425" t="s">
        <v>35</v>
      </c>
      <c r="D816" s="333" t="s">
        <v>2407</v>
      </c>
      <c r="E816" s="333"/>
      <c r="F816" s="374" t="s">
        <v>2432</v>
      </c>
      <c r="G816" s="372" t="s">
        <v>2433</v>
      </c>
      <c r="H816" s="333">
        <v>2</v>
      </c>
      <c r="I816" s="333" t="s">
        <v>277</v>
      </c>
      <c r="J816" s="333" t="s">
        <v>102</v>
      </c>
      <c r="K816" s="333" t="s">
        <v>69</v>
      </c>
      <c r="L816" s="333"/>
      <c r="M816" s="333"/>
      <c r="N816" s="417"/>
      <c r="O816" s="417"/>
      <c r="P816" s="462">
        <v>45222</v>
      </c>
      <c r="Q816" s="333"/>
      <c r="R816" s="333"/>
      <c r="S816" s="373"/>
      <c r="T816" s="373"/>
      <c r="U816" s="373"/>
      <c r="V816" s="373"/>
      <c r="W816" s="346">
        <v>45226</v>
      </c>
      <c r="X816" s="373"/>
      <c r="Y816" s="336">
        <f t="shared" ca="1" si="17"/>
        <v>4</v>
      </c>
      <c r="Z816" s="373"/>
      <c r="AA816" s="373"/>
      <c r="AB816" s="373"/>
    </row>
    <row r="817" spans="1:28" s="338" customFormat="1" ht="12.75" customHeight="1" x14ac:dyDescent="0.25">
      <c r="A817" s="347" t="s">
        <v>2435</v>
      </c>
      <c r="B817" s="376">
        <v>45222</v>
      </c>
      <c r="C817" s="425" t="s">
        <v>35</v>
      </c>
      <c r="D817" s="333" t="s">
        <v>2407</v>
      </c>
      <c r="E817" s="333"/>
      <c r="F817" s="374" t="s">
        <v>2270</v>
      </c>
      <c r="G817" s="372" t="s">
        <v>1189</v>
      </c>
      <c r="H817" s="333">
        <v>9</v>
      </c>
      <c r="I817" s="333" t="s">
        <v>277</v>
      </c>
      <c r="J817" s="333" t="s">
        <v>102</v>
      </c>
      <c r="K817" s="333" t="s">
        <v>69</v>
      </c>
      <c r="L817" s="333"/>
      <c r="M817" s="333"/>
      <c r="N817" s="417"/>
      <c r="O817" s="417"/>
      <c r="P817" s="462">
        <v>45222</v>
      </c>
      <c r="Q817" s="333"/>
      <c r="R817" s="333"/>
      <c r="S817" s="373"/>
      <c r="T817" s="373"/>
      <c r="U817" s="373"/>
      <c r="V817" s="373"/>
      <c r="W817" s="346">
        <v>45226</v>
      </c>
      <c r="X817" s="373">
        <v>9</v>
      </c>
      <c r="Y817" s="336">
        <f t="shared" ca="1" si="17"/>
        <v>4</v>
      </c>
      <c r="Z817" s="373"/>
      <c r="AA817" s="373"/>
      <c r="AB817" s="373"/>
    </row>
    <row r="818" spans="1:28" s="338" customFormat="1" ht="12.75" customHeight="1" x14ac:dyDescent="0.25">
      <c r="A818" s="347" t="s">
        <v>2436</v>
      </c>
      <c r="B818" s="376">
        <v>45222</v>
      </c>
      <c r="C818" s="425" t="s">
        <v>35</v>
      </c>
      <c r="D818" s="333" t="s">
        <v>2407</v>
      </c>
      <c r="E818" s="333"/>
      <c r="F818" s="374" t="s">
        <v>2437</v>
      </c>
      <c r="G818" s="372" t="s">
        <v>2422</v>
      </c>
      <c r="H818" s="333">
        <v>4</v>
      </c>
      <c r="I818" s="333" t="s">
        <v>277</v>
      </c>
      <c r="J818" s="333" t="s">
        <v>102</v>
      </c>
      <c r="K818" s="333" t="s">
        <v>69</v>
      </c>
      <c r="L818" s="333"/>
      <c r="M818" s="333"/>
      <c r="N818" s="417"/>
      <c r="O818" s="417"/>
      <c r="P818" s="462">
        <v>45222</v>
      </c>
      <c r="Q818" s="333"/>
      <c r="R818" s="333"/>
      <c r="S818" s="373"/>
      <c r="T818" s="373"/>
      <c r="U818" s="373"/>
      <c r="V818" s="373"/>
      <c r="W818" s="346">
        <v>44938</v>
      </c>
      <c r="X818" s="373"/>
      <c r="Y818" s="336">
        <f t="shared" ca="1" si="17"/>
        <v>-284</v>
      </c>
      <c r="Z818" s="373"/>
      <c r="AA818" s="373"/>
      <c r="AB818" s="373"/>
    </row>
    <row r="819" spans="1:28" s="338" customFormat="1" ht="12.75" customHeight="1" x14ac:dyDescent="0.25">
      <c r="A819" s="347" t="s">
        <v>2438</v>
      </c>
      <c r="B819" s="376">
        <v>45222</v>
      </c>
      <c r="C819" s="425" t="s">
        <v>35</v>
      </c>
      <c r="D819" s="333" t="s">
        <v>2407</v>
      </c>
      <c r="E819" s="333"/>
      <c r="F819" s="374" t="s">
        <v>2252</v>
      </c>
      <c r="G819" s="372" t="s">
        <v>1181</v>
      </c>
      <c r="H819" s="333">
        <v>2</v>
      </c>
      <c r="I819" s="333" t="s">
        <v>277</v>
      </c>
      <c r="J819" s="333" t="s">
        <v>102</v>
      </c>
      <c r="K819" s="333" t="s">
        <v>69</v>
      </c>
      <c r="L819" s="333"/>
      <c r="M819" s="333"/>
      <c r="N819" s="417"/>
      <c r="O819" s="417"/>
      <c r="P819" s="462">
        <v>45222</v>
      </c>
      <c r="Q819" s="333"/>
      <c r="R819" s="333"/>
      <c r="S819" s="373"/>
      <c r="T819" s="373"/>
      <c r="U819" s="373"/>
      <c r="V819" s="373"/>
      <c r="W819" s="346">
        <v>45226</v>
      </c>
      <c r="X819" s="373"/>
      <c r="Y819" s="336">
        <f t="shared" ca="1" si="17"/>
        <v>4</v>
      </c>
      <c r="Z819" s="373"/>
      <c r="AA819" s="373"/>
      <c r="AB819" s="373"/>
    </row>
    <row r="820" spans="1:28" s="338" customFormat="1" ht="12.75" customHeight="1" x14ac:dyDescent="0.25">
      <c r="A820" s="347" t="s">
        <v>2439</v>
      </c>
      <c r="B820" s="376">
        <v>45222</v>
      </c>
      <c r="C820" s="425" t="s">
        <v>35</v>
      </c>
      <c r="D820" s="333" t="s">
        <v>2407</v>
      </c>
      <c r="E820" s="333"/>
      <c r="F820" s="374" t="s">
        <v>2440</v>
      </c>
      <c r="G820" s="372" t="s">
        <v>2441</v>
      </c>
      <c r="H820" s="333">
        <v>1</v>
      </c>
      <c r="I820" s="333" t="s">
        <v>277</v>
      </c>
      <c r="J820" s="333" t="s">
        <v>102</v>
      </c>
      <c r="K820" s="333" t="s">
        <v>69</v>
      </c>
      <c r="L820" s="333"/>
      <c r="M820" s="333"/>
      <c r="N820" s="417"/>
      <c r="O820" s="417"/>
      <c r="P820" s="462">
        <v>45222</v>
      </c>
      <c r="Q820" s="333"/>
      <c r="R820" s="333"/>
      <c r="S820" s="373"/>
      <c r="T820" s="373"/>
      <c r="U820" s="373"/>
      <c r="V820" s="373"/>
      <c r="W820" s="346">
        <v>44938</v>
      </c>
      <c r="X820" s="373"/>
      <c r="Y820" s="336">
        <f t="shared" ca="1" si="17"/>
        <v>-284</v>
      </c>
      <c r="Z820" s="373"/>
      <c r="AA820" s="373"/>
      <c r="AB820" s="373"/>
    </row>
    <row r="821" spans="1:28" s="338" customFormat="1" ht="12.75" customHeight="1" x14ac:dyDescent="0.25">
      <c r="A821" s="347" t="s">
        <v>2442</v>
      </c>
      <c r="B821" s="376">
        <v>45222</v>
      </c>
      <c r="C821" s="425" t="s">
        <v>35</v>
      </c>
      <c r="D821" s="333" t="s">
        <v>2407</v>
      </c>
      <c r="E821" s="333"/>
      <c r="F821" s="374" t="s">
        <v>2412</v>
      </c>
      <c r="G821" s="372" t="s">
        <v>2329</v>
      </c>
      <c r="H821" s="333">
        <v>1</v>
      </c>
      <c r="I821" s="333" t="s">
        <v>277</v>
      </c>
      <c r="J821" s="333" t="s">
        <v>102</v>
      </c>
      <c r="K821" s="333" t="s">
        <v>69</v>
      </c>
      <c r="L821" s="333"/>
      <c r="M821" s="333"/>
      <c r="N821" s="417"/>
      <c r="O821" s="417"/>
      <c r="P821" s="462">
        <v>45222</v>
      </c>
      <c r="Q821" s="333"/>
      <c r="R821" s="333"/>
      <c r="S821" s="373"/>
      <c r="T821" s="373"/>
      <c r="U821" s="373"/>
      <c r="V821" s="373"/>
      <c r="W821" s="346">
        <v>45226</v>
      </c>
      <c r="X821" s="373"/>
      <c r="Y821" s="336">
        <f t="shared" ca="1" si="17"/>
        <v>4</v>
      </c>
      <c r="Z821" s="373"/>
      <c r="AA821" s="373"/>
      <c r="AB821" s="373"/>
    </row>
    <row r="822" spans="1:28" s="338" customFormat="1" ht="12.75" customHeight="1" x14ac:dyDescent="0.25">
      <c r="A822" s="347" t="s">
        <v>2443</v>
      </c>
      <c r="B822" s="376">
        <v>45266</v>
      </c>
      <c r="C822" s="425" t="s">
        <v>35</v>
      </c>
      <c r="D822" s="333" t="s">
        <v>83</v>
      </c>
      <c r="E822" s="333">
        <v>6980397</v>
      </c>
      <c r="F822" s="374" t="s">
        <v>2444</v>
      </c>
      <c r="G822" s="372" t="s">
        <v>2445</v>
      </c>
      <c r="H822" s="333">
        <v>1</v>
      </c>
      <c r="I822" s="333" t="s">
        <v>1950</v>
      </c>
      <c r="J822" s="333" t="s">
        <v>68</v>
      </c>
      <c r="K822" s="333" t="s">
        <v>69</v>
      </c>
      <c r="L822" s="333"/>
      <c r="M822" s="333"/>
      <c r="N822" s="417"/>
      <c r="O822" s="417"/>
      <c r="P822" s="462">
        <v>45274</v>
      </c>
      <c r="Q822" s="333"/>
      <c r="R822" s="333"/>
      <c r="S822" s="373"/>
      <c r="T822" s="373"/>
      <c r="U822" s="373"/>
      <c r="V822" s="373"/>
      <c r="W822" s="346">
        <v>45397</v>
      </c>
      <c r="X822" s="373"/>
      <c r="Y822" s="336">
        <f t="shared" ca="1" si="17"/>
        <v>123</v>
      </c>
      <c r="Z822" s="373"/>
      <c r="AA822" s="373"/>
      <c r="AB822" s="373"/>
    </row>
    <row r="823" spans="1:28" s="338" customFormat="1" ht="12.75" customHeight="1" x14ac:dyDescent="0.25">
      <c r="A823" s="347" t="s">
        <v>2446</v>
      </c>
      <c r="B823" s="376">
        <v>45266</v>
      </c>
      <c r="C823" s="425" t="s">
        <v>35</v>
      </c>
      <c r="D823" s="333" t="s">
        <v>83</v>
      </c>
      <c r="E823" s="333">
        <v>6980405</v>
      </c>
      <c r="F823" s="374" t="s">
        <v>1956</v>
      </c>
      <c r="G823" s="372" t="s">
        <v>2447</v>
      </c>
      <c r="H823" s="333">
        <v>1</v>
      </c>
      <c r="I823" s="333" t="s">
        <v>2448</v>
      </c>
      <c r="J823" s="333" t="s">
        <v>68</v>
      </c>
      <c r="K823" s="333" t="s">
        <v>69</v>
      </c>
      <c r="L823" s="333"/>
      <c r="M823" s="333"/>
      <c r="N823" s="417"/>
      <c r="O823" s="417"/>
      <c r="P823" s="462">
        <v>45274</v>
      </c>
      <c r="Q823" s="333"/>
      <c r="R823" s="333"/>
      <c r="S823" s="373"/>
      <c r="T823" s="373"/>
      <c r="U823" s="373"/>
      <c r="V823" s="373"/>
      <c r="W823" s="402">
        <v>45397</v>
      </c>
      <c r="X823" s="373"/>
      <c r="Y823" s="336">
        <f t="shared" ca="1" si="17"/>
        <v>123</v>
      </c>
      <c r="Z823" s="373"/>
      <c r="AA823" s="373"/>
      <c r="AB823" s="373"/>
    </row>
    <row r="824" spans="1:28" s="338" customFormat="1" ht="12.75" customHeight="1" x14ac:dyDescent="0.25">
      <c r="A824" s="347" t="s">
        <v>2449</v>
      </c>
      <c r="B824" s="376">
        <v>45261</v>
      </c>
      <c r="C824" s="425" t="s">
        <v>35</v>
      </c>
      <c r="D824" s="333" t="s">
        <v>71</v>
      </c>
      <c r="E824" s="333">
        <v>7740459</v>
      </c>
      <c r="F824" s="374" t="s">
        <v>2450</v>
      </c>
      <c r="G824" s="372" t="s">
        <v>2451</v>
      </c>
      <c r="H824" s="333">
        <v>1</v>
      </c>
      <c r="I824" s="333" t="s">
        <v>2452</v>
      </c>
      <c r="J824" s="333" t="s">
        <v>68</v>
      </c>
      <c r="K824" s="333" t="s">
        <v>69</v>
      </c>
      <c r="L824" s="333"/>
      <c r="M824" s="333"/>
      <c r="N824" s="417"/>
      <c r="O824" s="417"/>
      <c r="P824" s="462"/>
      <c r="Q824" s="333"/>
      <c r="R824" s="333"/>
      <c r="S824" s="373"/>
      <c r="T824" s="373"/>
      <c r="U824" s="373"/>
      <c r="V824" s="373"/>
      <c r="W824" s="346"/>
      <c r="X824" s="373"/>
      <c r="Y824" s="336" t="str">
        <f t="shared" ca="1" si="17"/>
        <v/>
      </c>
      <c r="Z824" s="373"/>
      <c r="AA824" s="373"/>
      <c r="AB824" s="373"/>
    </row>
    <row r="825" spans="1:28" s="338" customFormat="1" ht="12.75" customHeight="1" x14ac:dyDescent="0.25">
      <c r="A825" s="347" t="s">
        <v>2453</v>
      </c>
      <c r="B825" s="376">
        <v>45266</v>
      </c>
      <c r="C825" s="425" t="s">
        <v>35</v>
      </c>
      <c r="D825" s="333" t="s">
        <v>83</v>
      </c>
      <c r="E825" s="333" t="s">
        <v>33</v>
      </c>
      <c r="F825" s="374" t="s">
        <v>2454</v>
      </c>
      <c r="G825" s="372" t="s">
        <v>544</v>
      </c>
      <c r="H825" s="333">
        <v>8</v>
      </c>
      <c r="I825" s="333" t="s">
        <v>2455</v>
      </c>
      <c r="J825" s="333" t="s">
        <v>43</v>
      </c>
      <c r="K825" s="333" t="s">
        <v>32</v>
      </c>
      <c r="L825" s="333"/>
      <c r="M825" s="333"/>
      <c r="N825" s="417"/>
      <c r="O825" s="417"/>
      <c r="P825" s="462">
        <v>45274</v>
      </c>
      <c r="Q825" s="333"/>
      <c r="R825" s="333"/>
      <c r="S825" s="373"/>
      <c r="T825" s="373"/>
      <c r="U825" s="373"/>
      <c r="V825" s="373"/>
      <c r="W825" s="346">
        <v>45397</v>
      </c>
      <c r="X825" s="373"/>
      <c r="Y825" s="336">
        <f t="shared" ca="1" si="17"/>
        <v>123</v>
      </c>
      <c r="Z825" s="373"/>
      <c r="AA825" s="373"/>
      <c r="AB825" s="373"/>
    </row>
    <row r="826" spans="1:28" s="338" customFormat="1" ht="12.75" customHeight="1" x14ac:dyDescent="0.25">
      <c r="A826" s="347" t="s">
        <v>2456</v>
      </c>
      <c r="B826" s="376">
        <v>45257</v>
      </c>
      <c r="C826" s="425" t="s">
        <v>35</v>
      </c>
      <c r="D826" s="333" t="s">
        <v>71</v>
      </c>
      <c r="E826" s="333">
        <v>7740485</v>
      </c>
      <c r="F826" s="374" t="s">
        <v>2457</v>
      </c>
      <c r="G826" s="372" t="s">
        <v>2458</v>
      </c>
      <c r="H826" s="333">
        <v>1</v>
      </c>
      <c r="I826" s="333" t="s">
        <v>2459</v>
      </c>
      <c r="J826" s="333" t="s">
        <v>68</v>
      </c>
      <c r="K826" s="333" t="s">
        <v>69</v>
      </c>
      <c r="L826" s="333"/>
      <c r="M826" s="333"/>
      <c r="N826" s="417"/>
      <c r="O826" s="417"/>
      <c r="P826" s="462"/>
      <c r="Q826" s="333"/>
      <c r="R826" s="333"/>
      <c r="S826" s="373"/>
      <c r="T826" s="373"/>
      <c r="U826" s="373"/>
      <c r="V826" s="373"/>
      <c r="W826" s="346"/>
      <c r="X826" s="373"/>
      <c r="Y826" s="336" t="str">
        <f t="shared" ca="1" si="17"/>
        <v/>
      </c>
      <c r="Z826" s="373"/>
      <c r="AA826" s="373"/>
      <c r="AB826" s="373"/>
    </row>
    <row r="827" spans="1:28" s="338" customFormat="1" ht="12.75" customHeight="1" x14ac:dyDescent="0.25">
      <c r="A827" s="347" t="s">
        <v>2460</v>
      </c>
      <c r="B827" s="376">
        <v>45273</v>
      </c>
      <c r="C827" s="425" t="s">
        <v>219</v>
      </c>
      <c r="D827" s="333" t="s">
        <v>1273</v>
      </c>
      <c r="E827" s="333"/>
      <c r="F827" s="374">
        <v>282132106701</v>
      </c>
      <c r="G827" s="372" t="s">
        <v>2461</v>
      </c>
      <c r="H827" s="372">
        <v>1</v>
      </c>
      <c r="I827" s="372" t="s">
        <v>2462</v>
      </c>
      <c r="J827" s="372" t="s">
        <v>31</v>
      </c>
      <c r="K827" s="372" t="s">
        <v>32</v>
      </c>
      <c r="L827" s="372"/>
      <c r="M827" s="372"/>
      <c r="N827" s="449"/>
      <c r="O827" s="449"/>
      <c r="P827" s="495">
        <v>45274</v>
      </c>
      <c r="Q827" s="372"/>
      <c r="R827" s="372"/>
      <c r="S827" s="401"/>
      <c r="T827" s="401"/>
      <c r="U827" s="401"/>
      <c r="V827" s="401"/>
      <c r="W827" s="402">
        <v>45330</v>
      </c>
      <c r="X827" s="401">
        <v>1</v>
      </c>
      <c r="Y827" s="336">
        <f t="shared" ca="1" si="17"/>
        <v>56</v>
      </c>
      <c r="Z827" s="401"/>
      <c r="AA827" s="401"/>
      <c r="AB827" s="373"/>
    </row>
    <row r="828" spans="1:28" s="338" customFormat="1" ht="12.75" customHeight="1" x14ac:dyDescent="0.25">
      <c r="A828" s="411" t="s">
        <v>2463</v>
      </c>
      <c r="B828" s="363">
        <v>45273</v>
      </c>
      <c r="C828" s="426" t="s">
        <v>26</v>
      </c>
      <c r="D828" s="364" t="s">
        <v>1007</v>
      </c>
      <c r="E828" s="333">
        <v>4053058</v>
      </c>
      <c r="F828" s="365">
        <v>2338619</v>
      </c>
      <c r="G828" s="366" t="s">
        <v>2464</v>
      </c>
      <c r="H828" s="366">
        <v>1</v>
      </c>
      <c r="I828" s="366" t="s">
        <v>2465</v>
      </c>
      <c r="J828" s="366" t="s">
        <v>43</v>
      </c>
      <c r="K828" s="366" t="s">
        <v>32</v>
      </c>
      <c r="L828" s="366"/>
      <c r="M828" s="366"/>
      <c r="N828" s="506"/>
      <c r="O828" s="506"/>
      <c r="P828" s="507">
        <v>45273</v>
      </c>
      <c r="Q828" s="372"/>
      <c r="R828" s="372"/>
      <c r="S828" s="401"/>
      <c r="T828" s="401"/>
      <c r="U828" s="401"/>
      <c r="V828" s="401"/>
      <c r="W828" s="472">
        <v>45301</v>
      </c>
      <c r="X828" s="401"/>
      <c r="Y828" s="336">
        <f t="shared" ca="1" si="17"/>
        <v>28</v>
      </c>
      <c r="Z828" s="401"/>
      <c r="AA828" s="401"/>
      <c r="AB828" s="373"/>
    </row>
    <row r="829" spans="1:28" s="338" customFormat="1" ht="12.75" customHeight="1" x14ac:dyDescent="0.25">
      <c r="A829" s="425" t="s">
        <v>2466</v>
      </c>
      <c r="B829" s="376">
        <v>45273</v>
      </c>
      <c r="C829" s="425" t="s">
        <v>35</v>
      </c>
      <c r="D829" s="333" t="s">
        <v>177</v>
      </c>
      <c r="E829" s="499" t="s">
        <v>1692</v>
      </c>
      <c r="F829" s="374" t="s">
        <v>2467</v>
      </c>
      <c r="G829" s="372" t="s">
        <v>2468</v>
      </c>
      <c r="H829" s="372">
        <v>10</v>
      </c>
      <c r="I829" s="372" t="s">
        <v>2469</v>
      </c>
      <c r="J829" s="372" t="s">
        <v>541</v>
      </c>
      <c r="K829" s="372" t="s">
        <v>32</v>
      </c>
      <c r="L829" s="372"/>
      <c r="M829" s="372"/>
      <c r="N829" s="449"/>
      <c r="O829" s="449"/>
      <c r="P829" s="495"/>
      <c r="Q829" s="508"/>
      <c r="R829" s="372"/>
      <c r="S829" s="401"/>
      <c r="T829" s="401"/>
      <c r="U829" s="401"/>
      <c r="V829" s="401"/>
      <c r="W829" s="402"/>
      <c r="X829" s="401"/>
      <c r="Y829" s="336" t="str">
        <f t="shared" ca="1" si="17"/>
        <v/>
      </c>
      <c r="Z829" s="401"/>
      <c r="AA829" s="401"/>
      <c r="AB829" s="373"/>
    </row>
    <row r="830" spans="1:28" s="338" customFormat="1" ht="12.75" customHeight="1" x14ac:dyDescent="0.3">
      <c r="A830" s="500" t="s">
        <v>2470</v>
      </c>
      <c r="B830" s="501">
        <v>45274</v>
      </c>
      <c r="C830" s="436" t="s">
        <v>60</v>
      </c>
      <c r="D830" s="415" t="s">
        <v>1843</v>
      </c>
      <c r="E830" s="333"/>
      <c r="F830" s="427" t="s">
        <v>2471</v>
      </c>
      <c r="G830" s="428" t="s">
        <v>2472</v>
      </c>
      <c r="H830" s="428">
        <v>11</v>
      </c>
      <c r="I830" s="509">
        <v>35</v>
      </c>
      <c r="J830" s="428" t="s">
        <v>68</v>
      </c>
      <c r="K830" s="428" t="s">
        <v>69</v>
      </c>
      <c r="L830" s="428"/>
      <c r="M830" s="428"/>
      <c r="N830" s="510"/>
      <c r="O830" s="510"/>
      <c r="P830" s="511">
        <v>45257</v>
      </c>
      <c r="Q830" s="372"/>
      <c r="R830" s="372"/>
      <c r="S830" s="401"/>
      <c r="T830" s="401"/>
      <c r="U830" s="401"/>
      <c r="V830" s="401"/>
      <c r="W830" s="402">
        <v>45373</v>
      </c>
      <c r="X830" s="401">
        <v>4</v>
      </c>
      <c r="Y830" s="336">
        <f t="shared" ca="1" si="17"/>
        <v>116</v>
      </c>
      <c r="Z830" s="401"/>
      <c r="AA830" s="401"/>
      <c r="AB830" s="373"/>
    </row>
    <row r="831" spans="1:28" s="338" customFormat="1" ht="12.75" customHeight="1" x14ac:dyDescent="0.25">
      <c r="A831" s="347" t="s">
        <v>2473</v>
      </c>
      <c r="B831" s="376">
        <v>45274</v>
      </c>
      <c r="C831" s="425" t="s">
        <v>219</v>
      </c>
      <c r="D831" s="333" t="s">
        <v>1273</v>
      </c>
      <c r="E831" s="333"/>
      <c r="F831" s="374">
        <v>252515209904</v>
      </c>
      <c r="G831" s="372" t="s">
        <v>2474</v>
      </c>
      <c r="H831" s="372">
        <v>4</v>
      </c>
      <c r="I831" s="372" t="s">
        <v>2475</v>
      </c>
      <c r="J831" s="372" t="s">
        <v>46</v>
      </c>
      <c r="K831" s="372" t="s">
        <v>32</v>
      </c>
      <c r="L831" s="372"/>
      <c r="M831" s="372"/>
      <c r="N831" s="449"/>
      <c r="O831" s="449"/>
      <c r="P831" s="495">
        <v>45274</v>
      </c>
      <c r="Q831" s="372"/>
      <c r="R831" s="372"/>
      <c r="S831" s="401"/>
      <c r="T831" s="401"/>
      <c r="U831" s="401"/>
      <c r="V831" s="401"/>
      <c r="W831" s="402">
        <v>45330</v>
      </c>
      <c r="X831" s="401">
        <v>4</v>
      </c>
      <c r="Y831" s="336">
        <f t="shared" ca="1" si="17"/>
        <v>56</v>
      </c>
      <c r="Z831" s="401"/>
      <c r="AA831" s="401"/>
      <c r="AB831" s="373" t="s">
        <v>2476</v>
      </c>
    </row>
    <row r="832" spans="1:28" s="338" customFormat="1" ht="12.75" customHeight="1" x14ac:dyDescent="0.25">
      <c r="A832" s="347" t="s">
        <v>2477</v>
      </c>
      <c r="B832" s="376">
        <v>45274</v>
      </c>
      <c r="C832" s="425" t="s">
        <v>219</v>
      </c>
      <c r="D832" s="333" t="s">
        <v>1273</v>
      </c>
      <c r="E832" s="333"/>
      <c r="F832" s="374">
        <v>263258408204</v>
      </c>
      <c r="G832" s="372" t="s">
        <v>1543</v>
      </c>
      <c r="H832" s="372">
        <v>1</v>
      </c>
      <c r="I832" s="372" t="s">
        <v>2462</v>
      </c>
      <c r="J832" s="372" t="s">
        <v>68</v>
      </c>
      <c r="K832" s="372" t="s">
        <v>69</v>
      </c>
      <c r="L832" s="372"/>
      <c r="M832" s="372"/>
      <c r="N832" s="449"/>
      <c r="O832" s="449"/>
      <c r="P832" s="495">
        <v>45274</v>
      </c>
      <c r="Q832" s="372"/>
      <c r="R832" s="372"/>
      <c r="S832" s="401"/>
      <c r="T832" s="401"/>
      <c r="U832" s="401"/>
      <c r="V832" s="401"/>
      <c r="W832" s="402">
        <v>45355</v>
      </c>
      <c r="X832" s="401">
        <v>1</v>
      </c>
      <c r="Y832" s="336">
        <f t="shared" ca="1" si="17"/>
        <v>81</v>
      </c>
      <c r="Z832" s="401"/>
      <c r="AA832" s="401"/>
      <c r="AB832" s="373"/>
    </row>
    <row r="833" spans="1:28" s="338" customFormat="1" ht="12.75" customHeight="1" x14ac:dyDescent="0.3">
      <c r="A833" s="347" t="s">
        <v>2478</v>
      </c>
      <c r="B833" s="376">
        <v>45274</v>
      </c>
      <c r="C833" s="425" t="s">
        <v>60</v>
      </c>
      <c r="D833" s="333" t="s">
        <v>1843</v>
      </c>
      <c r="E833" s="333"/>
      <c r="F833" s="374" t="s">
        <v>2479</v>
      </c>
      <c r="G833" s="372" t="s">
        <v>2480</v>
      </c>
      <c r="H833" s="372">
        <v>4</v>
      </c>
      <c r="I833" s="512">
        <v>35</v>
      </c>
      <c r="J833" s="372" t="s">
        <v>68</v>
      </c>
      <c r="K833" s="372" t="s">
        <v>69</v>
      </c>
      <c r="L833" s="372"/>
      <c r="M833" s="372"/>
      <c r="N833" s="449"/>
      <c r="O833" s="449"/>
      <c r="P833" s="495">
        <v>45257</v>
      </c>
      <c r="Q833" s="372"/>
      <c r="R833" s="372"/>
      <c r="S833" s="401"/>
      <c r="T833" s="401"/>
      <c r="U833" s="401"/>
      <c r="V833" s="401"/>
      <c r="W833" s="402">
        <v>45373</v>
      </c>
      <c r="X833" s="401">
        <v>4</v>
      </c>
      <c r="Y833" s="336">
        <f t="shared" ca="1" si="17"/>
        <v>116</v>
      </c>
      <c r="Z833" s="401"/>
      <c r="AA833" s="401"/>
      <c r="AB833" s="373"/>
    </row>
    <row r="834" spans="1:28" s="338" customFormat="1" ht="12.75" customHeight="1" x14ac:dyDescent="0.3">
      <c r="A834" s="347" t="s">
        <v>2481</v>
      </c>
      <c r="B834" s="376">
        <v>45274</v>
      </c>
      <c r="C834" s="425" t="s">
        <v>60</v>
      </c>
      <c r="D834" s="333" t="s">
        <v>1843</v>
      </c>
      <c r="E834" s="333"/>
      <c r="F834" s="374" t="s">
        <v>2482</v>
      </c>
      <c r="G834" s="372" t="s">
        <v>2483</v>
      </c>
      <c r="H834" s="372">
        <v>2</v>
      </c>
      <c r="I834" s="509">
        <v>35</v>
      </c>
      <c r="J834" s="372" t="s">
        <v>68</v>
      </c>
      <c r="K834" s="372" t="s">
        <v>69</v>
      </c>
      <c r="L834" s="372"/>
      <c r="M834" s="372"/>
      <c r="N834" s="449"/>
      <c r="O834" s="449"/>
      <c r="P834" s="495">
        <v>45257</v>
      </c>
      <c r="Q834" s="372"/>
      <c r="R834" s="372"/>
      <c r="S834" s="401"/>
      <c r="T834" s="401"/>
      <c r="U834" s="401"/>
      <c r="V834" s="401"/>
      <c r="W834" s="402"/>
      <c r="X834" s="401"/>
      <c r="Y834" s="336">
        <f t="shared" ca="1" si="17"/>
        <v>329</v>
      </c>
      <c r="Z834" s="401"/>
      <c r="AA834" s="401"/>
      <c r="AB834" s="373"/>
    </row>
    <row r="835" spans="1:28" s="338" customFormat="1" ht="12.75" customHeight="1" x14ac:dyDescent="0.3">
      <c r="A835" s="347" t="s">
        <v>2484</v>
      </c>
      <c r="B835" s="376">
        <v>45274</v>
      </c>
      <c r="C835" s="425" t="s">
        <v>60</v>
      </c>
      <c r="D835" s="333" t="s">
        <v>1843</v>
      </c>
      <c r="E835" s="333"/>
      <c r="F835" s="374" t="s">
        <v>2485</v>
      </c>
      <c r="G835" s="372" t="s">
        <v>2486</v>
      </c>
      <c r="H835" s="372">
        <v>1</v>
      </c>
      <c r="I835" s="509">
        <v>34</v>
      </c>
      <c r="J835" s="372" t="s">
        <v>68</v>
      </c>
      <c r="K835" s="372" t="s">
        <v>69</v>
      </c>
      <c r="L835" s="372"/>
      <c r="M835" s="372"/>
      <c r="N835" s="449"/>
      <c r="O835" s="449"/>
      <c r="P835" s="495">
        <v>45257</v>
      </c>
      <c r="Q835" s="372"/>
      <c r="R835" s="372"/>
      <c r="S835" s="401"/>
      <c r="T835" s="401"/>
      <c r="U835" s="401"/>
      <c r="V835" s="401"/>
      <c r="W835" s="402">
        <v>45373</v>
      </c>
      <c r="X835" s="401">
        <v>1</v>
      </c>
      <c r="Y835" s="336">
        <f t="shared" ca="1" si="17"/>
        <v>116</v>
      </c>
      <c r="Z835" s="401"/>
      <c r="AA835" s="401"/>
      <c r="AB835" s="373"/>
    </row>
    <row r="836" spans="1:28" s="338" customFormat="1" ht="12.75" customHeight="1" x14ac:dyDescent="0.3">
      <c r="A836" s="347" t="s">
        <v>2487</v>
      </c>
      <c r="B836" s="376">
        <v>45274</v>
      </c>
      <c r="C836" s="425" t="s">
        <v>60</v>
      </c>
      <c r="D836" s="333" t="s">
        <v>1843</v>
      </c>
      <c r="E836" s="333"/>
      <c r="F836" s="374" t="s">
        <v>1840</v>
      </c>
      <c r="G836" s="372" t="s">
        <v>2488</v>
      </c>
      <c r="H836" s="372">
        <v>1</v>
      </c>
      <c r="I836" s="509">
        <v>35</v>
      </c>
      <c r="J836" s="372" t="s">
        <v>68</v>
      </c>
      <c r="K836" s="372" t="s">
        <v>69</v>
      </c>
      <c r="L836" s="372"/>
      <c r="M836" s="372"/>
      <c r="N836" s="449"/>
      <c r="O836" s="449"/>
      <c r="P836" s="495">
        <v>45257</v>
      </c>
      <c r="Q836" s="372"/>
      <c r="R836" s="372"/>
      <c r="S836" s="401"/>
      <c r="T836" s="401"/>
      <c r="U836" s="401"/>
      <c r="V836" s="401"/>
      <c r="W836" s="402">
        <v>45373</v>
      </c>
      <c r="X836" s="401">
        <v>3</v>
      </c>
      <c r="Y836" s="336">
        <f t="shared" ca="1" si="17"/>
        <v>116</v>
      </c>
      <c r="Z836" s="401"/>
      <c r="AA836" s="401"/>
      <c r="AB836" s="373"/>
    </row>
    <row r="837" spans="1:28" s="338" customFormat="1" ht="12.75" customHeight="1" x14ac:dyDescent="0.3">
      <c r="A837" s="347" t="s">
        <v>2489</v>
      </c>
      <c r="B837" s="376">
        <v>45274</v>
      </c>
      <c r="C837" s="425" t="s">
        <v>60</v>
      </c>
      <c r="D837" s="333" t="s">
        <v>1843</v>
      </c>
      <c r="E837" s="333"/>
      <c r="F837" s="374" t="s">
        <v>2490</v>
      </c>
      <c r="G837" s="372" t="s">
        <v>2491</v>
      </c>
      <c r="H837" s="372">
        <v>4</v>
      </c>
      <c r="I837" s="509">
        <v>35</v>
      </c>
      <c r="J837" s="372" t="s">
        <v>68</v>
      </c>
      <c r="K837" s="372" t="s">
        <v>69</v>
      </c>
      <c r="L837" s="372"/>
      <c r="M837" s="372"/>
      <c r="N837" s="449"/>
      <c r="O837" s="449"/>
      <c r="P837" s="495">
        <v>45257</v>
      </c>
      <c r="Q837" s="372"/>
      <c r="R837" s="372"/>
      <c r="S837" s="401"/>
      <c r="T837" s="401"/>
      <c r="U837" s="401"/>
      <c r="V837" s="401"/>
      <c r="W837" s="402">
        <v>45373</v>
      </c>
      <c r="X837" s="401">
        <v>4</v>
      </c>
      <c r="Y837" s="336">
        <f t="shared" ca="1" si="17"/>
        <v>116</v>
      </c>
      <c r="Z837" s="401"/>
      <c r="AA837" s="401"/>
      <c r="AB837" s="373"/>
    </row>
    <row r="838" spans="1:28" s="338" customFormat="1" ht="12.75" customHeight="1" x14ac:dyDescent="0.3">
      <c r="A838" s="347" t="s">
        <v>2492</v>
      </c>
      <c r="B838" s="376">
        <v>45274</v>
      </c>
      <c r="C838" s="425" t="s">
        <v>60</v>
      </c>
      <c r="D838" s="333" t="s">
        <v>1843</v>
      </c>
      <c r="E838" s="333"/>
      <c r="F838" s="374"/>
      <c r="G838" s="372" t="s">
        <v>2493</v>
      </c>
      <c r="H838" s="372">
        <v>3</v>
      </c>
      <c r="I838" s="509">
        <v>35</v>
      </c>
      <c r="J838" s="372" t="s">
        <v>68</v>
      </c>
      <c r="K838" s="372" t="s">
        <v>69</v>
      </c>
      <c r="L838" s="372"/>
      <c r="M838" s="372"/>
      <c r="N838" s="449"/>
      <c r="O838" s="449"/>
      <c r="P838" s="495">
        <v>45257</v>
      </c>
      <c r="Q838" s="372"/>
      <c r="R838" s="372"/>
      <c r="S838" s="401"/>
      <c r="T838" s="401"/>
      <c r="U838" s="401"/>
      <c r="V838" s="401"/>
      <c r="W838" s="402">
        <v>45348</v>
      </c>
      <c r="X838" s="401">
        <v>31</v>
      </c>
      <c r="Y838" s="336">
        <f t="shared" ca="1" si="17"/>
        <v>91</v>
      </c>
      <c r="Z838" s="401"/>
      <c r="AA838" s="401"/>
      <c r="AB838" s="373"/>
    </row>
    <row r="839" spans="1:28" s="338" customFormat="1" ht="12.75" customHeight="1" x14ac:dyDescent="0.3">
      <c r="A839" s="347" t="s">
        <v>2494</v>
      </c>
      <c r="B839" s="376">
        <v>45274</v>
      </c>
      <c r="C839" s="425" t="s">
        <v>60</v>
      </c>
      <c r="D839" s="333" t="s">
        <v>1843</v>
      </c>
      <c r="E839" s="333"/>
      <c r="F839" s="374"/>
      <c r="G839" s="372" t="s">
        <v>2174</v>
      </c>
      <c r="H839" s="372">
        <v>3</v>
      </c>
      <c r="I839" s="509">
        <v>35</v>
      </c>
      <c r="J839" s="372" t="s">
        <v>68</v>
      </c>
      <c r="K839" s="372" t="s">
        <v>69</v>
      </c>
      <c r="L839" s="372"/>
      <c r="M839" s="372"/>
      <c r="N839" s="449"/>
      <c r="O839" s="449"/>
      <c r="P839" s="495">
        <v>45257</v>
      </c>
      <c r="Q839" s="372"/>
      <c r="R839" s="372"/>
      <c r="S839" s="401"/>
      <c r="T839" s="401"/>
      <c r="U839" s="401"/>
      <c r="V839" s="401"/>
      <c r="W839" s="402">
        <v>45373</v>
      </c>
      <c r="X839" s="401">
        <v>3</v>
      </c>
      <c r="Y839" s="336">
        <f t="shared" ca="1" si="17"/>
        <v>116</v>
      </c>
      <c r="Z839" s="401"/>
      <c r="AA839" s="401"/>
      <c r="AB839" s="373"/>
    </row>
    <row r="840" spans="1:28" s="338" customFormat="1" ht="12.75" customHeight="1" x14ac:dyDescent="0.25">
      <c r="A840" s="347" t="s">
        <v>2495</v>
      </c>
      <c r="B840" s="376">
        <v>45181</v>
      </c>
      <c r="C840" s="425" t="s">
        <v>60</v>
      </c>
      <c r="D840" s="333" t="s">
        <v>2496</v>
      </c>
      <c r="E840" s="333">
        <v>12</v>
      </c>
      <c r="F840" s="374" t="s">
        <v>2497</v>
      </c>
      <c r="G840" s="372" t="s">
        <v>2498</v>
      </c>
      <c r="H840" s="372">
        <v>6</v>
      </c>
      <c r="I840" s="428" t="s">
        <v>2499</v>
      </c>
      <c r="J840" s="372" t="s">
        <v>265</v>
      </c>
      <c r="K840" s="372" t="s">
        <v>32</v>
      </c>
      <c r="L840" s="372"/>
      <c r="M840" s="372"/>
      <c r="N840" s="372"/>
      <c r="O840" s="372"/>
      <c r="P840" s="513">
        <v>45237</v>
      </c>
      <c r="Q840" s="372"/>
      <c r="R840" s="372"/>
      <c r="S840" s="401"/>
      <c r="T840" s="401"/>
      <c r="U840" s="401"/>
      <c r="V840" s="401"/>
      <c r="W840" s="402"/>
      <c r="X840" s="401"/>
      <c r="Y840" s="336">
        <f t="shared" ref="Y840:Y903" ca="1" si="18">IF(P840="","",IF(W840="",TODAY()-P840,W840-P840))</f>
        <v>349</v>
      </c>
      <c r="Z840" s="401"/>
      <c r="AA840" s="401"/>
      <c r="AB840" s="373"/>
    </row>
    <row r="841" spans="1:28" s="338" customFormat="1" ht="12.75" customHeight="1" x14ac:dyDescent="0.25">
      <c r="A841" s="347" t="s">
        <v>2500</v>
      </c>
      <c r="B841" s="376">
        <v>45232</v>
      </c>
      <c r="C841" s="425" t="s">
        <v>60</v>
      </c>
      <c r="D841" s="333" t="s">
        <v>2496</v>
      </c>
      <c r="E841" s="333" t="s">
        <v>2501</v>
      </c>
      <c r="F841" s="374" t="s">
        <v>2502</v>
      </c>
      <c r="G841" s="372" t="s">
        <v>2503</v>
      </c>
      <c r="H841" s="372">
        <v>3</v>
      </c>
      <c r="I841" s="428" t="s">
        <v>2499</v>
      </c>
      <c r="J841" s="372" t="s">
        <v>46</v>
      </c>
      <c r="K841" s="372" t="s">
        <v>32</v>
      </c>
      <c r="L841" s="372"/>
      <c r="M841" s="372"/>
      <c r="N841" s="372"/>
      <c r="O841" s="372"/>
      <c r="P841" s="513">
        <v>45237</v>
      </c>
      <c r="Q841" s="372"/>
      <c r="R841" s="372"/>
      <c r="S841" s="401"/>
      <c r="T841" s="401"/>
      <c r="U841" s="401"/>
      <c r="V841" s="401"/>
      <c r="W841" s="402">
        <v>45308</v>
      </c>
      <c r="X841" s="401">
        <v>3</v>
      </c>
      <c r="Y841" s="336">
        <f t="shared" ca="1" si="18"/>
        <v>71</v>
      </c>
      <c r="Z841" s="401"/>
      <c r="AA841" s="401"/>
      <c r="AB841" s="373"/>
    </row>
    <row r="842" spans="1:28" s="338" customFormat="1" ht="12.75" customHeight="1" x14ac:dyDescent="0.25">
      <c r="A842" s="347" t="s">
        <v>2504</v>
      </c>
      <c r="B842" s="376">
        <v>45232</v>
      </c>
      <c r="C842" s="425" t="s">
        <v>60</v>
      </c>
      <c r="D842" s="333" t="s">
        <v>2496</v>
      </c>
      <c r="E842" s="333"/>
      <c r="F842" s="374" t="s">
        <v>2505</v>
      </c>
      <c r="G842" s="372" t="s">
        <v>2506</v>
      </c>
      <c r="H842" s="372">
        <v>36</v>
      </c>
      <c r="I842" s="428" t="s">
        <v>2499</v>
      </c>
      <c r="J842" s="372" t="s">
        <v>46</v>
      </c>
      <c r="K842" s="372" t="s">
        <v>32</v>
      </c>
      <c r="L842" s="372"/>
      <c r="M842" s="372"/>
      <c r="N842" s="372"/>
      <c r="O842" s="372"/>
      <c r="P842" s="513">
        <v>45237</v>
      </c>
      <c r="Q842" s="372"/>
      <c r="R842" s="372"/>
      <c r="S842" s="401"/>
      <c r="T842" s="401"/>
      <c r="U842" s="401"/>
      <c r="V842" s="401"/>
      <c r="W842" s="402">
        <v>45308</v>
      </c>
      <c r="X842" s="401">
        <v>36</v>
      </c>
      <c r="Y842" s="336">
        <f t="shared" ca="1" si="18"/>
        <v>71</v>
      </c>
      <c r="Z842" s="401"/>
      <c r="AA842" s="401"/>
      <c r="AB842" s="373"/>
    </row>
    <row r="843" spans="1:28" s="338" customFormat="1" ht="12.75" customHeight="1" x14ac:dyDescent="0.25">
      <c r="A843" s="347" t="s">
        <v>2507</v>
      </c>
      <c r="B843" s="376">
        <v>45232</v>
      </c>
      <c r="C843" s="425" t="s">
        <v>60</v>
      </c>
      <c r="D843" s="333" t="s">
        <v>2496</v>
      </c>
      <c r="E843" s="333"/>
      <c r="F843" s="374" t="s">
        <v>2508</v>
      </c>
      <c r="G843" s="372" t="s">
        <v>2509</v>
      </c>
      <c r="H843" s="372">
        <v>36</v>
      </c>
      <c r="I843" s="428" t="s">
        <v>2499</v>
      </c>
      <c r="J843" s="372" t="s">
        <v>46</v>
      </c>
      <c r="K843" s="372" t="s">
        <v>32</v>
      </c>
      <c r="L843" s="372"/>
      <c r="M843" s="372"/>
      <c r="N843" s="372"/>
      <c r="O843" s="372"/>
      <c r="P843" s="513">
        <v>45237</v>
      </c>
      <c r="Q843" s="372"/>
      <c r="R843" s="372"/>
      <c r="S843" s="401"/>
      <c r="T843" s="401"/>
      <c r="U843" s="401"/>
      <c r="V843" s="401"/>
      <c r="W843" s="402"/>
      <c r="X843" s="401"/>
      <c r="Y843" s="336">
        <f t="shared" ca="1" si="18"/>
        <v>349</v>
      </c>
      <c r="Z843" s="401"/>
      <c r="AA843" s="401"/>
      <c r="AB843" s="373"/>
    </row>
    <row r="844" spans="1:28" s="338" customFormat="1" ht="12.75" customHeight="1" x14ac:dyDescent="0.25">
      <c r="A844" s="347" t="s">
        <v>2510</v>
      </c>
      <c r="B844" s="376">
        <v>45232</v>
      </c>
      <c r="C844" s="425" t="s">
        <v>60</v>
      </c>
      <c r="D844" s="333" t="s">
        <v>2496</v>
      </c>
      <c r="E844" s="333"/>
      <c r="F844" s="374" t="s">
        <v>2511</v>
      </c>
      <c r="G844" s="372" t="s">
        <v>2512</v>
      </c>
      <c r="H844" s="372">
        <v>6</v>
      </c>
      <c r="I844" s="428" t="s">
        <v>2499</v>
      </c>
      <c r="J844" s="372" t="s">
        <v>46</v>
      </c>
      <c r="K844" s="372" t="s">
        <v>32</v>
      </c>
      <c r="L844" s="372"/>
      <c r="M844" s="372"/>
      <c r="N844" s="372"/>
      <c r="O844" s="372"/>
      <c r="P844" s="513">
        <v>45237</v>
      </c>
      <c r="Q844" s="372"/>
      <c r="R844" s="372"/>
      <c r="S844" s="401"/>
      <c r="T844" s="401"/>
      <c r="U844" s="401"/>
      <c r="V844" s="401"/>
      <c r="W844" s="402">
        <v>45308</v>
      </c>
      <c r="X844" s="401">
        <v>6</v>
      </c>
      <c r="Y844" s="336">
        <f t="shared" ca="1" si="18"/>
        <v>71</v>
      </c>
      <c r="Z844" s="401"/>
      <c r="AA844" s="401"/>
      <c r="AB844" s="373"/>
    </row>
    <row r="845" spans="1:28" s="338" customFormat="1" ht="12.75" customHeight="1" x14ac:dyDescent="0.25">
      <c r="A845" s="347" t="s">
        <v>2513</v>
      </c>
      <c r="B845" s="376">
        <v>45279</v>
      </c>
      <c r="C845" s="425" t="s">
        <v>35</v>
      </c>
      <c r="D845" s="333" t="s">
        <v>71</v>
      </c>
      <c r="E845" s="333"/>
      <c r="F845" s="374" t="s">
        <v>1114</v>
      </c>
      <c r="G845" s="372" t="s">
        <v>1543</v>
      </c>
      <c r="H845" s="372">
        <v>3</v>
      </c>
      <c r="I845" s="372">
        <v>106</v>
      </c>
      <c r="J845" s="372" t="s">
        <v>68</v>
      </c>
      <c r="K845" s="372" t="s">
        <v>69</v>
      </c>
      <c r="L845" s="372"/>
      <c r="M845" s="372"/>
      <c r="N845" s="449"/>
      <c r="O845" s="449"/>
      <c r="P845" s="495"/>
      <c r="Q845" s="372"/>
      <c r="R845" s="372"/>
      <c r="S845" s="401"/>
      <c r="T845" s="401"/>
      <c r="U845" s="401"/>
      <c r="V845" s="401"/>
      <c r="W845" s="402">
        <v>45036</v>
      </c>
      <c r="X845" s="401"/>
      <c r="Y845" s="336" t="str">
        <f t="shared" ca="1" si="18"/>
        <v/>
      </c>
      <c r="Z845" s="401"/>
      <c r="AA845" s="401"/>
      <c r="AB845" s="373"/>
    </row>
    <row r="846" spans="1:28" s="338" customFormat="1" ht="12.75" customHeight="1" x14ac:dyDescent="0.25">
      <c r="A846" s="347" t="s">
        <v>2514</v>
      </c>
      <c r="B846" s="376">
        <v>45232</v>
      </c>
      <c r="C846" s="425" t="s">
        <v>60</v>
      </c>
      <c r="D846" s="333" t="s">
        <v>2496</v>
      </c>
      <c r="E846" s="333"/>
      <c r="F846" s="374" t="s">
        <v>2515</v>
      </c>
      <c r="G846" s="372" t="s">
        <v>2516</v>
      </c>
      <c r="H846" s="372">
        <v>12</v>
      </c>
      <c r="I846" s="372" t="s">
        <v>2499</v>
      </c>
      <c r="J846" s="372" t="s">
        <v>46</v>
      </c>
      <c r="K846" s="372" t="s">
        <v>32</v>
      </c>
      <c r="L846" s="372"/>
      <c r="M846" s="372"/>
      <c r="N846" s="372"/>
      <c r="O846" s="372"/>
      <c r="P846" s="513">
        <v>45237</v>
      </c>
      <c r="Q846" s="372"/>
      <c r="R846" s="372"/>
      <c r="S846" s="401"/>
      <c r="T846" s="401"/>
      <c r="U846" s="401"/>
      <c r="V846" s="401"/>
      <c r="W846" s="402">
        <v>45308</v>
      </c>
      <c r="X846" s="401">
        <v>12</v>
      </c>
      <c r="Y846" s="336">
        <f t="shared" ca="1" si="18"/>
        <v>71</v>
      </c>
      <c r="Z846" s="401"/>
      <c r="AA846" s="401"/>
      <c r="AB846" s="373"/>
    </row>
    <row r="847" spans="1:28" s="338" customFormat="1" ht="12.75" customHeight="1" x14ac:dyDescent="0.25">
      <c r="A847" s="347" t="s">
        <v>2517</v>
      </c>
      <c r="B847" s="376">
        <v>45232</v>
      </c>
      <c r="C847" s="425" t="s">
        <v>60</v>
      </c>
      <c r="D847" s="333" t="s">
        <v>2496</v>
      </c>
      <c r="E847" s="333" t="s">
        <v>2518</v>
      </c>
      <c r="F847" s="374" t="s">
        <v>2519</v>
      </c>
      <c r="G847" s="372" t="s">
        <v>2520</v>
      </c>
      <c r="H847" s="372">
        <v>12</v>
      </c>
      <c r="I847" s="372" t="s">
        <v>2499</v>
      </c>
      <c r="J847" s="372" t="s">
        <v>68</v>
      </c>
      <c r="K847" s="372" t="s">
        <v>69</v>
      </c>
      <c r="L847" s="372"/>
      <c r="M847" s="372"/>
      <c r="N847" s="449"/>
      <c r="O847" s="449"/>
      <c r="P847" s="513">
        <v>45237</v>
      </c>
      <c r="Q847" s="372"/>
      <c r="R847" s="372"/>
      <c r="S847" s="401"/>
      <c r="T847" s="401"/>
      <c r="U847" s="401"/>
      <c r="V847" s="401"/>
      <c r="W847" s="402"/>
      <c r="X847" s="401"/>
      <c r="Y847" s="336">
        <f t="shared" ca="1" si="18"/>
        <v>349</v>
      </c>
      <c r="Z847" s="401"/>
      <c r="AA847" s="401"/>
      <c r="AB847" s="373"/>
    </row>
    <row r="848" spans="1:28" s="338" customFormat="1" ht="12.75" customHeight="1" x14ac:dyDescent="0.25">
      <c r="A848" s="347" t="s">
        <v>2521</v>
      </c>
      <c r="B848" s="376">
        <v>45232</v>
      </c>
      <c r="C848" s="425" t="s">
        <v>60</v>
      </c>
      <c r="D848" s="333" t="s">
        <v>2496</v>
      </c>
      <c r="E848" s="333" t="s">
        <v>2522</v>
      </c>
      <c r="F848" s="374" t="s">
        <v>2523</v>
      </c>
      <c r="G848" s="372" t="s">
        <v>2524</v>
      </c>
      <c r="H848" s="372">
        <v>1</v>
      </c>
      <c r="I848" s="372" t="s">
        <v>2499</v>
      </c>
      <c r="J848" s="372" t="s">
        <v>68</v>
      </c>
      <c r="K848" s="372" t="s">
        <v>69</v>
      </c>
      <c r="L848" s="372"/>
      <c r="M848" s="372"/>
      <c r="N848" s="449"/>
      <c r="O848" s="449"/>
      <c r="P848" s="513">
        <v>45237</v>
      </c>
      <c r="Q848" s="372"/>
      <c r="R848" s="372"/>
      <c r="S848" s="401"/>
      <c r="T848" s="401"/>
      <c r="U848" s="401"/>
      <c r="V848" s="401"/>
      <c r="W848" s="402">
        <v>45308</v>
      </c>
      <c r="X848" s="401">
        <v>1</v>
      </c>
      <c r="Y848" s="336">
        <f t="shared" ca="1" si="18"/>
        <v>71</v>
      </c>
      <c r="Z848" s="401"/>
      <c r="AA848" s="401"/>
      <c r="AB848" s="373"/>
    </row>
    <row r="849" spans="1:28" s="338" customFormat="1" ht="12.75" customHeight="1" x14ac:dyDescent="0.25">
      <c r="A849" s="347" t="s">
        <v>2525</v>
      </c>
      <c r="B849" s="376">
        <v>45232</v>
      </c>
      <c r="C849" s="425" t="s">
        <v>60</v>
      </c>
      <c r="D849" s="333" t="s">
        <v>2496</v>
      </c>
      <c r="E849" s="333" t="s">
        <v>2522</v>
      </c>
      <c r="F849" s="374" t="s">
        <v>2526</v>
      </c>
      <c r="G849" s="372" t="s">
        <v>2527</v>
      </c>
      <c r="H849" s="372">
        <v>1</v>
      </c>
      <c r="I849" s="372" t="s">
        <v>2499</v>
      </c>
      <c r="J849" s="372" t="s">
        <v>46</v>
      </c>
      <c r="K849" s="372" t="s">
        <v>32</v>
      </c>
      <c r="L849" s="372"/>
      <c r="M849" s="372"/>
      <c r="N849" s="372"/>
      <c r="O849" s="372"/>
      <c r="P849" s="513">
        <v>45237</v>
      </c>
      <c r="Q849" s="372"/>
      <c r="R849" s="372"/>
      <c r="S849" s="401"/>
      <c r="T849" s="401"/>
      <c r="U849" s="401"/>
      <c r="V849" s="401"/>
      <c r="W849" s="402">
        <v>45308</v>
      </c>
      <c r="X849" s="401">
        <v>1</v>
      </c>
      <c r="Y849" s="336">
        <f t="shared" ca="1" si="18"/>
        <v>71</v>
      </c>
      <c r="Z849" s="401"/>
      <c r="AA849" s="401"/>
      <c r="AB849" s="373"/>
    </row>
    <row r="850" spans="1:28" s="338" customFormat="1" ht="12.75" customHeight="1" x14ac:dyDescent="0.25">
      <c r="A850" s="347" t="s">
        <v>2528</v>
      </c>
      <c r="B850" s="376">
        <v>45264</v>
      </c>
      <c r="C850" s="425" t="s">
        <v>60</v>
      </c>
      <c r="D850" s="333" t="s">
        <v>2496</v>
      </c>
      <c r="E850" s="333"/>
      <c r="F850" s="374" t="s">
        <v>2529</v>
      </c>
      <c r="G850" s="372" t="s">
        <v>2530</v>
      </c>
      <c r="H850" s="372">
        <v>96</v>
      </c>
      <c r="I850" s="372" t="s">
        <v>2531</v>
      </c>
      <c r="J850" s="372" t="s">
        <v>46</v>
      </c>
      <c r="K850" s="372" t="s">
        <v>32</v>
      </c>
      <c r="L850" s="372"/>
      <c r="M850" s="372"/>
      <c r="N850" s="372"/>
      <c r="O850" s="372"/>
      <c r="P850" s="495">
        <v>45264</v>
      </c>
      <c r="Q850" s="372"/>
      <c r="R850" s="372"/>
      <c r="S850" s="401"/>
      <c r="T850" s="401"/>
      <c r="U850" s="401"/>
      <c r="V850" s="401"/>
      <c r="W850" s="402">
        <v>45308</v>
      </c>
      <c r="X850" s="401">
        <v>96</v>
      </c>
      <c r="Y850" s="336">
        <f t="shared" ca="1" si="18"/>
        <v>44</v>
      </c>
      <c r="Z850" s="401"/>
      <c r="AA850" s="401"/>
      <c r="AB850" s="373"/>
    </row>
    <row r="851" spans="1:28" s="338" customFormat="1" ht="12.75" customHeight="1" x14ac:dyDescent="0.25">
      <c r="A851" s="347" t="s">
        <v>2532</v>
      </c>
      <c r="B851" s="376">
        <v>45264</v>
      </c>
      <c r="C851" s="425" t="s">
        <v>60</v>
      </c>
      <c r="D851" s="333" t="s">
        <v>2496</v>
      </c>
      <c r="E851" s="333"/>
      <c r="F851" s="374" t="s">
        <v>2533</v>
      </c>
      <c r="G851" s="372" t="s">
        <v>2530</v>
      </c>
      <c r="H851" s="372">
        <v>96</v>
      </c>
      <c r="I851" s="372" t="s">
        <v>2531</v>
      </c>
      <c r="J851" s="372" t="s">
        <v>46</v>
      </c>
      <c r="K851" s="372" t="s">
        <v>32</v>
      </c>
      <c r="L851" s="372"/>
      <c r="M851" s="372"/>
      <c r="N851" s="372"/>
      <c r="O851" s="372"/>
      <c r="P851" s="495">
        <v>45264</v>
      </c>
      <c r="Q851" s="372"/>
      <c r="R851" s="372"/>
      <c r="S851" s="401"/>
      <c r="T851" s="401"/>
      <c r="U851" s="401"/>
      <c r="V851" s="401"/>
      <c r="W851" s="402">
        <v>45308</v>
      </c>
      <c r="X851" s="401">
        <v>96</v>
      </c>
      <c r="Y851" s="336">
        <f t="shared" ca="1" si="18"/>
        <v>44</v>
      </c>
      <c r="Z851" s="401"/>
      <c r="AA851" s="401"/>
      <c r="AB851" s="373"/>
    </row>
    <row r="852" spans="1:28" s="338" customFormat="1" ht="12.75" customHeight="1" x14ac:dyDescent="0.25">
      <c r="A852" s="347" t="s">
        <v>2534</v>
      </c>
      <c r="B852" s="376">
        <v>45264</v>
      </c>
      <c r="C852" s="425" t="s">
        <v>60</v>
      </c>
      <c r="D852" s="333" t="s">
        <v>2496</v>
      </c>
      <c r="E852" s="333"/>
      <c r="F852" s="374" t="s">
        <v>2535</v>
      </c>
      <c r="G852" s="372" t="s">
        <v>2536</v>
      </c>
      <c r="H852" s="372">
        <v>96</v>
      </c>
      <c r="I852" s="372" t="s">
        <v>2531</v>
      </c>
      <c r="J852" s="372" t="s">
        <v>46</v>
      </c>
      <c r="K852" s="372" t="s">
        <v>32</v>
      </c>
      <c r="L852" s="372"/>
      <c r="M852" s="372"/>
      <c r="N852" s="372"/>
      <c r="O852" s="372"/>
      <c r="P852" s="495">
        <v>45264</v>
      </c>
      <c r="Q852" s="372"/>
      <c r="R852" s="372"/>
      <c r="S852" s="401"/>
      <c r="T852" s="401"/>
      <c r="U852" s="401"/>
      <c r="V852" s="401"/>
      <c r="W852" s="402">
        <v>45308</v>
      </c>
      <c r="X852" s="401">
        <v>96</v>
      </c>
      <c r="Y852" s="336">
        <f t="shared" ca="1" si="18"/>
        <v>44</v>
      </c>
      <c r="Z852" s="401"/>
      <c r="AA852" s="401"/>
      <c r="AB852" s="373"/>
    </row>
    <row r="853" spans="1:28" s="338" customFormat="1" ht="12.75" customHeight="1" x14ac:dyDescent="0.25">
      <c r="A853" s="347" t="s">
        <v>2537</v>
      </c>
      <c r="B853" s="376">
        <v>45264</v>
      </c>
      <c r="C853" s="425" t="s">
        <v>60</v>
      </c>
      <c r="D853" s="333" t="s">
        <v>2496</v>
      </c>
      <c r="E853" s="333"/>
      <c r="F853" s="374" t="s">
        <v>2538</v>
      </c>
      <c r="G853" s="372" t="s">
        <v>2539</v>
      </c>
      <c r="H853" s="372">
        <v>12</v>
      </c>
      <c r="I853" s="372" t="s">
        <v>2531</v>
      </c>
      <c r="J853" s="372" t="s">
        <v>46</v>
      </c>
      <c r="K853" s="372" t="s">
        <v>32</v>
      </c>
      <c r="L853" s="372"/>
      <c r="M853" s="372"/>
      <c r="N853" s="372"/>
      <c r="O853" s="372"/>
      <c r="P853" s="495">
        <v>45264</v>
      </c>
      <c r="Q853" s="372"/>
      <c r="R853" s="372"/>
      <c r="S853" s="401"/>
      <c r="T853" s="401"/>
      <c r="U853" s="401"/>
      <c r="V853" s="401"/>
      <c r="W853" s="402">
        <v>45308</v>
      </c>
      <c r="X853" s="401">
        <v>12</v>
      </c>
      <c r="Y853" s="336">
        <f t="shared" ca="1" si="18"/>
        <v>44</v>
      </c>
      <c r="Z853" s="401"/>
      <c r="AA853" s="401"/>
      <c r="AB853" s="373"/>
    </row>
    <row r="854" spans="1:28" s="338" customFormat="1" ht="12.75" customHeight="1" x14ac:dyDescent="0.25">
      <c r="A854" s="347" t="s">
        <v>2540</v>
      </c>
      <c r="B854" s="376">
        <v>45278</v>
      </c>
      <c r="C854" s="425" t="s">
        <v>219</v>
      </c>
      <c r="D854" s="333" t="s">
        <v>2541</v>
      </c>
      <c r="E854" s="333"/>
      <c r="F854" s="374">
        <v>282954100130</v>
      </c>
      <c r="G854" s="372" t="s">
        <v>2542</v>
      </c>
      <c r="H854" s="372">
        <v>4</v>
      </c>
      <c r="I854" s="372" t="s">
        <v>2543</v>
      </c>
      <c r="J854" s="372" t="s">
        <v>46</v>
      </c>
      <c r="K854" s="372" t="s">
        <v>32</v>
      </c>
      <c r="L854" s="372"/>
      <c r="M854" s="372"/>
      <c r="N854" s="449"/>
      <c r="O854" s="449"/>
      <c r="P854" s="495">
        <v>45336</v>
      </c>
      <c r="Q854" s="372"/>
      <c r="R854" s="372"/>
      <c r="S854" s="401"/>
      <c r="T854" s="401"/>
      <c r="U854" s="401"/>
      <c r="V854" s="401"/>
      <c r="W854" s="402">
        <v>45390</v>
      </c>
      <c r="X854" s="401">
        <v>4</v>
      </c>
      <c r="Y854" s="336">
        <f t="shared" ca="1" si="18"/>
        <v>54</v>
      </c>
      <c r="Z854" s="401"/>
      <c r="AA854" s="401"/>
      <c r="AB854" s="455"/>
    </row>
    <row r="855" spans="1:28" s="338" customFormat="1" ht="12.75" customHeight="1" x14ac:dyDescent="0.25">
      <c r="A855" s="347" t="s">
        <v>2544</v>
      </c>
      <c r="B855" s="376">
        <v>45278</v>
      </c>
      <c r="C855" s="425" t="s">
        <v>219</v>
      </c>
      <c r="D855" s="333" t="s">
        <v>2541</v>
      </c>
      <c r="E855" s="333"/>
      <c r="F855" s="374">
        <v>282954100126</v>
      </c>
      <c r="G855" s="372" t="s">
        <v>2545</v>
      </c>
      <c r="H855" s="372">
        <v>2</v>
      </c>
      <c r="I855" s="372" t="s">
        <v>2543</v>
      </c>
      <c r="J855" s="372" t="s">
        <v>46</v>
      </c>
      <c r="K855" s="372" t="s">
        <v>32</v>
      </c>
      <c r="L855" s="372"/>
      <c r="M855" s="372"/>
      <c r="N855" s="449"/>
      <c r="O855" s="449"/>
      <c r="P855" s="495">
        <v>45336</v>
      </c>
      <c r="Q855" s="372"/>
      <c r="R855" s="372"/>
      <c r="S855" s="401"/>
      <c r="T855" s="401"/>
      <c r="U855" s="401"/>
      <c r="V855" s="401"/>
      <c r="W855" s="402">
        <v>45390</v>
      </c>
      <c r="X855" s="401">
        <v>2</v>
      </c>
      <c r="Y855" s="336">
        <f t="shared" ca="1" si="18"/>
        <v>54</v>
      </c>
      <c r="Z855" s="401"/>
      <c r="AA855" s="401"/>
      <c r="AB855" s="455"/>
    </row>
    <row r="856" spans="1:28" s="338" customFormat="1" ht="12.75" customHeight="1" x14ac:dyDescent="0.25">
      <c r="A856" s="347" t="s">
        <v>2546</v>
      </c>
      <c r="B856" s="376"/>
      <c r="C856" s="425"/>
      <c r="D856" s="333"/>
      <c r="E856" s="333"/>
      <c r="F856" s="374"/>
      <c r="G856" s="372" t="s">
        <v>2547</v>
      </c>
      <c r="H856" s="372">
        <v>1</v>
      </c>
      <c r="I856" s="372">
        <v>2</v>
      </c>
      <c r="J856" s="372"/>
      <c r="K856" s="372"/>
      <c r="L856" s="372"/>
      <c r="M856" s="372"/>
      <c r="N856" s="449"/>
      <c r="O856" s="449"/>
      <c r="P856" s="495"/>
      <c r="Q856" s="372"/>
      <c r="R856" s="372"/>
      <c r="S856" s="401"/>
      <c r="T856" s="401"/>
      <c r="U856" s="401"/>
      <c r="V856" s="401"/>
      <c r="W856" s="402"/>
      <c r="X856" s="401"/>
      <c r="Y856" s="336" t="str">
        <f t="shared" ca="1" si="18"/>
        <v/>
      </c>
      <c r="Z856" s="401"/>
      <c r="AA856" s="401"/>
      <c r="AB856" s="373"/>
    </row>
    <row r="857" spans="1:28" s="338" customFormat="1" ht="12.75" customHeight="1" x14ac:dyDescent="0.25">
      <c r="A857" s="347" t="s">
        <v>2548</v>
      </c>
      <c r="B857" s="376"/>
      <c r="C857" s="425"/>
      <c r="D857" s="333"/>
      <c r="E857" s="333"/>
      <c r="F857" s="374"/>
      <c r="G857" s="372" t="s">
        <v>2549</v>
      </c>
      <c r="H857" s="372"/>
      <c r="I857" s="372">
        <v>2</v>
      </c>
      <c r="J857" s="372"/>
      <c r="K857" s="372"/>
      <c r="L857" s="372"/>
      <c r="M857" s="372"/>
      <c r="N857" s="449"/>
      <c r="O857" s="449"/>
      <c r="P857" s="495"/>
      <c r="Q857" s="372"/>
      <c r="R857" s="372"/>
      <c r="S857" s="401"/>
      <c r="T857" s="401"/>
      <c r="U857" s="401"/>
      <c r="V857" s="401"/>
      <c r="W857" s="402"/>
      <c r="X857" s="401"/>
      <c r="Y857" s="336" t="str">
        <f t="shared" ca="1" si="18"/>
        <v/>
      </c>
      <c r="Z857" s="401"/>
      <c r="AA857" s="401"/>
      <c r="AB857" s="373"/>
    </row>
    <row r="858" spans="1:28" s="338" customFormat="1" ht="12.75" customHeight="1" x14ac:dyDescent="0.25">
      <c r="A858" s="347" t="s">
        <v>2550</v>
      </c>
      <c r="B858" s="376">
        <v>45279</v>
      </c>
      <c r="C858" s="425" t="s">
        <v>219</v>
      </c>
      <c r="D858" s="333" t="s">
        <v>1273</v>
      </c>
      <c r="E858" s="333"/>
      <c r="F858" s="374">
        <v>504054400106</v>
      </c>
      <c r="G858" s="372" t="s">
        <v>2551</v>
      </c>
      <c r="H858" s="372">
        <v>36</v>
      </c>
      <c r="I858" s="372" t="s">
        <v>2462</v>
      </c>
      <c r="J858" s="372" t="s">
        <v>31</v>
      </c>
      <c r="K858" s="372" t="s">
        <v>32</v>
      </c>
      <c r="L858" s="372"/>
      <c r="M858" s="372"/>
      <c r="N858" s="449"/>
      <c r="O858" s="449"/>
      <c r="P858" s="495">
        <v>45281</v>
      </c>
      <c r="Q858" s="372"/>
      <c r="R858" s="372"/>
      <c r="S858" s="401"/>
      <c r="T858" s="401"/>
      <c r="U858" s="401"/>
      <c r="V858" s="401"/>
      <c r="W858" s="468">
        <v>45179</v>
      </c>
      <c r="X858" s="455"/>
      <c r="Y858" s="336">
        <f t="shared" ca="1" si="18"/>
        <v>-102</v>
      </c>
      <c r="Z858" s="401"/>
      <c r="AA858" s="401"/>
      <c r="AB858" s="373" t="s">
        <v>2552</v>
      </c>
    </row>
    <row r="859" spans="1:28" s="338" customFormat="1" ht="12.75" customHeight="1" x14ac:dyDescent="0.25">
      <c r="A859" s="347" t="s">
        <v>2553</v>
      </c>
      <c r="B859" s="376">
        <v>45279</v>
      </c>
      <c r="C859" s="425" t="s">
        <v>219</v>
      </c>
      <c r="D859" s="333" t="s">
        <v>1273</v>
      </c>
      <c r="E859" s="333"/>
      <c r="F859" s="374">
        <v>11406706208</v>
      </c>
      <c r="G859" s="372" t="s">
        <v>2554</v>
      </c>
      <c r="H859" s="372">
        <v>100</v>
      </c>
      <c r="I859" s="372" t="s">
        <v>2475</v>
      </c>
      <c r="J859" s="372" t="s">
        <v>46</v>
      </c>
      <c r="K859" s="372" t="s">
        <v>32</v>
      </c>
      <c r="L859" s="372"/>
      <c r="M859" s="372"/>
      <c r="N859" s="449"/>
      <c r="O859" s="449"/>
      <c r="P859" s="495">
        <v>45281</v>
      </c>
      <c r="Q859" s="372"/>
      <c r="R859" s="372"/>
      <c r="S859" s="401"/>
      <c r="T859" s="401"/>
      <c r="U859" s="401"/>
      <c r="V859" s="401"/>
      <c r="W859" s="402">
        <v>45330</v>
      </c>
      <c r="X859" s="401">
        <v>100</v>
      </c>
      <c r="Y859" s="336">
        <f t="shared" ca="1" si="18"/>
        <v>49</v>
      </c>
      <c r="Z859" s="401"/>
      <c r="AA859" s="401"/>
      <c r="AB859" s="373"/>
    </row>
    <row r="860" spans="1:28" s="410" customFormat="1" ht="12.75" customHeight="1" x14ac:dyDescent="0.25">
      <c r="A860" s="347" t="s">
        <v>2555</v>
      </c>
      <c r="B860" s="407">
        <v>45279</v>
      </c>
      <c r="C860" s="448" t="s">
        <v>219</v>
      </c>
      <c r="D860" s="372" t="s">
        <v>1273</v>
      </c>
      <c r="E860" s="333"/>
      <c r="F860" s="374">
        <v>264254209901</v>
      </c>
      <c r="G860" s="372" t="s">
        <v>2556</v>
      </c>
      <c r="H860" s="372">
        <v>3</v>
      </c>
      <c r="I860" s="372" t="s">
        <v>2462</v>
      </c>
      <c r="J860" s="372" t="s">
        <v>31</v>
      </c>
      <c r="K860" s="372" t="s">
        <v>32</v>
      </c>
      <c r="L860" s="372"/>
      <c r="M860" s="372"/>
      <c r="N860" s="449"/>
      <c r="O860" s="449"/>
      <c r="P860" s="495">
        <v>45280</v>
      </c>
      <c r="Q860" s="372"/>
      <c r="R860" s="372"/>
      <c r="S860" s="401"/>
      <c r="T860" s="401"/>
      <c r="U860" s="401"/>
      <c r="V860" s="401"/>
      <c r="W860" s="402" t="s">
        <v>2557</v>
      </c>
      <c r="X860" s="401">
        <v>2</v>
      </c>
      <c r="Y860" s="336" t="e">
        <f t="shared" ca="1" si="18"/>
        <v>#VALUE!</v>
      </c>
      <c r="Z860" s="401"/>
      <c r="AA860" s="401"/>
      <c r="AB860" s="401"/>
    </row>
    <row r="861" spans="1:28" s="338" customFormat="1" ht="12.75" customHeight="1" x14ac:dyDescent="0.25">
      <c r="A861" s="347" t="s">
        <v>2558</v>
      </c>
      <c r="B861" s="376">
        <v>45278</v>
      </c>
      <c r="C861" s="425" t="s">
        <v>60</v>
      </c>
      <c r="D861" s="333" t="s">
        <v>1776</v>
      </c>
      <c r="E861" s="333"/>
      <c r="F861" s="374" t="s">
        <v>2559</v>
      </c>
      <c r="G861" s="372" t="s">
        <v>2560</v>
      </c>
      <c r="H861" s="372">
        <v>10</v>
      </c>
      <c r="I861" s="372">
        <v>6</v>
      </c>
      <c r="J861" s="372" t="s">
        <v>43</v>
      </c>
      <c r="K861" s="372" t="s">
        <v>32</v>
      </c>
      <c r="L861" s="372"/>
      <c r="M861" s="372"/>
      <c r="N861" s="449"/>
      <c r="O861" s="449"/>
      <c r="P861" s="495">
        <v>45281</v>
      </c>
      <c r="Q861" s="372"/>
      <c r="R861" s="372"/>
      <c r="S861" s="401"/>
      <c r="T861" s="401"/>
      <c r="U861" s="401"/>
      <c r="V861" s="401"/>
      <c r="W861" s="402"/>
      <c r="X861" s="401"/>
      <c r="Y861" s="336">
        <f t="shared" ca="1" si="18"/>
        <v>305</v>
      </c>
      <c r="Z861" s="401"/>
      <c r="AA861" s="401"/>
      <c r="AB861" s="373"/>
    </row>
    <row r="862" spans="1:28" s="410" customFormat="1" ht="12.75" customHeight="1" x14ac:dyDescent="0.25">
      <c r="A862" s="347" t="s">
        <v>2561</v>
      </c>
      <c r="B862" s="376">
        <v>45264</v>
      </c>
      <c r="C862" s="425" t="s">
        <v>60</v>
      </c>
      <c r="D862" s="333" t="s">
        <v>2496</v>
      </c>
      <c r="E862" s="333"/>
      <c r="F862" s="374" t="s">
        <v>2562</v>
      </c>
      <c r="G862" s="372" t="s">
        <v>2563</v>
      </c>
      <c r="H862" s="372">
        <v>48</v>
      </c>
      <c r="I862" s="372" t="s">
        <v>2531</v>
      </c>
      <c r="J862" s="372" t="s">
        <v>46</v>
      </c>
      <c r="K862" s="372" t="s">
        <v>32</v>
      </c>
      <c r="L862" s="372"/>
      <c r="M862" s="372"/>
      <c r="N862" s="372"/>
      <c r="O862" s="372"/>
      <c r="P862" s="495">
        <v>45264</v>
      </c>
      <c r="Q862" s="372"/>
      <c r="R862" s="372"/>
      <c r="S862" s="401"/>
      <c r="T862" s="401"/>
      <c r="U862" s="401"/>
      <c r="V862" s="401"/>
      <c r="W862" s="402">
        <v>45308</v>
      </c>
      <c r="X862" s="401">
        <v>48</v>
      </c>
      <c r="Y862" s="336">
        <f t="shared" ca="1" si="18"/>
        <v>44</v>
      </c>
      <c r="Z862" s="401"/>
      <c r="AA862" s="401"/>
      <c r="AB862" s="373"/>
    </row>
    <row r="863" spans="1:28" s="338" customFormat="1" ht="12.75" customHeight="1" x14ac:dyDescent="0.25">
      <c r="A863" s="347" t="s">
        <v>2564</v>
      </c>
      <c r="B863" s="376">
        <v>45264</v>
      </c>
      <c r="C863" s="425" t="s">
        <v>60</v>
      </c>
      <c r="D863" s="333" t="s">
        <v>2496</v>
      </c>
      <c r="E863" s="333"/>
      <c r="F863" s="374" t="s">
        <v>2565</v>
      </c>
      <c r="G863" s="372" t="s">
        <v>2566</v>
      </c>
      <c r="H863" s="372">
        <v>72</v>
      </c>
      <c r="I863" s="372" t="s">
        <v>2531</v>
      </c>
      <c r="J863" s="372" t="s">
        <v>46</v>
      </c>
      <c r="K863" s="372" t="s">
        <v>32</v>
      </c>
      <c r="L863" s="372"/>
      <c r="M863" s="372"/>
      <c r="N863" s="372"/>
      <c r="O863" s="372"/>
      <c r="P863" s="495">
        <v>45264</v>
      </c>
      <c r="Q863" s="372"/>
      <c r="R863" s="372"/>
      <c r="S863" s="401"/>
      <c r="T863" s="401"/>
      <c r="U863" s="401"/>
      <c r="V863" s="401"/>
      <c r="W863" s="402">
        <v>45308</v>
      </c>
      <c r="X863" s="401">
        <v>72</v>
      </c>
      <c r="Y863" s="336">
        <f t="shared" ca="1" si="18"/>
        <v>44</v>
      </c>
      <c r="Z863" s="401"/>
      <c r="AA863" s="401"/>
      <c r="AB863" s="373"/>
    </row>
    <row r="864" spans="1:28" s="338" customFormat="1" ht="12.75" customHeight="1" x14ac:dyDescent="0.25">
      <c r="A864" s="347" t="s">
        <v>2567</v>
      </c>
      <c r="B864" s="376">
        <v>45264</v>
      </c>
      <c r="C864" s="425" t="s">
        <v>60</v>
      </c>
      <c r="D864" s="333" t="s">
        <v>2496</v>
      </c>
      <c r="E864" s="333"/>
      <c r="F864" s="374" t="s">
        <v>2568</v>
      </c>
      <c r="G864" s="372" t="s">
        <v>2569</v>
      </c>
      <c r="H864" s="372">
        <v>24</v>
      </c>
      <c r="I864" s="372" t="s">
        <v>2531</v>
      </c>
      <c r="J864" s="372" t="s">
        <v>46</v>
      </c>
      <c r="K864" s="372" t="s">
        <v>32</v>
      </c>
      <c r="L864" s="372"/>
      <c r="M864" s="372"/>
      <c r="N864" s="372"/>
      <c r="O864" s="372"/>
      <c r="P864" s="495">
        <v>45264</v>
      </c>
      <c r="Q864" s="372"/>
      <c r="R864" s="372"/>
      <c r="S864" s="401"/>
      <c r="T864" s="401"/>
      <c r="U864" s="401"/>
      <c r="V864" s="401"/>
      <c r="W864" s="402">
        <v>45308</v>
      </c>
      <c r="X864" s="401">
        <v>24</v>
      </c>
      <c r="Y864" s="336">
        <f t="shared" ca="1" si="18"/>
        <v>44</v>
      </c>
      <c r="Z864" s="401"/>
      <c r="AA864" s="401"/>
      <c r="AB864" s="373"/>
    </row>
    <row r="865" spans="1:30" ht="12.75" customHeight="1" x14ac:dyDescent="0.25">
      <c r="A865" s="347" t="s">
        <v>2570</v>
      </c>
      <c r="B865" s="376">
        <v>45296</v>
      </c>
      <c r="C865" s="425" t="s">
        <v>219</v>
      </c>
      <c r="D865" s="333">
        <v>1216</v>
      </c>
      <c r="E865" s="333"/>
      <c r="F865" s="374">
        <v>217954200101</v>
      </c>
      <c r="G865" s="372" t="s">
        <v>2571</v>
      </c>
      <c r="H865" s="372">
        <v>1</v>
      </c>
      <c r="I865" s="372">
        <v>49</v>
      </c>
      <c r="J865" s="372" t="s">
        <v>31</v>
      </c>
      <c r="K865" s="372" t="s">
        <v>32</v>
      </c>
      <c r="L865" s="372"/>
      <c r="M865" s="372"/>
      <c r="N865" s="449"/>
      <c r="O865" s="449"/>
      <c r="P865" s="495">
        <v>45017</v>
      </c>
      <c r="Q865" s="372"/>
      <c r="R865" s="372"/>
      <c r="S865" s="401"/>
      <c r="T865" s="401"/>
      <c r="U865" s="401"/>
      <c r="V865" s="401"/>
      <c r="W865" s="402">
        <v>45061</v>
      </c>
      <c r="X865" s="401">
        <v>1</v>
      </c>
      <c r="Y865" s="336">
        <f t="shared" ca="1" si="18"/>
        <v>44</v>
      </c>
      <c r="Z865" s="401"/>
      <c r="AA865" s="401"/>
      <c r="AB865" s="373"/>
      <c r="AD865" s="338"/>
    </row>
    <row r="866" spans="1:30" ht="12.75" customHeight="1" x14ac:dyDescent="0.25">
      <c r="A866" s="347" t="s">
        <v>2572</v>
      </c>
      <c r="B866" s="376">
        <v>45264</v>
      </c>
      <c r="C866" s="425" t="s">
        <v>60</v>
      </c>
      <c r="D866" s="333" t="s">
        <v>2496</v>
      </c>
      <c r="E866" s="333"/>
      <c r="F866" s="374" t="s">
        <v>2573</v>
      </c>
      <c r="G866" s="372" t="s">
        <v>2574</v>
      </c>
      <c r="H866" s="372">
        <v>48</v>
      </c>
      <c r="I866" s="372" t="s">
        <v>2531</v>
      </c>
      <c r="J866" s="372" t="s">
        <v>46</v>
      </c>
      <c r="K866" s="372" t="s">
        <v>32</v>
      </c>
      <c r="L866" s="372"/>
      <c r="M866" s="372"/>
      <c r="N866" s="372"/>
      <c r="O866" s="372"/>
      <c r="P866" s="495">
        <v>45264</v>
      </c>
      <c r="Q866" s="372"/>
      <c r="R866" s="372"/>
      <c r="S866" s="401"/>
      <c r="T866" s="401"/>
      <c r="U866" s="401"/>
      <c r="V866" s="401"/>
      <c r="W866" s="402">
        <v>45308</v>
      </c>
      <c r="X866" s="401">
        <v>48</v>
      </c>
      <c r="Y866" s="336">
        <f t="shared" ca="1" si="18"/>
        <v>44</v>
      </c>
      <c r="Z866" s="401"/>
      <c r="AA866" s="401"/>
      <c r="AB866" s="373"/>
      <c r="AD866" s="338"/>
    </row>
    <row r="867" spans="1:30" ht="12.75" customHeight="1" x14ac:dyDescent="0.25">
      <c r="A867" s="347" t="s">
        <v>2575</v>
      </c>
      <c r="B867" s="376">
        <v>45295</v>
      </c>
      <c r="C867" s="425" t="s">
        <v>219</v>
      </c>
      <c r="D867" s="333">
        <v>1216</v>
      </c>
      <c r="E867" s="333"/>
      <c r="F867" s="374">
        <v>264191500162</v>
      </c>
      <c r="G867" s="372" t="s">
        <v>2576</v>
      </c>
      <c r="H867" s="372">
        <v>1</v>
      </c>
      <c r="I867" s="372" t="s">
        <v>2577</v>
      </c>
      <c r="J867" s="372" t="s">
        <v>31</v>
      </c>
      <c r="K867" s="372" t="s">
        <v>32</v>
      </c>
      <c r="L867" s="372"/>
      <c r="M867" s="372"/>
      <c r="N867" s="449"/>
      <c r="O867" s="449"/>
      <c r="P867" s="495">
        <v>45299</v>
      </c>
      <c r="Q867" s="372"/>
      <c r="R867" s="372"/>
      <c r="S867" s="401"/>
      <c r="T867" s="401"/>
      <c r="U867" s="401"/>
      <c r="V867" s="401"/>
      <c r="W867" s="402">
        <v>45342</v>
      </c>
      <c r="X867" s="401">
        <v>1</v>
      </c>
      <c r="Y867" s="336">
        <f t="shared" ca="1" si="18"/>
        <v>43</v>
      </c>
      <c r="Z867" s="401"/>
      <c r="AA867" s="401"/>
      <c r="AB867" s="373"/>
      <c r="AD867" s="338"/>
    </row>
    <row r="868" spans="1:30" ht="12.75" customHeight="1" x14ac:dyDescent="0.25">
      <c r="A868" s="347" t="s">
        <v>2578</v>
      </c>
      <c r="B868" s="376">
        <v>45295</v>
      </c>
      <c r="C868" s="425" t="s">
        <v>219</v>
      </c>
      <c r="D868" s="333">
        <v>1216</v>
      </c>
      <c r="E868" s="333"/>
      <c r="F868" s="374">
        <v>257354100161</v>
      </c>
      <c r="G868" s="372" t="s">
        <v>2579</v>
      </c>
      <c r="H868" s="372">
        <v>1</v>
      </c>
      <c r="I868" s="372" t="s">
        <v>2577</v>
      </c>
      <c r="J868" s="372" t="s">
        <v>68</v>
      </c>
      <c r="K868" s="372" t="s">
        <v>69</v>
      </c>
      <c r="L868" s="372"/>
      <c r="M868" s="372"/>
      <c r="N868" s="449"/>
      <c r="O868" s="449"/>
      <c r="P868" s="495">
        <v>45299</v>
      </c>
      <c r="Q868" s="372"/>
      <c r="R868" s="372"/>
      <c r="S868" s="401"/>
      <c r="T868" s="401"/>
      <c r="U868" s="401"/>
      <c r="V868" s="401"/>
      <c r="W868" s="402">
        <v>45330</v>
      </c>
      <c r="X868" s="401">
        <v>1</v>
      </c>
      <c r="Y868" s="336">
        <f t="shared" ca="1" si="18"/>
        <v>31</v>
      </c>
      <c r="Z868" s="401"/>
      <c r="AA868" s="401"/>
      <c r="AB868" s="373"/>
      <c r="AD868" s="338"/>
    </row>
    <row r="869" spans="1:30" ht="12.75" customHeight="1" x14ac:dyDescent="0.25">
      <c r="A869" s="347" t="s">
        <v>2580</v>
      </c>
      <c r="B869" s="376">
        <v>45264</v>
      </c>
      <c r="C869" s="425" t="s">
        <v>60</v>
      </c>
      <c r="D869" s="333" t="s">
        <v>2496</v>
      </c>
      <c r="E869" s="333"/>
      <c r="F869" s="374" t="s">
        <v>2581</v>
      </c>
      <c r="G869" s="372" t="s">
        <v>2582</v>
      </c>
      <c r="H869" s="372">
        <v>12</v>
      </c>
      <c r="I869" s="372" t="s">
        <v>2531</v>
      </c>
      <c r="J869" s="372" t="s">
        <v>46</v>
      </c>
      <c r="K869" s="372" t="s">
        <v>32</v>
      </c>
      <c r="L869" s="372"/>
      <c r="M869" s="372"/>
      <c r="N869" s="372"/>
      <c r="O869" s="372"/>
      <c r="P869" s="495">
        <v>45264</v>
      </c>
      <c r="Q869" s="372"/>
      <c r="R869" s="372"/>
      <c r="S869" s="401"/>
      <c r="T869" s="401"/>
      <c r="U869" s="401"/>
      <c r="V869" s="401"/>
      <c r="W869" s="402">
        <v>45308</v>
      </c>
      <c r="X869" s="401">
        <v>12</v>
      </c>
      <c r="Y869" s="336">
        <f t="shared" ca="1" si="18"/>
        <v>44</v>
      </c>
      <c r="Z869" s="401"/>
      <c r="AA869" s="401"/>
      <c r="AB869" s="373"/>
      <c r="AD869" s="338"/>
    </row>
    <row r="870" spans="1:30" ht="12.75" customHeight="1" x14ac:dyDescent="0.25">
      <c r="A870" s="347" t="s">
        <v>2583</v>
      </c>
      <c r="B870" s="376">
        <v>45301</v>
      </c>
      <c r="C870" s="425" t="s">
        <v>219</v>
      </c>
      <c r="D870" s="333" t="s">
        <v>1273</v>
      </c>
      <c r="E870" s="333"/>
      <c r="F870" s="374">
        <v>282131207120</v>
      </c>
      <c r="G870" s="372" t="s">
        <v>2584</v>
      </c>
      <c r="H870" s="372">
        <v>2</v>
      </c>
      <c r="I870" s="372" t="s">
        <v>2585</v>
      </c>
      <c r="J870" s="372" t="s">
        <v>46</v>
      </c>
      <c r="K870" s="372" t="s">
        <v>32</v>
      </c>
      <c r="L870" s="372"/>
      <c r="M870" s="372"/>
      <c r="N870" s="449"/>
      <c r="O870" s="449"/>
      <c r="P870" s="495">
        <v>45301</v>
      </c>
      <c r="Q870" s="372"/>
      <c r="R870" s="372"/>
      <c r="S870" s="401"/>
      <c r="T870" s="401"/>
      <c r="U870" s="401"/>
      <c r="V870" s="401"/>
      <c r="W870" s="402">
        <v>45274</v>
      </c>
      <c r="X870" s="401">
        <v>2</v>
      </c>
      <c r="Y870" s="336">
        <f t="shared" ca="1" si="18"/>
        <v>-27</v>
      </c>
      <c r="Z870" s="401"/>
      <c r="AA870" s="401"/>
      <c r="AB870" s="373"/>
      <c r="AD870" s="338"/>
    </row>
    <row r="871" spans="1:30" ht="12.75" customHeight="1" x14ac:dyDescent="0.25">
      <c r="A871" s="347" t="s">
        <v>2586</v>
      </c>
      <c r="B871" s="376">
        <v>45264</v>
      </c>
      <c r="C871" s="425" t="s">
        <v>60</v>
      </c>
      <c r="D871" s="333" t="s">
        <v>2496</v>
      </c>
      <c r="E871" s="333"/>
      <c r="F871" s="374" t="s">
        <v>2587</v>
      </c>
      <c r="G871" s="372" t="s">
        <v>2588</v>
      </c>
      <c r="H871" s="372">
        <v>12</v>
      </c>
      <c r="I871" s="372" t="s">
        <v>2531</v>
      </c>
      <c r="J871" s="372" t="s">
        <v>46</v>
      </c>
      <c r="K871" s="372" t="s">
        <v>32</v>
      </c>
      <c r="L871" s="372"/>
      <c r="M871" s="372"/>
      <c r="N871" s="372"/>
      <c r="O871" s="372"/>
      <c r="P871" s="495">
        <v>45264</v>
      </c>
      <c r="Q871" s="372"/>
      <c r="R871" s="372"/>
      <c r="S871" s="401"/>
      <c r="T871" s="401"/>
      <c r="U871" s="401"/>
      <c r="V871" s="401"/>
      <c r="W871" s="402">
        <v>45057</v>
      </c>
      <c r="X871" s="401"/>
      <c r="Y871" s="336">
        <f t="shared" ca="1" si="18"/>
        <v>-207</v>
      </c>
      <c r="Z871" s="401"/>
      <c r="AA871" s="401"/>
      <c r="AB871" s="373"/>
      <c r="AD871" s="338"/>
    </row>
    <row r="872" spans="1:30" ht="12.75" customHeight="1" x14ac:dyDescent="0.25">
      <c r="A872" s="347" t="s">
        <v>2589</v>
      </c>
      <c r="B872" s="376">
        <v>45302</v>
      </c>
      <c r="C872" s="425" t="s">
        <v>219</v>
      </c>
      <c r="D872" s="333">
        <v>1216</v>
      </c>
      <c r="E872" s="333"/>
      <c r="F872" s="374">
        <v>207746800160</v>
      </c>
      <c r="G872" s="372" t="s">
        <v>2590</v>
      </c>
      <c r="H872" s="372">
        <v>16</v>
      </c>
      <c r="I872" s="372" t="s">
        <v>2591</v>
      </c>
      <c r="J872" s="372" t="s">
        <v>46</v>
      </c>
      <c r="K872" s="372" t="s">
        <v>32</v>
      </c>
      <c r="L872" s="372"/>
      <c r="M872" s="372"/>
      <c r="N872" s="449"/>
      <c r="O872" s="449"/>
      <c r="P872" s="495">
        <v>45307</v>
      </c>
      <c r="Q872" s="372"/>
      <c r="R872" s="372"/>
      <c r="S872" s="401"/>
      <c r="T872" s="401"/>
      <c r="U872" s="401"/>
      <c r="V872" s="401"/>
      <c r="W872" s="402">
        <v>45356</v>
      </c>
      <c r="X872" s="401">
        <v>16</v>
      </c>
      <c r="Y872" s="336">
        <f t="shared" ca="1" si="18"/>
        <v>49</v>
      </c>
      <c r="Z872" s="401"/>
      <c r="AA872" s="401"/>
      <c r="AB872" s="373" t="s">
        <v>2592</v>
      </c>
      <c r="AD872" s="338"/>
    </row>
    <row r="873" spans="1:30" ht="12.75" customHeight="1" x14ac:dyDescent="0.25">
      <c r="A873" s="347" t="s">
        <v>2593</v>
      </c>
      <c r="B873" s="376">
        <v>45307</v>
      </c>
      <c r="C873" s="425" t="s">
        <v>219</v>
      </c>
      <c r="D873" s="333">
        <v>1216</v>
      </c>
      <c r="E873" s="333"/>
      <c r="F873" s="374">
        <v>264189106913</v>
      </c>
      <c r="G873" s="372" t="s">
        <v>2594</v>
      </c>
      <c r="H873" s="372">
        <v>18</v>
      </c>
      <c r="I873" s="372"/>
      <c r="J873" s="372" t="s">
        <v>43</v>
      </c>
      <c r="K873" s="372" t="s">
        <v>32</v>
      </c>
      <c r="L873" s="372"/>
      <c r="M873" s="372"/>
      <c r="N873" s="449"/>
      <c r="O873" s="449"/>
      <c r="P873" s="495">
        <v>45341</v>
      </c>
      <c r="Q873" s="372"/>
      <c r="R873" s="372"/>
      <c r="S873" s="401"/>
      <c r="T873" s="401"/>
      <c r="U873" s="401"/>
      <c r="V873" s="401"/>
      <c r="W873" s="402">
        <v>45356</v>
      </c>
      <c r="X873" s="401">
        <v>18</v>
      </c>
      <c r="Y873" s="336">
        <f t="shared" ca="1" si="18"/>
        <v>15</v>
      </c>
      <c r="Z873" s="401"/>
      <c r="AA873" s="401"/>
      <c r="AB873" s="373"/>
      <c r="AD873" s="338"/>
    </row>
    <row r="874" spans="1:30" ht="12.75" customHeight="1" x14ac:dyDescent="0.25">
      <c r="A874" s="347" t="s">
        <v>2595</v>
      </c>
      <c r="B874" s="376">
        <v>45307</v>
      </c>
      <c r="C874" s="425" t="s">
        <v>219</v>
      </c>
      <c r="D874" s="333" t="s">
        <v>1273</v>
      </c>
      <c r="E874" s="333"/>
      <c r="F874" s="374" t="s">
        <v>33</v>
      </c>
      <c r="G874" s="372" t="s">
        <v>2596</v>
      </c>
      <c r="H874" s="372">
        <v>1</v>
      </c>
      <c r="I874" s="372" t="s">
        <v>2585</v>
      </c>
      <c r="J874" s="372" t="s">
        <v>31</v>
      </c>
      <c r="K874" s="372" t="s">
        <v>32</v>
      </c>
      <c r="L874" s="372"/>
      <c r="M874" s="372"/>
      <c r="N874" s="449"/>
      <c r="O874" s="449"/>
      <c r="P874" s="495">
        <v>45341</v>
      </c>
      <c r="Q874" s="372"/>
      <c r="R874" s="372"/>
      <c r="S874" s="401"/>
      <c r="T874" s="401"/>
      <c r="U874" s="401"/>
      <c r="V874" s="401"/>
      <c r="W874" s="402">
        <v>45355</v>
      </c>
      <c r="X874" s="401">
        <v>1</v>
      </c>
      <c r="Y874" s="336">
        <f t="shared" ca="1" si="18"/>
        <v>14</v>
      </c>
      <c r="Z874" s="401"/>
      <c r="AA874" s="401"/>
      <c r="AB874" s="373"/>
      <c r="AD874" s="338"/>
    </row>
    <row r="875" spans="1:30" ht="12.75" customHeight="1" x14ac:dyDescent="0.25">
      <c r="A875" s="347" t="s">
        <v>2597</v>
      </c>
      <c r="B875" s="376">
        <v>45264</v>
      </c>
      <c r="C875" s="425" t="s">
        <v>60</v>
      </c>
      <c r="D875" s="333" t="s">
        <v>2496</v>
      </c>
      <c r="E875" s="333"/>
      <c r="F875" s="374" t="s">
        <v>2497</v>
      </c>
      <c r="G875" s="372" t="s">
        <v>2498</v>
      </c>
      <c r="H875" s="372">
        <v>1</v>
      </c>
      <c r="I875" s="372" t="s">
        <v>2531</v>
      </c>
      <c r="J875" s="372" t="s">
        <v>265</v>
      </c>
      <c r="K875" s="372" t="s">
        <v>32</v>
      </c>
      <c r="L875" s="372"/>
      <c r="M875" s="372"/>
      <c r="N875" s="372"/>
      <c r="O875" s="372"/>
      <c r="P875" s="495">
        <v>45264</v>
      </c>
      <c r="Q875" s="372"/>
      <c r="R875" s="372"/>
      <c r="S875" s="401"/>
      <c r="T875" s="401"/>
      <c r="U875" s="401"/>
      <c r="V875" s="401"/>
      <c r="W875" s="402"/>
      <c r="X875" s="401"/>
      <c r="Y875" s="336">
        <f t="shared" ca="1" si="18"/>
        <v>322</v>
      </c>
      <c r="Z875" s="401"/>
      <c r="AA875" s="401"/>
      <c r="AB875" s="373"/>
      <c r="AD875" s="338"/>
    </row>
    <row r="876" spans="1:30" ht="12.75" customHeight="1" x14ac:dyDescent="0.25">
      <c r="A876" s="347" t="s">
        <v>2598</v>
      </c>
      <c r="B876" s="376">
        <v>45307</v>
      </c>
      <c r="C876" s="425" t="s">
        <v>219</v>
      </c>
      <c r="D876" s="333">
        <v>2516</v>
      </c>
      <c r="E876" s="333"/>
      <c r="F876" s="374">
        <v>217143200102</v>
      </c>
      <c r="G876" s="372" t="s">
        <v>2599</v>
      </c>
      <c r="H876" s="372">
        <v>12</v>
      </c>
      <c r="I876" s="372" t="s">
        <v>2600</v>
      </c>
      <c r="J876" s="372" t="s">
        <v>46</v>
      </c>
      <c r="K876" s="372" t="s">
        <v>32</v>
      </c>
      <c r="L876" s="372"/>
      <c r="M876" s="372"/>
      <c r="N876" s="449"/>
      <c r="O876" s="449"/>
      <c r="P876" s="495">
        <v>45310</v>
      </c>
      <c r="Q876" s="372"/>
      <c r="R876" s="372"/>
      <c r="S876" s="401"/>
      <c r="T876" s="401"/>
      <c r="U876" s="401"/>
      <c r="V876" s="401"/>
      <c r="W876" s="402">
        <v>45330</v>
      </c>
      <c r="X876" s="401">
        <v>12</v>
      </c>
      <c r="Y876" s="336">
        <f t="shared" ca="1" si="18"/>
        <v>20</v>
      </c>
      <c r="Z876" s="401"/>
      <c r="AA876" s="401"/>
      <c r="AB876" s="373"/>
      <c r="AD876" s="338"/>
    </row>
    <row r="877" spans="1:30" ht="12.75" customHeight="1" x14ac:dyDescent="0.25">
      <c r="A877" s="347" t="s">
        <v>2601</v>
      </c>
      <c r="B877" s="376">
        <v>45307</v>
      </c>
      <c r="C877" s="425" t="s">
        <v>219</v>
      </c>
      <c r="D877" s="333">
        <v>2516</v>
      </c>
      <c r="E877" s="333"/>
      <c r="F877" s="374">
        <v>217143200101</v>
      </c>
      <c r="G877" s="372" t="s">
        <v>2602</v>
      </c>
      <c r="H877" s="372">
        <v>12</v>
      </c>
      <c r="I877" s="372" t="s">
        <v>2600</v>
      </c>
      <c r="J877" s="372" t="s">
        <v>46</v>
      </c>
      <c r="K877" s="372" t="s">
        <v>32</v>
      </c>
      <c r="L877" s="372"/>
      <c r="M877" s="372"/>
      <c r="N877" s="449"/>
      <c r="O877" s="449"/>
      <c r="P877" s="495">
        <v>45310</v>
      </c>
      <c r="Q877" s="372"/>
      <c r="R877" s="372"/>
      <c r="S877" s="401"/>
      <c r="T877" s="401"/>
      <c r="U877" s="401"/>
      <c r="V877" s="401"/>
      <c r="W877" s="402">
        <v>45330</v>
      </c>
      <c r="X877" s="401">
        <v>12</v>
      </c>
      <c r="Y877" s="336">
        <f t="shared" ca="1" si="18"/>
        <v>20</v>
      </c>
      <c r="Z877" s="401"/>
      <c r="AA877" s="401"/>
      <c r="AB877" s="373"/>
      <c r="AD877" s="338"/>
    </row>
    <row r="878" spans="1:30" ht="12.75" customHeight="1" x14ac:dyDescent="0.25">
      <c r="A878" s="347" t="s">
        <v>2603</v>
      </c>
      <c r="B878" s="376">
        <v>45308</v>
      </c>
      <c r="C878" s="425" t="s">
        <v>35</v>
      </c>
      <c r="D878" s="333" t="s">
        <v>83</v>
      </c>
      <c r="E878" s="333"/>
      <c r="F878" s="374" t="s">
        <v>2604</v>
      </c>
      <c r="G878" s="372" t="s">
        <v>2605</v>
      </c>
      <c r="H878" s="372">
        <v>10</v>
      </c>
      <c r="I878" s="372" t="s">
        <v>2606</v>
      </c>
      <c r="J878" s="372" t="s">
        <v>46</v>
      </c>
      <c r="K878" s="372" t="s">
        <v>32</v>
      </c>
      <c r="L878" s="372"/>
      <c r="M878" s="372"/>
      <c r="N878" s="449"/>
      <c r="O878" s="449"/>
      <c r="P878" s="495"/>
      <c r="Q878" s="372"/>
      <c r="R878" s="372"/>
      <c r="S878" s="401"/>
      <c r="T878" s="401"/>
      <c r="U878" s="401"/>
      <c r="V878" s="401"/>
      <c r="W878" s="402">
        <v>45397</v>
      </c>
      <c r="X878" s="401"/>
      <c r="Y878" s="336" t="str">
        <f t="shared" ca="1" si="18"/>
        <v/>
      </c>
      <c r="Z878" s="401"/>
      <c r="AA878" s="401"/>
      <c r="AB878" s="373"/>
      <c r="AC878" s="338" t="e">
        <f>VLOOKUP(F878,'[1]CPO DATA'!$D:$I,4,FALSE)</f>
        <v>#N/A</v>
      </c>
      <c r="AD878" s="418" t="str">
        <f>VLOOKUP(F878,'STORE ITEMS'!C:F,2,FALSE)</f>
        <v>SCREW W/WASHER TAPPING</v>
      </c>
    </row>
    <row r="879" spans="1:30" ht="12.75" customHeight="1" x14ac:dyDescent="0.25">
      <c r="A879" s="347" t="s">
        <v>2607</v>
      </c>
      <c r="B879" s="376">
        <v>45308</v>
      </c>
      <c r="C879" s="425" t="s">
        <v>35</v>
      </c>
      <c r="D879" s="333" t="s">
        <v>83</v>
      </c>
      <c r="E879" s="333"/>
      <c r="F879" s="374" t="s">
        <v>2608</v>
      </c>
      <c r="G879" s="372" t="s">
        <v>2609</v>
      </c>
      <c r="H879" s="372">
        <v>1</v>
      </c>
      <c r="I879" s="372" t="s">
        <v>2610</v>
      </c>
      <c r="J879" s="372" t="s">
        <v>46</v>
      </c>
      <c r="K879" s="372" t="s">
        <v>32</v>
      </c>
      <c r="L879" s="372"/>
      <c r="M879" s="372"/>
      <c r="N879" s="449"/>
      <c r="O879" s="449"/>
      <c r="P879" s="495"/>
      <c r="Q879" s="372"/>
      <c r="R879" s="372"/>
      <c r="S879" s="401"/>
      <c r="T879" s="401"/>
      <c r="U879" s="401"/>
      <c r="V879" s="401"/>
      <c r="W879" s="402">
        <v>45397</v>
      </c>
      <c r="X879" s="401"/>
      <c r="Y879" s="336" t="str">
        <f t="shared" ca="1" si="18"/>
        <v/>
      </c>
      <c r="Z879" s="401"/>
      <c r="AA879" s="401"/>
      <c r="AB879" s="373"/>
      <c r="AC879" s="338" t="e">
        <f>VLOOKUP(F879,'[1]CPO DATA'!$D:$I,4,FALSE)</f>
        <v>#N/A</v>
      </c>
      <c r="AD879" s="418" t="str">
        <f>VLOOKUP(F879,'STORE ITEMS'!C:F,2,FALSE)</f>
        <v>BOLT W/WASHER</v>
      </c>
    </row>
    <row r="880" spans="1:30" ht="12.75" customHeight="1" x14ac:dyDescent="0.25">
      <c r="A880" s="347" t="s">
        <v>2611</v>
      </c>
      <c r="B880" s="376">
        <v>45308</v>
      </c>
      <c r="C880" s="425" t="s">
        <v>35</v>
      </c>
      <c r="D880" s="333" t="s">
        <v>83</v>
      </c>
      <c r="E880" s="333"/>
      <c r="F880" s="374" t="s">
        <v>2612</v>
      </c>
      <c r="G880" s="372" t="s">
        <v>2613</v>
      </c>
      <c r="H880" s="372">
        <v>1</v>
      </c>
      <c r="I880" s="372" t="s">
        <v>2614</v>
      </c>
      <c r="J880" s="372" t="s">
        <v>68</v>
      </c>
      <c r="K880" s="372" t="s">
        <v>69</v>
      </c>
      <c r="L880" s="372"/>
      <c r="M880" s="372"/>
      <c r="N880" s="449"/>
      <c r="O880" s="449"/>
      <c r="P880" s="495">
        <v>45308</v>
      </c>
      <c r="Q880" s="372"/>
      <c r="R880" s="372"/>
      <c r="S880" s="401"/>
      <c r="T880" s="401"/>
      <c r="U880" s="401"/>
      <c r="V880" s="401"/>
      <c r="W880" s="402">
        <v>45040</v>
      </c>
      <c r="X880" s="401"/>
      <c r="Y880" s="336">
        <f t="shared" ca="1" si="18"/>
        <v>-268</v>
      </c>
      <c r="Z880" s="401"/>
      <c r="AA880" s="401"/>
      <c r="AB880" s="373"/>
      <c r="AC880" s="338" t="str">
        <f>VLOOKUP(F880,'[1]CPO DATA'!$D:$I,4,FALSE)</f>
        <v>GH503</v>
      </c>
      <c r="AD880" s="338"/>
    </row>
    <row r="881" spans="1:28" s="338" customFormat="1" ht="12.75" customHeight="1" x14ac:dyDescent="0.25">
      <c r="A881" s="347" t="s">
        <v>2615</v>
      </c>
      <c r="B881" s="376">
        <v>45308</v>
      </c>
      <c r="C881" s="425" t="s">
        <v>219</v>
      </c>
      <c r="D881" s="333">
        <v>2516</v>
      </c>
      <c r="E881" s="333"/>
      <c r="F881" s="374">
        <v>264254209901</v>
      </c>
      <c r="G881" s="372" t="s">
        <v>2616</v>
      </c>
      <c r="H881" s="372">
        <v>12</v>
      </c>
      <c r="I881" s="372" t="s">
        <v>2617</v>
      </c>
      <c r="J881" s="372" t="s">
        <v>541</v>
      </c>
      <c r="K881" s="372" t="s">
        <v>32</v>
      </c>
      <c r="L881" s="372"/>
      <c r="M881" s="372"/>
      <c r="N881" s="449"/>
      <c r="O881" s="449"/>
      <c r="P881" s="495">
        <v>45315</v>
      </c>
      <c r="Q881" s="372"/>
      <c r="R881" s="372"/>
      <c r="S881" s="401"/>
      <c r="T881" s="401"/>
      <c r="U881" s="401"/>
      <c r="V881" s="401"/>
      <c r="W881" s="402" t="s">
        <v>2557</v>
      </c>
      <c r="X881" s="401">
        <v>12</v>
      </c>
      <c r="Y881" s="336" t="e">
        <f t="shared" ca="1" si="18"/>
        <v>#VALUE!</v>
      </c>
      <c r="Z881" s="401"/>
      <c r="AA881" s="401"/>
      <c r="AB881" s="373"/>
    </row>
    <row r="882" spans="1:28" s="338" customFormat="1" ht="12.75" customHeight="1" x14ac:dyDescent="0.25">
      <c r="A882" s="347" t="s">
        <v>2618</v>
      </c>
      <c r="B882" s="376">
        <v>45310</v>
      </c>
      <c r="C882" s="425" t="s">
        <v>219</v>
      </c>
      <c r="D882" s="333">
        <v>2516</v>
      </c>
      <c r="E882" s="333"/>
      <c r="F882" s="374">
        <v>263243700169</v>
      </c>
      <c r="G882" s="372" t="s">
        <v>2619</v>
      </c>
      <c r="H882" s="372">
        <v>1</v>
      </c>
      <c r="I882" s="372" t="s">
        <v>2617</v>
      </c>
      <c r="J882" s="372" t="s">
        <v>31</v>
      </c>
      <c r="K882" s="372" t="s">
        <v>32</v>
      </c>
      <c r="L882" s="372"/>
      <c r="M882" s="372"/>
      <c r="N882" s="449"/>
      <c r="O882" s="449"/>
      <c r="P882" s="495">
        <v>45323</v>
      </c>
      <c r="Q882" s="372"/>
      <c r="R882" s="372"/>
      <c r="S882" s="401"/>
      <c r="T882" s="401"/>
      <c r="U882" s="401"/>
      <c r="V882" s="401"/>
      <c r="W882" s="402">
        <v>45330</v>
      </c>
      <c r="X882" s="401">
        <v>1</v>
      </c>
      <c r="Y882" s="336">
        <f t="shared" ca="1" si="18"/>
        <v>7</v>
      </c>
      <c r="Z882" s="401"/>
      <c r="AA882" s="401"/>
      <c r="AB882" s="373"/>
    </row>
    <row r="883" spans="1:28" s="338" customFormat="1" ht="12.75" customHeight="1" x14ac:dyDescent="0.25">
      <c r="A883" s="347" t="s">
        <v>2620</v>
      </c>
      <c r="B883" s="376">
        <v>45310</v>
      </c>
      <c r="C883" s="425" t="s">
        <v>219</v>
      </c>
      <c r="D883" s="333">
        <v>2516</v>
      </c>
      <c r="E883" s="333"/>
      <c r="F883" s="374" t="s">
        <v>312</v>
      </c>
      <c r="G883" s="372" t="s">
        <v>2621</v>
      </c>
      <c r="H883" s="372">
        <v>1</v>
      </c>
      <c r="I883" s="372" t="s">
        <v>2617</v>
      </c>
      <c r="J883" s="372" t="s">
        <v>31</v>
      </c>
      <c r="K883" s="372" t="s">
        <v>32</v>
      </c>
      <c r="L883" s="372"/>
      <c r="M883" s="372"/>
      <c r="N883" s="449"/>
      <c r="O883" s="449"/>
      <c r="P883" s="495">
        <v>45328</v>
      </c>
      <c r="Q883" s="372"/>
      <c r="R883" s="372"/>
      <c r="S883" s="401"/>
      <c r="T883" s="401"/>
      <c r="U883" s="401"/>
      <c r="V883" s="401"/>
      <c r="W883" s="402">
        <v>45330</v>
      </c>
      <c r="X883" s="401">
        <v>1</v>
      </c>
      <c r="Y883" s="336">
        <f t="shared" ca="1" si="18"/>
        <v>2</v>
      </c>
      <c r="Z883" s="401"/>
      <c r="AA883" s="401"/>
      <c r="AB883" s="373"/>
    </row>
    <row r="884" spans="1:28" s="338" customFormat="1" ht="12.75" customHeight="1" x14ac:dyDescent="0.25">
      <c r="A884" s="347" t="s">
        <v>2622</v>
      </c>
      <c r="B884" s="376">
        <v>45310</v>
      </c>
      <c r="C884" s="425" t="s">
        <v>219</v>
      </c>
      <c r="D884" s="333">
        <v>2516</v>
      </c>
      <c r="E884" s="333"/>
      <c r="F884" s="374">
        <v>261854400166</v>
      </c>
      <c r="G884" s="372" t="s">
        <v>2623</v>
      </c>
      <c r="H884" s="372">
        <v>12</v>
      </c>
      <c r="I884" s="372" t="s">
        <v>2617</v>
      </c>
      <c r="J884" s="372" t="s">
        <v>541</v>
      </c>
      <c r="K884" s="372" t="s">
        <v>32</v>
      </c>
      <c r="L884" s="372"/>
      <c r="M884" s="372"/>
      <c r="N884" s="449"/>
      <c r="O884" s="449"/>
      <c r="P884" s="495">
        <v>45320</v>
      </c>
      <c r="Q884" s="372"/>
      <c r="R884" s="372"/>
      <c r="S884" s="401"/>
      <c r="T884" s="401"/>
      <c r="U884" s="401"/>
      <c r="V884" s="401"/>
      <c r="W884" s="402">
        <v>45330</v>
      </c>
      <c r="X884" s="401">
        <v>12</v>
      </c>
      <c r="Y884" s="336">
        <f t="shared" ca="1" si="18"/>
        <v>10</v>
      </c>
      <c r="Z884" s="401"/>
      <c r="AA884" s="401"/>
      <c r="AB884" s="373"/>
    </row>
    <row r="885" spans="1:28" s="338" customFormat="1" ht="12.75" customHeight="1" x14ac:dyDescent="0.25">
      <c r="A885" s="347" t="s">
        <v>2624</v>
      </c>
      <c r="B885" s="376">
        <v>45307</v>
      </c>
      <c r="C885" s="425" t="s">
        <v>26</v>
      </c>
      <c r="D885" s="333" t="s">
        <v>1377</v>
      </c>
      <c r="E885" s="333"/>
      <c r="F885" s="374">
        <v>2458463</v>
      </c>
      <c r="G885" s="372" t="s">
        <v>2625</v>
      </c>
      <c r="H885" s="372">
        <v>1</v>
      </c>
      <c r="I885" s="372" t="s">
        <v>2626</v>
      </c>
      <c r="J885" s="372" t="s">
        <v>102</v>
      </c>
      <c r="K885" s="372" t="s">
        <v>69</v>
      </c>
      <c r="L885" s="372"/>
      <c r="M885" s="372"/>
      <c r="N885" s="449"/>
      <c r="O885" s="449"/>
      <c r="P885" s="495">
        <v>45310</v>
      </c>
      <c r="Q885" s="372"/>
      <c r="R885" s="372"/>
      <c r="S885" s="401"/>
      <c r="T885" s="401"/>
      <c r="U885" s="401"/>
      <c r="V885" s="401"/>
      <c r="W885" s="472">
        <v>45301</v>
      </c>
      <c r="X885" s="401"/>
      <c r="Y885" s="336">
        <f t="shared" ca="1" si="18"/>
        <v>-9</v>
      </c>
      <c r="Z885" s="401"/>
      <c r="AA885" s="401"/>
      <c r="AB885" s="373" t="s">
        <v>2627</v>
      </c>
    </row>
    <row r="886" spans="1:28" s="338" customFormat="1" ht="12.75" customHeight="1" x14ac:dyDescent="0.25">
      <c r="A886" s="347" t="s">
        <v>2628</v>
      </c>
      <c r="B886" s="376">
        <v>45307</v>
      </c>
      <c r="C886" s="425" t="s">
        <v>26</v>
      </c>
      <c r="D886" s="333" t="s">
        <v>1377</v>
      </c>
      <c r="E886" s="333"/>
      <c r="F886" s="374">
        <v>1529698</v>
      </c>
      <c r="G886" s="372" t="s">
        <v>2629</v>
      </c>
      <c r="H886" s="372">
        <v>3</v>
      </c>
      <c r="I886" s="514" t="s">
        <v>2626</v>
      </c>
      <c r="J886" s="372" t="s">
        <v>102</v>
      </c>
      <c r="K886" s="372" t="s">
        <v>69</v>
      </c>
      <c r="L886" s="372"/>
      <c r="M886" s="372"/>
      <c r="N886" s="449"/>
      <c r="O886" s="449"/>
      <c r="P886" s="495">
        <v>45363</v>
      </c>
      <c r="Q886" s="372"/>
      <c r="R886" s="372"/>
      <c r="S886" s="401"/>
      <c r="T886" s="401"/>
      <c r="U886" s="401"/>
      <c r="V886" s="401"/>
      <c r="W886" s="472">
        <v>45306</v>
      </c>
      <c r="X886" s="401"/>
      <c r="Y886" s="336">
        <f t="shared" ca="1" si="18"/>
        <v>-57</v>
      </c>
      <c r="Z886" s="401"/>
      <c r="AA886" s="401"/>
      <c r="AB886" s="373" t="s">
        <v>2627</v>
      </c>
    </row>
    <row r="887" spans="1:28" s="338" customFormat="1" ht="12.75" customHeight="1" x14ac:dyDescent="0.25">
      <c r="A887" s="347" t="s">
        <v>2630</v>
      </c>
      <c r="B887" s="376">
        <v>45307</v>
      </c>
      <c r="C887" s="425" t="s">
        <v>26</v>
      </c>
      <c r="D887" s="333" t="s">
        <v>2631</v>
      </c>
      <c r="E887" s="333"/>
      <c r="F887" s="374">
        <v>1391499</v>
      </c>
      <c r="G887" s="372" t="s">
        <v>2632</v>
      </c>
      <c r="H887" s="372">
        <v>2</v>
      </c>
      <c r="I887" s="372" t="s">
        <v>2633</v>
      </c>
      <c r="J887" s="372" t="s">
        <v>102</v>
      </c>
      <c r="K887" s="372" t="s">
        <v>69</v>
      </c>
      <c r="L887" s="372"/>
      <c r="M887" s="372"/>
      <c r="N887" s="449"/>
      <c r="O887" s="449"/>
      <c r="P887" s="495">
        <v>45366</v>
      </c>
      <c r="Q887" s="372"/>
      <c r="R887" s="372"/>
      <c r="S887" s="401"/>
      <c r="T887" s="401"/>
      <c r="U887" s="401"/>
      <c r="V887" s="401"/>
      <c r="W887" s="472">
        <v>45301</v>
      </c>
      <c r="X887" s="401"/>
      <c r="Y887" s="336">
        <f t="shared" ca="1" si="18"/>
        <v>-65</v>
      </c>
      <c r="Z887" s="401"/>
      <c r="AA887" s="401"/>
      <c r="AB887" s="373" t="s">
        <v>2627</v>
      </c>
    </row>
    <row r="888" spans="1:28" s="338" customFormat="1" ht="12.75" customHeight="1" x14ac:dyDescent="0.25">
      <c r="A888" s="347" t="s">
        <v>2634</v>
      </c>
      <c r="B888" s="376">
        <v>45307</v>
      </c>
      <c r="C888" s="425" t="s">
        <v>26</v>
      </c>
      <c r="D888" s="333" t="s">
        <v>2631</v>
      </c>
      <c r="E888" s="333"/>
      <c r="F888" s="374">
        <v>1892051</v>
      </c>
      <c r="G888" s="372" t="s">
        <v>2635</v>
      </c>
      <c r="H888" s="372">
        <v>1</v>
      </c>
      <c r="I888" s="372" t="s">
        <v>2636</v>
      </c>
      <c r="J888" s="372" t="s">
        <v>2637</v>
      </c>
      <c r="K888" s="372" t="s">
        <v>32</v>
      </c>
      <c r="L888" s="372"/>
      <c r="M888" s="372"/>
      <c r="N888" s="449"/>
      <c r="O888" s="449"/>
      <c r="P888" s="495">
        <v>45379</v>
      </c>
      <c r="Q888" s="372"/>
      <c r="R888" s="372"/>
      <c r="S888" s="401"/>
      <c r="T888" s="401"/>
      <c r="U888" s="401"/>
      <c r="V888" s="401"/>
      <c r="W888" s="402">
        <v>45322</v>
      </c>
      <c r="X888" s="401"/>
      <c r="Y888" s="336">
        <f t="shared" ca="1" si="18"/>
        <v>-57</v>
      </c>
      <c r="Z888" s="401"/>
      <c r="AA888" s="401"/>
      <c r="AB888" s="373" t="s">
        <v>2627</v>
      </c>
    </row>
    <row r="889" spans="1:28" s="338" customFormat="1" ht="12.75" customHeight="1" x14ac:dyDescent="0.25">
      <c r="A889" s="347" t="s">
        <v>2638</v>
      </c>
      <c r="B889" s="376">
        <v>45307</v>
      </c>
      <c r="C889" s="425" t="s">
        <v>26</v>
      </c>
      <c r="D889" s="333" t="s">
        <v>2631</v>
      </c>
      <c r="E889" s="333"/>
      <c r="F889" s="374">
        <v>1548500</v>
      </c>
      <c r="G889" s="372" t="s">
        <v>2639</v>
      </c>
      <c r="H889" s="372">
        <v>3</v>
      </c>
      <c r="I889" s="372" t="s">
        <v>2640</v>
      </c>
      <c r="J889" s="372" t="s">
        <v>102</v>
      </c>
      <c r="K889" s="372" t="s">
        <v>69</v>
      </c>
      <c r="L889" s="372"/>
      <c r="M889" s="372"/>
      <c r="N889" s="449"/>
      <c r="O889" s="449"/>
      <c r="P889" s="495">
        <v>45366</v>
      </c>
      <c r="Q889" s="372"/>
      <c r="R889" s="372"/>
      <c r="S889" s="401"/>
      <c r="T889" s="401"/>
      <c r="U889" s="401"/>
      <c r="V889" s="401"/>
      <c r="W889" s="402" t="s">
        <v>2641</v>
      </c>
      <c r="X889" s="401">
        <v>3</v>
      </c>
      <c r="Y889" s="336" t="e">
        <f t="shared" ca="1" si="18"/>
        <v>#VALUE!</v>
      </c>
      <c r="Z889" s="401"/>
      <c r="AA889" s="401"/>
      <c r="AB889" s="373" t="s">
        <v>2627</v>
      </c>
    </row>
    <row r="890" spans="1:28" s="338" customFormat="1" ht="12.75" customHeight="1" x14ac:dyDescent="0.25">
      <c r="A890" s="347" t="s">
        <v>2642</v>
      </c>
      <c r="B890" s="376">
        <v>45307</v>
      </c>
      <c r="C890" s="425" t="s">
        <v>26</v>
      </c>
      <c r="D890" s="333" t="s">
        <v>1259</v>
      </c>
      <c r="E890" s="333"/>
      <c r="F890" s="374">
        <v>2485792</v>
      </c>
      <c r="G890" s="372" t="s">
        <v>2643</v>
      </c>
      <c r="H890" s="372">
        <v>2</v>
      </c>
      <c r="I890" s="372" t="s">
        <v>30</v>
      </c>
      <c r="J890" s="372" t="s">
        <v>102</v>
      </c>
      <c r="K890" s="372" t="s">
        <v>69</v>
      </c>
      <c r="L890" s="372"/>
      <c r="M890" s="372"/>
      <c r="N890" s="449"/>
      <c r="O890" s="449"/>
      <c r="P890" s="495">
        <v>45355</v>
      </c>
      <c r="Q890" s="372"/>
      <c r="R890" s="372"/>
      <c r="S890" s="401"/>
      <c r="T890" s="401"/>
      <c r="U890" s="401"/>
      <c r="V890" s="401"/>
      <c r="W890" s="402">
        <v>45322</v>
      </c>
      <c r="X890" s="401">
        <v>2</v>
      </c>
      <c r="Y890" s="336">
        <f t="shared" ca="1" si="18"/>
        <v>-33</v>
      </c>
      <c r="Z890" s="401"/>
      <c r="AA890" s="401"/>
      <c r="AB890" s="373" t="s">
        <v>2627</v>
      </c>
    </row>
    <row r="891" spans="1:28" s="338" customFormat="1" ht="12.75" customHeight="1" x14ac:dyDescent="0.25">
      <c r="A891" s="347" t="s">
        <v>2644</v>
      </c>
      <c r="B891" s="376">
        <v>45307</v>
      </c>
      <c r="C891" s="425" t="s">
        <v>26</v>
      </c>
      <c r="D891" s="333" t="s">
        <v>1259</v>
      </c>
      <c r="E891" s="333"/>
      <c r="F891" s="374">
        <v>2485792</v>
      </c>
      <c r="G891" s="372" t="s">
        <v>2645</v>
      </c>
      <c r="H891" s="372">
        <v>3</v>
      </c>
      <c r="I891" s="372" t="s">
        <v>2646</v>
      </c>
      <c r="J891" s="372" t="s">
        <v>102</v>
      </c>
      <c r="K891" s="372" t="s">
        <v>69</v>
      </c>
      <c r="L891" s="372"/>
      <c r="M891" s="372"/>
      <c r="N891" s="449"/>
      <c r="O891" s="449"/>
      <c r="P891" s="495">
        <v>45432</v>
      </c>
      <c r="Q891" s="372"/>
      <c r="R891" s="372"/>
      <c r="S891" s="401"/>
      <c r="T891" s="401"/>
      <c r="U891" s="401"/>
      <c r="V891" s="401"/>
      <c r="W891" s="402">
        <v>45322</v>
      </c>
      <c r="X891" s="401">
        <v>8</v>
      </c>
      <c r="Y891" s="336">
        <f t="shared" ca="1" si="18"/>
        <v>-110</v>
      </c>
      <c r="Z891" s="401"/>
      <c r="AA891" s="401"/>
      <c r="AB891" s="373" t="s">
        <v>2627</v>
      </c>
    </row>
    <row r="892" spans="1:28" s="338" customFormat="1" ht="12.75" customHeight="1" x14ac:dyDescent="0.25">
      <c r="A892" s="347" t="s">
        <v>2647</v>
      </c>
      <c r="B892" s="376">
        <v>45306</v>
      </c>
      <c r="C892" s="425" t="s">
        <v>26</v>
      </c>
      <c r="D892" s="333" t="s">
        <v>1259</v>
      </c>
      <c r="E892" s="333"/>
      <c r="F892" s="374">
        <v>805976</v>
      </c>
      <c r="G892" s="372" t="s">
        <v>2648</v>
      </c>
      <c r="H892" s="372">
        <v>12</v>
      </c>
      <c r="I892" s="372" t="s">
        <v>30</v>
      </c>
      <c r="J892" s="372" t="s">
        <v>102</v>
      </c>
      <c r="K892" s="372" t="s">
        <v>69</v>
      </c>
      <c r="L892" s="372"/>
      <c r="M892" s="372"/>
      <c r="N892" s="449"/>
      <c r="O892" s="449"/>
      <c r="P892" s="495">
        <v>45307</v>
      </c>
      <c r="Q892" s="372"/>
      <c r="R892" s="372"/>
      <c r="S892" s="401"/>
      <c r="T892" s="401"/>
      <c r="U892" s="401"/>
      <c r="V892" s="401"/>
      <c r="W892" s="402">
        <v>45322</v>
      </c>
      <c r="X892" s="401"/>
      <c r="Y892" s="336">
        <f t="shared" ca="1" si="18"/>
        <v>15</v>
      </c>
      <c r="Z892" s="401"/>
      <c r="AA892" s="401"/>
      <c r="AB892" s="373" t="s">
        <v>2627</v>
      </c>
    </row>
    <row r="893" spans="1:28" s="338" customFormat="1" ht="12.75" customHeight="1" x14ac:dyDescent="0.25">
      <c r="A893" s="347" t="s">
        <v>2649</v>
      </c>
      <c r="B893" s="376">
        <v>45310</v>
      </c>
      <c r="C893" s="425" t="s">
        <v>26</v>
      </c>
      <c r="D893" s="333"/>
      <c r="E893" s="333"/>
      <c r="F893" s="374"/>
      <c r="G893" s="372" t="s">
        <v>2650</v>
      </c>
      <c r="H893" s="372"/>
      <c r="I893" s="372" t="s">
        <v>2651</v>
      </c>
      <c r="J893" s="372" t="s">
        <v>102</v>
      </c>
      <c r="K893" s="372" t="s">
        <v>69</v>
      </c>
      <c r="L893" s="372"/>
      <c r="M893" s="372"/>
      <c r="N893" s="449"/>
      <c r="O893" s="449"/>
      <c r="P893" s="495">
        <v>45307</v>
      </c>
      <c r="Q893" s="372"/>
      <c r="R893" s="372"/>
      <c r="S893" s="401"/>
      <c r="T893" s="401"/>
      <c r="U893" s="401"/>
      <c r="V893" s="401"/>
      <c r="W893" s="402"/>
      <c r="X893" s="401"/>
      <c r="Y893" s="336">
        <f t="shared" ca="1" si="18"/>
        <v>279</v>
      </c>
      <c r="Z893" s="401"/>
      <c r="AA893" s="401"/>
      <c r="AB893" s="373"/>
    </row>
    <row r="894" spans="1:28" s="338" customFormat="1" ht="12.75" customHeight="1" x14ac:dyDescent="0.25">
      <c r="A894" s="347" t="s">
        <v>2652</v>
      </c>
      <c r="B894" s="376">
        <v>45264</v>
      </c>
      <c r="C894" s="425" t="s">
        <v>60</v>
      </c>
      <c r="D894" s="333" t="s">
        <v>2496</v>
      </c>
      <c r="E894" s="333"/>
      <c r="F894" s="374" t="s">
        <v>2653</v>
      </c>
      <c r="G894" s="372" t="s">
        <v>2654</v>
      </c>
      <c r="H894" s="372">
        <v>2</v>
      </c>
      <c r="I894" s="372" t="s">
        <v>2531</v>
      </c>
      <c r="J894" s="372" t="s">
        <v>265</v>
      </c>
      <c r="K894" s="372" t="s">
        <v>32</v>
      </c>
      <c r="L894" s="372"/>
      <c r="M894" s="372"/>
      <c r="N894" s="372"/>
      <c r="O894" s="372"/>
      <c r="P894" s="495">
        <v>45264</v>
      </c>
      <c r="Q894" s="372"/>
      <c r="R894" s="372"/>
      <c r="S894" s="401"/>
      <c r="T894" s="401"/>
      <c r="U894" s="401"/>
      <c r="V894" s="401"/>
      <c r="W894" s="402">
        <v>45308</v>
      </c>
      <c r="X894" s="401">
        <v>2</v>
      </c>
      <c r="Y894" s="336">
        <f t="shared" ca="1" si="18"/>
        <v>44</v>
      </c>
      <c r="Z894" s="401"/>
      <c r="AA894" s="401"/>
      <c r="AB894" s="373"/>
    </row>
    <row r="895" spans="1:28" s="338" customFormat="1" ht="12.75" customHeight="1" x14ac:dyDescent="0.25">
      <c r="A895" s="347" t="s">
        <v>2655</v>
      </c>
      <c r="B895" s="376">
        <v>45264</v>
      </c>
      <c r="C895" s="425" t="s">
        <v>60</v>
      </c>
      <c r="D895" s="333" t="s">
        <v>2496</v>
      </c>
      <c r="E895" s="333"/>
      <c r="F895" s="374" t="s">
        <v>2656</v>
      </c>
      <c r="G895" s="372" t="s">
        <v>2657</v>
      </c>
      <c r="H895" s="372">
        <v>1</v>
      </c>
      <c r="I895" s="372" t="s">
        <v>2531</v>
      </c>
      <c r="J895" s="372" t="s">
        <v>31</v>
      </c>
      <c r="K895" s="372" t="s">
        <v>32</v>
      </c>
      <c r="L895" s="372"/>
      <c r="M895" s="372"/>
      <c r="N895" s="372"/>
      <c r="O895" s="372"/>
      <c r="P895" s="495">
        <v>45264</v>
      </c>
      <c r="Q895" s="372"/>
      <c r="R895" s="372"/>
      <c r="S895" s="401"/>
      <c r="T895" s="401"/>
      <c r="U895" s="401"/>
      <c r="V895" s="401"/>
      <c r="W895" s="402">
        <v>45308</v>
      </c>
      <c r="X895" s="401">
        <v>1</v>
      </c>
      <c r="Y895" s="336">
        <f t="shared" ca="1" si="18"/>
        <v>44</v>
      </c>
      <c r="Z895" s="401"/>
      <c r="AA895" s="401"/>
      <c r="AB895" s="373"/>
    </row>
    <row r="896" spans="1:28" s="338" customFormat="1" ht="12.75" customHeight="1" x14ac:dyDescent="0.25">
      <c r="A896" s="347" t="s">
        <v>2658</v>
      </c>
      <c r="B896" s="376">
        <v>45204</v>
      </c>
      <c r="C896" s="425" t="s">
        <v>60</v>
      </c>
      <c r="D896" s="333" t="s">
        <v>2659</v>
      </c>
      <c r="E896" s="333" t="s">
        <v>2660</v>
      </c>
      <c r="F896" s="374" t="s">
        <v>2661</v>
      </c>
      <c r="G896" s="372" t="s">
        <v>2662</v>
      </c>
      <c r="H896" s="372">
        <v>2</v>
      </c>
      <c r="I896" s="372" t="s">
        <v>2663</v>
      </c>
      <c r="J896" s="372" t="s">
        <v>265</v>
      </c>
      <c r="K896" s="372" t="s">
        <v>32</v>
      </c>
      <c r="L896" s="372"/>
      <c r="M896" s="372" t="s">
        <v>33</v>
      </c>
      <c r="N896" s="372"/>
      <c r="O896" s="372"/>
      <c r="P896" s="513">
        <v>45223</v>
      </c>
      <c r="Q896" s="372"/>
      <c r="R896" s="372"/>
      <c r="S896" s="401"/>
      <c r="T896" s="401"/>
      <c r="U896" s="401"/>
      <c r="V896" s="401"/>
      <c r="W896" s="402"/>
      <c r="X896" s="401"/>
      <c r="Y896" s="336">
        <f t="shared" ca="1" si="18"/>
        <v>363</v>
      </c>
      <c r="Z896" s="401"/>
      <c r="AA896" s="401"/>
      <c r="AB896" s="373"/>
    </row>
    <row r="897" spans="1:28" s="338" customFormat="1" ht="12.75" customHeight="1" x14ac:dyDescent="0.25">
      <c r="A897" s="347" t="s">
        <v>2664</v>
      </c>
      <c r="B897" s="376">
        <v>45222</v>
      </c>
      <c r="C897" s="425" t="s">
        <v>60</v>
      </c>
      <c r="D897" s="333" t="s">
        <v>2659</v>
      </c>
      <c r="E897" s="333" t="s">
        <v>2665</v>
      </c>
      <c r="F897" s="374" t="s">
        <v>2666</v>
      </c>
      <c r="G897" s="372" t="s">
        <v>2667</v>
      </c>
      <c r="H897" s="372">
        <v>1</v>
      </c>
      <c r="I897" s="372" t="s">
        <v>2663</v>
      </c>
      <c r="J897" s="372" t="s">
        <v>46</v>
      </c>
      <c r="K897" s="372" t="s">
        <v>32</v>
      </c>
      <c r="L897" s="372"/>
      <c r="M897" s="372"/>
      <c r="N897" s="372"/>
      <c r="O897" s="372"/>
      <c r="P897" s="513">
        <v>45223</v>
      </c>
      <c r="Q897" s="372"/>
      <c r="R897" s="372"/>
      <c r="S897" s="401"/>
      <c r="T897" s="401"/>
      <c r="U897" s="401"/>
      <c r="V897" s="401"/>
      <c r="W897" s="402">
        <v>45308</v>
      </c>
      <c r="X897" s="401">
        <v>1</v>
      </c>
      <c r="Y897" s="336">
        <f t="shared" ca="1" si="18"/>
        <v>85</v>
      </c>
      <c r="Z897" s="401"/>
      <c r="AA897" s="401"/>
      <c r="AB897" s="373"/>
    </row>
    <row r="898" spans="1:28" s="338" customFormat="1" ht="12.75" customHeight="1" x14ac:dyDescent="0.25">
      <c r="A898" s="347" t="s">
        <v>2668</v>
      </c>
      <c r="B898" s="376">
        <v>45222</v>
      </c>
      <c r="C898" s="425" t="s">
        <v>60</v>
      </c>
      <c r="D898" s="452" t="s">
        <v>2659</v>
      </c>
      <c r="E898" s="333" t="s">
        <v>2665</v>
      </c>
      <c r="F898" s="374" t="s">
        <v>2669</v>
      </c>
      <c r="G898" s="372" t="s">
        <v>2670</v>
      </c>
      <c r="H898" s="372">
        <v>32</v>
      </c>
      <c r="I898" s="372" t="s">
        <v>2663</v>
      </c>
      <c r="J898" s="372" t="s">
        <v>46</v>
      </c>
      <c r="K898" s="372" t="s">
        <v>32</v>
      </c>
      <c r="L898" s="372"/>
      <c r="M898" s="372"/>
      <c r="N898" s="372"/>
      <c r="O898" s="372"/>
      <c r="P898" s="513">
        <v>45223</v>
      </c>
      <c r="Q898" s="372"/>
      <c r="R898" s="372"/>
      <c r="S898" s="401"/>
      <c r="T898" s="401"/>
      <c r="U898" s="401"/>
      <c r="V898" s="401"/>
      <c r="W898" s="402">
        <v>45308</v>
      </c>
      <c r="X898" s="401">
        <v>32</v>
      </c>
      <c r="Y898" s="336">
        <f t="shared" ca="1" si="18"/>
        <v>85</v>
      </c>
      <c r="Z898" s="401"/>
      <c r="AA898" s="401"/>
      <c r="AB898" s="373" t="s">
        <v>611</v>
      </c>
    </row>
    <row r="899" spans="1:28" s="338" customFormat="1" ht="12.75" customHeight="1" x14ac:dyDescent="0.25">
      <c r="A899" s="347" t="s">
        <v>2671</v>
      </c>
      <c r="B899" s="376">
        <v>45222</v>
      </c>
      <c r="C899" s="425" t="s">
        <v>60</v>
      </c>
      <c r="D899" s="333" t="s">
        <v>2659</v>
      </c>
      <c r="E899" s="333"/>
      <c r="F899" s="374" t="s">
        <v>2672</v>
      </c>
      <c r="G899" s="372" t="s">
        <v>2673</v>
      </c>
      <c r="H899" s="372">
        <v>64</v>
      </c>
      <c r="I899" s="372" t="s">
        <v>2663</v>
      </c>
      <c r="J899" s="372" t="s">
        <v>46</v>
      </c>
      <c r="K899" s="372" t="s">
        <v>32</v>
      </c>
      <c r="L899" s="372"/>
      <c r="M899" s="372"/>
      <c r="N899" s="372"/>
      <c r="O899" s="372"/>
      <c r="P899" s="513">
        <v>45223</v>
      </c>
      <c r="Q899" s="372"/>
      <c r="R899" s="372"/>
      <c r="S899" s="401"/>
      <c r="T899" s="401"/>
      <c r="U899" s="401"/>
      <c r="V899" s="401"/>
      <c r="W899" s="402"/>
      <c r="X899" s="401"/>
      <c r="Y899" s="336">
        <f t="shared" ca="1" si="18"/>
        <v>363</v>
      </c>
      <c r="Z899" s="401"/>
      <c r="AA899" s="401"/>
      <c r="AB899" s="373"/>
    </row>
    <row r="900" spans="1:28" s="338" customFormat="1" ht="12.75" customHeight="1" x14ac:dyDescent="0.25">
      <c r="A900" s="347" t="s">
        <v>2674</v>
      </c>
      <c r="B900" s="376">
        <v>45222</v>
      </c>
      <c r="C900" s="425" t="s">
        <v>60</v>
      </c>
      <c r="D900" s="333" t="s">
        <v>2659</v>
      </c>
      <c r="E900" s="333"/>
      <c r="F900" s="374" t="s">
        <v>2675</v>
      </c>
      <c r="G900" s="372" t="s">
        <v>2676</v>
      </c>
      <c r="H900" s="372">
        <v>16</v>
      </c>
      <c r="I900" s="372" t="s">
        <v>2663</v>
      </c>
      <c r="J900" s="372" t="s">
        <v>46</v>
      </c>
      <c r="K900" s="372" t="s">
        <v>32</v>
      </c>
      <c r="L900" s="372"/>
      <c r="M900" s="372"/>
      <c r="N900" s="372"/>
      <c r="O900" s="372"/>
      <c r="P900" s="513">
        <v>45223</v>
      </c>
      <c r="Q900" s="372"/>
      <c r="R900" s="372"/>
      <c r="S900" s="401"/>
      <c r="T900" s="401"/>
      <c r="U900" s="401"/>
      <c r="V900" s="401"/>
      <c r="W900" s="402">
        <v>45308</v>
      </c>
      <c r="X900" s="401">
        <v>16</v>
      </c>
      <c r="Y900" s="336">
        <f t="shared" ca="1" si="18"/>
        <v>85</v>
      </c>
      <c r="Z900" s="401"/>
      <c r="AA900" s="401"/>
      <c r="AB900" s="373"/>
    </row>
    <row r="901" spans="1:28" s="338" customFormat="1" ht="12.75" customHeight="1" x14ac:dyDescent="0.25">
      <c r="A901" s="347" t="s">
        <v>2677</v>
      </c>
      <c r="B901" s="376">
        <v>45222</v>
      </c>
      <c r="C901" s="425" t="s">
        <v>60</v>
      </c>
      <c r="D901" s="333" t="s">
        <v>2659</v>
      </c>
      <c r="E901" s="333"/>
      <c r="F901" s="374" t="s">
        <v>2678</v>
      </c>
      <c r="G901" s="372" t="s">
        <v>2679</v>
      </c>
      <c r="H901" s="372">
        <v>80</v>
      </c>
      <c r="I901" s="372" t="s">
        <v>2663</v>
      </c>
      <c r="J901" s="372" t="s">
        <v>46</v>
      </c>
      <c r="K901" s="372" t="s">
        <v>32</v>
      </c>
      <c r="L901" s="372"/>
      <c r="M901" s="372"/>
      <c r="N901" s="372"/>
      <c r="O901" s="372"/>
      <c r="P901" s="513">
        <v>45223</v>
      </c>
      <c r="Q901" s="372"/>
      <c r="R901" s="372"/>
      <c r="S901" s="401"/>
      <c r="T901" s="401"/>
      <c r="U901" s="401"/>
      <c r="V901" s="401"/>
      <c r="W901" s="402">
        <v>45308</v>
      </c>
      <c r="X901" s="401">
        <v>80</v>
      </c>
      <c r="Y901" s="336">
        <f t="shared" ca="1" si="18"/>
        <v>85</v>
      </c>
      <c r="Z901" s="401"/>
      <c r="AA901" s="401"/>
      <c r="AB901" s="373"/>
    </row>
    <row r="902" spans="1:28" s="338" customFormat="1" ht="12.75" customHeight="1" x14ac:dyDescent="0.25">
      <c r="A902" s="347" t="s">
        <v>2680</v>
      </c>
      <c r="B902" s="376">
        <v>45222</v>
      </c>
      <c r="C902" s="425" t="s">
        <v>60</v>
      </c>
      <c r="D902" s="333" t="s">
        <v>2659</v>
      </c>
      <c r="E902" s="333"/>
      <c r="F902" s="374" t="s">
        <v>2681</v>
      </c>
      <c r="G902" s="372" t="s">
        <v>2682</v>
      </c>
      <c r="H902" s="372">
        <v>32</v>
      </c>
      <c r="I902" s="372" t="s">
        <v>2663</v>
      </c>
      <c r="J902" s="372" t="s">
        <v>46</v>
      </c>
      <c r="K902" s="372" t="s">
        <v>32</v>
      </c>
      <c r="L902" s="372"/>
      <c r="M902" s="372"/>
      <c r="N902" s="372"/>
      <c r="O902" s="372"/>
      <c r="P902" s="513">
        <v>45223</v>
      </c>
      <c r="Q902" s="372"/>
      <c r="R902" s="372"/>
      <c r="S902" s="401"/>
      <c r="T902" s="401"/>
      <c r="U902" s="401"/>
      <c r="V902" s="401"/>
      <c r="W902" s="402">
        <v>45308</v>
      </c>
      <c r="X902" s="401">
        <v>32</v>
      </c>
      <c r="Y902" s="336">
        <f t="shared" ca="1" si="18"/>
        <v>85</v>
      </c>
      <c r="Z902" s="401"/>
      <c r="AA902" s="401"/>
      <c r="AB902" s="373" t="s">
        <v>2683</v>
      </c>
    </row>
    <row r="903" spans="1:28" s="338" customFormat="1" ht="12.75" customHeight="1" x14ac:dyDescent="0.25">
      <c r="A903" s="347" t="s">
        <v>2684</v>
      </c>
      <c r="B903" s="376">
        <v>45222</v>
      </c>
      <c r="C903" s="425" t="s">
        <v>60</v>
      </c>
      <c r="D903" s="333" t="s">
        <v>2659</v>
      </c>
      <c r="E903" s="333"/>
      <c r="F903" s="374" t="s">
        <v>2685</v>
      </c>
      <c r="G903" s="372" t="s">
        <v>2686</v>
      </c>
      <c r="H903" s="372">
        <v>16</v>
      </c>
      <c r="I903" s="372" t="s">
        <v>2663</v>
      </c>
      <c r="J903" s="372" t="s">
        <v>46</v>
      </c>
      <c r="K903" s="372" t="s">
        <v>32</v>
      </c>
      <c r="L903" s="372"/>
      <c r="M903" s="372"/>
      <c r="N903" s="372"/>
      <c r="O903" s="372"/>
      <c r="P903" s="513">
        <v>45223</v>
      </c>
      <c r="Q903" s="372"/>
      <c r="R903" s="372"/>
      <c r="S903" s="401"/>
      <c r="T903" s="401"/>
      <c r="U903" s="401"/>
      <c r="V903" s="401"/>
      <c r="W903" s="402">
        <v>45308</v>
      </c>
      <c r="X903" s="401">
        <v>16</v>
      </c>
      <c r="Y903" s="336">
        <f t="shared" ca="1" si="18"/>
        <v>85</v>
      </c>
      <c r="Z903" s="401"/>
      <c r="AA903" s="401"/>
      <c r="AB903" s="373"/>
    </row>
    <row r="904" spans="1:28" s="338" customFormat="1" ht="12.75" customHeight="1" x14ac:dyDescent="0.25">
      <c r="A904" s="347" t="s">
        <v>2687</v>
      </c>
      <c r="B904" s="376">
        <v>45223</v>
      </c>
      <c r="C904" s="425" t="s">
        <v>60</v>
      </c>
      <c r="D904" s="333" t="s">
        <v>2659</v>
      </c>
      <c r="E904" s="333" t="s">
        <v>2688</v>
      </c>
      <c r="F904" s="374" t="s">
        <v>2689</v>
      </c>
      <c r="G904" s="372" t="s">
        <v>2690</v>
      </c>
      <c r="H904" s="372">
        <v>8</v>
      </c>
      <c r="I904" s="372" t="s">
        <v>2663</v>
      </c>
      <c r="J904" s="372" t="s">
        <v>46</v>
      </c>
      <c r="K904" s="372" t="s">
        <v>32</v>
      </c>
      <c r="L904" s="372"/>
      <c r="M904" s="372"/>
      <c r="N904" s="372"/>
      <c r="O904" s="372"/>
      <c r="P904" s="513">
        <v>45223</v>
      </c>
      <c r="Q904" s="372"/>
      <c r="R904" s="372"/>
      <c r="S904" s="401"/>
      <c r="T904" s="401"/>
      <c r="U904" s="401"/>
      <c r="V904" s="401"/>
      <c r="W904" s="402"/>
      <c r="X904" s="401"/>
      <c r="Y904" s="336">
        <f t="shared" ref="Y904:Y967" ca="1" si="19">IF(P904="","",IF(W904="",TODAY()-P904,W904-P904))</f>
        <v>363</v>
      </c>
      <c r="Z904" s="401"/>
      <c r="AA904" s="401"/>
      <c r="AB904" s="373"/>
    </row>
    <row r="905" spans="1:28" s="338" customFormat="1" ht="12.75" customHeight="1" x14ac:dyDescent="0.25">
      <c r="A905" s="347" t="s">
        <v>2691</v>
      </c>
      <c r="B905" s="376">
        <v>45222</v>
      </c>
      <c r="C905" s="425" t="s">
        <v>60</v>
      </c>
      <c r="D905" s="333" t="s">
        <v>2659</v>
      </c>
      <c r="E905" s="333"/>
      <c r="F905" s="374" t="s">
        <v>2692</v>
      </c>
      <c r="G905" s="372" t="s">
        <v>2693</v>
      </c>
      <c r="H905" s="372">
        <v>16</v>
      </c>
      <c r="I905" s="372" t="s">
        <v>2663</v>
      </c>
      <c r="J905" s="372" t="s">
        <v>541</v>
      </c>
      <c r="K905" s="372" t="s">
        <v>32</v>
      </c>
      <c r="L905" s="372"/>
      <c r="M905" s="372"/>
      <c r="N905" s="372"/>
      <c r="O905" s="372"/>
      <c r="P905" s="513">
        <v>45223</v>
      </c>
      <c r="Q905" s="372"/>
      <c r="R905" s="372"/>
      <c r="S905" s="401"/>
      <c r="T905" s="401"/>
      <c r="U905" s="401"/>
      <c r="V905" s="401"/>
      <c r="W905" s="402">
        <v>45308</v>
      </c>
      <c r="X905" s="401">
        <v>16</v>
      </c>
      <c r="Y905" s="336">
        <f t="shared" ca="1" si="19"/>
        <v>85</v>
      </c>
      <c r="Z905" s="401"/>
      <c r="AA905" s="401"/>
      <c r="AB905" s="373"/>
    </row>
    <row r="906" spans="1:28" s="338" customFormat="1" ht="12.75" customHeight="1" x14ac:dyDescent="0.25">
      <c r="A906" s="347" t="s">
        <v>2694</v>
      </c>
      <c r="B906" s="376">
        <v>45320</v>
      </c>
      <c r="C906" s="425" t="s">
        <v>219</v>
      </c>
      <c r="D906" s="333" t="s">
        <v>1589</v>
      </c>
      <c r="E906" s="333"/>
      <c r="F906" s="374">
        <v>550732106708</v>
      </c>
      <c r="G906" s="372" t="s">
        <v>2695</v>
      </c>
      <c r="H906" s="372">
        <v>40</v>
      </c>
      <c r="I906" s="372" t="s">
        <v>2696</v>
      </c>
      <c r="J906" s="372" t="s">
        <v>43</v>
      </c>
      <c r="K906" s="372" t="s">
        <v>32</v>
      </c>
      <c r="L906" s="372"/>
      <c r="M906" s="372"/>
      <c r="N906" s="449"/>
      <c r="O906" s="449"/>
      <c r="P906" s="495">
        <v>45320</v>
      </c>
      <c r="Q906" s="372"/>
      <c r="R906" s="372"/>
      <c r="S906" s="401"/>
      <c r="T906" s="401"/>
      <c r="U906" s="401"/>
      <c r="V906" s="401"/>
      <c r="W906" s="402">
        <v>45342</v>
      </c>
      <c r="X906" s="401">
        <v>40</v>
      </c>
      <c r="Y906" s="336">
        <f t="shared" ca="1" si="19"/>
        <v>22</v>
      </c>
      <c r="Z906" s="401"/>
      <c r="AA906" s="401"/>
      <c r="AB906" s="373"/>
    </row>
    <row r="907" spans="1:28" s="338" customFormat="1" ht="12.75" customHeight="1" x14ac:dyDescent="0.25">
      <c r="A907" s="347" t="s">
        <v>2697</v>
      </c>
      <c r="B907" s="376">
        <v>45320</v>
      </c>
      <c r="C907" s="425" t="s">
        <v>219</v>
      </c>
      <c r="D907" s="333" t="s">
        <v>1589</v>
      </c>
      <c r="E907" s="333"/>
      <c r="F907" s="374">
        <v>550731408245</v>
      </c>
      <c r="G907" s="372" t="s">
        <v>2698</v>
      </c>
      <c r="H907" s="372">
        <v>1</v>
      </c>
      <c r="I907" s="372" t="s">
        <v>2696</v>
      </c>
      <c r="J907" s="372" t="s">
        <v>43</v>
      </c>
      <c r="K907" s="372" t="s">
        <v>32</v>
      </c>
      <c r="L907" s="372"/>
      <c r="M907" s="372"/>
      <c r="N907" s="449"/>
      <c r="O907" s="449"/>
      <c r="P907" s="495">
        <v>45320</v>
      </c>
      <c r="Q907" s="372"/>
      <c r="R907" s="372"/>
      <c r="S907" s="401"/>
      <c r="T907" s="401"/>
      <c r="U907" s="401"/>
      <c r="V907" s="401"/>
      <c r="W907" s="402">
        <v>45342</v>
      </c>
      <c r="X907" s="401">
        <v>1</v>
      </c>
      <c r="Y907" s="336">
        <f t="shared" ca="1" si="19"/>
        <v>22</v>
      </c>
      <c r="Z907" s="401"/>
      <c r="AA907" s="401"/>
      <c r="AB907" s="373"/>
    </row>
    <row r="908" spans="1:28" s="338" customFormat="1" ht="12.75" customHeight="1" x14ac:dyDescent="0.25">
      <c r="A908" s="347" t="s">
        <v>2699</v>
      </c>
      <c r="B908" s="376">
        <v>45320</v>
      </c>
      <c r="C908" s="425" t="s">
        <v>219</v>
      </c>
      <c r="D908" s="333" t="s">
        <v>1589</v>
      </c>
      <c r="E908" s="333"/>
      <c r="F908" s="374">
        <v>550731408243</v>
      </c>
      <c r="G908" s="372" t="s">
        <v>2700</v>
      </c>
      <c r="H908" s="372">
        <v>1</v>
      </c>
      <c r="I908" s="372" t="s">
        <v>2696</v>
      </c>
      <c r="J908" s="372" t="s">
        <v>43</v>
      </c>
      <c r="K908" s="372" t="s">
        <v>32</v>
      </c>
      <c r="L908" s="372"/>
      <c r="M908" s="372"/>
      <c r="N908" s="449"/>
      <c r="O908" s="449"/>
      <c r="P908" s="495">
        <v>45320</v>
      </c>
      <c r="Q908" s="372"/>
      <c r="R908" s="372"/>
      <c r="S908" s="401"/>
      <c r="T908" s="401"/>
      <c r="U908" s="401"/>
      <c r="V908" s="401"/>
      <c r="W908" s="402">
        <v>45342</v>
      </c>
      <c r="X908" s="401">
        <v>1</v>
      </c>
      <c r="Y908" s="336">
        <f t="shared" ca="1" si="19"/>
        <v>22</v>
      </c>
      <c r="Z908" s="401"/>
      <c r="AA908" s="401"/>
      <c r="AB908" s="373"/>
    </row>
    <row r="909" spans="1:28" s="338" customFormat="1" ht="12.75" customHeight="1" x14ac:dyDescent="0.25">
      <c r="A909" s="347" t="s">
        <v>2701</v>
      </c>
      <c r="B909" s="376">
        <v>45320</v>
      </c>
      <c r="C909" s="425" t="s">
        <v>219</v>
      </c>
      <c r="D909" s="372" t="s">
        <v>1589</v>
      </c>
      <c r="E909" s="333"/>
      <c r="F909" s="374">
        <v>585867102301</v>
      </c>
      <c r="G909" s="372" t="s">
        <v>2702</v>
      </c>
      <c r="H909" s="372">
        <v>1</v>
      </c>
      <c r="I909" s="372" t="s">
        <v>1591</v>
      </c>
      <c r="J909" s="372" t="s">
        <v>68</v>
      </c>
      <c r="K909" s="372" t="s">
        <v>69</v>
      </c>
      <c r="L909" s="372"/>
      <c r="M909" s="372"/>
      <c r="N909" s="449"/>
      <c r="O909" s="449"/>
      <c r="P909" s="495">
        <v>45320</v>
      </c>
      <c r="Q909" s="372"/>
      <c r="R909" s="372"/>
      <c r="S909" s="401"/>
      <c r="T909" s="401"/>
      <c r="U909" s="401"/>
      <c r="V909" s="401"/>
      <c r="W909" s="402">
        <v>45428</v>
      </c>
      <c r="X909" s="401">
        <v>1</v>
      </c>
      <c r="Y909" s="336">
        <f t="shared" ca="1" si="19"/>
        <v>108</v>
      </c>
      <c r="Z909" s="401"/>
      <c r="AA909" s="401"/>
      <c r="AB909" s="373"/>
    </row>
    <row r="910" spans="1:28" s="338" customFormat="1" ht="12.75" customHeight="1" x14ac:dyDescent="0.25">
      <c r="A910" s="347" t="s">
        <v>2703</v>
      </c>
      <c r="B910" s="376">
        <v>45320</v>
      </c>
      <c r="C910" s="425" t="s">
        <v>219</v>
      </c>
      <c r="D910" s="372" t="s">
        <v>1589</v>
      </c>
      <c r="E910" s="333"/>
      <c r="F910" s="374">
        <v>585867106313</v>
      </c>
      <c r="G910" s="372" t="s">
        <v>2704</v>
      </c>
      <c r="H910" s="372">
        <v>2</v>
      </c>
      <c r="I910" s="372" t="s">
        <v>1591</v>
      </c>
      <c r="J910" s="372" t="s">
        <v>68</v>
      </c>
      <c r="K910" s="372" t="s">
        <v>69</v>
      </c>
      <c r="L910" s="372"/>
      <c r="M910" s="372"/>
      <c r="N910" s="449"/>
      <c r="O910" s="449"/>
      <c r="P910" s="495">
        <v>45320</v>
      </c>
      <c r="Q910" s="372"/>
      <c r="R910" s="372"/>
      <c r="S910" s="401"/>
      <c r="T910" s="401"/>
      <c r="U910" s="401"/>
      <c r="V910" s="401"/>
      <c r="W910" s="402">
        <v>45342</v>
      </c>
      <c r="X910" s="401">
        <v>2</v>
      </c>
      <c r="Y910" s="336">
        <f t="shared" ca="1" si="19"/>
        <v>22</v>
      </c>
      <c r="Z910" s="401"/>
      <c r="AA910" s="401"/>
      <c r="AB910" s="373"/>
    </row>
    <row r="911" spans="1:28" s="338" customFormat="1" ht="12.75" customHeight="1" x14ac:dyDescent="0.25">
      <c r="A911" s="347" t="s">
        <v>2705</v>
      </c>
      <c r="B911" s="376">
        <v>45320</v>
      </c>
      <c r="C911" s="425" t="s">
        <v>219</v>
      </c>
      <c r="D911" s="372" t="s">
        <v>1589</v>
      </c>
      <c r="E911" s="333"/>
      <c r="F911" s="374">
        <v>585867106319</v>
      </c>
      <c r="G911" s="372" t="s">
        <v>2706</v>
      </c>
      <c r="H911" s="372">
        <v>1</v>
      </c>
      <c r="I911" s="372" t="s">
        <v>1591</v>
      </c>
      <c r="J911" s="372" t="s">
        <v>68</v>
      </c>
      <c r="K911" s="372" t="s">
        <v>69</v>
      </c>
      <c r="L911" s="372"/>
      <c r="M911" s="372"/>
      <c r="N911" s="449"/>
      <c r="O911" s="449"/>
      <c r="P911" s="495">
        <v>45320</v>
      </c>
      <c r="Q911" s="372"/>
      <c r="R911" s="372"/>
      <c r="S911" s="401"/>
      <c r="T911" s="401"/>
      <c r="U911" s="401"/>
      <c r="V911" s="401"/>
      <c r="W911" s="402">
        <v>45342</v>
      </c>
      <c r="X911" s="401">
        <v>1</v>
      </c>
      <c r="Y911" s="336">
        <f t="shared" ca="1" si="19"/>
        <v>22</v>
      </c>
      <c r="Z911" s="401"/>
      <c r="AA911" s="401"/>
      <c r="AB911" s="373"/>
    </row>
    <row r="912" spans="1:28" s="338" customFormat="1" ht="12.75" customHeight="1" x14ac:dyDescent="0.25">
      <c r="A912" s="347" t="s">
        <v>2707</v>
      </c>
      <c r="B912" s="376">
        <v>45320</v>
      </c>
      <c r="C912" s="425" t="s">
        <v>219</v>
      </c>
      <c r="D912" s="333" t="s">
        <v>1589</v>
      </c>
      <c r="E912" s="333"/>
      <c r="F912" s="374" t="s">
        <v>2708</v>
      </c>
      <c r="G912" s="372" t="s">
        <v>2709</v>
      </c>
      <c r="H912" s="372">
        <v>10</v>
      </c>
      <c r="I912" s="372" t="s">
        <v>2696</v>
      </c>
      <c r="J912" s="372" t="s">
        <v>43</v>
      </c>
      <c r="K912" s="372" t="s">
        <v>32</v>
      </c>
      <c r="L912" s="372"/>
      <c r="M912" s="372"/>
      <c r="N912" s="449"/>
      <c r="O912" s="449"/>
      <c r="P912" s="495">
        <v>45320</v>
      </c>
      <c r="Q912" s="372"/>
      <c r="R912" s="372"/>
      <c r="S912" s="401"/>
      <c r="T912" s="401"/>
      <c r="U912" s="401"/>
      <c r="V912" s="401"/>
      <c r="W912" s="402">
        <v>45342</v>
      </c>
      <c r="X912" s="401">
        <v>10</v>
      </c>
      <c r="Y912" s="336">
        <f t="shared" ca="1" si="19"/>
        <v>22</v>
      </c>
      <c r="Z912" s="401"/>
      <c r="AA912" s="401"/>
      <c r="AB912" s="373"/>
    </row>
    <row r="913" spans="1:30" ht="12.75" customHeight="1" x14ac:dyDescent="0.25">
      <c r="A913" s="347" t="s">
        <v>2710</v>
      </c>
      <c r="B913" s="376">
        <v>45320</v>
      </c>
      <c r="C913" s="425" t="s">
        <v>219</v>
      </c>
      <c r="D913" s="333" t="s">
        <v>1589</v>
      </c>
      <c r="E913" s="333"/>
      <c r="F913" s="374">
        <v>550624100103</v>
      </c>
      <c r="G913" s="372" t="s">
        <v>2711</v>
      </c>
      <c r="H913" s="372">
        <v>4</v>
      </c>
      <c r="I913" s="372" t="s">
        <v>2696</v>
      </c>
      <c r="J913" s="372" t="s">
        <v>43</v>
      </c>
      <c r="K913" s="372" t="s">
        <v>32</v>
      </c>
      <c r="L913" s="372"/>
      <c r="M913" s="372"/>
      <c r="N913" s="449"/>
      <c r="O913" s="449"/>
      <c r="P913" s="495">
        <v>45320</v>
      </c>
      <c r="Q913" s="372"/>
      <c r="R913" s="372"/>
      <c r="S913" s="401"/>
      <c r="T913" s="401"/>
      <c r="U913" s="401"/>
      <c r="V913" s="401"/>
      <c r="W913" s="402">
        <v>45342</v>
      </c>
      <c r="X913" s="401">
        <v>8</v>
      </c>
      <c r="Y913" s="336">
        <f t="shared" ca="1" si="19"/>
        <v>22</v>
      </c>
      <c r="Z913" s="401"/>
      <c r="AA913" s="401"/>
      <c r="AB913" s="373"/>
      <c r="AD913" s="338"/>
    </row>
    <row r="914" spans="1:30" ht="12.75" customHeight="1" x14ac:dyDescent="0.25">
      <c r="A914" s="347" t="s">
        <v>2712</v>
      </c>
      <c r="B914" s="376">
        <v>45315</v>
      </c>
      <c r="C914" s="425" t="s">
        <v>35</v>
      </c>
      <c r="D914" s="333" t="s">
        <v>83</v>
      </c>
      <c r="E914" s="333"/>
      <c r="F914" s="374" t="s">
        <v>2713</v>
      </c>
      <c r="G914" s="372" t="s">
        <v>2714</v>
      </c>
      <c r="H914" s="372">
        <v>1</v>
      </c>
      <c r="I914" s="372" t="s">
        <v>2715</v>
      </c>
      <c r="J914" s="372" t="s">
        <v>68</v>
      </c>
      <c r="K914" s="372" t="s">
        <v>69</v>
      </c>
      <c r="L914" s="372"/>
      <c r="M914" s="372"/>
      <c r="N914" s="449"/>
      <c r="O914" s="449"/>
      <c r="P914" s="376">
        <v>45315</v>
      </c>
      <c r="Q914" s="372"/>
      <c r="R914" s="372"/>
      <c r="S914" s="401"/>
      <c r="T914" s="401"/>
      <c r="U914" s="401"/>
      <c r="V914" s="401"/>
      <c r="W914" s="402">
        <v>45040</v>
      </c>
      <c r="X914" s="401"/>
      <c r="Y914" s="336">
        <f t="shared" ca="1" si="19"/>
        <v>-275</v>
      </c>
      <c r="Z914" s="401"/>
      <c r="AA914" s="401"/>
      <c r="AB914" s="373"/>
      <c r="AC914" s="338" t="e">
        <f>VLOOKUP(F914,'[1]CPO DATA'!$D:$I,4,FALSE)</f>
        <v>#N/A</v>
      </c>
      <c r="AD914" s="418" t="e">
        <f>VLOOKUP(F914,'STORE ITEMS'!C:F,2,FALSE)</f>
        <v>#N/A</v>
      </c>
    </row>
    <row r="915" spans="1:30" ht="12.75" customHeight="1" x14ac:dyDescent="0.25">
      <c r="A915" s="347" t="s">
        <v>2716</v>
      </c>
      <c r="B915" s="376">
        <v>45321</v>
      </c>
      <c r="C915" s="425" t="s">
        <v>219</v>
      </c>
      <c r="D915" s="333" t="s">
        <v>1589</v>
      </c>
      <c r="E915" s="333"/>
      <c r="F915" s="374">
        <v>585888206307</v>
      </c>
      <c r="G915" s="372" t="s">
        <v>2717</v>
      </c>
      <c r="H915" s="372">
        <v>10</v>
      </c>
      <c r="I915" s="372" t="s">
        <v>2696</v>
      </c>
      <c r="J915" s="372" t="s">
        <v>46</v>
      </c>
      <c r="K915" s="372" t="s">
        <v>32</v>
      </c>
      <c r="L915" s="372"/>
      <c r="M915" s="372"/>
      <c r="N915" s="449"/>
      <c r="O915" s="449"/>
      <c r="P915" s="495">
        <v>45323</v>
      </c>
      <c r="Q915" s="372"/>
      <c r="R915" s="372"/>
      <c r="S915" s="401"/>
      <c r="T915" s="401"/>
      <c r="U915" s="401"/>
      <c r="V915" s="401"/>
      <c r="W915" s="402">
        <v>45344</v>
      </c>
      <c r="X915" s="401">
        <v>10</v>
      </c>
      <c r="Y915" s="336">
        <f t="shared" ca="1" si="19"/>
        <v>21</v>
      </c>
      <c r="Z915" s="401"/>
      <c r="AA915" s="401"/>
      <c r="AB915" s="373"/>
      <c r="AD915" s="338"/>
    </row>
    <row r="916" spans="1:30" ht="12.75" customHeight="1" x14ac:dyDescent="0.25">
      <c r="A916" s="347" t="s">
        <v>2718</v>
      </c>
      <c r="B916" s="376">
        <v>45321</v>
      </c>
      <c r="C916" s="425" t="s">
        <v>219</v>
      </c>
      <c r="D916" s="333" t="s">
        <v>1589</v>
      </c>
      <c r="E916" s="333"/>
      <c r="F916" s="374">
        <v>585888206308</v>
      </c>
      <c r="G916" s="372" t="s">
        <v>2719</v>
      </c>
      <c r="H916" s="372">
        <v>10</v>
      </c>
      <c r="I916" s="372" t="s">
        <v>2696</v>
      </c>
      <c r="J916" s="372" t="s">
        <v>46</v>
      </c>
      <c r="K916" s="372" t="s">
        <v>32</v>
      </c>
      <c r="L916" s="372"/>
      <c r="M916" s="372"/>
      <c r="N916" s="449"/>
      <c r="O916" s="449"/>
      <c r="P916" s="495">
        <v>45323</v>
      </c>
      <c r="Q916" s="372"/>
      <c r="R916" s="372"/>
      <c r="S916" s="401"/>
      <c r="T916" s="401"/>
      <c r="U916" s="401"/>
      <c r="V916" s="401"/>
      <c r="W916" s="402">
        <v>45344</v>
      </c>
      <c r="X916" s="401">
        <v>10</v>
      </c>
      <c r="Y916" s="336">
        <f t="shared" ca="1" si="19"/>
        <v>21</v>
      </c>
      <c r="Z916" s="401"/>
      <c r="AA916" s="401"/>
      <c r="AB916" s="373"/>
      <c r="AD916" s="338"/>
    </row>
    <row r="917" spans="1:30" ht="12.75" customHeight="1" x14ac:dyDescent="0.25">
      <c r="A917" s="347" t="s">
        <v>2720</v>
      </c>
      <c r="B917" s="376">
        <v>45321</v>
      </c>
      <c r="C917" s="425" t="s">
        <v>35</v>
      </c>
      <c r="D917" s="333" t="s">
        <v>71</v>
      </c>
      <c r="E917" s="333"/>
      <c r="F917" s="374" t="s">
        <v>2721</v>
      </c>
      <c r="G917" s="372" t="s">
        <v>2722</v>
      </c>
      <c r="H917" s="372">
        <v>1</v>
      </c>
      <c r="I917" s="372">
        <v>5</v>
      </c>
      <c r="J917" s="372" t="s">
        <v>102</v>
      </c>
      <c r="K917" s="372" t="s">
        <v>69</v>
      </c>
      <c r="L917" s="372"/>
      <c r="M917" s="372"/>
      <c r="N917" s="449"/>
      <c r="O917" s="449"/>
      <c r="P917" s="495"/>
      <c r="Q917" s="372"/>
      <c r="R917" s="372"/>
      <c r="S917" s="401"/>
      <c r="T917" s="401"/>
      <c r="U917" s="401"/>
      <c r="V917" s="401"/>
      <c r="W917" s="402">
        <v>45509</v>
      </c>
      <c r="X917" s="401"/>
      <c r="Y917" s="336" t="str">
        <f t="shared" ca="1" si="19"/>
        <v/>
      </c>
      <c r="Z917" s="401"/>
      <c r="AA917" s="401"/>
      <c r="AB917" s="373"/>
      <c r="AC917" s="338" t="str">
        <f>VLOOKUP(F917,'[1]CPO DATA'!$D:$I,4,FALSE)</f>
        <v>BZ001</v>
      </c>
      <c r="AD917" s="338"/>
    </row>
    <row r="918" spans="1:30" ht="12.75" customHeight="1" x14ac:dyDescent="0.25">
      <c r="A918" s="347" t="s">
        <v>2723</v>
      </c>
      <c r="B918" s="376">
        <v>45321</v>
      </c>
      <c r="C918" s="425" t="s">
        <v>35</v>
      </c>
      <c r="D918" s="333" t="s">
        <v>71</v>
      </c>
      <c r="E918" s="333"/>
      <c r="F918" s="374" t="s">
        <v>2724</v>
      </c>
      <c r="G918" s="372" t="s">
        <v>2725</v>
      </c>
      <c r="H918" s="372">
        <v>10</v>
      </c>
      <c r="I918" s="372">
        <v>108</v>
      </c>
      <c r="J918" s="372" t="s">
        <v>102</v>
      </c>
      <c r="K918" s="372" t="s">
        <v>69</v>
      </c>
      <c r="L918" s="372"/>
      <c r="M918" s="372"/>
      <c r="N918" s="449"/>
      <c r="O918" s="449"/>
      <c r="P918" s="495"/>
      <c r="Q918" s="372"/>
      <c r="R918" s="372"/>
      <c r="S918" s="401"/>
      <c r="T918" s="401"/>
      <c r="U918" s="401"/>
      <c r="V918" s="401"/>
      <c r="W918" s="402"/>
      <c r="X918" s="401"/>
      <c r="Y918" s="336" t="str">
        <f t="shared" ca="1" si="19"/>
        <v/>
      </c>
      <c r="Z918" s="401"/>
      <c r="AA918" s="401"/>
      <c r="AB918" s="373"/>
      <c r="AC918" s="338" t="e">
        <f>VLOOKUP(F918,'[1]CPO DATA'!$D:$I,4,FALSE)</f>
        <v>#N/A</v>
      </c>
      <c r="AD918" s="418" t="str">
        <f>VLOOKUP(F918,'STORE ITEMS'!C:F,2,FALSE)</f>
        <v>CLIP</v>
      </c>
    </row>
    <row r="919" spans="1:30" ht="12.75" customHeight="1" x14ac:dyDescent="0.25">
      <c r="A919" s="347" t="s">
        <v>2726</v>
      </c>
      <c r="B919" s="376">
        <v>45222</v>
      </c>
      <c r="C919" s="425" t="s">
        <v>60</v>
      </c>
      <c r="D919" s="333" t="s">
        <v>2659</v>
      </c>
      <c r="E919" s="333"/>
      <c r="F919" s="374" t="s">
        <v>2727</v>
      </c>
      <c r="G919" s="372" t="s">
        <v>2728</v>
      </c>
      <c r="H919" s="372">
        <v>128</v>
      </c>
      <c r="I919" s="372" t="s">
        <v>2663</v>
      </c>
      <c r="J919" s="372" t="s">
        <v>541</v>
      </c>
      <c r="K919" s="372" t="s">
        <v>32</v>
      </c>
      <c r="L919" s="372"/>
      <c r="M919" s="372"/>
      <c r="N919" s="372"/>
      <c r="O919" s="372"/>
      <c r="P919" s="513">
        <v>45223</v>
      </c>
      <c r="Q919" s="372"/>
      <c r="R919" s="372"/>
      <c r="S919" s="401"/>
      <c r="T919" s="401"/>
      <c r="U919" s="401"/>
      <c r="V919" s="401"/>
      <c r="W919" s="402">
        <v>45308</v>
      </c>
      <c r="X919" s="401">
        <v>128</v>
      </c>
      <c r="Y919" s="336">
        <f t="shared" ca="1" si="19"/>
        <v>85</v>
      </c>
      <c r="Z919" s="401"/>
      <c r="AA919" s="401"/>
      <c r="AB919" s="373"/>
      <c r="AD919" s="338"/>
    </row>
    <row r="920" spans="1:30" ht="12.75" customHeight="1" x14ac:dyDescent="0.25">
      <c r="A920" s="347" t="s">
        <v>2729</v>
      </c>
      <c r="B920" s="376">
        <v>45323</v>
      </c>
      <c r="C920" s="333" t="s">
        <v>35</v>
      </c>
      <c r="D920" s="333" t="s">
        <v>83</v>
      </c>
      <c r="E920" s="333"/>
      <c r="F920" s="374" t="s">
        <v>2730</v>
      </c>
      <c r="G920" s="372" t="s">
        <v>2731</v>
      </c>
      <c r="H920" s="372">
        <v>1</v>
      </c>
      <c r="I920" s="372" t="s">
        <v>2732</v>
      </c>
      <c r="J920" s="372" t="s">
        <v>102</v>
      </c>
      <c r="K920" s="372" t="s">
        <v>69</v>
      </c>
      <c r="L920" s="372"/>
      <c r="M920" s="372"/>
      <c r="N920" s="449"/>
      <c r="O920" s="449"/>
      <c r="P920" s="376">
        <v>45323</v>
      </c>
      <c r="Q920" s="372"/>
      <c r="R920" s="372"/>
      <c r="S920" s="401"/>
      <c r="T920" s="401"/>
      <c r="U920" s="401"/>
      <c r="V920" s="401"/>
      <c r="W920" s="402"/>
      <c r="X920" s="401"/>
      <c r="Y920" s="336">
        <f t="shared" ca="1" si="19"/>
        <v>263</v>
      </c>
      <c r="Z920" s="401"/>
      <c r="AA920" s="401"/>
      <c r="AB920" s="373"/>
      <c r="AC920" s="338" t="str">
        <f>VLOOKUP(F920,'[1]CPO DATA'!$D:$I,4,FALSE)</f>
        <v>GH521</v>
      </c>
      <c r="AD920" s="338"/>
    </row>
    <row r="921" spans="1:30" s="410" customFormat="1" ht="12.75" customHeight="1" x14ac:dyDescent="0.25">
      <c r="A921" s="347" t="s">
        <v>2733</v>
      </c>
      <c r="B921" s="407">
        <v>45323</v>
      </c>
      <c r="C921" s="372" t="s">
        <v>219</v>
      </c>
      <c r="D921" s="372" t="s">
        <v>1589</v>
      </c>
      <c r="E921" s="333"/>
      <c r="F921" s="374">
        <v>12053200301</v>
      </c>
      <c r="G921" s="372" t="s">
        <v>2734</v>
      </c>
      <c r="H921" s="372">
        <v>20</v>
      </c>
      <c r="I921" s="372" t="s">
        <v>2696</v>
      </c>
      <c r="J921" s="372" t="s">
        <v>541</v>
      </c>
      <c r="K921" s="372" t="s">
        <v>32</v>
      </c>
      <c r="L921" s="372"/>
      <c r="M921" s="372"/>
      <c r="N921" s="449"/>
      <c r="O921" s="449"/>
      <c r="P921" s="376">
        <v>45328</v>
      </c>
      <c r="Q921" s="372"/>
      <c r="R921" s="372"/>
      <c r="S921" s="401"/>
      <c r="T921" s="401"/>
      <c r="U921" s="401"/>
      <c r="V921" s="401"/>
      <c r="W921" s="402">
        <v>45356</v>
      </c>
      <c r="X921" s="401">
        <v>20</v>
      </c>
      <c r="Y921" s="336">
        <f t="shared" ca="1" si="19"/>
        <v>28</v>
      </c>
      <c r="Z921" s="401"/>
      <c r="AA921" s="401"/>
      <c r="AB921" s="401"/>
    </row>
    <row r="922" spans="1:30" ht="12.75" customHeight="1" x14ac:dyDescent="0.25">
      <c r="A922" s="347" t="s">
        <v>2735</v>
      </c>
      <c r="B922" s="376">
        <v>45323</v>
      </c>
      <c r="C922" s="333" t="s">
        <v>219</v>
      </c>
      <c r="D922" s="333" t="s">
        <v>1589</v>
      </c>
      <c r="E922" s="333"/>
      <c r="F922" s="374">
        <v>11405603171</v>
      </c>
      <c r="G922" s="372" t="s">
        <v>2736</v>
      </c>
      <c r="H922" s="372">
        <v>20</v>
      </c>
      <c r="I922" s="372" t="s">
        <v>2696</v>
      </c>
      <c r="J922" s="372" t="s">
        <v>541</v>
      </c>
      <c r="K922" s="372" t="s">
        <v>32</v>
      </c>
      <c r="L922" s="372"/>
      <c r="M922" s="372"/>
      <c r="N922" s="449"/>
      <c r="O922" s="449"/>
      <c r="P922" s="376">
        <v>45320</v>
      </c>
      <c r="Q922" s="372"/>
      <c r="R922" s="372"/>
      <c r="S922" s="401"/>
      <c r="T922" s="401"/>
      <c r="U922" s="401"/>
      <c r="V922" s="401"/>
      <c r="W922" s="402">
        <v>45356</v>
      </c>
      <c r="X922" s="401">
        <v>20</v>
      </c>
      <c r="Y922" s="336">
        <f t="shared" ca="1" si="19"/>
        <v>36</v>
      </c>
      <c r="Z922" s="401"/>
      <c r="AA922" s="401"/>
      <c r="AB922" s="373" t="s">
        <v>2737</v>
      </c>
      <c r="AD922" s="338"/>
    </row>
    <row r="923" spans="1:30" ht="12.75" customHeight="1" x14ac:dyDescent="0.25">
      <c r="A923" s="347" t="s">
        <v>2738</v>
      </c>
      <c r="B923" s="376">
        <v>45323</v>
      </c>
      <c r="C923" s="333" t="s">
        <v>219</v>
      </c>
      <c r="D923" s="333" t="s">
        <v>1589</v>
      </c>
      <c r="E923" s="333"/>
      <c r="F923" s="374" t="s">
        <v>2739</v>
      </c>
      <c r="G923" s="372" t="s">
        <v>2740</v>
      </c>
      <c r="H923" s="372">
        <v>1</v>
      </c>
      <c r="I923" s="372" t="s">
        <v>2696</v>
      </c>
      <c r="J923" s="372" t="s">
        <v>46</v>
      </c>
      <c r="K923" s="372" t="s">
        <v>32</v>
      </c>
      <c r="L923" s="372"/>
      <c r="M923" s="372"/>
      <c r="N923" s="449"/>
      <c r="O923" s="449"/>
      <c r="P923" s="376">
        <v>45310</v>
      </c>
      <c r="Q923" s="372"/>
      <c r="R923" s="372"/>
      <c r="S923" s="401"/>
      <c r="T923" s="401"/>
      <c r="U923" s="401"/>
      <c r="V923" s="401"/>
      <c r="W923" s="402">
        <v>45356</v>
      </c>
      <c r="X923" s="401">
        <v>1</v>
      </c>
      <c r="Y923" s="336">
        <f t="shared" ca="1" si="19"/>
        <v>46</v>
      </c>
      <c r="Z923" s="401"/>
      <c r="AA923" s="401"/>
      <c r="AB923" s="373"/>
      <c r="AD923" s="338"/>
    </row>
    <row r="924" spans="1:30" ht="12.75" customHeight="1" x14ac:dyDescent="0.25">
      <c r="A924" s="347" t="s">
        <v>2741</v>
      </c>
      <c r="B924" s="376">
        <v>45222</v>
      </c>
      <c r="C924" s="425" t="s">
        <v>60</v>
      </c>
      <c r="D924" s="333" t="s">
        <v>2659</v>
      </c>
      <c r="E924" s="333"/>
      <c r="F924" s="374" t="s">
        <v>2742</v>
      </c>
      <c r="G924" s="372" t="s">
        <v>544</v>
      </c>
      <c r="H924" s="372">
        <v>96</v>
      </c>
      <c r="I924" s="372" t="s">
        <v>2663</v>
      </c>
      <c r="J924" s="372" t="s">
        <v>541</v>
      </c>
      <c r="K924" s="372" t="s">
        <v>32</v>
      </c>
      <c r="L924" s="372"/>
      <c r="M924" s="372"/>
      <c r="N924" s="372"/>
      <c r="O924" s="372"/>
      <c r="P924" s="513">
        <v>45223</v>
      </c>
      <c r="Q924" s="372"/>
      <c r="R924" s="372"/>
      <c r="S924" s="401"/>
      <c r="T924" s="401"/>
      <c r="U924" s="401"/>
      <c r="V924" s="401"/>
      <c r="W924" s="402">
        <v>45308</v>
      </c>
      <c r="X924" s="401"/>
      <c r="Y924" s="336">
        <f t="shared" ca="1" si="19"/>
        <v>85</v>
      </c>
      <c r="Z924" s="401"/>
      <c r="AA924" s="401"/>
      <c r="AB924" s="373"/>
      <c r="AD924" s="338"/>
    </row>
    <row r="925" spans="1:30" ht="12.75" customHeight="1" x14ac:dyDescent="0.25">
      <c r="A925" s="347" t="s">
        <v>2743</v>
      </c>
      <c r="B925" s="376">
        <v>45222</v>
      </c>
      <c r="C925" s="425" t="s">
        <v>60</v>
      </c>
      <c r="D925" s="333" t="s">
        <v>2659</v>
      </c>
      <c r="E925" s="333"/>
      <c r="F925" s="374" t="s">
        <v>2744</v>
      </c>
      <c r="G925" s="372" t="s">
        <v>307</v>
      </c>
      <c r="H925" s="372">
        <v>96</v>
      </c>
      <c r="I925" s="372" t="s">
        <v>2663</v>
      </c>
      <c r="J925" s="372" t="s">
        <v>541</v>
      </c>
      <c r="K925" s="372" t="s">
        <v>32</v>
      </c>
      <c r="L925" s="372"/>
      <c r="M925" s="372"/>
      <c r="N925" s="372"/>
      <c r="O925" s="372"/>
      <c r="P925" s="513">
        <v>45223</v>
      </c>
      <c r="Q925" s="372"/>
      <c r="R925" s="372"/>
      <c r="S925" s="401"/>
      <c r="T925" s="401"/>
      <c r="U925" s="401"/>
      <c r="V925" s="401"/>
      <c r="W925" s="402">
        <v>45308</v>
      </c>
      <c r="X925" s="401"/>
      <c r="Y925" s="336">
        <f t="shared" ca="1" si="19"/>
        <v>85</v>
      </c>
      <c r="Z925" s="401"/>
      <c r="AA925" s="401"/>
      <c r="AB925" s="373"/>
      <c r="AD925" s="338"/>
    </row>
    <row r="926" spans="1:30" ht="12.75" customHeight="1" x14ac:dyDescent="0.25">
      <c r="A926" s="347" t="s">
        <v>2745</v>
      </c>
      <c r="B926" s="376">
        <v>45222</v>
      </c>
      <c r="C926" s="425" t="s">
        <v>60</v>
      </c>
      <c r="D926" s="333" t="s">
        <v>2659</v>
      </c>
      <c r="E926" s="333"/>
      <c r="F926" s="374" t="s">
        <v>2746</v>
      </c>
      <c r="G926" s="372" t="s">
        <v>2747</v>
      </c>
      <c r="H926" s="372">
        <v>128</v>
      </c>
      <c r="I926" s="372" t="s">
        <v>2663</v>
      </c>
      <c r="J926" s="372" t="s">
        <v>541</v>
      </c>
      <c r="K926" s="372" t="s">
        <v>32</v>
      </c>
      <c r="L926" s="372"/>
      <c r="M926" s="372"/>
      <c r="N926" s="372"/>
      <c r="O926" s="372"/>
      <c r="P926" s="513">
        <v>45223</v>
      </c>
      <c r="Q926" s="372"/>
      <c r="R926" s="372"/>
      <c r="S926" s="401"/>
      <c r="T926" s="401"/>
      <c r="U926" s="401"/>
      <c r="V926" s="401"/>
      <c r="W926" s="402">
        <v>45308</v>
      </c>
      <c r="X926" s="401"/>
      <c r="Y926" s="336">
        <f t="shared" ca="1" si="19"/>
        <v>85</v>
      </c>
      <c r="Z926" s="401"/>
      <c r="AA926" s="401"/>
      <c r="AB926" s="373"/>
      <c r="AD926" s="338"/>
    </row>
    <row r="927" spans="1:30" ht="12.75" customHeight="1" x14ac:dyDescent="0.25">
      <c r="A927" s="347" t="s">
        <v>2748</v>
      </c>
      <c r="B927" s="376">
        <v>45259</v>
      </c>
      <c r="C927" s="425" t="s">
        <v>35</v>
      </c>
      <c r="D927" s="333" t="s">
        <v>71</v>
      </c>
      <c r="E927" s="333">
        <v>7740460</v>
      </c>
      <c r="F927" s="374" t="s">
        <v>2235</v>
      </c>
      <c r="G927" s="372" t="s">
        <v>499</v>
      </c>
      <c r="H927" s="372">
        <v>1</v>
      </c>
      <c r="I927" s="372" t="s">
        <v>2749</v>
      </c>
      <c r="J927" s="372" t="s">
        <v>68</v>
      </c>
      <c r="K927" s="372" t="s">
        <v>69</v>
      </c>
      <c r="L927" s="372"/>
      <c r="M927" s="372"/>
      <c r="N927" s="449"/>
      <c r="O927" s="449"/>
      <c r="P927" s="495"/>
      <c r="Q927" s="372"/>
      <c r="R927" s="372"/>
      <c r="S927" s="401"/>
      <c r="T927" s="401"/>
      <c r="U927" s="401"/>
      <c r="V927" s="401"/>
      <c r="W927" s="402">
        <v>45397</v>
      </c>
      <c r="X927" s="401"/>
      <c r="Y927" s="336" t="str">
        <f t="shared" ca="1" si="19"/>
        <v/>
      </c>
      <c r="Z927" s="401"/>
      <c r="AA927" s="401"/>
      <c r="AB927" s="373"/>
      <c r="AD927" s="338"/>
    </row>
    <row r="928" spans="1:30" ht="12.75" customHeight="1" x14ac:dyDescent="0.25">
      <c r="A928" s="347" t="s">
        <v>2750</v>
      </c>
      <c r="B928" s="376">
        <v>45310</v>
      </c>
      <c r="C928" s="425" t="s">
        <v>60</v>
      </c>
      <c r="D928" s="333"/>
      <c r="E928" s="333"/>
      <c r="F928" s="374" t="s">
        <v>2751</v>
      </c>
      <c r="G928" s="372" t="s">
        <v>2752</v>
      </c>
      <c r="H928" s="372">
        <v>1</v>
      </c>
      <c r="I928" s="372"/>
      <c r="J928" s="372"/>
      <c r="K928" s="372"/>
      <c r="L928" s="372"/>
      <c r="M928" s="372"/>
      <c r="N928" s="449"/>
      <c r="O928" s="449"/>
      <c r="P928" s="495"/>
      <c r="Q928" s="372"/>
      <c r="R928" s="372"/>
      <c r="S928" s="401"/>
      <c r="T928" s="401"/>
      <c r="U928" s="401"/>
      <c r="V928" s="401"/>
      <c r="W928" s="402"/>
      <c r="X928" s="401"/>
      <c r="Y928" s="336" t="str">
        <f t="shared" ca="1" si="19"/>
        <v/>
      </c>
      <c r="Z928" s="401"/>
      <c r="AA928" s="401"/>
      <c r="AB928" s="373"/>
      <c r="AD928" s="338"/>
    </row>
    <row r="929" spans="1:30" ht="12.75" customHeight="1" x14ac:dyDescent="0.25">
      <c r="A929" s="347" t="s">
        <v>2753</v>
      </c>
      <c r="B929" s="376">
        <v>45310</v>
      </c>
      <c r="C929" s="425" t="s">
        <v>60</v>
      </c>
      <c r="D929" s="333"/>
      <c r="E929" s="333"/>
      <c r="F929" s="374" t="s">
        <v>2754</v>
      </c>
      <c r="G929" s="372" t="s">
        <v>2755</v>
      </c>
      <c r="H929" s="372">
        <v>1</v>
      </c>
      <c r="I929" s="372"/>
      <c r="J929" s="372"/>
      <c r="K929" s="372"/>
      <c r="L929" s="372"/>
      <c r="M929" s="372"/>
      <c r="N929" s="449"/>
      <c r="O929" s="449"/>
      <c r="P929" s="495"/>
      <c r="Q929" s="372"/>
      <c r="R929" s="372"/>
      <c r="S929" s="401"/>
      <c r="T929" s="401"/>
      <c r="U929" s="401"/>
      <c r="V929" s="401"/>
      <c r="W929" s="402"/>
      <c r="X929" s="401"/>
      <c r="Y929" s="336" t="str">
        <f t="shared" ca="1" si="19"/>
        <v/>
      </c>
      <c r="Z929" s="401"/>
      <c r="AA929" s="401"/>
      <c r="AB929" s="373"/>
      <c r="AD929" s="338"/>
    </row>
    <row r="930" spans="1:30" ht="12.75" customHeight="1" x14ac:dyDescent="0.25">
      <c r="A930" s="347" t="s">
        <v>2756</v>
      </c>
      <c r="B930" s="376">
        <v>45325</v>
      </c>
      <c r="C930" s="333" t="s">
        <v>219</v>
      </c>
      <c r="D930" s="333" t="s">
        <v>1589</v>
      </c>
      <c r="E930" s="333"/>
      <c r="F930" s="374">
        <v>585872506320</v>
      </c>
      <c r="G930" s="372" t="s">
        <v>2757</v>
      </c>
      <c r="H930" s="372">
        <v>1</v>
      </c>
      <c r="I930" s="372" t="s">
        <v>2696</v>
      </c>
      <c r="J930" s="372" t="s">
        <v>265</v>
      </c>
      <c r="K930" s="372" t="s">
        <v>32</v>
      </c>
      <c r="L930" s="372"/>
      <c r="M930" s="372"/>
      <c r="N930" s="449"/>
      <c r="O930" s="449"/>
      <c r="P930" s="495">
        <v>45327</v>
      </c>
      <c r="Q930" s="372"/>
      <c r="R930" s="372"/>
      <c r="S930" s="401"/>
      <c r="T930" s="401"/>
      <c r="U930" s="401"/>
      <c r="V930" s="401"/>
      <c r="W930" s="402">
        <v>45356</v>
      </c>
      <c r="X930" s="401">
        <v>1</v>
      </c>
      <c r="Y930" s="336">
        <f t="shared" ca="1" si="19"/>
        <v>29</v>
      </c>
      <c r="Z930" s="401"/>
      <c r="AA930" s="401"/>
      <c r="AB930" s="373"/>
      <c r="AD930" s="338"/>
    </row>
    <row r="931" spans="1:30" ht="12.75" customHeight="1" x14ac:dyDescent="0.25">
      <c r="A931" s="347" t="s">
        <v>2758</v>
      </c>
      <c r="B931" s="376">
        <v>45325</v>
      </c>
      <c r="C931" s="333" t="s">
        <v>219</v>
      </c>
      <c r="D931" s="333" t="s">
        <v>1589</v>
      </c>
      <c r="E931" s="333"/>
      <c r="F931" s="374">
        <v>55075449916</v>
      </c>
      <c r="G931" s="372" t="s">
        <v>2759</v>
      </c>
      <c r="H931" s="372">
        <v>1</v>
      </c>
      <c r="I931" s="372" t="s">
        <v>2696</v>
      </c>
      <c r="J931" s="372" t="s">
        <v>68</v>
      </c>
      <c r="K931" s="372" t="s">
        <v>69</v>
      </c>
      <c r="L931" s="372"/>
      <c r="M931" s="372"/>
      <c r="N931" s="449"/>
      <c r="O931" s="449"/>
      <c r="P931" s="495">
        <v>45327</v>
      </c>
      <c r="Q931" s="372"/>
      <c r="R931" s="372"/>
      <c r="S931" s="401"/>
      <c r="T931" s="401"/>
      <c r="U931" s="401"/>
      <c r="V931" s="401"/>
      <c r="W931" s="402">
        <v>45356</v>
      </c>
      <c r="X931" s="401">
        <v>1</v>
      </c>
      <c r="Y931" s="336">
        <f t="shared" ca="1" si="19"/>
        <v>29</v>
      </c>
      <c r="Z931" s="401"/>
      <c r="AA931" s="401"/>
      <c r="AB931" s="373"/>
      <c r="AD931" s="338"/>
    </row>
    <row r="932" spans="1:30" ht="12.75" customHeight="1" x14ac:dyDescent="0.25">
      <c r="A932" s="347" t="s">
        <v>2760</v>
      </c>
      <c r="B932" s="376">
        <v>45325</v>
      </c>
      <c r="C932" s="333" t="s">
        <v>219</v>
      </c>
      <c r="D932" s="333" t="s">
        <v>1589</v>
      </c>
      <c r="E932" s="333"/>
      <c r="F932" s="374" t="s">
        <v>2761</v>
      </c>
      <c r="G932" s="372" t="s">
        <v>2762</v>
      </c>
      <c r="H932" s="372">
        <v>1</v>
      </c>
      <c r="I932" s="372" t="s">
        <v>2696</v>
      </c>
      <c r="J932" s="372" t="s">
        <v>68</v>
      </c>
      <c r="K932" s="372" t="s">
        <v>69</v>
      </c>
      <c r="L932" s="372"/>
      <c r="M932" s="372"/>
      <c r="N932" s="449"/>
      <c r="O932" s="449"/>
      <c r="P932" s="495">
        <v>45327</v>
      </c>
      <c r="Q932" s="372"/>
      <c r="R932" s="372"/>
      <c r="S932" s="401"/>
      <c r="T932" s="401"/>
      <c r="U932" s="401"/>
      <c r="V932" s="401"/>
      <c r="W932" s="402">
        <v>45356</v>
      </c>
      <c r="X932" s="401">
        <v>1</v>
      </c>
      <c r="Y932" s="336">
        <f t="shared" ca="1" si="19"/>
        <v>29</v>
      </c>
      <c r="Z932" s="401"/>
      <c r="AA932" s="401"/>
      <c r="AB932" s="373"/>
      <c r="AD932" s="338"/>
    </row>
    <row r="933" spans="1:30" ht="12.75" customHeight="1" x14ac:dyDescent="0.25">
      <c r="A933" s="347" t="s">
        <v>2763</v>
      </c>
      <c r="B933" s="376">
        <v>45327</v>
      </c>
      <c r="C933" s="333" t="s">
        <v>219</v>
      </c>
      <c r="D933" s="333">
        <v>2516</v>
      </c>
      <c r="E933" s="333"/>
      <c r="F933" s="374">
        <v>277681500119</v>
      </c>
      <c r="G933" s="372" t="s">
        <v>2764</v>
      </c>
      <c r="H933" s="372">
        <v>1</v>
      </c>
      <c r="I933" s="372" t="s">
        <v>2696</v>
      </c>
      <c r="J933" s="372" t="s">
        <v>46</v>
      </c>
      <c r="K933" s="372" t="s">
        <v>32</v>
      </c>
      <c r="L933" s="372"/>
      <c r="M933" s="372"/>
      <c r="N933" s="449"/>
      <c r="O933" s="449"/>
      <c r="P933" s="495">
        <v>45342</v>
      </c>
      <c r="Q933" s="372"/>
      <c r="R933" s="372"/>
      <c r="S933" s="401"/>
      <c r="T933" s="401"/>
      <c r="U933" s="401"/>
      <c r="V933" s="401"/>
      <c r="W933" s="402">
        <v>45359</v>
      </c>
      <c r="X933" s="401">
        <v>1</v>
      </c>
      <c r="Y933" s="336">
        <f t="shared" ca="1" si="19"/>
        <v>17</v>
      </c>
      <c r="Z933" s="401"/>
      <c r="AA933" s="401"/>
      <c r="AB933" s="373"/>
      <c r="AD933" s="338"/>
    </row>
    <row r="934" spans="1:30" ht="12.75" customHeight="1" x14ac:dyDescent="0.25">
      <c r="A934" s="347" t="s">
        <v>2765</v>
      </c>
      <c r="B934" s="376">
        <v>45328</v>
      </c>
      <c r="C934" s="333" t="s">
        <v>35</v>
      </c>
      <c r="D934" s="333" t="s">
        <v>83</v>
      </c>
      <c r="E934" s="333"/>
      <c r="F934" s="374" t="s">
        <v>2766</v>
      </c>
      <c r="G934" s="372" t="s">
        <v>499</v>
      </c>
      <c r="H934" s="372">
        <v>1</v>
      </c>
      <c r="I934" s="372" t="s">
        <v>2767</v>
      </c>
      <c r="J934" s="372" t="s">
        <v>2768</v>
      </c>
      <c r="K934" s="372" t="s">
        <v>69</v>
      </c>
      <c r="L934" s="372"/>
      <c r="M934" s="372"/>
      <c r="N934" s="449"/>
      <c r="O934" s="449"/>
      <c r="P934" s="495"/>
      <c r="Q934" s="372"/>
      <c r="R934" s="372"/>
      <c r="S934" s="401"/>
      <c r="T934" s="401"/>
      <c r="U934" s="401"/>
      <c r="V934" s="401"/>
      <c r="W934" s="402">
        <v>45040</v>
      </c>
      <c r="X934" s="401"/>
      <c r="Y934" s="336" t="str">
        <f t="shared" ca="1" si="19"/>
        <v/>
      </c>
      <c r="Z934" s="401"/>
      <c r="AA934" s="401"/>
      <c r="AB934" s="373"/>
      <c r="AC934" s="338" t="e">
        <f>VLOOKUP(F934,'[1]CPO DATA'!$D:$I,4,FALSE)</f>
        <v>#N/A</v>
      </c>
      <c r="AD934" s="418" t="e">
        <f>VLOOKUP(F934,'STORE ITEMS'!C:F,2,FALSE)</f>
        <v>#N/A</v>
      </c>
    </row>
    <row r="935" spans="1:30" ht="12.75" customHeight="1" x14ac:dyDescent="0.25">
      <c r="A935" s="347" t="s">
        <v>2769</v>
      </c>
      <c r="B935" s="376">
        <v>45330</v>
      </c>
      <c r="C935" s="333" t="s">
        <v>219</v>
      </c>
      <c r="D935" s="333">
        <v>2516</v>
      </c>
      <c r="E935" s="333"/>
      <c r="F935" s="374">
        <v>215435900101</v>
      </c>
      <c r="G935" s="372" t="s">
        <v>2770</v>
      </c>
      <c r="H935" s="372">
        <v>1</v>
      </c>
      <c r="I935" s="372" t="s">
        <v>2696</v>
      </c>
      <c r="J935" s="372" t="s">
        <v>68</v>
      </c>
      <c r="K935" s="372" t="s">
        <v>69</v>
      </c>
      <c r="L935" s="372"/>
      <c r="M935" s="372"/>
      <c r="N935" s="449"/>
      <c r="O935" s="449"/>
      <c r="P935" s="495">
        <v>45342</v>
      </c>
      <c r="Q935" s="372"/>
      <c r="R935" s="372"/>
      <c r="S935" s="401"/>
      <c r="T935" s="401"/>
      <c r="U935" s="401"/>
      <c r="V935" s="401"/>
      <c r="W935" s="402">
        <v>45359</v>
      </c>
      <c r="X935" s="401">
        <v>1</v>
      </c>
      <c r="Y935" s="336">
        <f t="shared" ca="1" si="19"/>
        <v>17</v>
      </c>
      <c r="Z935" s="401"/>
      <c r="AA935" s="401"/>
      <c r="AB935" s="373"/>
      <c r="AD935" s="338"/>
    </row>
    <row r="936" spans="1:30" ht="12.75" customHeight="1" x14ac:dyDescent="0.25">
      <c r="A936" s="347" t="s">
        <v>2771</v>
      </c>
      <c r="B936" s="376">
        <v>45334</v>
      </c>
      <c r="C936" s="333" t="s">
        <v>219</v>
      </c>
      <c r="D936" s="333" t="s">
        <v>2541</v>
      </c>
      <c r="E936" s="333"/>
      <c r="F936" s="374">
        <v>534567807702</v>
      </c>
      <c r="G936" s="372" t="s">
        <v>2772</v>
      </c>
      <c r="H936" s="372">
        <v>12</v>
      </c>
      <c r="I936" s="372" t="s">
        <v>2773</v>
      </c>
      <c r="J936" s="372" t="s">
        <v>43</v>
      </c>
      <c r="K936" s="372" t="s">
        <v>32</v>
      </c>
      <c r="L936" s="372"/>
      <c r="M936" s="372"/>
      <c r="N936" s="449"/>
      <c r="O936" s="449"/>
      <c r="P936" s="495">
        <v>45336</v>
      </c>
      <c r="Q936" s="372"/>
      <c r="R936" s="372"/>
      <c r="S936" s="401"/>
      <c r="T936" s="401"/>
      <c r="U936" s="401"/>
      <c r="V936" s="401"/>
      <c r="W936" s="402">
        <v>45390</v>
      </c>
      <c r="X936" s="401">
        <v>12</v>
      </c>
      <c r="Y936" s="336">
        <f t="shared" ca="1" si="19"/>
        <v>54</v>
      </c>
      <c r="Z936" s="401"/>
      <c r="AA936" s="401"/>
      <c r="AB936" s="373"/>
      <c r="AD936" s="338"/>
    </row>
    <row r="937" spans="1:30" ht="12.75" customHeight="1" x14ac:dyDescent="0.25">
      <c r="A937" s="347" t="s">
        <v>2774</v>
      </c>
      <c r="B937" s="376">
        <v>45334</v>
      </c>
      <c r="C937" s="333" t="s">
        <v>219</v>
      </c>
      <c r="D937" s="333" t="s">
        <v>2541</v>
      </c>
      <c r="E937" s="333"/>
      <c r="F937" s="374">
        <v>13150608222</v>
      </c>
      <c r="G937" s="372" t="s">
        <v>2775</v>
      </c>
      <c r="H937" s="372">
        <v>12</v>
      </c>
      <c r="I937" s="372" t="s">
        <v>2773</v>
      </c>
      <c r="J937" s="372" t="s">
        <v>43</v>
      </c>
      <c r="K937" s="372" t="s">
        <v>32</v>
      </c>
      <c r="L937" s="372"/>
      <c r="M937" s="372"/>
      <c r="N937" s="449"/>
      <c r="O937" s="449"/>
      <c r="P937" s="495">
        <v>45336</v>
      </c>
      <c r="Q937" s="372"/>
      <c r="R937" s="372"/>
      <c r="S937" s="401"/>
      <c r="T937" s="401"/>
      <c r="U937" s="401"/>
      <c r="V937" s="401"/>
      <c r="W937" s="402">
        <v>45390</v>
      </c>
      <c r="X937" s="401">
        <v>12</v>
      </c>
      <c r="Y937" s="336">
        <f t="shared" ca="1" si="19"/>
        <v>54</v>
      </c>
      <c r="Z937" s="401"/>
      <c r="AA937" s="401"/>
      <c r="AB937" s="373" t="s">
        <v>2776</v>
      </c>
      <c r="AD937" s="338"/>
    </row>
    <row r="938" spans="1:30" ht="12.75" customHeight="1" x14ac:dyDescent="0.25">
      <c r="A938" s="347" t="s">
        <v>2777</v>
      </c>
      <c r="B938" s="376">
        <v>45334</v>
      </c>
      <c r="C938" s="333" t="s">
        <v>219</v>
      </c>
      <c r="D938" s="333" t="s">
        <v>2541</v>
      </c>
      <c r="E938" s="333"/>
      <c r="F938" s="374">
        <v>554540306701</v>
      </c>
      <c r="G938" s="372" t="s">
        <v>2778</v>
      </c>
      <c r="H938" s="372">
        <v>12</v>
      </c>
      <c r="I938" s="372" t="s">
        <v>2773</v>
      </c>
      <c r="J938" s="372" t="s">
        <v>43</v>
      </c>
      <c r="K938" s="372" t="s">
        <v>32</v>
      </c>
      <c r="L938" s="372"/>
      <c r="M938" s="372"/>
      <c r="N938" s="449"/>
      <c r="O938" s="449"/>
      <c r="P938" s="495">
        <v>45336</v>
      </c>
      <c r="Q938" s="372"/>
      <c r="R938" s="372"/>
      <c r="S938" s="401"/>
      <c r="T938" s="401"/>
      <c r="U938" s="401"/>
      <c r="V938" s="401"/>
      <c r="W938" s="402">
        <v>45390</v>
      </c>
      <c r="X938" s="401">
        <v>12</v>
      </c>
      <c r="Y938" s="336">
        <f t="shared" ca="1" si="19"/>
        <v>54</v>
      </c>
      <c r="Z938" s="401"/>
      <c r="AA938" s="401"/>
      <c r="AB938" s="373"/>
      <c r="AD938" s="338"/>
    </row>
    <row r="939" spans="1:30" ht="12.75" customHeight="1" x14ac:dyDescent="0.25">
      <c r="A939" s="347" t="s">
        <v>2779</v>
      </c>
      <c r="B939" s="376">
        <v>45342</v>
      </c>
      <c r="C939" s="333" t="s">
        <v>219</v>
      </c>
      <c r="D939" s="333">
        <v>2516</v>
      </c>
      <c r="E939" s="333"/>
      <c r="F939" s="515">
        <v>267968400105</v>
      </c>
      <c r="G939" s="372" t="s">
        <v>2780</v>
      </c>
      <c r="H939" s="372">
        <v>1</v>
      </c>
      <c r="I939" s="372" t="s">
        <v>2781</v>
      </c>
      <c r="J939" s="372" t="s">
        <v>46</v>
      </c>
      <c r="K939" s="372" t="s">
        <v>32</v>
      </c>
      <c r="L939" s="372"/>
      <c r="M939" s="372"/>
      <c r="N939" s="449"/>
      <c r="O939" s="449"/>
      <c r="P939" s="495">
        <v>45342</v>
      </c>
      <c r="Q939" s="372"/>
      <c r="R939" s="372"/>
      <c r="S939" s="401"/>
      <c r="T939" s="401"/>
      <c r="U939" s="401"/>
      <c r="V939" s="401"/>
      <c r="W939" s="402">
        <v>45359</v>
      </c>
      <c r="X939" s="401">
        <v>1</v>
      </c>
      <c r="Y939" s="336">
        <f t="shared" ca="1" si="19"/>
        <v>17</v>
      </c>
      <c r="Z939" s="401"/>
      <c r="AA939" s="401"/>
      <c r="AB939" s="373"/>
      <c r="AD939" s="338"/>
    </row>
    <row r="940" spans="1:30" ht="12.75" customHeight="1" x14ac:dyDescent="0.25">
      <c r="A940" s="347" t="s">
        <v>2782</v>
      </c>
      <c r="B940" s="376">
        <v>45342</v>
      </c>
      <c r="C940" s="333" t="s">
        <v>219</v>
      </c>
      <c r="D940" s="333">
        <v>2516</v>
      </c>
      <c r="E940" s="333"/>
      <c r="F940" s="374">
        <v>208229100101</v>
      </c>
      <c r="G940" s="372" t="s">
        <v>2783</v>
      </c>
      <c r="H940" s="372">
        <v>1</v>
      </c>
      <c r="I940" s="372" t="s">
        <v>2781</v>
      </c>
      <c r="J940" s="372" t="s">
        <v>31</v>
      </c>
      <c r="K940" s="372" t="s">
        <v>32</v>
      </c>
      <c r="L940" s="372"/>
      <c r="M940" s="372"/>
      <c r="N940" s="449"/>
      <c r="O940" s="449"/>
      <c r="P940" s="495">
        <v>45342</v>
      </c>
      <c r="Q940" s="372"/>
      <c r="R940" s="372"/>
      <c r="S940" s="401"/>
      <c r="T940" s="401"/>
      <c r="U940" s="401"/>
      <c r="V940" s="401"/>
      <c r="W940" s="402">
        <v>45359</v>
      </c>
      <c r="X940" s="401">
        <v>1</v>
      </c>
      <c r="Y940" s="336">
        <f t="shared" ca="1" si="19"/>
        <v>17</v>
      </c>
      <c r="Z940" s="401"/>
      <c r="AA940" s="401"/>
      <c r="AB940" s="373"/>
      <c r="AD940" s="338"/>
    </row>
    <row r="941" spans="1:30" ht="12.75" customHeight="1" x14ac:dyDescent="0.25">
      <c r="A941" s="347" t="s">
        <v>2784</v>
      </c>
      <c r="B941" s="376">
        <v>45342</v>
      </c>
      <c r="C941" s="333" t="s">
        <v>219</v>
      </c>
      <c r="D941" s="333">
        <v>2516</v>
      </c>
      <c r="E941" s="333"/>
      <c r="F941" s="374">
        <v>275130100101</v>
      </c>
      <c r="G941" s="372" t="s">
        <v>2785</v>
      </c>
      <c r="H941" s="372">
        <v>1</v>
      </c>
      <c r="I941" s="372" t="s">
        <v>2781</v>
      </c>
      <c r="J941" s="372" t="s">
        <v>31</v>
      </c>
      <c r="K941" s="372" t="s">
        <v>32</v>
      </c>
      <c r="L941" s="372"/>
      <c r="M941" s="372"/>
      <c r="N941" s="449"/>
      <c r="O941" s="449"/>
      <c r="P941" s="495">
        <v>45342</v>
      </c>
      <c r="Q941" s="372"/>
      <c r="R941" s="372"/>
      <c r="S941" s="401"/>
      <c r="T941" s="401"/>
      <c r="U941" s="401"/>
      <c r="V941" s="401"/>
      <c r="W941" s="402">
        <v>45359</v>
      </c>
      <c r="X941" s="401">
        <v>1</v>
      </c>
      <c r="Y941" s="336">
        <f t="shared" ca="1" si="19"/>
        <v>17</v>
      </c>
      <c r="Z941" s="401"/>
      <c r="AA941" s="401"/>
      <c r="AB941" s="373"/>
      <c r="AD941" s="338"/>
    </row>
    <row r="942" spans="1:30" ht="12.75" customHeight="1" x14ac:dyDescent="0.25">
      <c r="A942" s="347" t="s">
        <v>2786</v>
      </c>
      <c r="B942" s="376">
        <v>45341</v>
      </c>
      <c r="C942" s="333" t="s">
        <v>60</v>
      </c>
      <c r="D942" s="333" t="s">
        <v>1125</v>
      </c>
      <c r="E942" s="333"/>
      <c r="F942" s="374" t="s">
        <v>2787</v>
      </c>
      <c r="G942" s="372" t="s">
        <v>2788</v>
      </c>
      <c r="H942" s="372">
        <v>6</v>
      </c>
      <c r="I942" s="372">
        <v>3</v>
      </c>
      <c r="J942" s="372" t="s">
        <v>43</v>
      </c>
      <c r="K942" s="372" t="s">
        <v>32</v>
      </c>
      <c r="L942" s="372"/>
      <c r="M942" s="372"/>
      <c r="N942" s="449"/>
      <c r="O942" s="449"/>
      <c r="P942" s="495" t="s">
        <v>2789</v>
      </c>
      <c r="Q942" s="372"/>
      <c r="R942" s="372"/>
      <c r="S942" s="401"/>
      <c r="T942" s="401"/>
      <c r="U942" s="401"/>
      <c r="V942" s="401"/>
      <c r="W942" s="402"/>
      <c r="X942" s="401"/>
      <c r="Y942" s="336" t="e">
        <f t="shared" ca="1" si="19"/>
        <v>#VALUE!</v>
      </c>
      <c r="Z942" s="401"/>
      <c r="AA942" s="401"/>
      <c r="AB942" s="373"/>
      <c r="AD942" s="338"/>
    </row>
    <row r="943" spans="1:30" ht="12.75" customHeight="1" x14ac:dyDescent="0.25">
      <c r="A943" s="347" t="s">
        <v>2790</v>
      </c>
      <c r="B943" s="376">
        <v>45341</v>
      </c>
      <c r="C943" s="333" t="s">
        <v>60</v>
      </c>
      <c r="D943" s="333" t="s">
        <v>1148</v>
      </c>
      <c r="E943" s="333"/>
      <c r="F943" s="374" t="s">
        <v>1337</v>
      </c>
      <c r="G943" s="372" t="s">
        <v>1338</v>
      </c>
      <c r="H943" s="372">
        <v>2</v>
      </c>
      <c r="I943" s="372">
        <v>90</v>
      </c>
      <c r="J943" s="372" t="s">
        <v>265</v>
      </c>
      <c r="K943" s="372" t="s">
        <v>32</v>
      </c>
      <c r="L943" s="372"/>
      <c r="M943" s="372"/>
      <c r="N943" s="449"/>
      <c r="O943" s="449"/>
      <c r="P943" s="495"/>
      <c r="Q943" s="372"/>
      <c r="R943" s="372"/>
      <c r="S943" s="401"/>
      <c r="T943" s="401"/>
      <c r="U943" s="401"/>
      <c r="V943" s="401"/>
      <c r="W943" s="402"/>
      <c r="X943" s="401"/>
      <c r="Y943" s="336" t="str">
        <f t="shared" ca="1" si="19"/>
        <v/>
      </c>
      <c r="Z943" s="401"/>
      <c r="AA943" s="401"/>
      <c r="AB943" s="373"/>
      <c r="AD943" s="338"/>
    </row>
    <row r="944" spans="1:30" ht="12.75" customHeight="1" x14ac:dyDescent="0.25">
      <c r="A944" s="347" t="s">
        <v>2791</v>
      </c>
      <c r="B944" s="376">
        <v>45341</v>
      </c>
      <c r="C944" s="333" t="s">
        <v>60</v>
      </c>
      <c r="D944" s="333" t="s">
        <v>1148</v>
      </c>
      <c r="E944" s="333"/>
      <c r="F944" s="374" t="s">
        <v>1430</v>
      </c>
      <c r="G944" s="372" t="s">
        <v>1431</v>
      </c>
      <c r="H944" s="372">
        <v>6</v>
      </c>
      <c r="I944" s="372">
        <v>90</v>
      </c>
      <c r="J944" s="372" t="s">
        <v>46</v>
      </c>
      <c r="K944" s="372" t="s">
        <v>32</v>
      </c>
      <c r="L944" s="372"/>
      <c r="M944" s="372"/>
      <c r="N944" s="449"/>
      <c r="O944" s="449"/>
      <c r="P944" s="495"/>
      <c r="Q944" s="372"/>
      <c r="R944" s="372"/>
      <c r="S944" s="401"/>
      <c r="T944" s="401"/>
      <c r="U944" s="401"/>
      <c r="V944" s="401"/>
      <c r="W944" s="402"/>
      <c r="X944" s="401"/>
      <c r="Y944" s="336" t="str">
        <f t="shared" ca="1" si="19"/>
        <v/>
      </c>
      <c r="Z944" s="401"/>
      <c r="AA944" s="401"/>
      <c r="AB944" s="373"/>
      <c r="AD944" s="338"/>
    </row>
    <row r="945" spans="1:30" ht="12.75" customHeight="1" x14ac:dyDescent="0.25">
      <c r="A945" s="347" t="s">
        <v>2792</v>
      </c>
      <c r="B945" s="376">
        <v>45341</v>
      </c>
      <c r="C945" s="333" t="s">
        <v>60</v>
      </c>
      <c r="D945" s="333" t="s">
        <v>1148</v>
      </c>
      <c r="E945" s="333"/>
      <c r="F945" s="374" t="s">
        <v>2793</v>
      </c>
      <c r="G945" s="372" t="s">
        <v>2794</v>
      </c>
      <c r="H945" s="372">
        <v>24</v>
      </c>
      <c r="I945" s="372">
        <v>90</v>
      </c>
      <c r="J945" s="372" t="s">
        <v>46</v>
      </c>
      <c r="K945" s="372" t="s">
        <v>32</v>
      </c>
      <c r="L945" s="372"/>
      <c r="M945" s="372"/>
      <c r="N945" s="449"/>
      <c r="O945" s="449"/>
      <c r="P945" s="495"/>
      <c r="Q945" s="372"/>
      <c r="R945" s="372"/>
      <c r="S945" s="401"/>
      <c r="T945" s="401"/>
      <c r="U945" s="401"/>
      <c r="V945" s="401"/>
      <c r="W945" s="402"/>
      <c r="X945" s="401"/>
      <c r="Y945" s="336" t="str">
        <f t="shared" ca="1" si="19"/>
        <v/>
      </c>
      <c r="Z945" s="401"/>
      <c r="AA945" s="401"/>
      <c r="AB945" s="373"/>
      <c r="AD945" s="338"/>
    </row>
    <row r="946" spans="1:30" ht="12.75" customHeight="1" x14ac:dyDescent="0.25">
      <c r="A946" s="347" t="s">
        <v>2795</v>
      </c>
      <c r="B946" s="376">
        <v>45341</v>
      </c>
      <c r="C946" s="333" t="s">
        <v>60</v>
      </c>
      <c r="D946" s="333" t="s">
        <v>1148</v>
      </c>
      <c r="E946" s="333"/>
      <c r="F946" s="374" t="s">
        <v>1405</v>
      </c>
      <c r="G946" s="372" t="s">
        <v>2794</v>
      </c>
      <c r="H946" s="372">
        <v>36</v>
      </c>
      <c r="I946" s="372">
        <v>90</v>
      </c>
      <c r="J946" s="372" t="s">
        <v>46</v>
      </c>
      <c r="K946" s="372" t="s">
        <v>32</v>
      </c>
      <c r="L946" s="372"/>
      <c r="M946" s="372"/>
      <c r="N946" s="449"/>
      <c r="O946" s="449"/>
      <c r="P946" s="495"/>
      <c r="Q946" s="372"/>
      <c r="R946" s="372"/>
      <c r="S946" s="401"/>
      <c r="T946" s="401"/>
      <c r="U946" s="401"/>
      <c r="V946" s="401"/>
      <c r="W946" s="402"/>
      <c r="X946" s="401"/>
      <c r="Y946" s="336" t="str">
        <f t="shared" ca="1" si="19"/>
        <v/>
      </c>
      <c r="Z946" s="401"/>
      <c r="AA946" s="401"/>
      <c r="AB946" s="373"/>
      <c r="AD946" s="338"/>
    </row>
    <row r="947" spans="1:30" ht="12.75" customHeight="1" x14ac:dyDescent="0.25">
      <c r="A947" s="347" t="s">
        <v>2796</v>
      </c>
      <c r="B947" s="376">
        <v>45341</v>
      </c>
      <c r="C947" s="333" t="s">
        <v>60</v>
      </c>
      <c r="D947" s="333" t="s">
        <v>1148</v>
      </c>
      <c r="E947" s="333"/>
      <c r="F947" s="374" t="s">
        <v>2797</v>
      </c>
      <c r="G947" s="372" t="s">
        <v>2798</v>
      </c>
      <c r="H947" s="372">
        <v>6</v>
      </c>
      <c r="I947" s="372">
        <v>89</v>
      </c>
      <c r="J947" s="372" t="s">
        <v>43</v>
      </c>
      <c r="K947" s="372" t="s">
        <v>32</v>
      </c>
      <c r="L947" s="372"/>
      <c r="M947" s="372"/>
      <c r="N947" s="449"/>
      <c r="O947" s="449"/>
      <c r="P947" s="495"/>
      <c r="Q947" s="372"/>
      <c r="R947" s="372"/>
      <c r="S947" s="401"/>
      <c r="T947" s="401"/>
      <c r="U947" s="401"/>
      <c r="V947" s="401"/>
      <c r="W947" s="402"/>
      <c r="X947" s="401"/>
      <c r="Y947" s="336" t="str">
        <f t="shared" ca="1" si="19"/>
        <v/>
      </c>
      <c r="Z947" s="401"/>
      <c r="AA947" s="401"/>
      <c r="AB947" s="373"/>
      <c r="AD947" s="338"/>
    </row>
    <row r="948" spans="1:30" ht="12.75" customHeight="1" x14ac:dyDescent="0.25">
      <c r="A948" s="347" t="s">
        <v>2799</v>
      </c>
      <c r="B948" s="376">
        <v>45336</v>
      </c>
      <c r="C948" s="333" t="s">
        <v>35</v>
      </c>
      <c r="D948" s="333" t="s">
        <v>71</v>
      </c>
      <c r="E948" s="333"/>
      <c r="F948" s="374" t="s">
        <v>1114</v>
      </c>
      <c r="G948" s="372" t="s">
        <v>2800</v>
      </c>
      <c r="H948" s="372">
        <v>1</v>
      </c>
      <c r="I948" s="372" t="s">
        <v>2801</v>
      </c>
      <c r="J948" s="372" t="s">
        <v>68</v>
      </c>
      <c r="K948" s="372" t="s">
        <v>69</v>
      </c>
      <c r="L948" s="372"/>
      <c r="M948" s="372"/>
      <c r="N948" s="449"/>
      <c r="O948" s="449"/>
      <c r="P948" s="495"/>
      <c r="Q948" s="372"/>
      <c r="R948" s="372"/>
      <c r="S948" s="401"/>
      <c r="T948" s="401"/>
      <c r="U948" s="401"/>
      <c r="V948" s="401"/>
      <c r="W948" s="402">
        <v>45036</v>
      </c>
      <c r="X948" s="401"/>
      <c r="Y948" s="336" t="str">
        <f t="shared" ca="1" si="19"/>
        <v/>
      </c>
      <c r="Z948" s="401"/>
      <c r="AA948" s="401"/>
      <c r="AB948" s="373"/>
      <c r="AC948" s="338" t="e">
        <f>VLOOKUP(F948,'[1]CPO DATA'!$D:$I,4,FALSE)</f>
        <v>#N/A</v>
      </c>
      <c r="AD948" s="418" t="str">
        <f>VLOOKUP(F948,'STORE ITEMS'!C:F,2,FALSE)</f>
        <v>PLATE NAME</v>
      </c>
    </row>
    <row r="949" spans="1:30" ht="12.75" customHeight="1" x14ac:dyDescent="0.25">
      <c r="A949" s="347" t="s">
        <v>2802</v>
      </c>
      <c r="B949" s="376">
        <v>45316</v>
      </c>
      <c r="C949" s="333" t="s">
        <v>35</v>
      </c>
      <c r="D949" s="333" t="s">
        <v>71</v>
      </c>
      <c r="E949" s="333"/>
      <c r="F949" s="374" t="s">
        <v>2724</v>
      </c>
      <c r="G949" s="372" t="s">
        <v>2725</v>
      </c>
      <c r="H949" s="372">
        <v>10</v>
      </c>
      <c r="I949" s="372">
        <v>108</v>
      </c>
      <c r="J949" s="372" t="s">
        <v>102</v>
      </c>
      <c r="K949" s="372" t="s">
        <v>69</v>
      </c>
      <c r="L949" s="372"/>
      <c r="M949" s="372"/>
      <c r="N949" s="449"/>
      <c r="O949" s="449"/>
      <c r="P949" s="495"/>
      <c r="Q949" s="372"/>
      <c r="R949" s="372"/>
      <c r="S949" s="401"/>
      <c r="T949" s="401"/>
      <c r="U949" s="401"/>
      <c r="V949" s="401"/>
      <c r="W949" s="402"/>
      <c r="X949" s="401"/>
      <c r="Y949" s="336" t="str">
        <f t="shared" ca="1" si="19"/>
        <v/>
      </c>
      <c r="Z949" s="401"/>
      <c r="AA949" s="401"/>
      <c r="AB949" s="373"/>
      <c r="AC949" s="338" t="e">
        <f>VLOOKUP(F949,'[1]CPO DATA'!$D:$I,4,FALSE)</f>
        <v>#N/A</v>
      </c>
      <c r="AD949" s="418" t="str">
        <f>VLOOKUP(F949,'STORE ITEMS'!C:F,2,FALSE)</f>
        <v>CLIP</v>
      </c>
    </row>
    <row r="950" spans="1:30" ht="12.75" customHeight="1" x14ac:dyDescent="0.25">
      <c r="A950" s="347" t="s">
        <v>2803</v>
      </c>
      <c r="B950" s="376">
        <v>45334</v>
      </c>
      <c r="C950" s="333" t="s">
        <v>35</v>
      </c>
      <c r="D950" s="333" t="s">
        <v>83</v>
      </c>
      <c r="E950" s="333"/>
      <c r="F950" s="374" t="s">
        <v>2804</v>
      </c>
      <c r="G950" s="372" t="s">
        <v>2805</v>
      </c>
      <c r="H950" s="372">
        <v>5</v>
      </c>
      <c r="I950" s="372">
        <v>531</v>
      </c>
      <c r="J950" s="372" t="s">
        <v>1291</v>
      </c>
      <c r="K950" s="372" t="s">
        <v>32</v>
      </c>
      <c r="L950" s="372"/>
      <c r="M950" s="372"/>
      <c r="N950" s="449"/>
      <c r="O950" s="449"/>
      <c r="P950" s="495"/>
      <c r="Q950" s="372"/>
      <c r="R950" s="372"/>
      <c r="S950" s="401"/>
      <c r="T950" s="401"/>
      <c r="U950" s="401"/>
      <c r="V950" s="401"/>
      <c r="W950" s="402"/>
      <c r="X950" s="401"/>
      <c r="Y950" s="336" t="str">
        <f t="shared" ca="1" si="19"/>
        <v/>
      </c>
      <c r="Z950" s="401"/>
      <c r="AA950" s="401"/>
      <c r="AB950" s="373"/>
      <c r="AC950" s="338" t="e">
        <f>VLOOKUP(F950,'[1]CPO DATA'!$D:$I,4,FALSE)</f>
        <v>#N/A</v>
      </c>
      <c r="AD950" s="418" t="str">
        <f>VLOOKUP(F950,'STORE ITEMS'!C:F,2,FALSE)</f>
        <v>BOLT, FLANGE</v>
      </c>
    </row>
    <row r="951" spans="1:30" ht="12.75" customHeight="1" x14ac:dyDescent="0.25">
      <c r="A951" s="347" t="s">
        <v>2806</v>
      </c>
      <c r="B951" s="376">
        <v>45334</v>
      </c>
      <c r="C951" s="333" t="s">
        <v>60</v>
      </c>
      <c r="D951" s="333" t="s">
        <v>1776</v>
      </c>
      <c r="E951" s="333"/>
      <c r="F951" s="374" t="s">
        <v>2807</v>
      </c>
      <c r="G951" s="372" t="s">
        <v>2808</v>
      </c>
      <c r="H951" s="372">
        <v>130</v>
      </c>
      <c r="I951" s="372" t="s">
        <v>2809</v>
      </c>
      <c r="J951" s="372" t="s">
        <v>46</v>
      </c>
      <c r="K951" s="372" t="s">
        <v>32</v>
      </c>
      <c r="L951" s="372"/>
      <c r="M951" s="372"/>
      <c r="N951" s="449"/>
      <c r="O951" s="449"/>
      <c r="P951" s="495"/>
      <c r="Q951" s="372"/>
      <c r="R951" s="372"/>
      <c r="S951" s="401"/>
      <c r="T951" s="401"/>
      <c r="U951" s="401"/>
      <c r="V951" s="401"/>
      <c r="W951" s="402"/>
      <c r="X951" s="401"/>
      <c r="Y951" s="336" t="str">
        <f t="shared" ca="1" si="19"/>
        <v/>
      </c>
      <c r="Z951" s="401"/>
      <c r="AA951" s="401"/>
      <c r="AB951" s="373"/>
      <c r="AD951" s="338"/>
    </row>
    <row r="952" spans="1:30" ht="12.75" customHeight="1" x14ac:dyDescent="0.25">
      <c r="A952" s="347" t="s">
        <v>2810</v>
      </c>
      <c r="B952" s="376">
        <v>45314</v>
      </c>
      <c r="C952" s="333" t="s">
        <v>35</v>
      </c>
      <c r="D952" s="333" t="s">
        <v>83</v>
      </c>
      <c r="E952" s="333"/>
      <c r="F952" s="374" t="s">
        <v>2811</v>
      </c>
      <c r="G952" s="372" t="s">
        <v>2808</v>
      </c>
      <c r="H952" s="372">
        <v>2</v>
      </c>
      <c r="I952" s="372">
        <v>496</v>
      </c>
      <c r="J952" s="372" t="s">
        <v>46</v>
      </c>
      <c r="K952" s="372" t="s">
        <v>32</v>
      </c>
      <c r="L952" s="372"/>
      <c r="M952" s="372"/>
      <c r="N952" s="449"/>
      <c r="O952" s="449"/>
      <c r="P952" s="495"/>
      <c r="Q952" s="372"/>
      <c r="R952" s="372"/>
      <c r="S952" s="401"/>
      <c r="T952" s="401"/>
      <c r="U952" s="401"/>
      <c r="V952" s="401"/>
      <c r="W952" s="402"/>
      <c r="X952" s="401"/>
      <c r="Y952" s="336" t="str">
        <f t="shared" ca="1" si="19"/>
        <v/>
      </c>
      <c r="Z952" s="401"/>
      <c r="AA952" s="401"/>
      <c r="AB952" s="373"/>
      <c r="AC952" s="338" t="e">
        <f>VLOOKUP(F952,'[1]CPO DATA'!$D:$I,4,FALSE)</f>
        <v>#N/A</v>
      </c>
      <c r="AD952" s="418" t="e">
        <f>VLOOKUP(F952,'STORE ITEMS'!C:F,2,FALSE)</f>
        <v>#N/A</v>
      </c>
    </row>
    <row r="953" spans="1:30" ht="12.75" customHeight="1" x14ac:dyDescent="0.25">
      <c r="A953" s="347" t="s">
        <v>2812</v>
      </c>
      <c r="B953" s="376">
        <v>45329</v>
      </c>
      <c r="C953" s="333" t="s">
        <v>219</v>
      </c>
      <c r="D953" s="333" t="s">
        <v>2541</v>
      </c>
      <c r="E953" s="333"/>
      <c r="F953" s="374">
        <v>554683450101</v>
      </c>
      <c r="G953" s="372" t="s">
        <v>2813</v>
      </c>
      <c r="H953" s="372">
        <v>4</v>
      </c>
      <c r="I953" s="372" t="s">
        <v>2814</v>
      </c>
      <c r="J953" s="372" t="s">
        <v>265</v>
      </c>
      <c r="K953" s="372" t="s">
        <v>32</v>
      </c>
      <c r="L953" s="372"/>
      <c r="M953" s="372"/>
      <c r="N953" s="449"/>
      <c r="O953" s="449"/>
      <c r="P953" s="495">
        <v>45336</v>
      </c>
      <c r="Q953" s="372"/>
      <c r="R953" s="372"/>
      <c r="S953" s="401"/>
      <c r="T953" s="401"/>
      <c r="U953" s="401"/>
      <c r="V953" s="401"/>
      <c r="W953" s="402">
        <v>45429</v>
      </c>
      <c r="X953" s="401">
        <v>4</v>
      </c>
      <c r="Y953" s="336">
        <f t="shared" ca="1" si="19"/>
        <v>93</v>
      </c>
      <c r="Z953" s="401"/>
      <c r="AA953" s="401"/>
      <c r="AB953" s="373"/>
      <c r="AD953" s="338"/>
    </row>
    <row r="954" spans="1:30" ht="12.75" customHeight="1" x14ac:dyDescent="0.25">
      <c r="A954" s="347" t="s">
        <v>2815</v>
      </c>
      <c r="B954" s="376">
        <v>45329</v>
      </c>
      <c r="C954" s="333" t="s">
        <v>60</v>
      </c>
      <c r="D954" s="333" t="s">
        <v>2816</v>
      </c>
      <c r="E954" s="333"/>
      <c r="F954" s="374" t="s">
        <v>2817</v>
      </c>
      <c r="G954" s="372" t="s">
        <v>2818</v>
      </c>
      <c r="H954" s="372">
        <v>1</v>
      </c>
      <c r="I954" s="372">
        <v>2</v>
      </c>
      <c r="J954" s="372" t="s">
        <v>265</v>
      </c>
      <c r="K954" s="372" t="s">
        <v>32</v>
      </c>
      <c r="L954" s="372"/>
      <c r="M954" s="372"/>
      <c r="N954" s="449"/>
      <c r="O954" s="449"/>
      <c r="P954" s="495"/>
      <c r="Q954" s="372"/>
      <c r="R954" s="372"/>
      <c r="S954" s="401"/>
      <c r="T954" s="401"/>
      <c r="U954" s="401"/>
      <c r="V954" s="401"/>
      <c r="W954" s="402">
        <v>45124</v>
      </c>
      <c r="X954" s="401"/>
      <c r="Y954" s="336" t="str">
        <f t="shared" ca="1" si="19"/>
        <v/>
      </c>
      <c r="Z954" s="401"/>
      <c r="AA954" s="401"/>
      <c r="AB954" s="373"/>
      <c r="AD954" s="338"/>
    </row>
    <row r="955" spans="1:30" ht="12.75" customHeight="1" x14ac:dyDescent="0.25">
      <c r="A955" s="347" t="s">
        <v>2819</v>
      </c>
      <c r="B955" s="363">
        <v>45328</v>
      </c>
      <c r="C955" s="333" t="s">
        <v>60</v>
      </c>
      <c r="D955" s="333" t="s">
        <v>1148</v>
      </c>
      <c r="E955" s="364"/>
      <c r="F955" s="365" t="s">
        <v>2820</v>
      </c>
      <c r="G955" s="366" t="s">
        <v>2821</v>
      </c>
      <c r="H955" s="366">
        <v>3</v>
      </c>
      <c r="I955" s="366" t="s">
        <v>2822</v>
      </c>
      <c r="J955" s="372" t="s">
        <v>46</v>
      </c>
      <c r="K955" s="366" t="s">
        <v>32</v>
      </c>
      <c r="L955" s="366"/>
      <c r="M955" s="366"/>
      <c r="N955" s="506"/>
      <c r="O955" s="506"/>
      <c r="P955" s="507"/>
      <c r="Q955" s="366"/>
      <c r="R955" s="366"/>
      <c r="S955" s="404"/>
      <c r="T955" s="404"/>
      <c r="U955" s="404"/>
      <c r="V955" s="404"/>
      <c r="W955" s="405"/>
      <c r="X955" s="404"/>
      <c r="Y955" s="336" t="str">
        <f t="shared" ca="1" si="19"/>
        <v/>
      </c>
      <c r="Z955" s="404"/>
      <c r="AA955" s="404"/>
      <c r="AB955" s="369"/>
      <c r="AD955" s="338"/>
    </row>
    <row r="956" spans="1:30" ht="12.75" customHeight="1" x14ac:dyDescent="0.25">
      <c r="A956" s="347" t="s">
        <v>2823</v>
      </c>
      <c r="B956" s="376">
        <v>45342</v>
      </c>
      <c r="C956" s="333" t="s">
        <v>35</v>
      </c>
      <c r="D956" s="333" t="s">
        <v>71</v>
      </c>
      <c r="E956" s="333"/>
      <c r="F956" s="374" t="s">
        <v>2824</v>
      </c>
      <c r="G956" s="372" t="s">
        <v>2825</v>
      </c>
      <c r="H956" s="372">
        <v>1</v>
      </c>
      <c r="I956" s="372" t="s">
        <v>2826</v>
      </c>
      <c r="J956" s="372" t="s">
        <v>68</v>
      </c>
      <c r="K956" s="372" t="s">
        <v>69</v>
      </c>
      <c r="L956" s="372"/>
      <c r="M956" s="372"/>
      <c r="N956" s="449"/>
      <c r="O956" s="449"/>
      <c r="P956" s="495"/>
      <c r="Q956" s="372"/>
      <c r="R956" s="372"/>
      <c r="S956" s="401"/>
      <c r="T956" s="401"/>
      <c r="U956" s="401"/>
      <c r="V956" s="401"/>
      <c r="W956" s="402"/>
      <c r="X956" s="401"/>
      <c r="Y956" s="336" t="str">
        <f t="shared" ca="1" si="19"/>
        <v/>
      </c>
      <c r="Z956" s="401"/>
      <c r="AA956" s="401"/>
      <c r="AB956" s="373"/>
      <c r="AC956" s="338" t="e">
        <f>VLOOKUP(F956,'[1]CPO DATA'!$D:$I,4,FALSE)</f>
        <v>#N/A</v>
      </c>
      <c r="AD956" s="418" t="str">
        <f>VLOOKUP(F956,'STORE ITEMS'!C:F,2,FALSE)</f>
        <v>ROD ASSY, STEERING RELAY</v>
      </c>
    </row>
    <row r="957" spans="1:30" ht="12.75" customHeight="1" x14ac:dyDescent="0.25">
      <c r="A957" s="347" t="s">
        <v>2827</v>
      </c>
      <c r="B957" s="376">
        <v>45338</v>
      </c>
      <c r="C957" s="333" t="s">
        <v>60</v>
      </c>
      <c r="D957" s="333" t="s">
        <v>843</v>
      </c>
      <c r="E957" s="333"/>
      <c r="F957" s="374" t="s">
        <v>2754</v>
      </c>
      <c r="G957" s="372" t="s">
        <v>2755</v>
      </c>
      <c r="H957" s="372">
        <v>2</v>
      </c>
      <c r="I957" s="372">
        <v>3</v>
      </c>
      <c r="J957" s="372" t="s">
        <v>31</v>
      </c>
      <c r="K957" s="372" t="s">
        <v>32</v>
      </c>
      <c r="L957" s="372"/>
      <c r="M957" s="372"/>
      <c r="N957" s="449"/>
      <c r="O957" s="449"/>
      <c r="P957" s="495"/>
      <c r="Q957" s="372"/>
      <c r="R957" s="372"/>
      <c r="S957" s="401"/>
      <c r="T957" s="401"/>
      <c r="U957" s="401"/>
      <c r="V957" s="401"/>
      <c r="W957" s="402"/>
      <c r="X957" s="401"/>
      <c r="Y957" s="336" t="str">
        <f t="shared" ca="1" si="19"/>
        <v/>
      </c>
      <c r="Z957" s="401"/>
      <c r="AA957" s="401"/>
      <c r="AB957" s="618" t="s">
        <v>2828</v>
      </c>
      <c r="AD957" s="338"/>
    </row>
    <row r="958" spans="1:30" ht="12.75" customHeight="1" x14ac:dyDescent="0.25">
      <c r="A958" s="347" t="s">
        <v>2829</v>
      </c>
      <c r="B958" s="376">
        <v>45348</v>
      </c>
      <c r="C958" s="333" t="s">
        <v>35</v>
      </c>
      <c r="D958" s="333" t="s">
        <v>71</v>
      </c>
      <c r="E958" s="333"/>
      <c r="F958" s="374" t="s">
        <v>1307</v>
      </c>
      <c r="G958" s="372" t="s">
        <v>2830</v>
      </c>
      <c r="H958" s="372">
        <v>1</v>
      </c>
      <c r="I958" s="372">
        <v>98</v>
      </c>
      <c r="J958" s="372" t="s">
        <v>68</v>
      </c>
      <c r="K958" s="372" t="s">
        <v>69</v>
      </c>
      <c r="L958" s="372"/>
      <c r="M958" s="372"/>
      <c r="N958" s="449"/>
      <c r="O958" s="449"/>
      <c r="P958" s="495"/>
      <c r="Q958" s="372"/>
      <c r="R958" s="372"/>
      <c r="S958" s="401"/>
      <c r="T958" s="401"/>
      <c r="U958" s="401"/>
      <c r="V958" s="401"/>
      <c r="W958" s="402"/>
      <c r="X958" s="401"/>
      <c r="Y958" s="336" t="str">
        <f t="shared" ca="1" si="19"/>
        <v/>
      </c>
      <c r="Z958" s="401"/>
      <c r="AA958" s="401"/>
      <c r="AB958" s="373"/>
      <c r="AC958" s="338" t="e">
        <f>VLOOKUP(F958,'[1]CPO DATA'!$D:$I,4,FALSE)</f>
        <v>#N/A</v>
      </c>
      <c r="AD958" s="418" t="str">
        <f>VLOOKUP(F958,'STORE ITEMS'!C:F,2,FALSE)</f>
        <v>CABLE SUB ASSY SPIRAL</v>
      </c>
    </row>
    <row r="959" spans="1:30" ht="12.75" customHeight="1" x14ac:dyDescent="0.25">
      <c r="A959" s="347" t="s">
        <v>2831</v>
      </c>
      <c r="B959" s="376">
        <v>45336</v>
      </c>
      <c r="C959" s="333" t="s">
        <v>60</v>
      </c>
      <c r="D959" s="333"/>
      <c r="E959" s="333"/>
      <c r="F959" s="374" t="s">
        <v>2832</v>
      </c>
      <c r="G959" s="372" t="s">
        <v>2833</v>
      </c>
      <c r="H959" s="372">
        <v>1</v>
      </c>
      <c r="I959" s="372">
        <v>4</v>
      </c>
      <c r="J959" s="372" t="s">
        <v>43</v>
      </c>
      <c r="K959" s="372" t="s">
        <v>32</v>
      </c>
      <c r="L959" s="372"/>
      <c r="M959" s="372"/>
      <c r="N959" s="449"/>
      <c r="O959" s="449"/>
      <c r="P959" s="495"/>
      <c r="Q959" s="372"/>
      <c r="R959" s="372"/>
      <c r="S959" s="401"/>
      <c r="T959" s="401"/>
      <c r="U959" s="401"/>
      <c r="V959" s="401"/>
      <c r="W959" s="402"/>
      <c r="X959" s="401"/>
      <c r="Y959" s="336" t="str">
        <f t="shared" ca="1" si="19"/>
        <v/>
      </c>
      <c r="Z959" s="401"/>
      <c r="AA959" s="401"/>
      <c r="AB959" s="373"/>
      <c r="AD959" s="338"/>
    </row>
    <row r="960" spans="1:30" ht="12.75" customHeight="1" x14ac:dyDescent="0.25">
      <c r="A960" s="347" t="s">
        <v>2834</v>
      </c>
      <c r="B960" s="376"/>
      <c r="C960" s="333" t="s">
        <v>35</v>
      </c>
      <c r="D960" s="333" t="s">
        <v>71</v>
      </c>
      <c r="E960" s="333"/>
      <c r="F960" s="374" t="s">
        <v>2835</v>
      </c>
      <c r="G960" s="372" t="s">
        <v>1022</v>
      </c>
      <c r="H960" s="372">
        <v>4</v>
      </c>
      <c r="I960" s="372">
        <v>1</v>
      </c>
      <c r="J960" s="372" t="s">
        <v>68</v>
      </c>
      <c r="K960" s="372" t="s">
        <v>69</v>
      </c>
      <c r="L960" s="372"/>
      <c r="M960" s="372"/>
      <c r="N960" s="449"/>
      <c r="O960" s="449"/>
      <c r="P960" s="495"/>
      <c r="Q960" s="372"/>
      <c r="R960" s="372"/>
      <c r="S960" s="401"/>
      <c r="T960" s="401"/>
      <c r="U960" s="401"/>
      <c r="V960" s="401"/>
      <c r="W960" s="402">
        <v>45509</v>
      </c>
      <c r="X960" s="401"/>
      <c r="Y960" s="336" t="str">
        <f t="shared" ca="1" si="19"/>
        <v/>
      </c>
      <c r="Z960" s="401"/>
      <c r="AA960" s="401"/>
      <c r="AB960" s="373"/>
      <c r="AD960" s="338"/>
    </row>
    <row r="961" spans="1:30" ht="12.75" customHeight="1" x14ac:dyDescent="0.25">
      <c r="A961" s="411" t="s">
        <v>2836</v>
      </c>
      <c r="B961" s="363">
        <v>45340</v>
      </c>
      <c r="C961" s="364" t="s">
        <v>35</v>
      </c>
      <c r="D961" s="364" t="s">
        <v>71</v>
      </c>
      <c r="E961" s="333"/>
      <c r="F961" s="365" t="s">
        <v>2837</v>
      </c>
      <c r="G961" s="366" t="s">
        <v>2838</v>
      </c>
      <c r="H961" s="366">
        <v>8</v>
      </c>
      <c r="I961" s="366">
        <v>1</v>
      </c>
      <c r="J961" s="366" t="s">
        <v>68</v>
      </c>
      <c r="K961" s="366" t="s">
        <v>69</v>
      </c>
      <c r="L961" s="366"/>
      <c r="M961" s="366"/>
      <c r="N961" s="506"/>
      <c r="O961" s="506"/>
      <c r="P961" s="507"/>
      <c r="Q961" s="372"/>
      <c r="R961" s="372"/>
      <c r="S961" s="401"/>
      <c r="T961" s="401"/>
      <c r="U961" s="401"/>
      <c r="V961" s="401"/>
      <c r="W961" s="402"/>
      <c r="X961" s="401"/>
      <c r="Y961" s="336" t="str">
        <f t="shared" ca="1" si="19"/>
        <v/>
      </c>
      <c r="Z961" s="401"/>
      <c r="AA961" s="401"/>
      <c r="AB961" s="373"/>
      <c r="AC961" s="338" t="e">
        <f>VLOOKUP(F961,'[1]CPO DATA'!$D:$I,4,FALSE)</f>
        <v>#N/A</v>
      </c>
      <c r="AD961" s="418" t="e">
        <f>VLOOKUP(F961,'STORE ITEMS'!C:F,2,FALSE)</f>
        <v>#N/A</v>
      </c>
    </row>
    <row r="962" spans="1:30" ht="12.75" customHeight="1" x14ac:dyDescent="0.25">
      <c r="A962" s="425" t="s">
        <v>2839</v>
      </c>
      <c r="B962" s="376">
        <v>45349</v>
      </c>
      <c r="C962" s="333" t="s">
        <v>35</v>
      </c>
      <c r="D962" s="333" t="s">
        <v>177</v>
      </c>
      <c r="E962" s="499"/>
      <c r="F962" s="374" t="s">
        <v>2840</v>
      </c>
      <c r="G962" s="372" t="s">
        <v>2841</v>
      </c>
      <c r="H962" s="372">
        <v>1</v>
      </c>
      <c r="I962" s="372" t="s">
        <v>2842</v>
      </c>
      <c r="J962" s="372" t="s">
        <v>68</v>
      </c>
      <c r="K962" s="372" t="s">
        <v>69</v>
      </c>
      <c r="L962" s="372"/>
      <c r="M962" s="372"/>
      <c r="N962" s="449"/>
      <c r="O962" s="449"/>
      <c r="P962" s="495"/>
      <c r="Q962" s="508"/>
      <c r="R962" s="372"/>
      <c r="S962" s="401"/>
      <c r="T962" s="401"/>
      <c r="U962" s="401"/>
      <c r="V962" s="401"/>
      <c r="W962" s="402"/>
      <c r="X962" s="401"/>
      <c r="Y962" s="336" t="str">
        <f t="shared" ca="1" si="19"/>
        <v/>
      </c>
      <c r="Z962" s="401"/>
      <c r="AA962" s="401"/>
      <c r="AB962" s="373"/>
      <c r="AC962" s="338" t="e">
        <f>VLOOKUP(F962,'[1]CPO DATA'!$D:$I,4,FALSE)</f>
        <v>#N/A</v>
      </c>
      <c r="AD962" s="418" t="e">
        <f>VLOOKUP(F962,'STORE ITEMS'!C:F,2,FALSE)</f>
        <v>#N/A</v>
      </c>
    </row>
    <row r="963" spans="1:30" ht="12.75" customHeight="1" x14ac:dyDescent="0.25">
      <c r="A963" s="500" t="s">
        <v>2843</v>
      </c>
      <c r="B963" s="501">
        <v>45349</v>
      </c>
      <c r="C963" s="415" t="s">
        <v>35</v>
      </c>
      <c r="D963" s="415" t="s">
        <v>36</v>
      </c>
      <c r="E963" s="333"/>
      <c r="F963" s="427" t="s">
        <v>2844</v>
      </c>
      <c r="G963" s="428" t="s">
        <v>2845</v>
      </c>
      <c r="H963" s="428">
        <v>1</v>
      </c>
      <c r="I963" s="428" t="s">
        <v>2846</v>
      </c>
      <c r="J963" s="428" t="s">
        <v>43</v>
      </c>
      <c r="K963" s="428" t="s">
        <v>32</v>
      </c>
      <c r="L963" s="428"/>
      <c r="M963" s="428"/>
      <c r="N963" s="428"/>
      <c r="O963" s="428"/>
      <c r="P963" s="428"/>
      <c r="Q963" s="372"/>
      <c r="R963" s="372"/>
      <c r="S963" s="401"/>
      <c r="T963" s="401"/>
      <c r="U963" s="401"/>
      <c r="V963" s="401"/>
      <c r="W963" s="402"/>
      <c r="X963" s="401"/>
      <c r="Y963" s="336" t="str">
        <f t="shared" ca="1" si="19"/>
        <v/>
      </c>
      <c r="Z963" s="401"/>
      <c r="AA963" s="401"/>
      <c r="AB963" s="373"/>
      <c r="AC963" s="338" t="e">
        <f>VLOOKUP(F963,'[1]CPO DATA'!$D:$I,4,FALSE)</f>
        <v>#N/A</v>
      </c>
      <c r="AD963" s="418" t="e">
        <f>VLOOKUP(F963,'STORE ITEMS'!C:F,2,FALSE)</f>
        <v>#N/A</v>
      </c>
    </row>
    <row r="964" spans="1:30" ht="12.75" customHeight="1" x14ac:dyDescent="0.25">
      <c r="A964" s="347" t="s">
        <v>2847</v>
      </c>
      <c r="B964" s="376">
        <v>45349</v>
      </c>
      <c r="C964" s="333" t="s">
        <v>35</v>
      </c>
      <c r="D964" s="333" t="s">
        <v>36</v>
      </c>
      <c r="E964" s="333"/>
      <c r="F964" s="374" t="s">
        <v>2848</v>
      </c>
      <c r="G964" s="372" t="s">
        <v>2849</v>
      </c>
      <c r="H964" s="372">
        <v>1</v>
      </c>
      <c r="I964" s="372" t="s">
        <v>2846</v>
      </c>
      <c r="J964" s="372" t="s">
        <v>68</v>
      </c>
      <c r="K964" s="372" t="s">
        <v>69</v>
      </c>
      <c r="L964" s="372"/>
      <c r="M964" s="372"/>
      <c r="N964" s="449"/>
      <c r="O964" s="449"/>
      <c r="P964" s="495"/>
      <c r="Q964" s="372"/>
      <c r="R964" s="372"/>
      <c r="S964" s="401"/>
      <c r="T964" s="401"/>
      <c r="U964" s="401"/>
      <c r="V964" s="401"/>
      <c r="W964" s="402"/>
      <c r="X964" s="401"/>
      <c r="Y964" s="336" t="str">
        <f t="shared" ca="1" si="19"/>
        <v/>
      </c>
      <c r="Z964" s="401"/>
      <c r="AA964" s="401"/>
      <c r="AB964" s="373"/>
      <c r="AC964" s="338" t="e">
        <f>VLOOKUP(F964,'[1]CPO DATA'!$D:$I,4,FALSE)</f>
        <v>#N/A</v>
      </c>
      <c r="AD964" s="418" t="e">
        <f>VLOOKUP(F964,'STORE ITEMS'!C:F,2,FALSE)</f>
        <v>#N/A</v>
      </c>
    </row>
    <row r="965" spans="1:30" s="447" customFormat="1" ht="12.75" customHeight="1" x14ac:dyDescent="0.25">
      <c r="A965" s="347" t="s">
        <v>2850</v>
      </c>
      <c r="B965" s="438">
        <v>45348</v>
      </c>
      <c r="C965" s="390" t="s">
        <v>26</v>
      </c>
      <c r="D965" s="390" t="s">
        <v>65</v>
      </c>
      <c r="E965" s="326"/>
      <c r="F965" s="389">
        <v>2030493</v>
      </c>
      <c r="G965" s="390" t="s">
        <v>2851</v>
      </c>
      <c r="H965" s="390">
        <v>1</v>
      </c>
      <c r="I965" s="390" t="s">
        <v>2852</v>
      </c>
      <c r="J965" s="390" t="s">
        <v>46</v>
      </c>
      <c r="K965" s="390" t="s">
        <v>32</v>
      </c>
      <c r="L965" s="390"/>
      <c r="M965" s="390"/>
      <c r="N965" s="516"/>
      <c r="O965" s="516"/>
      <c r="P965" s="517">
        <v>45370</v>
      </c>
      <c r="Q965" s="390"/>
      <c r="R965" s="390"/>
      <c r="S965" s="445"/>
      <c r="T965" s="445"/>
      <c r="U965" s="445"/>
      <c r="V965" s="445"/>
      <c r="W965" s="402"/>
      <c r="X965" s="445"/>
      <c r="Y965" s="336">
        <f t="shared" ca="1" si="19"/>
        <v>216</v>
      </c>
      <c r="Z965" s="445"/>
      <c r="AA965" s="445"/>
      <c r="AB965" s="445"/>
    </row>
    <row r="966" spans="1:30" ht="12.75" customHeight="1" x14ac:dyDescent="0.25">
      <c r="A966" s="347" t="s">
        <v>2853</v>
      </c>
      <c r="B966" s="376"/>
      <c r="C966" s="333" t="s">
        <v>35</v>
      </c>
      <c r="D966" s="333" t="s">
        <v>71</v>
      </c>
      <c r="E966" s="333"/>
      <c r="F966" s="374" t="s">
        <v>1114</v>
      </c>
      <c r="G966" s="372" t="s">
        <v>1543</v>
      </c>
      <c r="H966" s="372">
        <v>3</v>
      </c>
      <c r="I966" s="372" t="s">
        <v>2854</v>
      </c>
      <c r="J966" s="372" t="s">
        <v>68</v>
      </c>
      <c r="K966" s="372" t="s">
        <v>69</v>
      </c>
      <c r="L966" s="372"/>
      <c r="M966" s="372"/>
      <c r="N966" s="449"/>
      <c r="O966" s="449"/>
      <c r="P966" s="495"/>
      <c r="Q966" s="372"/>
      <c r="R966" s="372"/>
      <c r="S966" s="401"/>
      <c r="T966" s="401"/>
      <c r="U966" s="401"/>
      <c r="V966" s="401"/>
      <c r="W966" s="402">
        <v>45036</v>
      </c>
      <c r="X966" s="401"/>
      <c r="Y966" s="336" t="str">
        <f t="shared" ca="1" si="19"/>
        <v/>
      </c>
      <c r="Z966" s="401"/>
      <c r="AA966" s="401"/>
      <c r="AB966" s="373"/>
      <c r="AD966" s="338"/>
    </row>
    <row r="967" spans="1:30" ht="12.75" customHeight="1" x14ac:dyDescent="0.25">
      <c r="A967" s="347" t="s">
        <v>2855</v>
      </c>
      <c r="B967" s="376">
        <v>45351</v>
      </c>
      <c r="C967" s="333" t="s">
        <v>60</v>
      </c>
      <c r="D967" s="333" t="s">
        <v>880</v>
      </c>
      <c r="E967" s="333"/>
      <c r="F967" s="374" t="s">
        <v>851</v>
      </c>
      <c r="G967" s="372" t="s">
        <v>2856</v>
      </c>
      <c r="H967" s="372">
        <v>1</v>
      </c>
      <c r="I967" s="372">
        <v>377</v>
      </c>
      <c r="J967" s="372" t="s">
        <v>68</v>
      </c>
      <c r="K967" s="372" t="s">
        <v>69</v>
      </c>
      <c r="L967" s="372"/>
      <c r="M967" s="372"/>
      <c r="N967" s="449"/>
      <c r="O967" s="449"/>
      <c r="P967" s="495"/>
      <c r="Q967" s="372"/>
      <c r="R967" s="372"/>
      <c r="S967" s="401"/>
      <c r="T967" s="401"/>
      <c r="U967" s="401"/>
      <c r="V967" s="401"/>
      <c r="W967" s="402"/>
      <c r="X967" s="401"/>
      <c r="Y967" s="336" t="str">
        <f t="shared" ca="1" si="19"/>
        <v/>
      </c>
      <c r="Z967" s="401"/>
      <c r="AA967" s="401"/>
      <c r="AB967" s="373"/>
      <c r="AD967" s="338"/>
    </row>
    <row r="968" spans="1:30" ht="12.75" customHeight="1" x14ac:dyDescent="0.25">
      <c r="A968" s="347" t="s">
        <v>2857</v>
      </c>
      <c r="B968" s="376">
        <v>45323</v>
      </c>
      <c r="C968" s="333"/>
      <c r="D968" s="333"/>
      <c r="E968" s="333"/>
      <c r="F968" s="374">
        <v>461102659100</v>
      </c>
      <c r="G968" s="372" t="s">
        <v>2858</v>
      </c>
      <c r="H968" s="372">
        <v>1</v>
      </c>
      <c r="I968" s="372">
        <v>11</v>
      </c>
      <c r="J968" s="372" t="s">
        <v>68</v>
      </c>
      <c r="K968" s="372" t="s">
        <v>69</v>
      </c>
      <c r="L968" s="372"/>
      <c r="M968" s="372"/>
      <c r="N968" s="449"/>
      <c r="O968" s="449"/>
      <c r="P968" s="495"/>
      <c r="Q968" s="372"/>
      <c r="R968" s="372"/>
      <c r="S968" s="401"/>
      <c r="T968" s="401"/>
      <c r="U968" s="401"/>
      <c r="V968" s="401"/>
      <c r="W968" s="402"/>
      <c r="X968" s="401"/>
      <c r="Y968" s="336" t="str">
        <f t="shared" ref="Y968:Y1031" ca="1" si="20">IF(P968="","",IF(W968="",TODAY()-P968,W968-P968))</f>
        <v/>
      </c>
      <c r="Z968" s="401"/>
      <c r="AA968" s="401"/>
      <c r="AB968" s="373"/>
      <c r="AD968" s="338"/>
    </row>
    <row r="969" spans="1:30" ht="12.75" customHeight="1" x14ac:dyDescent="0.25">
      <c r="A969" s="347" t="s">
        <v>2859</v>
      </c>
      <c r="B969" s="376">
        <v>45267</v>
      </c>
      <c r="C969" s="333" t="s">
        <v>60</v>
      </c>
      <c r="D969" s="333" t="s">
        <v>2816</v>
      </c>
      <c r="E969" s="333"/>
      <c r="F969" s="374" t="s">
        <v>2860</v>
      </c>
      <c r="G969" s="372" t="s">
        <v>2861</v>
      </c>
      <c r="H969" s="372">
        <v>1</v>
      </c>
      <c r="I969" s="372" t="s">
        <v>2862</v>
      </c>
      <c r="J969" s="372" t="s">
        <v>31</v>
      </c>
      <c r="K969" s="372" t="s">
        <v>32</v>
      </c>
      <c r="L969" s="372"/>
      <c r="M969" s="372"/>
      <c r="N969" s="449"/>
      <c r="O969" s="449"/>
      <c r="P969" s="495"/>
      <c r="Q969" s="372"/>
      <c r="R969" s="372"/>
      <c r="S969" s="401"/>
      <c r="T969" s="401"/>
      <c r="U969" s="401"/>
      <c r="V969" s="401"/>
      <c r="W969" s="402"/>
      <c r="X969" s="401"/>
      <c r="Y969" s="336" t="str">
        <f t="shared" ca="1" si="20"/>
        <v/>
      </c>
      <c r="Z969" s="401"/>
      <c r="AA969" s="401"/>
      <c r="AB969" s="373"/>
      <c r="AD969" s="338"/>
    </row>
    <row r="970" spans="1:30" ht="12.75" customHeight="1" x14ac:dyDescent="0.25">
      <c r="A970" s="347" t="s">
        <v>2863</v>
      </c>
      <c r="B970" s="376">
        <v>45267</v>
      </c>
      <c r="C970" s="333" t="s">
        <v>60</v>
      </c>
      <c r="D970" s="333" t="s">
        <v>2816</v>
      </c>
      <c r="E970" s="333"/>
      <c r="F970" s="374" t="s">
        <v>2864</v>
      </c>
      <c r="G970" s="372" t="s">
        <v>2865</v>
      </c>
      <c r="H970" s="372">
        <v>1</v>
      </c>
      <c r="I970" s="372" t="s">
        <v>2862</v>
      </c>
      <c r="J970" s="372" t="s">
        <v>31</v>
      </c>
      <c r="K970" s="372" t="s">
        <v>32</v>
      </c>
      <c r="L970" s="372"/>
      <c r="M970" s="372"/>
      <c r="N970" s="449"/>
      <c r="O970" s="449"/>
      <c r="P970" s="495"/>
      <c r="Q970" s="372"/>
      <c r="R970" s="372"/>
      <c r="S970" s="401"/>
      <c r="T970" s="401"/>
      <c r="U970" s="401"/>
      <c r="V970" s="401"/>
      <c r="W970" s="402">
        <v>45124</v>
      </c>
      <c r="X970" s="401"/>
      <c r="Y970" s="336" t="str">
        <f t="shared" ca="1" si="20"/>
        <v/>
      </c>
      <c r="Z970" s="401"/>
      <c r="AA970" s="401"/>
      <c r="AB970" s="373"/>
      <c r="AD970" s="338"/>
    </row>
    <row r="971" spans="1:30" ht="12.75" customHeight="1" x14ac:dyDescent="0.25">
      <c r="A971" s="347" t="s">
        <v>2866</v>
      </c>
      <c r="B971" s="376">
        <v>45317</v>
      </c>
      <c r="C971" s="333" t="s">
        <v>35</v>
      </c>
      <c r="D971" s="333" t="s">
        <v>71</v>
      </c>
      <c r="E971" s="333"/>
      <c r="F971" s="374" t="s">
        <v>1114</v>
      </c>
      <c r="G971" s="372" t="s">
        <v>1543</v>
      </c>
      <c r="H971" s="372">
        <v>1</v>
      </c>
      <c r="I971" s="372" t="s">
        <v>2867</v>
      </c>
      <c r="J971" s="372" t="s">
        <v>68</v>
      </c>
      <c r="K971" s="372" t="s">
        <v>69</v>
      </c>
      <c r="L971" s="372"/>
      <c r="M971" s="372"/>
      <c r="N971" s="449"/>
      <c r="O971" s="449"/>
      <c r="P971" s="495"/>
      <c r="Q971" s="372"/>
      <c r="R971" s="372"/>
      <c r="S971" s="401"/>
      <c r="T971" s="401"/>
      <c r="U971" s="401"/>
      <c r="V971" s="401"/>
      <c r="W971" s="402">
        <v>45036</v>
      </c>
      <c r="X971" s="401"/>
      <c r="Y971" s="336" t="str">
        <f t="shared" ca="1" si="20"/>
        <v/>
      </c>
      <c r="Z971" s="401"/>
      <c r="AA971" s="401"/>
      <c r="AB971" s="373"/>
      <c r="AC971" s="338" t="e">
        <f>VLOOKUP(F971,'[1]CPO DATA'!$D:$I,4,FALSE)</f>
        <v>#N/A</v>
      </c>
      <c r="AD971" s="418" t="str">
        <f>VLOOKUP(F971,'STORE ITEMS'!C:F,2,FALSE)</f>
        <v>PLATE NAME</v>
      </c>
    </row>
    <row r="972" spans="1:30" ht="12.75" customHeight="1" x14ac:dyDescent="0.25">
      <c r="A972" s="347" t="s">
        <v>2868</v>
      </c>
      <c r="B972" s="376">
        <v>45329</v>
      </c>
      <c r="C972" s="333" t="s">
        <v>60</v>
      </c>
      <c r="D972" s="333" t="s">
        <v>880</v>
      </c>
      <c r="E972" s="333"/>
      <c r="F972" s="374"/>
      <c r="G972" s="372" t="s">
        <v>2869</v>
      </c>
      <c r="H972" s="372">
        <v>1</v>
      </c>
      <c r="I972" s="372">
        <v>367</v>
      </c>
      <c r="J972" s="372" t="s">
        <v>68</v>
      </c>
      <c r="K972" s="372" t="s">
        <v>69</v>
      </c>
      <c r="L972" s="372"/>
      <c r="M972" s="372"/>
      <c r="N972" s="449"/>
      <c r="O972" s="449"/>
      <c r="P972" s="495"/>
      <c r="Q972" s="372"/>
      <c r="R972" s="372"/>
      <c r="S972" s="401"/>
      <c r="T972" s="401"/>
      <c r="U972" s="401"/>
      <c r="V972" s="401"/>
      <c r="W972" s="402"/>
      <c r="X972" s="401"/>
      <c r="Y972" s="336" t="str">
        <f t="shared" ca="1" si="20"/>
        <v/>
      </c>
      <c r="Z972" s="401"/>
      <c r="AA972" s="401"/>
      <c r="AB972" s="373"/>
      <c r="AD972" s="338"/>
    </row>
    <row r="973" spans="1:30" ht="12.75" customHeight="1" x14ac:dyDescent="0.25">
      <c r="A973" s="347" t="s">
        <v>2870</v>
      </c>
      <c r="B973" s="376">
        <v>45330</v>
      </c>
      <c r="C973" s="333" t="s">
        <v>60</v>
      </c>
      <c r="D973" s="333" t="s">
        <v>1148</v>
      </c>
      <c r="E973" s="333"/>
      <c r="F973" s="374" t="s">
        <v>2871</v>
      </c>
      <c r="G973" s="372" t="s">
        <v>2872</v>
      </c>
      <c r="H973" s="372">
        <v>1</v>
      </c>
      <c r="I973" s="372">
        <v>88</v>
      </c>
      <c r="J973" s="372" t="s">
        <v>46</v>
      </c>
      <c r="K973" s="372" t="s">
        <v>32</v>
      </c>
      <c r="L973" s="372"/>
      <c r="M973" s="372"/>
      <c r="N973" s="449"/>
      <c r="O973" s="449"/>
      <c r="P973" s="495"/>
      <c r="Q973" s="372"/>
      <c r="R973" s="372"/>
      <c r="S973" s="401"/>
      <c r="T973" s="401"/>
      <c r="U973" s="401"/>
      <c r="V973" s="401"/>
      <c r="W973" s="402"/>
      <c r="X973" s="401"/>
      <c r="Y973" s="336" t="str">
        <f t="shared" ca="1" si="20"/>
        <v/>
      </c>
      <c r="Z973" s="401"/>
      <c r="AA973" s="401"/>
      <c r="AB973" s="373"/>
      <c r="AD973" s="338"/>
    </row>
    <row r="974" spans="1:30" ht="12.75" customHeight="1" x14ac:dyDescent="0.25">
      <c r="A974" s="347" t="s">
        <v>2873</v>
      </c>
      <c r="B974" s="376">
        <v>45320</v>
      </c>
      <c r="C974" s="333" t="s">
        <v>35</v>
      </c>
      <c r="D974" s="333" t="s">
        <v>83</v>
      </c>
      <c r="E974" s="333"/>
      <c r="F974" s="374" t="s">
        <v>2874</v>
      </c>
      <c r="G974" s="372" t="s">
        <v>2875</v>
      </c>
      <c r="H974" s="372">
        <v>1</v>
      </c>
      <c r="I974" s="372" t="s">
        <v>2876</v>
      </c>
      <c r="J974" s="372" t="s">
        <v>68</v>
      </c>
      <c r="K974" s="372" t="s">
        <v>69</v>
      </c>
      <c r="L974" s="372"/>
      <c r="M974" s="372"/>
      <c r="N974" s="449"/>
      <c r="O974" s="449"/>
      <c r="P974" s="495"/>
      <c r="Q974" s="372"/>
      <c r="R974" s="372"/>
      <c r="S974" s="401"/>
      <c r="T974" s="401"/>
      <c r="U974" s="401"/>
      <c r="V974" s="401"/>
      <c r="W974" s="402"/>
      <c r="X974" s="401"/>
      <c r="Y974" s="336" t="str">
        <f t="shared" ca="1" si="20"/>
        <v/>
      </c>
      <c r="Z974" s="401"/>
      <c r="AA974" s="401"/>
      <c r="AB974" s="373"/>
      <c r="AC974" s="338" t="str">
        <f>VLOOKUP(F974,'[1]CPO DATA'!$D:$I,4,FALSE)</f>
        <v>GH487</v>
      </c>
      <c r="AD974" s="338"/>
    </row>
    <row r="975" spans="1:30" ht="12.75" customHeight="1" x14ac:dyDescent="0.25">
      <c r="A975" s="347" t="s">
        <v>2877</v>
      </c>
      <c r="B975" s="376">
        <v>45310</v>
      </c>
      <c r="C975" s="333" t="s">
        <v>35</v>
      </c>
      <c r="D975" s="333" t="s">
        <v>83</v>
      </c>
      <c r="E975" s="333"/>
      <c r="F975" s="374" t="s">
        <v>1959</v>
      </c>
      <c r="G975" s="372" t="s">
        <v>2878</v>
      </c>
      <c r="H975" s="372">
        <v>1</v>
      </c>
      <c r="I975" s="372" t="s">
        <v>2879</v>
      </c>
      <c r="J975" s="372" t="s">
        <v>68</v>
      </c>
      <c r="K975" s="372" t="s">
        <v>69</v>
      </c>
      <c r="L975" s="372"/>
      <c r="M975" s="372"/>
      <c r="N975" s="449"/>
      <c r="O975" s="449"/>
      <c r="P975" s="495"/>
      <c r="Q975" s="372"/>
      <c r="R975" s="372"/>
      <c r="S975" s="401"/>
      <c r="T975" s="401"/>
      <c r="U975" s="401"/>
      <c r="V975" s="401"/>
      <c r="W975" s="402">
        <v>45362</v>
      </c>
      <c r="X975" s="401"/>
      <c r="Y975" s="336" t="str">
        <f t="shared" ca="1" si="20"/>
        <v/>
      </c>
      <c r="Z975" s="401"/>
      <c r="AA975" s="401"/>
      <c r="AB975" s="373"/>
      <c r="AC975" s="338" t="str">
        <f>VLOOKUP(F975,'[1]CPO DATA'!$D:$I,4,FALSE)</f>
        <v>GH521</v>
      </c>
      <c r="AD975" s="338"/>
    </row>
    <row r="976" spans="1:30" ht="12.75" customHeight="1" x14ac:dyDescent="0.25">
      <c r="A976" s="347" t="s">
        <v>2880</v>
      </c>
      <c r="B976" s="376">
        <v>45303</v>
      </c>
      <c r="C976" s="333" t="s">
        <v>35</v>
      </c>
      <c r="D976" s="333" t="s">
        <v>71</v>
      </c>
      <c r="E976" s="333"/>
      <c r="F976" s="374" t="s">
        <v>2881</v>
      </c>
      <c r="G976" s="372" t="s">
        <v>2882</v>
      </c>
      <c r="H976" s="372">
        <v>10</v>
      </c>
      <c r="I976" s="372" t="s">
        <v>2883</v>
      </c>
      <c r="J976" s="372" t="s">
        <v>102</v>
      </c>
      <c r="K976" s="372" t="s">
        <v>69</v>
      </c>
      <c r="L976" s="372"/>
      <c r="M976" s="372"/>
      <c r="N976" s="449"/>
      <c r="O976" s="449"/>
      <c r="P976" s="495"/>
      <c r="Q976" s="372"/>
      <c r="R976" s="372"/>
      <c r="S976" s="401"/>
      <c r="T976" s="401"/>
      <c r="U976" s="401"/>
      <c r="V976" s="401"/>
      <c r="W976" s="402">
        <v>45397</v>
      </c>
      <c r="X976" s="401"/>
      <c r="Y976" s="336" t="str">
        <f t="shared" ca="1" si="20"/>
        <v/>
      </c>
      <c r="Z976" s="401"/>
      <c r="AA976" s="401"/>
      <c r="AB976" s="373"/>
      <c r="AC976" s="338" t="e">
        <f>VLOOKUP(F976,'[1]CPO DATA'!$D:$I,4,FALSE)</f>
        <v>#N/A</v>
      </c>
      <c r="AD976" s="418" t="str">
        <f>VLOOKUP(F976,'STORE ITEMS'!C:F,2,FALSE)</f>
        <v>PIN</v>
      </c>
    </row>
    <row r="977" spans="1:30" ht="12.75" customHeight="1" x14ac:dyDescent="0.25">
      <c r="A977" s="347" t="s">
        <v>2884</v>
      </c>
      <c r="B977" s="376">
        <v>45335</v>
      </c>
      <c r="C977" s="333" t="s">
        <v>60</v>
      </c>
      <c r="D977" s="333" t="s">
        <v>1148</v>
      </c>
      <c r="E977" s="333"/>
      <c r="F977" s="374" t="s">
        <v>1337</v>
      </c>
      <c r="G977" s="372" t="s">
        <v>1338</v>
      </c>
      <c r="H977" s="372">
        <v>1</v>
      </c>
      <c r="I977" s="372">
        <v>88</v>
      </c>
      <c r="J977" s="372" t="s">
        <v>265</v>
      </c>
      <c r="K977" s="372" t="s">
        <v>32</v>
      </c>
      <c r="L977" s="372"/>
      <c r="M977" s="372"/>
      <c r="N977" s="449"/>
      <c r="O977" s="449"/>
      <c r="P977" s="495"/>
      <c r="Q977" s="372"/>
      <c r="R977" s="372"/>
      <c r="S977" s="401"/>
      <c r="T977" s="401"/>
      <c r="U977" s="401"/>
      <c r="V977" s="401"/>
      <c r="W977" s="402"/>
      <c r="X977" s="401"/>
      <c r="Y977" s="336" t="str">
        <f t="shared" ca="1" si="20"/>
        <v/>
      </c>
      <c r="Z977" s="401"/>
      <c r="AA977" s="401"/>
      <c r="AB977" s="373"/>
      <c r="AD977" s="338"/>
    </row>
    <row r="978" spans="1:30" ht="12.75" customHeight="1" x14ac:dyDescent="0.25">
      <c r="A978" s="347" t="s">
        <v>2885</v>
      </c>
      <c r="B978" s="376">
        <v>45335</v>
      </c>
      <c r="C978" s="333" t="s">
        <v>60</v>
      </c>
      <c r="D978" s="333" t="s">
        <v>880</v>
      </c>
      <c r="E978" s="333"/>
      <c r="F978" s="374" t="s">
        <v>33</v>
      </c>
      <c r="G978" s="372" t="s">
        <v>499</v>
      </c>
      <c r="H978" s="372">
        <v>1</v>
      </c>
      <c r="I978" s="372">
        <v>367</v>
      </c>
      <c r="J978" s="372" t="s">
        <v>68</v>
      </c>
      <c r="K978" s="372" t="s">
        <v>69</v>
      </c>
      <c r="L978" s="372"/>
      <c r="M978" s="372"/>
      <c r="N978" s="449"/>
      <c r="O978" s="449"/>
      <c r="P978" s="495"/>
      <c r="Q978" s="372"/>
      <c r="R978" s="372"/>
      <c r="S978" s="401"/>
      <c r="T978" s="401"/>
      <c r="U978" s="401"/>
      <c r="V978" s="401"/>
      <c r="W978" s="402"/>
      <c r="X978" s="401"/>
      <c r="Y978" s="336" t="str">
        <f t="shared" ca="1" si="20"/>
        <v/>
      </c>
      <c r="Z978" s="401"/>
      <c r="AA978" s="401"/>
      <c r="AB978" s="373"/>
      <c r="AD978" s="338"/>
    </row>
    <row r="979" spans="1:30" ht="12.75" customHeight="1" x14ac:dyDescent="0.25">
      <c r="A979" s="347" t="s">
        <v>2886</v>
      </c>
      <c r="B979" s="376">
        <v>45296</v>
      </c>
      <c r="C979" s="333" t="s">
        <v>60</v>
      </c>
      <c r="D979" s="333" t="s">
        <v>1340</v>
      </c>
      <c r="E979" s="333"/>
      <c r="F979" s="374" t="s">
        <v>2887</v>
      </c>
      <c r="G979" s="372" t="s">
        <v>2888</v>
      </c>
      <c r="H979" s="372">
        <v>1</v>
      </c>
      <c r="I979" s="372">
        <v>3</v>
      </c>
      <c r="J979" s="372" t="s">
        <v>31</v>
      </c>
      <c r="K979" s="372" t="s">
        <v>32</v>
      </c>
      <c r="L979" s="372"/>
      <c r="M979" s="372"/>
      <c r="N979" s="449"/>
      <c r="O979" s="449"/>
      <c r="P979" s="495"/>
      <c r="Q979" s="372"/>
      <c r="R979" s="372"/>
      <c r="S979" s="401"/>
      <c r="T979" s="401"/>
      <c r="U979" s="401"/>
      <c r="V979" s="401"/>
      <c r="W979" s="402"/>
      <c r="X979" s="401"/>
      <c r="Y979" s="336" t="str">
        <f t="shared" ca="1" si="20"/>
        <v/>
      </c>
      <c r="Z979" s="401"/>
      <c r="AA979" s="401"/>
      <c r="AB979" s="373"/>
      <c r="AD979" s="338"/>
    </row>
    <row r="980" spans="1:30" ht="12.75" customHeight="1" x14ac:dyDescent="0.25">
      <c r="A980" s="347" t="s">
        <v>2889</v>
      </c>
      <c r="B980" s="376">
        <v>45295</v>
      </c>
      <c r="C980" s="333" t="s">
        <v>60</v>
      </c>
      <c r="D980" s="333" t="s">
        <v>849</v>
      </c>
      <c r="E980" s="333"/>
      <c r="F980" s="374" t="s">
        <v>1079</v>
      </c>
      <c r="G980" s="372" t="s">
        <v>2890</v>
      </c>
      <c r="H980" s="372">
        <v>1</v>
      </c>
      <c r="I980" s="372">
        <v>11</v>
      </c>
      <c r="J980" s="372" t="s">
        <v>31</v>
      </c>
      <c r="K980" s="372" t="s">
        <v>32</v>
      </c>
      <c r="L980" s="372"/>
      <c r="M980" s="372"/>
      <c r="N980" s="449"/>
      <c r="O980" s="449"/>
      <c r="P980" s="495"/>
      <c r="Q980" s="372"/>
      <c r="R980" s="372"/>
      <c r="S980" s="401"/>
      <c r="T980" s="401"/>
      <c r="U980" s="401"/>
      <c r="V980" s="401"/>
      <c r="W980" s="402"/>
      <c r="X980" s="401"/>
      <c r="Y980" s="336" t="str">
        <f t="shared" ca="1" si="20"/>
        <v/>
      </c>
      <c r="Z980" s="401"/>
      <c r="AA980" s="401"/>
      <c r="AB980" s="373"/>
      <c r="AD980" s="338"/>
    </row>
    <row r="981" spans="1:30" ht="12.75" customHeight="1" x14ac:dyDescent="0.25">
      <c r="A981" s="347" t="s">
        <v>2891</v>
      </c>
      <c r="B981" s="376">
        <v>45331</v>
      </c>
      <c r="C981" s="333" t="s">
        <v>219</v>
      </c>
      <c r="D981" s="333" t="s">
        <v>2541</v>
      </c>
      <c r="E981" s="333"/>
      <c r="F981" s="374">
        <v>270242804301</v>
      </c>
      <c r="G981" s="372" t="s">
        <v>2892</v>
      </c>
      <c r="H981" s="372">
        <v>35</v>
      </c>
      <c r="I981" s="372" t="s">
        <v>2814</v>
      </c>
      <c r="J981" s="372" t="s">
        <v>46</v>
      </c>
      <c r="K981" s="372" t="s">
        <v>32</v>
      </c>
      <c r="L981" s="372"/>
      <c r="M981" s="372"/>
      <c r="N981" s="449"/>
      <c r="O981" s="449"/>
      <c r="P981" s="495">
        <v>45336</v>
      </c>
      <c r="Q981" s="372"/>
      <c r="R981" s="372"/>
      <c r="S981" s="401"/>
      <c r="T981" s="401"/>
      <c r="U981" s="401"/>
      <c r="V981" s="401"/>
      <c r="W981" s="402">
        <v>45390</v>
      </c>
      <c r="X981" s="401">
        <v>35</v>
      </c>
      <c r="Y981" s="336">
        <f t="shared" ca="1" si="20"/>
        <v>54</v>
      </c>
      <c r="Z981" s="401"/>
      <c r="AA981" s="401"/>
      <c r="AB981" s="373"/>
      <c r="AD981" s="338"/>
    </row>
    <row r="982" spans="1:30" ht="12.75" customHeight="1" x14ac:dyDescent="0.25">
      <c r="A982" s="347" t="s">
        <v>2893</v>
      </c>
      <c r="B982" s="376">
        <v>45328</v>
      </c>
      <c r="C982" s="333" t="s">
        <v>60</v>
      </c>
      <c r="D982" s="333" t="s">
        <v>1148</v>
      </c>
      <c r="E982" s="333"/>
      <c r="F982" s="374" t="s">
        <v>2820</v>
      </c>
      <c r="G982" s="372" t="s">
        <v>2821</v>
      </c>
      <c r="H982" s="372">
        <v>3</v>
      </c>
      <c r="I982" s="372" t="s">
        <v>2894</v>
      </c>
      <c r="J982" s="372" t="s">
        <v>46</v>
      </c>
      <c r="K982" s="372" t="s">
        <v>32</v>
      </c>
      <c r="L982" s="372"/>
      <c r="M982" s="372"/>
      <c r="N982" s="449"/>
      <c r="O982" s="449"/>
      <c r="P982" s="495"/>
      <c r="Q982" s="372"/>
      <c r="R982" s="372"/>
      <c r="S982" s="401"/>
      <c r="T982" s="401"/>
      <c r="U982" s="401"/>
      <c r="V982" s="401"/>
      <c r="W982" s="402"/>
      <c r="X982" s="401"/>
      <c r="Y982" s="336" t="str">
        <f t="shared" ca="1" si="20"/>
        <v/>
      </c>
      <c r="Z982" s="401"/>
      <c r="AA982" s="401"/>
      <c r="AB982" s="373"/>
      <c r="AD982" s="338"/>
    </row>
    <row r="983" spans="1:30" ht="12.75" customHeight="1" x14ac:dyDescent="0.25">
      <c r="A983" s="347" t="s">
        <v>2895</v>
      </c>
      <c r="B983" s="376">
        <v>45341</v>
      </c>
      <c r="C983" s="333" t="s">
        <v>60</v>
      </c>
      <c r="D983" s="333" t="s">
        <v>1340</v>
      </c>
      <c r="E983" s="333"/>
      <c r="F983" s="374" t="s">
        <v>2797</v>
      </c>
      <c r="G983" s="372" t="s">
        <v>2798</v>
      </c>
      <c r="H983" s="372">
        <v>6</v>
      </c>
      <c r="I983" s="372">
        <v>3</v>
      </c>
      <c r="J983" s="372" t="s">
        <v>43</v>
      </c>
      <c r="K983" s="372" t="s">
        <v>32</v>
      </c>
      <c r="L983" s="372"/>
      <c r="M983" s="372"/>
      <c r="N983" s="449"/>
      <c r="O983" s="449"/>
      <c r="P983" s="495"/>
      <c r="Q983" s="372"/>
      <c r="R983" s="372"/>
      <c r="S983" s="401"/>
      <c r="T983" s="401"/>
      <c r="U983" s="401"/>
      <c r="V983" s="401"/>
      <c r="W983" s="402"/>
      <c r="X983" s="401"/>
      <c r="Y983" s="336" t="str">
        <f t="shared" ca="1" si="20"/>
        <v/>
      </c>
      <c r="Z983" s="401"/>
      <c r="AA983" s="401"/>
      <c r="AB983" s="373"/>
      <c r="AD983" s="338"/>
    </row>
    <row r="984" spans="1:30" ht="12.75" customHeight="1" x14ac:dyDescent="0.25">
      <c r="A984" s="347" t="s">
        <v>2896</v>
      </c>
      <c r="B984" s="376">
        <v>45303</v>
      </c>
      <c r="C984" s="333" t="s">
        <v>60</v>
      </c>
      <c r="D984" s="333" t="s">
        <v>1776</v>
      </c>
      <c r="E984" s="333"/>
      <c r="F984" s="374" t="s">
        <v>33</v>
      </c>
      <c r="G984" s="372" t="s">
        <v>499</v>
      </c>
      <c r="H984" s="372">
        <v>1</v>
      </c>
      <c r="I984" s="372">
        <v>6</v>
      </c>
      <c r="J984" s="372" t="s">
        <v>68</v>
      </c>
      <c r="K984" s="372" t="s">
        <v>32</v>
      </c>
      <c r="L984" s="372"/>
      <c r="M984" s="372"/>
      <c r="N984" s="449"/>
      <c r="O984" s="449"/>
      <c r="P984" s="495"/>
      <c r="Q984" s="372"/>
      <c r="R984" s="372"/>
      <c r="S984" s="401"/>
      <c r="T984" s="401"/>
      <c r="U984" s="401"/>
      <c r="V984" s="401"/>
      <c r="W984" s="402"/>
      <c r="X984" s="401"/>
      <c r="Y984" s="336" t="str">
        <f t="shared" ca="1" si="20"/>
        <v/>
      </c>
      <c r="Z984" s="401"/>
      <c r="AA984" s="401"/>
      <c r="AB984" s="373"/>
      <c r="AD984" s="338"/>
    </row>
    <row r="985" spans="1:30" ht="12.75" customHeight="1" x14ac:dyDescent="0.25">
      <c r="A985" s="347" t="s">
        <v>2897</v>
      </c>
      <c r="B985" s="376">
        <v>45351</v>
      </c>
      <c r="C985" s="333" t="s">
        <v>35</v>
      </c>
      <c r="D985" s="333" t="s">
        <v>274</v>
      </c>
      <c r="E985" s="333"/>
      <c r="F985" s="374" t="s">
        <v>2898</v>
      </c>
      <c r="G985" s="372" t="s">
        <v>2899</v>
      </c>
      <c r="H985" s="372">
        <v>1</v>
      </c>
      <c r="I985" s="372" t="s">
        <v>2900</v>
      </c>
      <c r="J985" s="372" t="s">
        <v>68</v>
      </c>
      <c r="K985" s="372" t="s">
        <v>69</v>
      </c>
      <c r="L985" s="372"/>
      <c r="M985" s="372"/>
      <c r="N985" s="449"/>
      <c r="O985" s="449"/>
      <c r="P985" s="495">
        <v>45363</v>
      </c>
      <c r="Q985" s="372"/>
      <c r="R985" s="372"/>
      <c r="S985" s="401"/>
      <c r="T985" s="401"/>
      <c r="U985" s="401"/>
      <c r="V985" s="401"/>
      <c r="W985" s="402"/>
      <c r="X985" s="401"/>
      <c r="Y985" s="336">
        <f t="shared" ca="1" si="20"/>
        <v>223</v>
      </c>
      <c r="Z985" s="401"/>
      <c r="AA985" s="401"/>
      <c r="AB985" s="373"/>
      <c r="AC985" s="338" t="e">
        <f>VLOOKUP(F985,'[1]CPO DATA'!$D:$I,4,FALSE)</f>
        <v>#N/A</v>
      </c>
      <c r="AD985" s="418" t="str">
        <f>VLOOKUP(F985,'STORE ITEMS'!C:F,2,FALSE)</f>
        <v>CONNECTOR SUB A</v>
      </c>
    </row>
    <row r="986" spans="1:30" ht="12.75" customHeight="1" x14ac:dyDescent="0.25">
      <c r="A986" s="347" t="s">
        <v>2901</v>
      </c>
      <c r="B986" s="376">
        <v>45351</v>
      </c>
      <c r="C986" s="333" t="s">
        <v>35</v>
      </c>
      <c r="D986" s="333" t="s">
        <v>274</v>
      </c>
      <c r="E986" s="333"/>
      <c r="F986" s="374" t="s">
        <v>2902</v>
      </c>
      <c r="G986" s="372" t="s">
        <v>2899</v>
      </c>
      <c r="H986" s="372">
        <v>1</v>
      </c>
      <c r="I986" s="372" t="s">
        <v>2900</v>
      </c>
      <c r="J986" s="372" t="s">
        <v>68</v>
      </c>
      <c r="K986" s="372" t="s">
        <v>69</v>
      </c>
      <c r="L986" s="372"/>
      <c r="M986" s="372"/>
      <c r="N986" s="449"/>
      <c r="O986" s="449"/>
      <c r="P986" s="495">
        <v>45363</v>
      </c>
      <c r="Q986" s="372"/>
      <c r="R986" s="372"/>
      <c r="S986" s="401"/>
      <c r="T986" s="401"/>
      <c r="U986" s="401"/>
      <c r="V986" s="401"/>
      <c r="W986" s="402"/>
      <c r="X986" s="401"/>
      <c r="Y986" s="336">
        <f t="shared" ca="1" si="20"/>
        <v>223</v>
      </c>
      <c r="Z986" s="401"/>
      <c r="AA986" s="401"/>
      <c r="AB986" s="373"/>
      <c r="AC986" s="338" t="e">
        <f>VLOOKUP(F986,'[1]CPO DATA'!$D:$I,4,FALSE)</f>
        <v>#N/A</v>
      </c>
      <c r="AD986" s="418" t="e">
        <f>VLOOKUP(F986,'STORE ITEMS'!C:F,2,FALSE)</f>
        <v>#N/A</v>
      </c>
    </row>
    <row r="987" spans="1:30" ht="12.75" customHeight="1" x14ac:dyDescent="0.25">
      <c r="A987" s="347" t="s">
        <v>2903</v>
      </c>
      <c r="B987" s="376">
        <v>45351</v>
      </c>
      <c r="C987" s="333" t="s">
        <v>35</v>
      </c>
      <c r="D987" s="333" t="s">
        <v>1506</v>
      </c>
      <c r="E987" s="333"/>
      <c r="F987" s="374" t="s">
        <v>2904</v>
      </c>
      <c r="G987" s="372" t="s">
        <v>1640</v>
      </c>
      <c r="H987" s="372">
        <v>1</v>
      </c>
      <c r="I987" s="372" t="s">
        <v>2900</v>
      </c>
      <c r="J987" s="372" t="s">
        <v>68</v>
      </c>
      <c r="K987" s="372" t="s">
        <v>69</v>
      </c>
      <c r="L987" s="372"/>
      <c r="M987" s="372"/>
      <c r="N987" s="449"/>
      <c r="O987" s="449"/>
      <c r="P987" s="495">
        <v>45363</v>
      </c>
      <c r="Q987" s="372"/>
      <c r="R987" s="372"/>
      <c r="S987" s="401"/>
      <c r="T987" s="401"/>
      <c r="U987" s="401"/>
      <c r="V987" s="401"/>
      <c r="W987" s="402"/>
      <c r="X987" s="401"/>
      <c r="Y987" s="336">
        <f t="shared" ca="1" si="20"/>
        <v>223</v>
      </c>
      <c r="Z987" s="401"/>
      <c r="AA987" s="401"/>
      <c r="AB987" s="373"/>
      <c r="AC987" s="338" t="e">
        <f>VLOOKUP(F987,'[1]CPO DATA'!$D:$I,4,FALSE)</f>
        <v>#N/A</v>
      </c>
      <c r="AD987" s="418" t="e">
        <f>VLOOKUP(F987,'STORE ITEMS'!C:F,2,FALSE)</f>
        <v>#N/A</v>
      </c>
    </row>
    <row r="988" spans="1:30" ht="12.75" customHeight="1" x14ac:dyDescent="0.25">
      <c r="A988" s="347" t="s">
        <v>2905</v>
      </c>
      <c r="B988" s="376">
        <v>45351</v>
      </c>
      <c r="C988" s="333" t="s">
        <v>35</v>
      </c>
      <c r="D988" s="333" t="s">
        <v>1506</v>
      </c>
      <c r="E988" s="333"/>
      <c r="F988" s="374" t="s">
        <v>2906</v>
      </c>
      <c r="G988" s="372" t="s">
        <v>2907</v>
      </c>
      <c r="H988" s="372">
        <v>1</v>
      </c>
      <c r="I988" s="372" t="s">
        <v>2900</v>
      </c>
      <c r="J988" s="372" t="s">
        <v>102</v>
      </c>
      <c r="K988" s="372" t="s">
        <v>69</v>
      </c>
      <c r="L988" s="372"/>
      <c r="M988" s="372"/>
      <c r="N988" s="449"/>
      <c r="O988" s="449"/>
      <c r="P988" s="495">
        <v>45363</v>
      </c>
      <c r="Q988" s="372"/>
      <c r="R988" s="372"/>
      <c r="S988" s="401"/>
      <c r="T988" s="401"/>
      <c r="U988" s="401"/>
      <c r="V988" s="401"/>
      <c r="W988" s="402"/>
      <c r="X988" s="401"/>
      <c r="Y988" s="336">
        <f t="shared" ca="1" si="20"/>
        <v>223</v>
      </c>
      <c r="Z988" s="401"/>
      <c r="AA988" s="401"/>
      <c r="AB988" s="373"/>
      <c r="AC988" s="338" t="e">
        <f>VLOOKUP(F988,'[1]CPO DATA'!$D:$I,4,FALSE)</f>
        <v>#N/A</v>
      </c>
      <c r="AD988" s="418" t="e">
        <f>VLOOKUP(F988,'STORE ITEMS'!C:F,2,FALSE)</f>
        <v>#N/A</v>
      </c>
    </row>
    <row r="989" spans="1:30" ht="12.75" customHeight="1" x14ac:dyDescent="0.25">
      <c r="A989" s="347" t="s">
        <v>2908</v>
      </c>
      <c r="B989" s="376">
        <v>45351</v>
      </c>
      <c r="C989" s="333" t="s">
        <v>35</v>
      </c>
      <c r="D989" s="333" t="s">
        <v>1506</v>
      </c>
      <c r="E989" s="333"/>
      <c r="F989" s="374" t="s">
        <v>2909</v>
      </c>
      <c r="G989" s="372" t="s">
        <v>2907</v>
      </c>
      <c r="H989" s="372">
        <v>1</v>
      </c>
      <c r="I989" s="372" t="s">
        <v>2900</v>
      </c>
      <c r="J989" s="372" t="s">
        <v>102</v>
      </c>
      <c r="K989" s="372" t="s">
        <v>69</v>
      </c>
      <c r="L989" s="372"/>
      <c r="M989" s="372"/>
      <c r="N989" s="449"/>
      <c r="O989" s="449"/>
      <c r="P989" s="495">
        <v>45363</v>
      </c>
      <c r="Q989" s="372"/>
      <c r="R989" s="372"/>
      <c r="S989" s="401"/>
      <c r="T989" s="401"/>
      <c r="U989" s="401"/>
      <c r="V989" s="401"/>
      <c r="W989" s="402"/>
      <c r="X989" s="401"/>
      <c r="Y989" s="336">
        <f t="shared" ca="1" si="20"/>
        <v>223</v>
      </c>
      <c r="Z989" s="401"/>
      <c r="AA989" s="401"/>
      <c r="AB989" s="373"/>
      <c r="AC989" s="338" t="e">
        <f>VLOOKUP(F989,'[1]CPO DATA'!$D:$I,4,FALSE)</f>
        <v>#N/A</v>
      </c>
      <c r="AD989" s="418" t="e">
        <f>VLOOKUP(F989,'STORE ITEMS'!C:F,2,FALSE)</f>
        <v>#N/A</v>
      </c>
    </row>
    <row r="990" spans="1:30" ht="12.75" customHeight="1" x14ac:dyDescent="0.25">
      <c r="A990" s="347" t="s">
        <v>2910</v>
      </c>
      <c r="B990" s="376">
        <v>45351</v>
      </c>
      <c r="C990" s="333" t="s">
        <v>35</v>
      </c>
      <c r="D990" s="333" t="s">
        <v>1506</v>
      </c>
      <c r="E990" s="333"/>
      <c r="F990" s="374" t="s">
        <v>2911</v>
      </c>
      <c r="G990" s="372" t="s">
        <v>2912</v>
      </c>
      <c r="H990" s="372">
        <v>1</v>
      </c>
      <c r="I990" s="372" t="s">
        <v>2900</v>
      </c>
      <c r="J990" s="372" t="s">
        <v>68</v>
      </c>
      <c r="K990" s="372" t="s">
        <v>69</v>
      </c>
      <c r="L990" s="372"/>
      <c r="M990" s="372"/>
      <c r="N990" s="449"/>
      <c r="O990" s="449"/>
      <c r="P990" s="495">
        <v>45363</v>
      </c>
      <c r="Q990" s="372"/>
      <c r="R990" s="372"/>
      <c r="S990" s="401"/>
      <c r="T990" s="401"/>
      <c r="U990" s="401"/>
      <c r="V990" s="401"/>
      <c r="W990" s="402"/>
      <c r="X990" s="401"/>
      <c r="Y990" s="336">
        <f t="shared" ca="1" si="20"/>
        <v>223</v>
      </c>
      <c r="Z990" s="401"/>
      <c r="AA990" s="401"/>
      <c r="AB990" s="373"/>
      <c r="AC990" s="338" t="e">
        <f>VLOOKUP(F990,'[1]CPO DATA'!$D:$I,4,FALSE)</f>
        <v>#N/A</v>
      </c>
      <c r="AD990" s="418" t="e">
        <f>VLOOKUP(F990,'STORE ITEMS'!C:F,2,FALSE)</f>
        <v>#N/A</v>
      </c>
    </row>
    <row r="991" spans="1:30" ht="12.75" customHeight="1" x14ac:dyDescent="0.25">
      <c r="A991" s="347" t="s">
        <v>2913</v>
      </c>
      <c r="B991" s="376">
        <v>45351</v>
      </c>
      <c r="C991" s="333" t="s">
        <v>35</v>
      </c>
      <c r="D991" s="333" t="s">
        <v>1506</v>
      </c>
      <c r="E991" s="333"/>
      <c r="F991" s="374" t="s">
        <v>2914</v>
      </c>
      <c r="G991" s="372" t="s">
        <v>2915</v>
      </c>
      <c r="H991" s="372">
        <v>1</v>
      </c>
      <c r="I991" s="372" t="s">
        <v>2900</v>
      </c>
      <c r="J991" s="372" t="s">
        <v>68</v>
      </c>
      <c r="K991" s="372" t="s">
        <v>69</v>
      </c>
      <c r="L991" s="372"/>
      <c r="M991" s="372"/>
      <c r="N991" s="449"/>
      <c r="O991" s="449"/>
      <c r="P991" s="495">
        <v>45363</v>
      </c>
      <c r="Q991" s="372"/>
      <c r="R991" s="372"/>
      <c r="S991" s="401"/>
      <c r="T991" s="401"/>
      <c r="U991" s="401"/>
      <c r="V991" s="401"/>
      <c r="W991" s="402"/>
      <c r="X991" s="401"/>
      <c r="Y991" s="336">
        <f t="shared" ca="1" si="20"/>
        <v>223</v>
      </c>
      <c r="Z991" s="401"/>
      <c r="AA991" s="401"/>
      <c r="AB991" s="373"/>
      <c r="AC991" s="338" t="e">
        <f>VLOOKUP(F991,'[1]CPO DATA'!$D:$I,4,FALSE)</f>
        <v>#N/A</v>
      </c>
      <c r="AD991" s="418" t="e">
        <f>VLOOKUP(F991,'STORE ITEMS'!C:F,2,FALSE)</f>
        <v>#N/A</v>
      </c>
    </row>
    <row r="992" spans="1:30" ht="12.75" customHeight="1" x14ac:dyDescent="0.25">
      <c r="A992" s="347" t="s">
        <v>2916</v>
      </c>
      <c r="B992" s="376">
        <v>45351</v>
      </c>
      <c r="C992" s="333" t="s">
        <v>35</v>
      </c>
      <c r="D992" s="333" t="s">
        <v>1506</v>
      </c>
      <c r="E992" s="333"/>
      <c r="F992" s="374" t="s">
        <v>2917</v>
      </c>
      <c r="G992" s="372" t="s">
        <v>2918</v>
      </c>
      <c r="H992" s="372">
        <v>1</v>
      </c>
      <c r="I992" s="372" t="s">
        <v>2900</v>
      </c>
      <c r="J992" s="372" t="s">
        <v>68</v>
      </c>
      <c r="K992" s="372" t="s">
        <v>69</v>
      </c>
      <c r="L992" s="372"/>
      <c r="M992" s="372"/>
      <c r="N992" s="449"/>
      <c r="O992" s="449"/>
      <c r="P992" s="495">
        <v>45363</v>
      </c>
      <c r="Q992" s="372"/>
      <c r="R992" s="372"/>
      <c r="S992" s="401"/>
      <c r="T992" s="401"/>
      <c r="U992" s="401"/>
      <c r="V992" s="401"/>
      <c r="W992" s="402"/>
      <c r="X992" s="401"/>
      <c r="Y992" s="336">
        <f t="shared" ca="1" si="20"/>
        <v>223</v>
      </c>
      <c r="Z992" s="401"/>
      <c r="AA992" s="401"/>
      <c r="AB992" s="373"/>
      <c r="AC992" s="338" t="e">
        <f>VLOOKUP(F992,'[1]CPO DATA'!$D:$I,4,FALSE)</f>
        <v>#N/A</v>
      </c>
      <c r="AD992" s="418" t="e">
        <f>VLOOKUP(F992,'STORE ITEMS'!C:F,2,FALSE)</f>
        <v>#N/A</v>
      </c>
    </row>
    <row r="993" spans="1:30" ht="12.75" customHeight="1" x14ac:dyDescent="0.25">
      <c r="A993" s="347" t="s">
        <v>2919</v>
      </c>
      <c r="B993" s="376">
        <v>45351</v>
      </c>
      <c r="C993" s="333" t="s">
        <v>35</v>
      </c>
      <c r="D993" s="333" t="s">
        <v>1506</v>
      </c>
      <c r="E993" s="333"/>
      <c r="F993" s="374" t="s">
        <v>2920</v>
      </c>
      <c r="G993" s="372" t="s">
        <v>2921</v>
      </c>
      <c r="H993" s="372">
        <v>1</v>
      </c>
      <c r="I993" s="372" t="s">
        <v>2900</v>
      </c>
      <c r="J993" s="372" t="s">
        <v>68</v>
      </c>
      <c r="K993" s="372" t="s">
        <v>69</v>
      </c>
      <c r="L993" s="372"/>
      <c r="M993" s="372"/>
      <c r="N993" s="449"/>
      <c r="O993" s="449"/>
      <c r="P993" s="495">
        <v>45363</v>
      </c>
      <c r="Q993" s="372"/>
      <c r="R993" s="372"/>
      <c r="S993" s="401"/>
      <c r="T993" s="401"/>
      <c r="U993" s="401"/>
      <c r="V993" s="401"/>
      <c r="W993" s="402"/>
      <c r="X993" s="401"/>
      <c r="Y993" s="336">
        <f t="shared" ca="1" si="20"/>
        <v>223</v>
      </c>
      <c r="Z993" s="401"/>
      <c r="AA993" s="401"/>
      <c r="AB993" s="373"/>
      <c r="AC993" s="338" t="e">
        <f>VLOOKUP(F993,'[1]CPO DATA'!$D:$I,4,FALSE)</f>
        <v>#N/A</v>
      </c>
      <c r="AD993" s="418" t="e">
        <f>VLOOKUP(F993,'STORE ITEMS'!C:F,2,FALSE)</f>
        <v>#N/A</v>
      </c>
    </row>
    <row r="994" spans="1:30" ht="12.75" customHeight="1" x14ac:dyDescent="0.25">
      <c r="A994" s="347" t="s">
        <v>2922</v>
      </c>
      <c r="B994" s="376">
        <v>45351</v>
      </c>
      <c r="C994" s="333" t="s">
        <v>35</v>
      </c>
      <c r="D994" s="333" t="s">
        <v>1506</v>
      </c>
      <c r="E994" s="333"/>
      <c r="F994" s="374" t="s">
        <v>2923</v>
      </c>
      <c r="G994" s="372" t="s">
        <v>2907</v>
      </c>
      <c r="H994" s="372">
        <v>2</v>
      </c>
      <c r="I994" s="372" t="s">
        <v>2900</v>
      </c>
      <c r="J994" s="372" t="s">
        <v>68</v>
      </c>
      <c r="K994" s="372" t="s">
        <v>69</v>
      </c>
      <c r="L994" s="372"/>
      <c r="M994" s="372"/>
      <c r="N994" s="449"/>
      <c r="O994" s="449"/>
      <c r="P994" s="495">
        <v>45363</v>
      </c>
      <c r="Q994" s="372"/>
      <c r="R994" s="372"/>
      <c r="S994" s="401"/>
      <c r="T994" s="401"/>
      <c r="U994" s="401"/>
      <c r="V994" s="401"/>
      <c r="W994" s="402"/>
      <c r="X994" s="401"/>
      <c r="Y994" s="336">
        <f t="shared" ca="1" si="20"/>
        <v>223</v>
      </c>
      <c r="Z994" s="401"/>
      <c r="AA994" s="401"/>
      <c r="AB994" s="373"/>
      <c r="AC994" s="338" t="e">
        <f>VLOOKUP(F994,'[1]CPO DATA'!$D:$I,4,FALSE)</f>
        <v>#N/A</v>
      </c>
      <c r="AD994" s="418" t="e">
        <f>VLOOKUP(F994,'STORE ITEMS'!C:F,2,FALSE)</f>
        <v>#N/A</v>
      </c>
    </row>
    <row r="995" spans="1:30" ht="12.75" customHeight="1" x14ac:dyDescent="0.25">
      <c r="A995" s="347" t="s">
        <v>2924</v>
      </c>
      <c r="B995" s="376">
        <v>45351</v>
      </c>
      <c r="C995" s="333" t="s">
        <v>35</v>
      </c>
      <c r="D995" s="333" t="s">
        <v>1506</v>
      </c>
      <c r="E995" s="333"/>
      <c r="F995" s="374" t="s">
        <v>2252</v>
      </c>
      <c r="G995" s="372" t="s">
        <v>544</v>
      </c>
      <c r="H995" s="372">
        <v>8</v>
      </c>
      <c r="I995" s="372" t="s">
        <v>2900</v>
      </c>
      <c r="J995" s="372" t="s">
        <v>102</v>
      </c>
      <c r="K995" s="372" t="s">
        <v>69</v>
      </c>
      <c r="L995" s="372"/>
      <c r="M995" s="372"/>
      <c r="N995" s="449"/>
      <c r="O995" s="449"/>
      <c r="P995" s="495">
        <v>45363</v>
      </c>
      <c r="Q995" s="372"/>
      <c r="R995" s="372"/>
      <c r="S995" s="401"/>
      <c r="T995" s="401"/>
      <c r="U995" s="401"/>
      <c r="V995" s="401"/>
      <c r="W995" s="346">
        <v>45226</v>
      </c>
      <c r="X995" s="401"/>
      <c r="Y995" s="336">
        <f t="shared" ca="1" si="20"/>
        <v>-137</v>
      </c>
      <c r="Z995" s="401"/>
      <c r="AA995" s="401"/>
      <c r="AB995" s="373"/>
      <c r="AC995" s="338" t="e">
        <f>VLOOKUP(F995,'[1]CPO DATA'!$D:$I,4,FALSE)</f>
        <v>#N/A</v>
      </c>
      <c r="AD995" s="418" t="str">
        <f>VLOOKUP(F995,'STORE ITEMS'!C:F,2,FALSE)</f>
        <v>BOLT</v>
      </c>
    </row>
    <row r="996" spans="1:30" ht="12.75" customHeight="1" x14ac:dyDescent="0.25">
      <c r="A996" s="347" t="s">
        <v>2925</v>
      </c>
      <c r="B996" s="376">
        <v>45351</v>
      </c>
      <c r="C996" s="333" t="s">
        <v>35</v>
      </c>
      <c r="D996" s="333" t="s">
        <v>1506</v>
      </c>
      <c r="E996" s="333"/>
      <c r="F996" s="374" t="s">
        <v>2926</v>
      </c>
      <c r="G996" s="372" t="s">
        <v>544</v>
      </c>
      <c r="H996" s="372">
        <v>2</v>
      </c>
      <c r="I996" s="372" t="s">
        <v>2900</v>
      </c>
      <c r="J996" s="372" t="s">
        <v>102</v>
      </c>
      <c r="K996" s="372" t="s">
        <v>69</v>
      </c>
      <c r="L996" s="372"/>
      <c r="M996" s="372"/>
      <c r="N996" s="449"/>
      <c r="O996" s="449"/>
      <c r="P996" s="495">
        <v>45363</v>
      </c>
      <c r="Q996" s="372"/>
      <c r="R996" s="372"/>
      <c r="S996" s="401"/>
      <c r="T996" s="401"/>
      <c r="U996" s="401"/>
      <c r="V996" s="401"/>
      <c r="W996" s="402"/>
      <c r="X996" s="401"/>
      <c r="Y996" s="336">
        <f t="shared" ca="1" si="20"/>
        <v>223</v>
      </c>
      <c r="Z996" s="401"/>
      <c r="AA996" s="401"/>
      <c r="AB996" s="373"/>
      <c r="AC996" s="338" t="e">
        <f>VLOOKUP(F996,'[1]CPO DATA'!$D:$I,4,FALSE)</f>
        <v>#N/A</v>
      </c>
      <c r="AD996" s="418" t="e">
        <f>VLOOKUP(F996,'STORE ITEMS'!C:F,2,FALSE)</f>
        <v>#N/A</v>
      </c>
    </row>
    <row r="997" spans="1:30" ht="12.75" customHeight="1" x14ac:dyDescent="0.25">
      <c r="A997" s="347" t="s">
        <v>2927</v>
      </c>
      <c r="B997" s="376">
        <v>45351</v>
      </c>
      <c r="C997" s="333" t="s">
        <v>35</v>
      </c>
      <c r="D997" s="333" t="s">
        <v>1506</v>
      </c>
      <c r="E997" s="333"/>
      <c r="F997" s="374" t="s">
        <v>2928</v>
      </c>
      <c r="G997" s="372" t="s">
        <v>1051</v>
      </c>
      <c r="H997" s="372">
        <v>2</v>
      </c>
      <c r="I997" s="372" t="s">
        <v>2900</v>
      </c>
      <c r="J997" s="372" t="s">
        <v>102</v>
      </c>
      <c r="K997" s="372" t="s">
        <v>69</v>
      </c>
      <c r="L997" s="372"/>
      <c r="M997" s="372"/>
      <c r="N997" s="449"/>
      <c r="O997" s="449"/>
      <c r="P997" s="495">
        <v>45363</v>
      </c>
      <c r="Q997" s="372"/>
      <c r="R997" s="372"/>
      <c r="S997" s="401"/>
      <c r="T997" s="401"/>
      <c r="U997" s="401"/>
      <c r="V997" s="401"/>
      <c r="W997" s="402"/>
      <c r="X997" s="401"/>
      <c r="Y997" s="336">
        <f t="shared" ca="1" si="20"/>
        <v>223</v>
      </c>
      <c r="Z997" s="401"/>
      <c r="AA997" s="401"/>
      <c r="AB997" s="373"/>
      <c r="AC997" s="338" t="e">
        <f>VLOOKUP(F997,'[1]CPO DATA'!$D:$I,4,FALSE)</f>
        <v>#N/A</v>
      </c>
      <c r="AD997" s="418" t="e">
        <f>VLOOKUP(F997,'STORE ITEMS'!C:F,2,FALSE)</f>
        <v>#N/A</v>
      </c>
    </row>
    <row r="998" spans="1:30" ht="12.75" customHeight="1" x14ac:dyDescent="0.25">
      <c r="A998" s="347" t="s">
        <v>2929</v>
      </c>
      <c r="B998" s="376">
        <v>45351</v>
      </c>
      <c r="C998" s="333" t="s">
        <v>35</v>
      </c>
      <c r="D998" s="333" t="s">
        <v>1506</v>
      </c>
      <c r="E998" s="333"/>
      <c r="F998" s="374" t="s">
        <v>2930</v>
      </c>
      <c r="G998" s="372" t="s">
        <v>307</v>
      </c>
      <c r="H998" s="372">
        <v>2</v>
      </c>
      <c r="I998" s="372" t="s">
        <v>2900</v>
      </c>
      <c r="J998" s="372" t="s">
        <v>102</v>
      </c>
      <c r="K998" s="372" t="s">
        <v>69</v>
      </c>
      <c r="L998" s="372"/>
      <c r="M998" s="372"/>
      <c r="N998" s="449"/>
      <c r="O998" s="449"/>
      <c r="P998" s="495">
        <v>45363</v>
      </c>
      <c r="Q998" s="372"/>
      <c r="R998" s="372"/>
      <c r="S998" s="401"/>
      <c r="T998" s="401"/>
      <c r="U998" s="401"/>
      <c r="V998" s="401"/>
      <c r="W998" s="402"/>
      <c r="X998" s="401"/>
      <c r="Y998" s="336">
        <f t="shared" ca="1" si="20"/>
        <v>223</v>
      </c>
      <c r="Z998" s="401"/>
      <c r="AA998" s="401"/>
      <c r="AB998" s="373"/>
      <c r="AC998" s="338" t="e">
        <f>VLOOKUP(F998,'[1]CPO DATA'!$D:$I,4,FALSE)</f>
        <v>#N/A</v>
      </c>
      <c r="AD998" s="418" t="e">
        <f>VLOOKUP(F998,'STORE ITEMS'!C:F,2,FALSE)</f>
        <v>#N/A</v>
      </c>
    </row>
    <row r="999" spans="1:30" ht="12.75" customHeight="1" x14ac:dyDescent="0.25">
      <c r="A999" s="347" t="s">
        <v>2931</v>
      </c>
      <c r="B999" s="376">
        <v>45351</v>
      </c>
      <c r="C999" s="333" t="s">
        <v>35</v>
      </c>
      <c r="D999" s="333" t="s">
        <v>1506</v>
      </c>
      <c r="E999" s="333"/>
      <c r="F999" s="374" t="s">
        <v>2932</v>
      </c>
      <c r="G999" s="372" t="s">
        <v>1051</v>
      </c>
      <c r="H999" s="372">
        <v>4</v>
      </c>
      <c r="I999" s="372" t="s">
        <v>2900</v>
      </c>
      <c r="J999" s="372" t="s">
        <v>102</v>
      </c>
      <c r="K999" s="372" t="s">
        <v>69</v>
      </c>
      <c r="L999" s="372"/>
      <c r="M999" s="372"/>
      <c r="N999" s="449"/>
      <c r="O999" s="449"/>
      <c r="P999" s="495">
        <v>45363</v>
      </c>
      <c r="Q999" s="372"/>
      <c r="R999" s="372"/>
      <c r="S999" s="401"/>
      <c r="T999" s="401"/>
      <c r="U999" s="401"/>
      <c r="V999" s="401"/>
      <c r="W999" s="402"/>
      <c r="X999" s="401"/>
      <c r="Y999" s="336">
        <f t="shared" ca="1" si="20"/>
        <v>223</v>
      </c>
      <c r="Z999" s="401"/>
      <c r="AA999" s="401"/>
      <c r="AB999" s="373"/>
      <c r="AC999" s="338" t="e">
        <f>VLOOKUP(F999,'[1]CPO DATA'!$D:$I,4,FALSE)</f>
        <v>#N/A</v>
      </c>
      <c r="AD999" s="418" t="e">
        <f>VLOOKUP(F999,'STORE ITEMS'!C:F,2,FALSE)</f>
        <v>#N/A</v>
      </c>
    </row>
    <row r="1000" spans="1:30" ht="12.75" customHeight="1" x14ac:dyDescent="0.25">
      <c r="A1000" s="347" t="s">
        <v>2933</v>
      </c>
      <c r="B1000" s="376">
        <v>45351</v>
      </c>
      <c r="C1000" s="333" t="s">
        <v>35</v>
      </c>
      <c r="D1000" s="333" t="s">
        <v>1506</v>
      </c>
      <c r="E1000" s="333"/>
      <c r="F1000" s="374" t="s">
        <v>2934</v>
      </c>
      <c r="G1000" s="372" t="s">
        <v>2935</v>
      </c>
      <c r="H1000" s="372">
        <v>2</v>
      </c>
      <c r="I1000" s="372" t="s">
        <v>2900</v>
      </c>
      <c r="J1000" s="372" t="s">
        <v>102</v>
      </c>
      <c r="K1000" s="372" t="s">
        <v>69</v>
      </c>
      <c r="L1000" s="372"/>
      <c r="M1000" s="372"/>
      <c r="N1000" s="449"/>
      <c r="O1000" s="449"/>
      <c r="P1000" s="495">
        <v>45363</v>
      </c>
      <c r="Q1000" s="372"/>
      <c r="R1000" s="372"/>
      <c r="S1000" s="401"/>
      <c r="T1000" s="401"/>
      <c r="U1000" s="401"/>
      <c r="V1000" s="401"/>
      <c r="W1000" s="402"/>
      <c r="X1000" s="401"/>
      <c r="Y1000" s="336">
        <f t="shared" ca="1" si="20"/>
        <v>223</v>
      </c>
      <c r="Z1000" s="401"/>
      <c r="AA1000" s="401"/>
      <c r="AB1000" s="373"/>
      <c r="AC1000" s="338" t="e">
        <f>VLOOKUP(F1000,'[1]CPO DATA'!$D:$I,4,FALSE)</f>
        <v>#N/A</v>
      </c>
      <c r="AD1000" s="418" t="e">
        <f>VLOOKUP(F1000,'STORE ITEMS'!C:F,2,FALSE)</f>
        <v>#N/A</v>
      </c>
    </row>
    <row r="1001" spans="1:30" ht="12.75" customHeight="1" x14ac:dyDescent="0.25">
      <c r="A1001" s="347" t="s">
        <v>2936</v>
      </c>
      <c r="B1001" s="376">
        <v>45351</v>
      </c>
      <c r="C1001" s="333" t="s">
        <v>35</v>
      </c>
      <c r="D1001" s="333" t="s">
        <v>1506</v>
      </c>
      <c r="E1001" s="333"/>
      <c r="F1001" s="374" t="s">
        <v>2937</v>
      </c>
      <c r="G1001" s="372" t="s">
        <v>544</v>
      </c>
      <c r="H1001" s="372">
        <v>2</v>
      </c>
      <c r="I1001" s="372" t="s">
        <v>2900</v>
      </c>
      <c r="J1001" s="372" t="s">
        <v>102</v>
      </c>
      <c r="K1001" s="372" t="s">
        <v>69</v>
      </c>
      <c r="L1001" s="372"/>
      <c r="M1001" s="372"/>
      <c r="N1001" s="449"/>
      <c r="O1001" s="449"/>
      <c r="P1001" s="495">
        <v>45363</v>
      </c>
      <c r="Q1001" s="372"/>
      <c r="R1001" s="372"/>
      <c r="S1001" s="401"/>
      <c r="T1001" s="401"/>
      <c r="U1001" s="401"/>
      <c r="V1001" s="401"/>
      <c r="W1001" s="402"/>
      <c r="X1001" s="401"/>
      <c r="Y1001" s="336">
        <f t="shared" ca="1" si="20"/>
        <v>223</v>
      </c>
      <c r="Z1001" s="401"/>
      <c r="AA1001" s="401"/>
      <c r="AB1001" s="373"/>
      <c r="AC1001" s="338" t="e">
        <f>VLOOKUP(F1001,'[1]CPO DATA'!$D:$I,4,FALSE)</f>
        <v>#N/A</v>
      </c>
      <c r="AD1001" s="418" t="e">
        <f>VLOOKUP(F1001,'STORE ITEMS'!C:F,2,FALSE)</f>
        <v>#N/A</v>
      </c>
    </row>
    <row r="1002" spans="1:30" ht="12.75" customHeight="1" x14ac:dyDescent="0.25">
      <c r="A1002" s="347" t="s">
        <v>2938</v>
      </c>
      <c r="B1002" s="376">
        <v>45351</v>
      </c>
      <c r="C1002" s="333" t="s">
        <v>35</v>
      </c>
      <c r="D1002" s="333" t="s">
        <v>1506</v>
      </c>
      <c r="E1002" s="333"/>
      <c r="F1002" s="374" t="s">
        <v>2939</v>
      </c>
      <c r="G1002" s="372" t="s">
        <v>2940</v>
      </c>
      <c r="H1002" s="372">
        <v>1</v>
      </c>
      <c r="I1002" s="372" t="s">
        <v>2900</v>
      </c>
      <c r="J1002" s="372" t="s">
        <v>102</v>
      </c>
      <c r="K1002" s="372" t="s">
        <v>69</v>
      </c>
      <c r="L1002" s="372"/>
      <c r="M1002" s="372"/>
      <c r="N1002" s="449"/>
      <c r="O1002" s="449"/>
      <c r="P1002" s="495">
        <v>45363</v>
      </c>
      <c r="Q1002" s="372"/>
      <c r="R1002" s="372"/>
      <c r="S1002" s="401"/>
      <c r="T1002" s="401"/>
      <c r="U1002" s="401"/>
      <c r="V1002" s="401"/>
      <c r="W1002" s="402"/>
      <c r="X1002" s="401"/>
      <c r="Y1002" s="336">
        <f t="shared" ca="1" si="20"/>
        <v>223</v>
      </c>
      <c r="Z1002" s="401"/>
      <c r="AA1002" s="401"/>
      <c r="AB1002" s="373"/>
      <c r="AC1002" s="338" t="e">
        <f>VLOOKUP(F1002,'[1]CPO DATA'!$D:$I,4,FALSE)</f>
        <v>#N/A</v>
      </c>
      <c r="AD1002" s="418" t="e">
        <f>VLOOKUP(F1002,'STORE ITEMS'!C:F,2,FALSE)</f>
        <v>#N/A</v>
      </c>
    </row>
    <row r="1003" spans="1:30" ht="12.75" customHeight="1" x14ac:dyDescent="0.25">
      <c r="A1003" s="347" t="s">
        <v>2941</v>
      </c>
      <c r="B1003" s="376">
        <v>45351</v>
      </c>
      <c r="C1003" s="333" t="s">
        <v>35</v>
      </c>
      <c r="D1003" s="333" t="s">
        <v>1506</v>
      </c>
      <c r="E1003" s="333"/>
      <c r="F1003" s="374" t="s">
        <v>2942</v>
      </c>
      <c r="G1003" s="372" t="s">
        <v>2943</v>
      </c>
      <c r="H1003" s="372">
        <v>1</v>
      </c>
      <c r="I1003" s="372" t="s">
        <v>2900</v>
      </c>
      <c r="J1003" s="372" t="s">
        <v>102</v>
      </c>
      <c r="K1003" s="372" t="s">
        <v>69</v>
      </c>
      <c r="L1003" s="372"/>
      <c r="M1003" s="372"/>
      <c r="N1003" s="449"/>
      <c r="O1003" s="449"/>
      <c r="P1003" s="495">
        <v>45363</v>
      </c>
      <c r="Q1003" s="372"/>
      <c r="R1003" s="372"/>
      <c r="S1003" s="401"/>
      <c r="T1003" s="401"/>
      <c r="U1003" s="401"/>
      <c r="V1003" s="401"/>
      <c r="W1003" s="402"/>
      <c r="X1003" s="401"/>
      <c r="Y1003" s="336">
        <f t="shared" ca="1" si="20"/>
        <v>223</v>
      </c>
      <c r="Z1003" s="401"/>
      <c r="AA1003" s="401"/>
      <c r="AB1003" s="373"/>
      <c r="AC1003" s="338" t="e">
        <f>VLOOKUP(F1003,'[1]CPO DATA'!$D:$I,4,FALSE)</f>
        <v>#N/A</v>
      </c>
      <c r="AD1003" s="418" t="e">
        <f>VLOOKUP(F1003,'STORE ITEMS'!C:F,2,FALSE)</f>
        <v>#N/A</v>
      </c>
    </row>
    <row r="1004" spans="1:30" ht="12.75" customHeight="1" x14ac:dyDescent="0.25">
      <c r="A1004" s="347" t="s">
        <v>2944</v>
      </c>
      <c r="B1004" s="376">
        <v>45351</v>
      </c>
      <c r="C1004" s="333" t="s">
        <v>60</v>
      </c>
      <c r="D1004" s="333" t="s">
        <v>526</v>
      </c>
      <c r="E1004" s="333"/>
      <c r="F1004" s="374" t="s">
        <v>2945</v>
      </c>
      <c r="G1004" s="372" t="s">
        <v>2946</v>
      </c>
      <c r="H1004" s="372">
        <v>1</v>
      </c>
      <c r="I1004" s="372">
        <v>3</v>
      </c>
      <c r="J1004" s="372" t="s">
        <v>68</v>
      </c>
      <c r="K1004" s="372" t="s">
        <v>69</v>
      </c>
      <c r="L1004" s="372"/>
      <c r="M1004" s="372"/>
      <c r="N1004" s="449"/>
      <c r="O1004" s="449"/>
      <c r="P1004" s="495">
        <v>45352</v>
      </c>
      <c r="Q1004" s="372"/>
      <c r="R1004" s="372"/>
      <c r="S1004" s="401"/>
      <c r="T1004" s="401"/>
      <c r="U1004" s="401"/>
      <c r="V1004" s="401"/>
      <c r="W1004" s="402"/>
      <c r="X1004" s="401"/>
      <c r="Y1004" s="336">
        <f t="shared" ca="1" si="20"/>
        <v>234</v>
      </c>
      <c r="Z1004" s="401"/>
      <c r="AA1004" s="401"/>
      <c r="AB1004" s="373"/>
    </row>
    <row r="1005" spans="1:30" ht="12.75" customHeight="1" x14ac:dyDescent="0.25">
      <c r="A1005" s="347" t="s">
        <v>2947</v>
      </c>
      <c r="B1005" s="376">
        <v>45351</v>
      </c>
      <c r="C1005" s="333" t="s">
        <v>60</v>
      </c>
      <c r="D1005" s="333" t="s">
        <v>526</v>
      </c>
      <c r="E1005" s="333"/>
      <c r="F1005" s="374" t="s">
        <v>2948</v>
      </c>
      <c r="G1005" s="372" t="s">
        <v>2949</v>
      </c>
      <c r="H1005" s="372">
        <v>1</v>
      </c>
      <c r="I1005" s="372">
        <v>3</v>
      </c>
      <c r="J1005" s="372" t="s">
        <v>68</v>
      </c>
      <c r="K1005" s="372" t="s">
        <v>69</v>
      </c>
      <c r="L1005" s="372"/>
      <c r="M1005" s="372"/>
      <c r="N1005" s="449"/>
      <c r="O1005" s="449"/>
      <c r="P1005" s="495">
        <v>45352</v>
      </c>
      <c r="Q1005" s="372"/>
      <c r="R1005" s="372"/>
      <c r="S1005" s="401"/>
      <c r="T1005" s="401"/>
      <c r="U1005" s="401"/>
      <c r="V1005" s="401"/>
      <c r="W1005" s="402"/>
      <c r="X1005" s="401"/>
      <c r="Y1005" s="336">
        <f t="shared" ca="1" si="20"/>
        <v>234</v>
      </c>
      <c r="Z1005" s="401"/>
      <c r="AA1005" s="401"/>
      <c r="AB1005" s="373"/>
    </row>
    <row r="1006" spans="1:30" ht="12.75" customHeight="1" x14ac:dyDescent="0.25">
      <c r="A1006" s="347" t="s">
        <v>2950</v>
      </c>
      <c r="B1006" s="376">
        <v>45351</v>
      </c>
      <c r="C1006" s="333" t="s">
        <v>60</v>
      </c>
      <c r="D1006" s="333" t="s">
        <v>526</v>
      </c>
      <c r="E1006" s="333"/>
      <c r="F1006" s="374" t="s">
        <v>2951</v>
      </c>
      <c r="G1006" s="372" t="s">
        <v>2952</v>
      </c>
      <c r="H1006" s="372">
        <v>1</v>
      </c>
      <c r="I1006" s="372">
        <v>3</v>
      </c>
      <c r="J1006" s="372" t="s">
        <v>68</v>
      </c>
      <c r="K1006" s="372" t="s">
        <v>69</v>
      </c>
      <c r="L1006" s="372"/>
      <c r="M1006" s="372"/>
      <c r="N1006" s="449"/>
      <c r="O1006" s="449"/>
      <c r="P1006" s="495">
        <v>45352</v>
      </c>
      <c r="Q1006" s="372"/>
      <c r="R1006" s="372"/>
      <c r="S1006" s="401"/>
      <c r="T1006" s="401"/>
      <c r="U1006" s="401"/>
      <c r="V1006" s="401"/>
      <c r="W1006" s="402"/>
      <c r="X1006" s="401"/>
      <c r="Y1006" s="336">
        <f t="shared" ca="1" si="20"/>
        <v>234</v>
      </c>
      <c r="Z1006" s="401"/>
      <c r="AA1006" s="401"/>
      <c r="AB1006" s="373"/>
    </row>
    <row r="1007" spans="1:30" ht="12.75" customHeight="1" x14ac:dyDescent="0.25">
      <c r="A1007" s="347" t="s">
        <v>2953</v>
      </c>
      <c r="B1007" s="376">
        <v>45351</v>
      </c>
      <c r="C1007" s="333" t="s">
        <v>60</v>
      </c>
      <c r="D1007" s="333" t="s">
        <v>526</v>
      </c>
      <c r="E1007" s="333"/>
      <c r="F1007" s="374" t="s">
        <v>2948</v>
      </c>
      <c r="G1007" s="372" t="s">
        <v>2954</v>
      </c>
      <c r="H1007" s="372">
        <v>1</v>
      </c>
      <c r="I1007" s="372">
        <v>3</v>
      </c>
      <c r="J1007" s="372" t="s">
        <v>68</v>
      </c>
      <c r="K1007" s="372" t="s">
        <v>69</v>
      </c>
      <c r="L1007" s="372"/>
      <c r="M1007" s="372"/>
      <c r="N1007" s="449"/>
      <c r="O1007" s="449"/>
      <c r="P1007" s="495">
        <v>45352</v>
      </c>
      <c r="Q1007" s="372"/>
      <c r="R1007" s="372"/>
      <c r="S1007" s="401"/>
      <c r="T1007" s="401"/>
      <c r="U1007" s="401"/>
      <c r="V1007" s="401"/>
      <c r="W1007" s="402"/>
      <c r="X1007" s="401"/>
      <c r="Y1007" s="336">
        <f t="shared" ca="1" si="20"/>
        <v>234</v>
      </c>
      <c r="Z1007" s="401"/>
      <c r="AA1007" s="401"/>
      <c r="AB1007" s="373"/>
    </row>
    <row r="1008" spans="1:30" ht="12.75" customHeight="1" x14ac:dyDescent="0.25">
      <c r="A1008" s="347" t="s">
        <v>2955</v>
      </c>
      <c r="B1008" s="376">
        <v>45344</v>
      </c>
      <c r="C1008" s="333" t="s">
        <v>60</v>
      </c>
      <c r="D1008" s="333" t="s">
        <v>526</v>
      </c>
      <c r="E1008" s="333"/>
      <c r="F1008" s="374" t="s">
        <v>2956</v>
      </c>
      <c r="G1008" s="372" t="s">
        <v>2957</v>
      </c>
      <c r="H1008" s="372">
        <v>18</v>
      </c>
      <c r="I1008" s="372">
        <v>3</v>
      </c>
      <c r="J1008" s="372" t="s">
        <v>43</v>
      </c>
      <c r="K1008" s="372" t="s">
        <v>32</v>
      </c>
      <c r="L1008" s="372"/>
      <c r="M1008" s="372"/>
      <c r="N1008" s="449"/>
      <c r="O1008" s="449"/>
      <c r="P1008" s="495">
        <v>45344</v>
      </c>
      <c r="Q1008" s="372"/>
      <c r="R1008" s="372"/>
      <c r="S1008" s="401"/>
      <c r="T1008" s="401"/>
      <c r="U1008" s="401"/>
      <c r="V1008" s="401"/>
      <c r="W1008" s="402"/>
      <c r="X1008" s="401"/>
      <c r="Y1008" s="336">
        <f t="shared" ca="1" si="20"/>
        <v>242</v>
      </c>
      <c r="Z1008" s="401"/>
      <c r="AA1008" s="401"/>
      <c r="AB1008" s="373"/>
    </row>
    <row r="1009" spans="1:30" ht="12.75" customHeight="1" x14ac:dyDescent="0.25">
      <c r="A1009" s="347" t="s">
        <v>2958</v>
      </c>
      <c r="B1009" s="376">
        <v>45344</v>
      </c>
      <c r="C1009" s="333" t="s">
        <v>60</v>
      </c>
      <c r="D1009" s="333" t="s">
        <v>526</v>
      </c>
      <c r="E1009" s="333"/>
      <c r="F1009" s="374" t="s">
        <v>2959</v>
      </c>
      <c r="G1009" s="372" t="s">
        <v>2960</v>
      </c>
      <c r="H1009" s="372">
        <v>2</v>
      </c>
      <c r="I1009" s="372">
        <v>3</v>
      </c>
      <c r="J1009" s="372" t="s">
        <v>43</v>
      </c>
      <c r="K1009" s="372" t="s">
        <v>32</v>
      </c>
      <c r="L1009" s="372"/>
      <c r="M1009" s="372"/>
      <c r="N1009" s="449"/>
      <c r="O1009" s="449"/>
      <c r="P1009" s="495">
        <v>45344</v>
      </c>
      <c r="Q1009" s="372"/>
      <c r="R1009" s="372"/>
      <c r="S1009" s="401"/>
      <c r="T1009" s="401"/>
      <c r="U1009" s="401"/>
      <c r="V1009" s="401"/>
      <c r="W1009" s="402"/>
      <c r="X1009" s="401"/>
      <c r="Y1009" s="336">
        <f t="shared" ca="1" si="20"/>
        <v>242</v>
      </c>
      <c r="Z1009" s="401"/>
      <c r="AA1009" s="401"/>
      <c r="AB1009" s="373"/>
    </row>
    <row r="1010" spans="1:30" ht="12.75" customHeight="1" x14ac:dyDescent="0.25">
      <c r="A1010" s="347" t="s">
        <v>2961</v>
      </c>
      <c r="B1010" s="376">
        <v>45352</v>
      </c>
      <c r="C1010" s="333" t="s">
        <v>26</v>
      </c>
      <c r="D1010" s="333" t="s">
        <v>2962</v>
      </c>
      <c r="E1010" s="333"/>
      <c r="F1010" s="374">
        <v>2334403</v>
      </c>
      <c r="G1010" s="372" t="s">
        <v>2963</v>
      </c>
      <c r="H1010" s="372">
        <v>1</v>
      </c>
      <c r="I1010" s="372" t="s">
        <v>2964</v>
      </c>
      <c r="J1010" s="372" t="s">
        <v>31</v>
      </c>
      <c r="K1010" s="372" t="s">
        <v>32</v>
      </c>
      <c r="L1010" s="372"/>
      <c r="M1010" s="372"/>
      <c r="N1010" s="449"/>
      <c r="O1010" s="449"/>
      <c r="P1010" s="376">
        <v>45352</v>
      </c>
      <c r="Q1010" s="372"/>
      <c r="R1010" s="372"/>
      <c r="S1010" s="401"/>
      <c r="T1010" s="401"/>
      <c r="U1010" s="401"/>
      <c r="V1010" s="401"/>
      <c r="W1010" s="402"/>
      <c r="X1010" s="401"/>
      <c r="Y1010" s="336">
        <f t="shared" ca="1" si="20"/>
        <v>234</v>
      </c>
      <c r="Z1010" s="401"/>
      <c r="AA1010" s="401"/>
      <c r="AB1010" s="373"/>
      <c r="AD1010" s="338"/>
    </row>
    <row r="1011" spans="1:30" ht="12.75" customHeight="1" x14ac:dyDescent="0.25">
      <c r="A1011" s="347" t="s">
        <v>2965</v>
      </c>
      <c r="B1011" s="376">
        <v>45352</v>
      </c>
      <c r="C1011" s="333" t="s">
        <v>26</v>
      </c>
      <c r="D1011" s="333"/>
      <c r="E1011" s="333"/>
      <c r="F1011" s="374">
        <v>2507656</v>
      </c>
      <c r="G1011" s="372" t="s">
        <v>1322</v>
      </c>
      <c r="H1011" s="372">
        <v>6</v>
      </c>
      <c r="I1011" s="372" t="s">
        <v>2966</v>
      </c>
      <c r="J1011" s="390" t="s">
        <v>46</v>
      </c>
      <c r="K1011" s="372" t="s">
        <v>32</v>
      </c>
      <c r="L1011" s="372"/>
      <c r="M1011" s="372"/>
      <c r="N1011" s="449"/>
      <c r="O1011" s="449"/>
      <c r="P1011" s="376">
        <v>45352</v>
      </c>
      <c r="Q1011" s="372"/>
      <c r="R1011" s="372"/>
      <c r="S1011" s="401"/>
      <c r="T1011" s="401"/>
      <c r="U1011" s="401"/>
      <c r="V1011" s="401"/>
      <c r="W1011" s="402"/>
      <c r="X1011" s="401"/>
      <c r="Y1011" s="336">
        <f t="shared" ca="1" si="20"/>
        <v>234</v>
      </c>
      <c r="Z1011" s="401"/>
      <c r="AA1011" s="401"/>
      <c r="AB1011" s="373"/>
      <c r="AD1011" s="338"/>
    </row>
    <row r="1012" spans="1:30" ht="12.75" customHeight="1" x14ac:dyDescent="0.25">
      <c r="A1012" s="347" t="s">
        <v>2967</v>
      </c>
      <c r="B1012" s="376">
        <v>45352</v>
      </c>
      <c r="C1012" s="333" t="s">
        <v>26</v>
      </c>
      <c r="D1012" s="333"/>
      <c r="E1012" s="333"/>
      <c r="F1012" s="374">
        <v>2507657</v>
      </c>
      <c r="G1012" s="372" t="s">
        <v>1322</v>
      </c>
      <c r="H1012" s="333">
        <v>6</v>
      </c>
      <c r="I1012" s="333" t="s">
        <v>2966</v>
      </c>
      <c r="J1012" s="390" t="s">
        <v>46</v>
      </c>
      <c r="K1012" s="372" t="s">
        <v>32</v>
      </c>
      <c r="L1012" s="333"/>
      <c r="M1012" s="333"/>
      <c r="N1012" s="417"/>
      <c r="O1012" s="417"/>
      <c r="P1012" s="376">
        <v>45352</v>
      </c>
      <c r="Q1012" s="333"/>
      <c r="R1012" s="333"/>
      <c r="S1012" s="373"/>
      <c r="T1012" s="373"/>
      <c r="U1012" s="373"/>
      <c r="V1012" s="373"/>
      <c r="W1012" s="346"/>
      <c r="X1012" s="373"/>
      <c r="Y1012" s="336">
        <f t="shared" ca="1" si="20"/>
        <v>234</v>
      </c>
      <c r="Z1012" s="373"/>
      <c r="AA1012" s="373"/>
      <c r="AB1012" s="373"/>
      <c r="AD1012" s="338"/>
    </row>
    <row r="1013" spans="1:30" ht="12.75" customHeight="1" x14ac:dyDescent="0.25">
      <c r="A1013" s="347" t="s">
        <v>2968</v>
      </c>
      <c r="B1013" s="376">
        <v>45352</v>
      </c>
      <c r="C1013" s="333" t="s">
        <v>26</v>
      </c>
      <c r="D1013" s="333"/>
      <c r="E1013" s="333"/>
      <c r="F1013" s="374">
        <v>815149</v>
      </c>
      <c r="G1013" s="372" t="s">
        <v>2969</v>
      </c>
      <c r="H1013" s="333">
        <v>96</v>
      </c>
      <c r="I1013" s="333" t="s">
        <v>2970</v>
      </c>
      <c r="J1013" s="390" t="s">
        <v>46</v>
      </c>
      <c r="K1013" s="372" t="s">
        <v>32</v>
      </c>
      <c r="L1013" s="333"/>
      <c r="M1013" s="333"/>
      <c r="N1013" s="417"/>
      <c r="O1013" s="417"/>
      <c r="P1013" s="376">
        <v>45352</v>
      </c>
      <c r="Q1013" s="333"/>
      <c r="R1013" s="333"/>
      <c r="S1013" s="373"/>
      <c r="T1013" s="373"/>
      <c r="U1013" s="373"/>
      <c r="V1013" s="373"/>
      <c r="W1013" s="346" t="s">
        <v>2971</v>
      </c>
      <c r="X1013" s="373"/>
      <c r="Y1013" s="336" t="e">
        <f t="shared" ca="1" si="20"/>
        <v>#VALUE!</v>
      </c>
      <c r="Z1013" s="373"/>
      <c r="AA1013" s="373"/>
      <c r="AB1013" s="373"/>
      <c r="AD1013" s="338"/>
    </row>
    <row r="1014" spans="1:30" ht="12.75" customHeight="1" x14ac:dyDescent="0.25">
      <c r="A1014" s="347" t="s">
        <v>2972</v>
      </c>
      <c r="B1014" s="376">
        <v>45352</v>
      </c>
      <c r="C1014" s="333" t="s">
        <v>26</v>
      </c>
      <c r="D1014" s="333"/>
      <c r="E1014" s="333"/>
      <c r="F1014" s="374">
        <v>5514</v>
      </c>
      <c r="G1014" s="372" t="s">
        <v>2973</v>
      </c>
      <c r="H1014" s="333">
        <v>12</v>
      </c>
      <c r="I1014" s="333" t="s">
        <v>2970</v>
      </c>
      <c r="J1014" s="390" t="s">
        <v>46</v>
      </c>
      <c r="K1014" s="372" t="s">
        <v>32</v>
      </c>
      <c r="L1014" s="333"/>
      <c r="M1014" s="333"/>
      <c r="N1014" s="417"/>
      <c r="O1014" s="417"/>
      <c r="P1014" s="376">
        <v>45352</v>
      </c>
      <c r="Q1014" s="333"/>
      <c r="R1014" s="333"/>
      <c r="S1014" s="373"/>
      <c r="T1014" s="373"/>
      <c r="U1014" s="373"/>
      <c r="V1014" s="373"/>
      <c r="W1014" s="346"/>
      <c r="X1014" s="373"/>
      <c r="Y1014" s="336">
        <f t="shared" ca="1" si="20"/>
        <v>234</v>
      </c>
      <c r="Z1014" s="373"/>
      <c r="AA1014" s="373"/>
      <c r="AB1014" s="373"/>
      <c r="AD1014" s="338"/>
    </row>
    <row r="1015" spans="1:30" ht="12.75" customHeight="1" x14ac:dyDescent="0.25">
      <c r="A1015" s="347" t="s">
        <v>2974</v>
      </c>
      <c r="B1015" s="376">
        <v>45352</v>
      </c>
      <c r="C1015" s="333" t="s">
        <v>26</v>
      </c>
      <c r="D1015" s="333"/>
      <c r="E1015" s="333"/>
      <c r="F1015" s="374">
        <v>1924578</v>
      </c>
      <c r="G1015" s="372" t="s">
        <v>2975</v>
      </c>
      <c r="H1015" s="333">
        <v>4</v>
      </c>
      <c r="I1015" s="333" t="s">
        <v>2970</v>
      </c>
      <c r="J1015" s="390" t="s">
        <v>46</v>
      </c>
      <c r="K1015" s="372" t="s">
        <v>32</v>
      </c>
      <c r="L1015" s="333"/>
      <c r="M1015" s="333"/>
      <c r="N1015" s="417"/>
      <c r="O1015" s="417"/>
      <c r="P1015" s="376">
        <v>45352</v>
      </c>
      <c r="Q1015" s="333"/>
      <c r="R1015" s="333"/>
      <c r="S1015" s="373"/>
      <c r="T1015" s="373"/>
      <c r="U1015" s="373"/>
      <c r="V1015" s="373"/>
      <c r="W1015" s="346"/>
      <c r="X1015" s="373"/>
      <c r="Y1015" s="336">
        <f t="shared" ca="1" si="20"/>
        <v>234</v>
      </c>
      <c r="Z1015" s="373"/>
      <c r="AA1015" s="373"/>
      <c r="AB1015" s="373"/>
      <c r="AD1015" s="338"/>
    </row>
    <row r="1016" spans="1:30" ht="12.75" customHeight="1" x14ac:dyDescent="0.25">
      <c r="A1016" s="347" t="s">
        <v>2976</v>
      </c>
      <c r="B1016" s="376">
        <v>45358</v>
      </c>
      <c r="C1016" s="333" t="s">
        <v>219</v>
      </c>
      <c r="D1016" s="333" t="s">
        <v>2977</v>
      </c>
      <c r="E1016" s="333"/>
      <c r="F1016" s="374">
        <v>26072506303</v>
      </c>
      <c r="G1016" s="372" t="s">
        <v>2978</v>
      </c>
      <c r="H1016" s="333">
        <v>24</v>
      </c>
      <c r="I1016" s="333" t="s">
        <v>2979</v>
      </c>
      <c r="J1016" s="333" t="s">
        <v>541</v>
      </c>
      <c r="K1016" s="333" t="s">
        <v>32</v>
      </c>
      <c r="L1016" s="333"/>
      <c r="M1016" s="333"/>
      <c r="N1016" s="417"/>
      <c r="O1016" s="417"/>
      <c r="P1016" s="462">
        <v>45364</v>
      </c>
      <c r="Q1016" s="333"/>
      <c r="R1016" s="333"/>
      <c r="S1016" s="373"/>
      <c r="T1016" s="373"/>
      <c r="U1016" s="373"/>
      <c r="V1016" s="373"/>
      <c r="W1016" s="346">
        <v>45384</v>
      </c>
      <c r="X1016" s="373">
        <v>24</v>
      </c>
      <c r="Y1016" s="336">
        <f t="shared" ca="1" si="20"/>
        <v>20</v>
      </c>
      <c r="Z1016" s="373"/>
      <c r="AA1016" s="373"/>
      <c r="AB1016" s="373"/>
      <c r="AD1016" s="338"/>
    </row>
    <row r="1017" spans="1:30" ht="12.75" customHeight="1" x14ac:dyDescent="0.25">
      <c r="A1017" s="347" t="s">
        <v>2980</v>
      </c>
      <c r="B1017" s="376">
        <v>45358</v>
      </c>
      <c r="C1017" s="333" t="s">
        <v>26</v>
      </c>
      <c r="D1017" s="333" t="s">
        <v>988</v>
      </c>
      <c r="E1017" s="333"/>
      <c r="F1017" s="374">
        <v>3165898</v>
      </c>
      <c r="G1017" s="372" t="s">
        <v>2571</v>
      </c>
      <c r="H1017" s="333">
        <v>1</v>
      </c>
      <c r="I1017" s="333" t="s">
        <v>2981</v>
      </c>
      <c r="J1017" s="333" t="s">
        <v>2627</v>
      </c>
      <c r="K1017" s="333" t="s">
        <v>69</v>
      </c>
      <c r="L1017" s="333"/>
      <c r="M1017" s="333"/>
      <c r="N1017" s="417"/>
      <c r="O1017" s="417"/>
      <c r="P1017" s="462">
        <v>45356</v>
      </c>
      <c r="Q1017" s="333"/>
      <c r="R1017" s="333"/>
      <c r="S1017" s="373"/>
      <c r="T1017" s="373"/>
      <c r="U1017" s="373"/>
      <c r="V1017" s="373"/>
      <c r="W1017" s="346"/>
      <c r="X1017" s="373"/>
      <c r="Y1017" s="336">
        <f t="shared" ca="1" si="20"/>
        <v>230</v>
      </c>
      <c r="Z1017" s="373"/>
      <c r="AA1017" s="373"/>
      <c r="AB1017" s="373"/>
      <c r="AD1017" s="338"/>
    </row>
    <row r="1018" spans="1:30" ht="12.75" customHeight="1" x14ac:dyDescent="0.25">
      <c r="A1018" s="347" t="s">
        <v>2982</v>
      </c>
      <c r="B1018" s="376">
        <v>45358</v>
      </c>
      <c r="C1018" s="333" t="s">
        <v>26</v>
      </c>
      <c r="D1018" s="333" t="s">
        <v>988</v>
      </c>
      <c r="E1018" s="333"/>
      <c r="F1018" s="374">
        <v>2334728</v>
      </c>
      <c r="G1018" s="372" t="s">
        <v>2983</v>
      </c>
      <c r="H1018" s="333">
        <v>1</v>
      </c>
      <c r="I1018" s="333" t="s">
        <v>2984</v>
      </c>
      <c r="J1018" s="333" t="s">
        <v>2627</v>
      </c>
      <c r="K1018" s="333" t="s">
        <v>69</v>
      </c>
      <c r="L1018" s="333"/>
      <c r="M1018" s="333"/>
      <c r="N1018" s="417"/>
      <c r="O1018" s="417"/>
      <c r="P1018" s="462">
        <v>45356</v>
      </c>
      <c r="Q1018" s="333"/>
      <c r="R1018" s="333"/>
      <c r="S1018" s="373"/>
      <c r="T1018" s="373"/>
      <c r="U1018" s="373"/>
      <c r="V1018" s="373"/>
      <c r="W1018" s="346">
        <v>45058</v>
      </c>
      <c r="X1018" s="373"/>
      <c r="Y1018" s="336">
        <f t="shared" ca="1" si="20"/>
        <v>-298</v>
      </c>
      <c r="Z1018" s="373"/>
      <c r="AA1018" s="373"/>
      <c r="AB1018" s="373"/>
      <c r="AD1018" s="338"/>
    </row>
    <row r="1019" spans="1:30" ht="12.75" customHeight="1" x14ac:dyDescent="0.25">
      <c r="A1019" s="347" t="s">
        <v>2985</v>
      </c>
      <c r="B1019" s="376">
        <v>45358</v>
      </c>
      <c r="C1019" s="333" t="s">
        <v>26</v>
      </c>
      <c r="D1019" s="333" t="s">
        <v>1259</v>
      </c>
      <c r="E1019" s="333"/>
      <c r="F1019" s="374">
        <v>2406035</v>
      </c>
      <c r="G1019" s="372" t="s">
        <v>2986</v>
      </c>
      <c r="H1019" s="333">
        <v>1</v>
      </c>
      <c r="I1019" s="333" t="s">
        <v>2987</v>
      </c>
      <c r="J1019" s="333" t="s">
        <v>2627</v>
      </c>
      <c r="K1019" s="333" t="s">
        <v>69</v>
      </c>
      <c r="L1019" s="333"/>
      <c r="M1019" s="333"/>
      <c r="N1019" s="417"/>
      <c r="O1019" s="417"/>
      <c r="P1019" s="462">
        <v>45356</v>
      </c>
      <c r="Q1019" s="333"/>
      <c r="R1019" s="333"/>
      <c r="S1019" s="373"/>
      <c r="T1019" s="373"/>
      <c r="U1019" s="373"/>
      <c r="V1019" s="373"/>
      <c r="W1019" s="346"/>
      <c r="X1019" s="373"/>
      <c r="Y1019" s="336">
        <f t="shared" ca="1" si="20"/>
        <v>230</v>
      </c>
      <c r="Z1019" s="373"/>
      <c r="AA1019" s="373"/>
      <c r="AB1019" s="373"/>
      <c r="AD1019" s="338"/>
    </row>
    <row r="1020" spans="1:30" ht="12.75" customHeight="1" x14ac:dyDescent="0.25">
      <c r="A1020" s="347" t="s">
        <v>2988</v>
      </c>
      <c r="B1020" s="363">
        <v>45358</v>
      </c>
      <c r="C1020" s="364" t="s">
        <v>26</v>
      </c>
      <c r="D1020" s="333" t="s">
        <v>988</v>
      </c>
      <c r="E1020" s="364"/>
      <c r="F1020" s="365">
        <v>2058214</v>
      </c>
      <c r="G1020" s="366" t="s">
        <v>2989</v>
      </c>
      <c r="H1020" s="364">
        <v>1</v>
      </c>
      <c r="I1020" s="364" t="s">
        <v>2984</v>
      </c>
      <c r="J1020" s="364" t="s">
        <v>2627</v>
      </c>
      <c r="K1020" s="333" t="s">
        <v>69</v>
      </c>
      <c r="L1020" s="364"/>
      <c r="M1020" s="364"/>
      <c r="N1020" s="485"/>
      <c r="O1020" s="485"/>
      <c r="P1020" s="491">
        <v>45356</v>
      </c>
      <c r="Q1020" s="364"/>
      <c r="R1020" s="364"/>
      <c r="S1020" s="369"/>
      <c r="T1020" s="369"/>
      <c r="U1020" s="369"/>
      <c r="V1020" s="369"/>
      <c r="W1020" s="370"/>
      <c r="X1020" s="369"/>
      <c r="Y1020" s="336">
        <f t="shared" ca="1" si="20"/>
        <v>230</v>
      </c>
      <c r="Z1020" s="369"/>
      <c r="AA1020" s="369"/>
      <c r="AB1020" s="369"/>
      <c r="AD1020" s="338"/>
    </row>
    <row r="1021" spans="1:30" ht="12.75" customHeight="1" x14ac:dyDescent="0.25">
      <c r="A1021" s="347" t="s">
        <v>2990</v>
      </c>
      <c r="B1021" s="376">
        <v>45358</v>
      </c>
      <c r="C1021" s="333" t="s">
        <v>26</v>
      </c>
      <c r="D1021" s="333" t="s">
        <v>2962</v>
      </c>
      <c r="E1021" s="333"/>
      <c r="F1021" s="374">
        <v>2006759</v>
      </c>
      <c r="G1021" s="372" t="s">
        <v>2991</v>
      </c>
      <c r="H1021" s="333">
        <v>3</v>
      </c>
      <c r="I1021" s="333" t="s">
        <v>2992</v>
      </c>
      <c r="J1021" s="333" t="s">
        <v>541</v>
      </c>
      <c r="K1021" s="333" t="s">
        <v>32</v>
      </c>
      <c r="L1021" s="333"/>
      <c r="M1021" s="333"/>
      <c r="N1021" s="417"/>
      <c r="O1021" s="417"/>
      <c r="P1021" s="462">
        <v>45358</v>
      </c>
      <c r="Q1021" s="333"/>
      <c r="R1021" s="333"/>
      <c r="S1021" s="373"/>
      <c r="T1021" s="373"/>
      <c r="U1021" s="373"/>
      <c r="V1021" s="373"/>
      <c r="W1021" s="346"/>
      <c r="X1021" s="373"/>
      <c r="Y1021" s="336">
        <f t="shared" ca="1" si="20"/>
        <v>228</v>
      </c>
      <c r="Z1021" s="373"/>
      <c r="AA1021" s="373"/>
      <c r="AB1021" s="373"/>
      <c r="AD1021" s="338"/>
    </row>
    <row r="1022" spans="1:30" ht="12.75" customHeight="1" x14ac:dyDescent="0.25">
      <c r="A1022" s="347" t="s">
        <v>2993</v>
      </c>
      <c r="B1022" s="376">
        <v>45358</v>
      </c>
      <c r="C1022" s="333" t="s">
        <v>26</v>
      </c>
      <c r="D1022" s="333" t="s">
        <v>2962</v>
      </c>
      <c r="E1022" s="333"/>
      <c r="F1022" s="374">
        <v>816102</v>
      </c>
      <c r="G1022" s="372" t="s">
        <v>2994</v>
      </c>
      <c r="H1022" s="333">
        <v>6</v>
      </c>
      <c r="I1022" s="333" t="s">
        <v>2992</v>
      </c>
      <c r="J1022" s="333" t="s">
        <v>541</v>
      </c>
      <c r="K1022" s="333" t="s">
        <v>32</v>
      </c>
      <c r="L1022" s="333"/>
      <c r="M1022" s="333"/>
      <c r="N1022" s="417"/>
      <c r="O1022" s="417"/>
      <c r="P1022" s="462">
        <v>45358</v>
      </c>
      <c r="Q1022" s="333"/>
      <c r="R1022" s="333"/>
      <c r="S1022" s="373"/>
      <c r="T1022" s="373"/>
      <c r="U1022" s="373"/>
      <c r="V1022" s="373"/>
      <c r="W1022" s="346"/>
      <c r="X1022" s="373"/>
      <c r="Y1022" s="336">
        <f t="shared" ca="1" si="20"/>
        <v>228</v>
      </c>
      <c r="Z1022" s="373"/>
      <c r="AA1022" s="373"/>
      <c r="AB1022" s="373"/>
      <c r="AD1022" s="338"/>
    </row>
    <row r="1023" spans="1:30" ht="12.75" customHeight="1" x14ac:dyDescent="0.25">
      <c r="A1023" s="347" t="s">
        <v>2995</v>
      </c>
      <c r="B1023" s="376">
        <v>45363</v>
      </c>
      <c r="C1023" s="333" t="s">
        <v>219</v>
      </c>
      <c r="D1023" s="333" t="s">
        <v>2977</v>
      </c>
      <c r="E1023" s="333"/>
      <c r="F1023" s="374">
        <v>268072710101</v>
      </c>
      <c r="G1023" s="372" t="s">
        <v>2996</v>
      </c>
      <c r="H1023" s="333">
        <v>9</v>
      </c>
      <c r="I1023" s="333" t="s">
        <v>2979</v>
      </c>
      <c r="J1023" s="333" t="s">
        <v>43</v>
      </c>
      <c r="K1023" s="333" t="s">
        <v>32</v>
      </c>
      <c r="L1023" s="333"/>
      <c r="M1023" s="333"/>
      <c r="N1023" s="417"/>
      <c r="O1023" s="417"/>
      <c r="P1023" s="462">
        <v>45364</v>
      </c>
      <c r="Q1023" s="333"/>
      <c r="R1023" s="333"/>
      <c r="S1023" s="373"/>
      <c r="T1023" s="373"/>
      <c r="U1023" s="373"/>
      <c r="V1023" s="373"/>
      <c r="W1023" s="346">
        <v>45384</v>
      </c>
      <c r="X1023" s="373">
        <v>9</v>
      </c>
      <c r="Y1023" s="336">
        <f t="shared" ca="1" si="20"/>
        <v>20</v>
      </c>
      <c r="Z1023" s="373"/>
      <c r="AA1023" s="373"/>
      <c r="AB1023" s="373"/>
      <c r="AD1023" s="338"/>
    </row>
    <row r="1024" spans="1:30" ht="12.75" customHeight="1" x14ac:dyDescent="0.25">
      <c r="A1024" s="347" t="s">
        <v>2997</v>
      </c>
      <c r="B1024" s="376">
        <v>45363</v>
      </c>
      <c r="C1024" s="333" t="s">
        <v>219</v>
      </c>
      <c r="D1024" s="333" t="s">
        <v>2977</v>
      </c>
      <c r="E1024" s="333" t="s">
        <v>2998</v>
      </c>
      <c r="F1024" s="374">
        <v>288032403751</v>
      </c>
      <c r="G1024" s="372" t="s">
        <v>2999</v>
      </c>
      <c r="H1024" s="333">
        <v>2</v>
      </c>
      <c r="I1024" s="333" t="s">
        <v>2979</v>
      </c>
      <c r="J1024" s="333" t="s">
        <v>43</v>
      </c>
      <c r="K1024" s="333" t="s">
        <v>32</v>
      </c>
      <c r="L1024" s="333"/>
      <c r="M1024" s="333"/>
      <c r="N1024" s="417"/>
      <c r="O1024" s="417"/>
      <c r="P1024" s="462">
        <v>45364</v>
      </c>
      <c r="Q1024" s="333"/>
      <c r="R1024" s="333"/>
      <c r="S1024" s="373"/>
      <c r="T1024" s="373"/>
      <c r="U1024" s="373"/>
      <c r="V1024" s="373"/>
      <c r="W1024" s="346">
        <v>45432</v>
      </c>
      <c r="X1024" s="373">
        <v>2</v>
      </c>
      <c r="Y1024" s="336">
        <f t="shared" ca="1" si="20"/>
        <v>68</v>
      </c>
      <c r="Z1024" s="373"/>
      <c r="AA1024" s="373"/>
      <c r="AB1024" s="373"/>
      <c r="AD1024" s="338"/>
    </row>
    <row r="1025" spans="1:30" ht="12.75" customHeight="1" x14ac:dyDescent="0.25">
      <c r="A1025" s="347" t="s">
        <v>3000</v>
      </c>
      <c r="B1025" s="376">
        <v>45357</v>
      </c>
      <c r="C1025" s="333" t="s">
        <v>35</v>
      </c>
      <c r="D1025" s="333" t="s">
        <v>71</v>
      </c>
      <c r="E1025" s="333">
        <v>7740638</v>
      </c>
      <c r="F1025" s="374" t="s">
        <v>3001</v>
      </c>
      <c r="G1025" s="372" t="s">
        <v>1084</v>
      </c>
      <c r="H1025" s="333">
        <v>1</v>
      </c>
      <c r="I1025" s="333" t="s">
        <v>3002</v>
      </c>
      <c r="J1025" s="333" t="s">
        <v>68</v>
      </c>
      <c r="K1025" s="333" t="s">
        <v>69</v>
      </c>
      <c r="L1025" s="333"/>
      <c r="M1025" s="333"/>
      <c r="N1025" s="417"/>
      <c r="O1025" s="417"/>
      <c r="P1025" s="462"/>
      <c r="Q1025" s="333"/>
      <c r="R1025" s="333"/>
      <c r="S1025" s="373"/>
      <c r="T1025" s="373"/>
      <c r="U1025" s="373"/>
      <c r="V1025" s="373"/>
      <c r="W1025" s="346"/>
      <c r="X1025" s="373"/>
      <c r="Y1025" s="336" t="str">
        <f t="shared" ca="1" si="20"/>
        <v/>
      </c>
      <c r="Z1025" s="373"/>
      <c r="AA1025" s="373"/>
      <c r="AB1025" s="373"/>
      <c r="AC1025" s="338" t="str">
        <f>VLOOKUP(F1025,'[1]CPO DATA'!$D:$I,4,FALSE)</f>
        <v>BZ031</v>
      </c>
      <c r="AD1025" s="338"/>
    </row>
    <row r="1026" spans="1:30" ht="12.75" customHeight="1" x14ac:dyDescent="0.25">
      <c r="A1026" s="347" t="s">
        <v>3003</v>
      </c>
      <c r="B1026" s="376">
        <v>45355</v>
      </c>
      <c r="C1026" s="333" t="s">
        <v>35</v>
      </c>
      <c r="D1026" s="333" t="s">
        <v>71</v>
      </c>
      <c r="E1026" s="333">
        <v>7740578</v>
      </c>
      <c r="F1026" s="374" t="s">
        <v>3004</v>
      </c>
      <c r="G1026" s="372" t="s">
        <v>257</v>
      </c>
      <c r="H1026" s="333"/>
      <c r="I1026" s="333" t="s">
        <v>3005</v>
      </c>
      <c r="J1026" s="333" t="s">
        <v>68</v>
      </c>
      <c r="K1026" s="333" t="s">
        <v>69</v>
      </c>
      <c r="L1026" s="333"/>
      <c r="M1026" s="333"/>
      <c r="N1026" s="417"/>
      <c r="O1026" s="417"/>
      <c r="P1026" s="462"/>
      <c r="Q1026" s="333"/>
      <c r="R1026" s="333"/>
      <c r="S1026" s="373"/>
      <c r="T1026" s="373"/>
      <c r="U1026" s="373"/>
      <c r="V1026" s="373"/>
      <c r="W1026" s="346"/>
      <c r="X1026" s="373"/>
      <c r="Y1026" s="336" t="str">
        <f t="shared" ca="1" si="20"/>
        <v/>
      </c>
      <c r="Z1026" s="373"/>
      <c r="AA1026" s="373"/>
      <c r="AB1026" s="373"/>
      <c r="AC1026" s="338" t="e">
        <f>VLOOKUP(F1026,'[1]CPO DATA'!$D:$I,4,FALSE)</f>
        <v>#N/A</v>
      </c>
      <c r="AD1026" s="418" t="e">
        <f>VLOOKUP(F1026,'STORE ITEMS'!C:F,2,FALSE)</f>
        <v>#N/A</v>
      </c>
    </row>
    <row r="1027" spans="1:30" ht="12.75" customHeight="1" x14ac:dyDescent="0.25">
      <c r="A1027" s="347" t="s">
        <v>3006</v>
      </c>
      <c r="B1027" s="376">
        <v>45355</v>
      </c>
      <c r="C1027" s="333" t="s">
        <v>35</v>
      </c>
      <c r="D1027" s="333" t="s">
        <v>71</v>
      </c>
      <c r="E1027" s="333">
        <v>7740597</v>
      </c>
      <c r="F1027" s="374" t="s">
        <v>3007</v>
      </c>
      <c r="G1027" s="372" t="s">
        <v>3008</v>
      </c>
      <c r="H1027" s="333">
        <v>1</v>
      </c>
      <c r="I1027" s="333" t="s">
        <v>3009</v>
      </c>
      <c r="J1027" s="333" t="s">
        <v>68</v>
      </c>
      <c r="K1027" s="333" t="s">
        <v>69</v>
      </c>
      <c r="L1027" s="333"/>
      <c r="M1027" s="333"/>
      <c r="N1027" s="417"/>
      <c r="O1027" s="417"/>
      <c r="P1027" s="462"/>
      <c r="Q1027" s="333"/>
      <c r="R1027" s="333"/>
      <c r="S1027" s="373"/>
      <c r="T1027" s="373"/>
      <c r="U1027" s="373"/>
      <c r="V1027" s="373"/>
      <c r="W1027" s="346">
        <v>45509</v>
      </c>
      <c r="X1027" s="373"/>
      <c r="Y1027" s="336" t="str">
        <f t="shared" ca="1" si="20"/>
        <v/>
      </c>
      <c r="Z1027" s="373"/>
      <c r="AA1027" s="373"/>
      <c r="AB1027" s="373"/>
      <c r="AC1027" s="338" t="str">
        <f>VLOOKUP(F1027,'[1]CPO DATA'!$D:$I,4,FALSE)</f>
        <v>BZ031</v>
      </c>
      <c r="AD1027" s="338"/>
    </row>
    <row r="1028" spans="1:30" ht="12.75" customHeight="1" x14ac:dyDescent="0.25">
      <c r="A1028" s="347" t="s">
        <v>3010</v>
      </c>
      <c r="B1028" s="376">
        <v>45359</v>
      </c>
      <c r="C1028" s="333" t="s">
        <v>60</v>
      </c>
      <c r="D1028" s="333" t="s">
        <v>789</v>
      </c>
      <c r="E1028" s="333"/>
      <c r="F1028" s="374" t="s">
        <v>3011</v>
      </c>
      <c r="G1028" s="372" t="s">
        <v>3012</v>
      </c>
      <c r="H1028" s="333">
        <v>1</v>
      </c>
      <c r="I1028" s="333">
        <v>39</v>
      </c>
      <c r="J1028" s="333" t="s">
        <v>31</v>
      </c>
      <c r="K1028" s="333" t="s">
        <v>32</v>
      </c>
      <c r="L1028" s="333"/>
      <c r="M1028" s="333"/>
      <c r="N1028" s="417"/>
      <c r="O1028" s="417"/>
      <c r="P1028" s="462"/>
      <c r="Q1028" s="333"/>
      <c r="R1028" s="333"/>
      <c r="S1028" s="373"/>
      <c r="T1028" s="373"/>
      <c r="U1028" s="373"/>
      <c r="V1028" s="373"/>
      <c r="W1028" s="346"/>
      <c r="X1028" s="373"/>
      <c r="Y1028" s="336" t="str">
        <f t="shared" ca="1" si="20"/>
        <v/>
      </c>
      <c r="Z1028" s="373"/>
      <c r="AA1028" s="373"/>
      <c r="AB1028" s="373"/>
      <c r="AD1028" s="338"/>
    </row>
    <row r="1029" spans="1:30" ht="12.75" customHeight="1" x14ac:dyDescent="0.25">
      <c r="A1029" s="347" t="s">
        <v>3013</v>
      </c>
      <c r="B1029" s="376">
        <v>45359</v>
      </c>
      <c r="C1029" s="333" t="s">
        <v>60</v>
      </c>
      <c r="D1029" s="333" t="s">
        <v>1776</v>
      </c>
      <c r="E1029" s="333"/>
      <c r="F1029" s="374" t="s">
        <v>3014</v>
      </c>
      <c r="G1029" s="372" t="s">
        <v>3015</v>
      </c>
      <c r="H1029" s="333">
        <v>1</v>
      </c>
      <c r="I1029" s="333"/>
      <c r="J1029" s="333" t="s">
        <v>68</v>
      </c>
      <c r="K1029" s="333" t="s">
        <v>69</v>
      </c>
      <c r="L1029" s="333"/>
      <c r="M1029" s="333"/>
      <c r="N1029" s="417"/>
      <c r="O1029" s="417"/>
      <c r="P1029" s="462"/>
      <c r="Q1029" s="333"/>
      <c r="R1029" s="333"/>
      <c r="S1029" s="373"/>
      <c r="T1029" s="373"/>
      <c r="U1029" s="373"/>
      <c r="V1029" s="373"/>
      <c r="W1029" s="346"/>
      <c r="X1029" s="373"/>
      <c r="Y1029" s="336" t="str">
        <f t="shared" ca="1" si="20"/>
        <v/>
      </c>
      <c r="Z1029" s="373"/>
      <c r="AA1029" s="373"/>
      <c r="AB1029" s="373"/>
      <c r="AD1029" s="338"/>
    </row>
    <row r="1030" spans="1:30" ht="12.75" customHeight="1" x14ac:dyDescent="0.25">
      <c r="A1030" s="347" t="s">
        <v>3016</v>
      </c>
      <c r="B1030" s="376">
        <v>45364</v>
      </c>
      <c r="C1030" s="333" t="s">
        <v>219</v>
      </c>
      <c r="D1030" s="333" t="s">
        <v>2977</v>
      </c>
      <c r="E1030" s="333"/>
      <c r="F1030" s="374">
        <v>503047107201</v>
      </c>
      <c r="G1030" s="372" t="s">
        <v>3017</v>
      </c>
      <c r="H1030" s="333">
        <v>12</v>
      </c>
      <c r="I1030" s="333" t="s">
        <v>2979</v>
      </c>
      <c r="J1030" s="333" t="s">
        <v>46</v>
      </c>
      <c r="K1030" s="333" t="s">
        <v>32</v>
      </c>
      <c r="L1030" s="333"/>
      <c r="M1030" s="333"/>
      <c r="N1030" s="417"/>
      <c r="O1030" s="417"/>
      <c r="P1030" s="462">
        <v>45364</v>
      </c>
      <c r="Q1030" s="333"/>
      <c r="R1030" s="333"/>
      <c r="S1030" s="373"/>
      <c r="T1030" s="373"/>
      <c r="U1030" s="373"/>
      <c r="V1030" s="373"/>
      <c r="W1030" s="346">
        <v>45432</v>
      </c>
      <c r="X1030" s="373">
        <v>12</v>
      </c>
      <c r="Y1030" s="336">
        <f t="shared" ca="1" si="20"/>
        <v>68</v>
      </c>
      <c r="Z1030" s="373"/>
      <c r="AA1030" s="373"/>
      <c r="AB1030" s="373"/>
      <c r="AD1030" s="338"/>
    </row>
    <row r="1031" spans="1:30" ht="12.75" customHeight="1" x14ac:dyDescent="0.25">
      <c r="A1031" s="347" t="s">
        <v>3018</v>
      </c>
      <c r="B1031" s="376">
        <v>45371</v>
      </c>
      <c r="C1031" s="333" t="s">
        <v>60</v>
      </c>
      <c r="D1031" s="333" t="s">
        <v>1479</v>
      </c>
      <c r="E1031" s="333"/>
      <c r="F1031" s="374" t="s">
        <v>3019</v>
      </c>
      <c r="G1031" s="372" t="s">
        <v>3020</v>
      </c>
      <c r="H1031" s="333">
        <v>12</v>
      </c>
      <c r="I1031" s="398">
        <v>327328329</v>
      </c>
      <c r="J1031" s="333" t="s">
        <v>541</v>
      </c>
      <c r="K1031" s="333" t="s">
        <v>32</v>
      </c>
      <c r="L1031" s="333"/>
      <c r="M1031" s="333"/>
      <c r="N1031" s="417"/>
      <c r="O1031" s="417"/>
      <c r="P1031" s="462">
        <v>45394</v>
      </c>
      <c r="Q1031" s="333"/>
      <c r="R1031" s="333"/>
      <c r="S1031" s="373"/>
      <c r="T1031" s="373"/>
      <c r="U1031" s="373"/>
      <c r="V1031" s="373"/>
      <c r="W1031" s="346"/>
      <c r="X1031" s="373"/>
      <c r="Y1031" s="336">
        <f t="shared" ca="1" si="20"/>
        <v>192</v>
      </c>
      <c r="Z1031" s="373"/>
      <c r="AA1031" s="373"/>
      <c r="AB1031" s="373" t="s">
        <v>3021</v>
      </c>
      <c r="AD1031" s="338"/>
    </row>
    <row r="1032" spans="1:30" ht="12.75" customHeight="1" x14ac:dyDescent="0.25">
      <c r="A1032" s="347" t="s">
        <v>3022</v>
      </c>
      <c r="B1032" s="376">
        <v>45363</v>
      </c>
      <c r="C1032" s="333" t="s">
        <v>219</v>
      </c>
      <c r="D1032" s="333" t="s">
        <v>2977</v>
      </c>
      <c r="E1032" s="333"/>
      <c r="F1032" s="374">
        <v>208230100108</v>
      </c>
      <c r="G1032" s="372" t="s">
        <v>3023</v>
      </c>
      <c r="H1032" s="333">
        <v>12</v>
      </c>
      <c r="I1032" s="333" t="s">
        <v>2979</v>
      </c>
      <c r="J1032" s="333" t="s">
        <v>43</v>
      </c>
      <c r="K1032" s="333" t="s">
        <v>32</v>
      </c>
      <c r="L1032" s="333"/>
      <c r="M1032" s="333"/>
      <c r="N1032" s="417"/>
      <c r="O1032" s="417"/>
      <c r="P1032" s="462">
        <v>45364</v>
      </c>
      <c r="Q1032" s="333"/>
      <c r="R1032" s="333"/>
      <c r="S1032" s="373"/>
      <c r="T1032" s="373"/>
      <c r="U1032" s="373"/>
      <c r="V1032" s="373"/>
      <c r="W1032" s="346">
        <v>45384</v>
      </c>
      <c r="X1032" s="373">
        <v>12</v>
      </c>
      <c r="Y1032" s="336">
        <f t="shared" ref="Y1032:Y1095" ca="1" si="21">IF(P1032="","",IF(W1032="",TODAY()-P1032,W1032-P1032))</f>
        <v>20</v>
      </c>
      <c r="Z1032" s="373"/>
      <c r="AA1032" s="373"/>
      <c r="AB1032" s="373"/>
      <c r="AD1032" s="338"/>
    </row>
    <row r="1033" spans="1:30" ht="12.75" customHeight="1" x14ac:dyDescent="0.25">
      <c r="A1033" s="347" t="s">
        <v>3024</v>
      </c>
      <c r="B1033" s="376">
        <v>45348</v>
      </c>
      <c r="C1033" s="333" t="s">
        <v>26</v>
      </c>
      <c r="D1033" s="333" t="s">
        <v>1007</v>
      </c>
      <c r="E1033" s="333"/>
      <c r="F1033" s="374">
        <v>5514</v>
      </c>
      <c r="G1033" s="372" t="s">
        <v>2973</v>
      </c>
      <c r="H1033" s="333">
        <v>6</v>
      </c>
      <c r="I1033" s="333" t="s">
        <v>3025</v>
      </c>
      <c r="J1033" s="333" t="s">
        <v>46</v>
      </c>
      <c r="K1033" s="333" t="s">
        <v>32</v>
      </c>
      <c r="L1033" s="333"/>
      <c r="M1033" s="333"/>
      <c r="N1033" s="417"/>
      <c r="O1033" s="417"/>
      <c r="P1033" s="462">
        <v>45352</v>
      </c>
      <c r="Q1033" s="333"/>
      <c r="R1033" s="333"/>
      <c r="S1033" s="373"/>
      <c r="T1033" s="373"/>
      <c r="U1033" s="373"/>
      <c r="V1033" s="373"/>
      <c r="W1033" s="346"/>
      <c r="X1033" s="373"/>
      <c r="Y1033" s="336">
        <f t="shared" ca="1" si="21"/>
        <v>234</v>
      </c>
      <c r="Z1033" s="373"/>
      <c r="AA1033" s="373"/>
      <c r="AB1033" s="373"/>
      <c r="AD1033" s="338"/>
    </row>
    <row r="1034" spans="1:30" ht="12.75" customHeight="1" x14ac:dyDescent="0.25">
      <c r="A1034" s="347" t="s">
        <v>3026</v>
      </c>
      <c r="B1034" s="376">
        <v>45348</v>
      </c>
      <c r="C1034" s="333" t="s">
        <v>26</v>
      </c>
      <c r="D1034" s="333" t="s">
        <v>1007</v>
      </c>
      <c r="E1034" s="333"/>
      <c r="F1034" s="374">
        <v>1924578</v>
      </c>
      <c r="G1034" s="372" t="s">
        <v>3027</v>
      </c>
      <c r="H1034" s="333">
        <v>4</v>
      </c>
      <c r="I1034" s="333" t="s">
        <v>3025</v>
      </c>
      <c r="J1034" s="333" t="s">
        <v>46</v>
      </c>
      <c r="K1034" s="333" t="s">
        <v>32</v>
      </c>
      <c r="L1034" s="333"/>
      <c r="M1034" s="333"/>
      <c r="N1034" s="417"/>
      <c r="O1034" s="417"/>
      <c r="P1034" s="462">
        <v>45352</v>
      </c>
      <c r="Q1034" s="333"/>
      <c r="R1034" s="333"/>
      <c r="S1034" s="373"/>
      <c r="T1034" s="373"/>
      <c r="U1034" s="373"/>
      <c r="V1034" s="373"/>
      <c r="W1034" s="346"/>
      <c r="X1034" s="373"/>
      <c r="Y1034" s="336">
        <f t="shared" ca="1" si="21"/>
        <v>234</v>
      </c>
      <c r="Z1034" s="373"/>
      <c r="AA1034" s="373"/>
      <c r="AB1034" s="373"/>
      <c r="AD1034" s="338"/>
    </row>
    <row r="1035" spans="1:30" ht="12.75" customHeight="1" x14ac:dyDescent="0.25">
      <c r="A1035" s="347" t="s">
        <v>3028</v>
      </c>
      <c r="B1035" s="376">
        <v>45348</v>
      </c>
      <c r="C1035" s="333" t="s">
        <v>26</v>
      </c>
      <c r="D1035" s="333" t="s">
        <v>1007</v>
      </c>
      <c r="E1035" s="333"/>
      <c r="F1035" s="374">
        <v>1507657</v>
      </c>
      <c r="G1035" s="372" t="s">
        <v>1322</v>
      </c>
      <c r="H1035" s="333">
        <v>6</v>
      </c>
      <c r="I1035" s="333" t="s">
        <v>3025</v>
      </c>
      <c r="J1035" s="333" t="s">
        <v>541</v>
      </c>
      <c r="K1035" s="333" t="s">
        <v>32</v>
      </c>
      <c r="L1035" s="333"/>
      <c r="M1035" s="333"/>
      <c r="N1035" s="417"/>
      <c r="O1035" s="417"/>
      <c r="P1035" s="462">
        <v>45348</v>
      </c>
      <c r="Q1035" s="333"/>
      <c r="R1035" s="333"/>
      <c r="S1035" s="373"/>
      <c r="T1035" s="373"/>
      <c r="U1035" s="373"/>
      <c r="V1035" s="373"/>
      <c r="W1035" s="346"/>
      <c r="X1035" s="373"/>
      <c r="Y1035" s="336">
        <f t="shared" ca="1" si="21"/>
        <v>238</v>
      </c>
      <c r="Z1035" s="373"/>
      <c r="AA1035" s="373"/>
      <c r="AB1035" s="373"/>
      <c r="AD1035" s="338"/>
    </row>
    <row r="1036" spans="1:30" ht="12.75" customHeight="1" x14ac:dyDescent="0.25">
      <c r="A1036" s="347" t="s">
        <v>3029</v>
      </c>
      <c r="B1036" s="376">
        <v>45348</v>
      </c>
      <c r="C1036" s="333" t="s">
        <v>26</v>
      </c>
      <c r="D1036" s="333" t="s">
        <v>1007</v>
      </c>
      <c r="E1036" s="333"/>
      <c r="F1036" s="374">
        <v>2507656</v>
      </c>
      <c r="G1036" s="372" t="s">
        <v>1322</v>
      </c>
      <c r="H1036" s="333">
        <v>6</v>
      </c>
      <c r="I1036" s="333" t="s">
        <v>3025</v>
      </c>
      <c r="J1036" s="333" t="s">
        <v>541</v>
      </c>
      <c r="K1036" s="333" t="s">
        <v>32</v>
      </c>
      <c r="L1036" s="333"/>
      <c r="M1036" s="333"/>
      <c r="N1036" s="417"/>
      <c r="O1036" s="417"/>
      <c r="P1036" s="462">
        <v>45348</v>
      </c>
      <c r="Q1036" s="333"/>
      <c r="R1036" s="333"/>
      <c r="S1036" s="373"/>
      <c r="T1036" s="373"/>
      <c r="U1036" s="373"/>
      <c r="V1036" s="373"/>
      <c r="W1036" s="346"/>
      <c r="X1036" s="373"/>
      <c r="Y1036" s="336">
        <f t="shared" ca="1" si="21"/>
        <v>238</v>
      </c>
      <c r="Z1036" s="373"/>
      <c r="AA1036" s="373"/>
      <c r="AB1036" s="373"/>
      <c r="AD1036" s="338"/>
    </row>
    <row r="1037" spans="1:30" ht="12.75" customHeight="1" x14ac:dyDescent="0.25">
      <c r="A1037" s="347" t="s">
        <v>3030</v>
      </c>
      <c r="B1037" s="376">
        <v>45348</v>
      </c>
      <c r="C1037" s="333" t="s">
        <v>26</v>
      </c>
      <c r="D1037" s="333" t="s">
        <v>1007</v>
      </c>
      <c r="E1037" s="333"/>
      <c r="F1037" s="374">
        <v>815149</v>
      </c>
      <c r="G1037" s="372" t="s">
        <v>3031</v>
      </c>
      <c r="H1037" s="333">
        <v>96</v>
      </c>
      <c r="I1037" s="333" t="s">
        <v>3025</v>
      </c>
      <c r="J1037" s="333" t="s">
        <v>46</v>
      </c>
      <c r="K1037" s="333" t="s">
        <v>32</v>
      </c>
      <c r="L1037" s="333"/>
      <c r="M1037" s="333"/>
      <c r="N1037" s="417"/>
      <c r="O1037" s="417"/>
      <c r="P1037" s="462">
        <v>45348</v>
      </c>
      <c r="Q1037" s="333"/>
      <c r="R1037" s="333"/>
      <c r="S1037" s="373"/>
      <c r="T1037" s="373"/>
      <c r="U1037" s="373"/>
      <c r="V1037" s="373"/>
      <c r="W1037" s="346" t="s">
        <v>2971</v>
      </c>
      <c r="X1037" s="373"/>
      <c r="Y1037" s="336" t="e">
        <f t="shared" ca="1" si="21"/>
        <v>#VALUE!</v>
      </c>
      <c r="Z1037" s="373"/>
      <c r="AA1037" s="373"/>
      <c r="AB1037" s="373"/>
      <c r="AD1037" s="338"/>
    </row>
    <row r="1038" spans="1:30" ht="12.75" customHeight="1" x14ac:dyDescent="0.25">
      <c r="A1038" s="347" t="s">
        <v>3032</v>
      </c>
      <c r="B1038" s="376">
        <v>45378</v>
      </c>
      <c r="C1038" s="333" t="s">
        <v>26</v>
      </c>
      <c r="D1038" s="333" t="s">
        <v>2962</v>
      </c>
      <c r="E1038" s="333"/>
      <c r="F1038" s="374">
        <v>1425541</v>
      </c>
      <c r="G1038" s="372" t="s">
        <v>3033</v>
      </c>
      <c r="H1038" s="333">
        <v>6</v>
      </c>
      <c r="I1038" s="333" t="s">
        <v>2964</v>
      </c>
      <c r="J1038" s="333" t="s">
        <v>541</v>
      </c>
      <c r="K1038" s="333" t="s">
        <v>32</v>
      </c>
      <c r="L1038" s="333"/>
      <c r="M1038" s="333"/>
      <c r="N1038" s="417"/>
      <c r="O1038" s="417"/>
      <c r="P1038" s="462">
        <v>45378</v>
      </c>
      <c r="Q1038" s="333"/>
      <c r="R1038" s="333"/>
      <c r="S1038" s="373"/>
      <c r="T1038" s="373"/>
      <c r="U1038" s="373"/>
      <c r="V1038" s="373"/>
      <c r="W1038" s="346"/>
      <c r="X1038" s="373"/>
      <c r="Y1038" s="336">
        <f t="shared" ca="1" si="21"/>
        <v>208</v>
      </c>
      <c r="Z1038" s="373"/>
      <c r="AA1038" s="373"/>
      <c r="AB1038" s="373"/>
      <c r="AD1038" s="338"/>
    </row>
    <row r="1039" spans="1:30" ht="12.75" customHeight="1" x14ac:dyDescent="0.25">
      <c r="A1039" s="347" t="s">
        <v>3034</v>
      </c>
      <c r="B1039" s="376">
        <v>45378</v>
      </c>
      <c r="C1039" s="333" t="s">
        <v>26</v>
      </c>
      <c r="D1039" s="333" t="s">
        <v>2962</v>
      </c>
      <c r="E1039" s="333"/>
      <c r="F1039" s="374">
        <v>2334403</v>
      </c>
      <c r="G1039" s="372" t="s">
        <v>3035</v>
      </c>
      <c r="H1039" s="333">
        <v>1</v>
      </c>
      <c r="I1039" s="333" t="s">
        <v>2964</v>
      </c>
      <c r="J1039" s="333" t="s">
        <v>541</v>
      </c>
      <c r="K1039" s="333" t="s">
        <v>32</v>
      </c>
      <c r="L1039" s="333"/>
      <c r="M1039" s="333"/>
      <c r="N1039" s="417"/>
      <c r="O1039" s="417"/>
      <c r="P1039" s="462">
        <v>45378</v>
      </c>
      <c r="Q1039" s="333"/>
      <c r="R1039" s="333"/>
      <c r="S1039" s="373"/>
      <c r="T1039" s="373"/>
      <c r="U1039" s="373"/>
      <c r="V1039" s="373"/>
      <c r="W1039" s="346"/>
      <c r="X1039" s="373"/>
      <c r="Y1039" s="336">
        <f t="shared" ca="1" si="21"/>
        <v>208</v>
      </c>
      <c r="Z1039" s="373"/>
      <c r="AA1039" s="373"/>
      <c r="AB1039" s="373"/>
      <c r="AD1039" s="338"/>
    </row>
    <row r="1040" spans="1:30" ht="12.75" customHeight="1" x14ac:dyDescent="0.25">
      <c r="A1040" s="347" t="s">
        <v>3036</v>
      </c>
      <c r="B1040" s="376">
        <v>45357</v>
      </c>
      <c r="C1040" s="333" t="s">
        <v>219</v>
      </c>
      <c r="D1040" s="333">
        <v>1918</v>
      </c>
      <c r="E1040" s="333"/>
      <c r="F1040" s="374">
        <v>585867102301</v>
      </c>
      <c r="G1040" s="372" t="s">
        <v>2702</v>
      </c>
      <c r="H1040" s="333">
        <v>2</v>
      </c>
      <c r="I1040" s="333" t="s">
        <v>3037</v>
      </c>
      <c r="J1040" s="333" t="s">
        <v>265</v>
      </c>
      <c r="K1040" s="333" t="s">
        <v>32</v>
      </c>
      <c r="L1040" s="333"/>
      <c r="M1040" s="333"/>
      <c r="N1040" s="417"/>
      <c r="O1040" s="417"/>
      <c r="P1040" s="462">
        <v>45357</v>
      </c>
      <c r="Q1040" s="333"/>
      <c r="R1040" s="333"/>
      <c r="S1040" s="373"/>
      <c r="T1040" s="373"/>
      <c r="U1040" s="373"/>
      <c r="V1040" s="373"/>
      <c r="W1040" s="346">
        <v>45428</v>
      </c>
      <c r="X1040" s="333">
        <v>2</v>
      </c>
      <c r="Y1040" s="336">
        <f t="shared" ca="1" si="21"/>
        <v>71</v>
      </c>
      <c r="Z1040" s="373"/>
      <c r="AA1040" s="373"/>
      <c r="AB1040" s="373"/>
      <c r="AD1040" s="338"/>
    </row>
    <row r="1041" spans="1:30" ht="12.75" customHeight="1" x14ac:dyDescent="0.25">
      <c r="A1041" s="347" t="s">
        <v>3038</v>
      </c>
      <c r="B1041" s="376">
        <v>45358</v>
      </c>
      <c r="C1041" s="333" t="s">
        <v>26</v>
      </c>
      <c r="D1041" s="333" t="s">
        <v>988</v>
      </c>
      <c r="E1041" s="333"/>
      <c r="F1041" s="374">
        <v>2116023</v>
      </c>
      <c r="G1041" s="372" t="s">
        <v>3039</v>
      </c>
      <c r="H1041" s="333">
        <v>1</v>
      </c>
      <c r="I1041" s="333" t="s">
        <v>2984</v>
      </c>
      <c r="J1041" s="333" t="s">
        <v>2627</v>
      </c>
      <c r="K1041" s="333" t="s">
        <v>69</v>
      </c>
      <c r="L1041" s="333"/>
      <c r="M1041" s="333"/>
      <c r="N1041" s="417"/>
      <c r="O1041" s="417"/>
      <c r="P1041" s="462">
        <v>45356</v>
      </c>
      <c r="Q1041" s="333"/>
      <c r="R1041" s="333"/>
      <c r="S1041" s="373"/>
      <c r="T1041" s="373"/>
      <c r="U1041" s="373"/>
      <c r="V1041" s="373"/>
      <c r="W1041" s="346">
        <v>45058</v>
      </c>
      <c r="X1041" s="333">
        <v>2</v>
      </c>
      <c r="Y1041" s="336">
        <f t="shared" ca="1" si="21"/>
        <v>-298</v>
      </c>
      <c r="Z1041" s="373"/>
      <c r="AA1041" s="373"/>
      <c r="AB1041" s="373"/>
      <c r="AD1041" s="338"/>
    </row>
    <row r="1042" spans="1:30" ht="12.75" customHeight="1" x14ac:dyDescent="0.25">
      <c r="A1042" s="347" t="s">
        <v>3040</v>
      </c>
      <c r="B1042" s="376"/>
      <c r="C1042" s="333"/>
      <c r="D1042" s="333"/>
      <c r="E1042" s="333"/>
      <c r="F1042" s="374"/>
      <c r="G1042" s="372" t="s">
        <v>3041</v>
      </c>
      <c r="H1042" s="333">
        <v>1</v>
      </c>
      <c r="I1042" s="333"/>
      <c r="J1042" s="333"/>
      <c r="K1042" s="333"/>
      <c r="L1042" s="333"/>
      <c r="M1042" s="333"/>
      <c r="N1042" s="417"/>
      <c r="O1042" s="417"/>
      <c r="P1042" s="462"/>
      <c r="Q1042" s="333"/>
      <c r="R1042" s="333"/>
      <c r="S1042" s="373"/>
      <c r="T1042" s="373"/>
      <c r="U1042" s="373"/>
      <c r="V1042" s="373"/>
      <c r="W1042" s="346"/>
      <c r="X1042" s="333">
        <v>2</v>
      </c>
      <c r="Y1042" s="336" t="str">
        <f t="shared" ca="1" si="21"/>
        <v/>
      </c>
      <c r="Z1042" s="373"/>
      <c r="AA1042" s="373"/>
      <c r="AB1042" s="373"/>
      <c r="AD1042" s="338"/>
    </row>
    <row r="1043" spans="1:30" ht="12.75" customHeight="1" x14ac:dyDescent="0.25">
      <c r="A1043" s="347" t="s">
        <v>3042</v>
      </c>
      <c r="B1043" s="376">
        <v>45364</v>
      </c>
      <c r="C1043" s="333" t="s">
        <v>35</v>
      </c>
      <c r="D1043" s="333" t="s">
        <v>36</v>
      </c>
      <c r="E1043" s="333"/>
      <c r="F1043" s="374" t="s">
        <v>3043</v>
      </c>
      <c r="G1043" s="372" t="s">
        <v>3044</v>
      </c>
      <c r="H1043" s="333">
        <v>1</v>
      </c>
      <c r="I1043" s="333" t="s">
        <v>3045</v>
      </c>
      <c r="J1043" s="333" t="s">
        <v>68</v>
      </c>
      <c r="K1043" s="333" t="s">
        <v>69</v>
      </c>
      <c r="L1043" s="333"/>
      <c r="M1043" s="333"/>
      <c r="N1043" s="417"/>
      <c r="O1043" s="417"/>
      <c r="P1043" s="462"/>
      <c r="Q1043" s="333"/>
      <c r="R1043" s="333"/>
      <c r="S1043" s="373"/>
      <c r="T1043" s="373"/>
      <c r="U1043" s="373"/>
      <c r="V1043" s="373"/>
      <c r="W1043" s="346"/>
      <c r="X1043" s="333">
        <v>1</v>
      </c>
      <c r="Y1043" s="336" t="str">
        <f t="shared" ca="1" si="21"/>
        <v/>
      </c>
      <c r="Z1043" s="373"/>
      <c r="AA1043" s="373"/>
      <c r="AB1043" s="373"/>
      <c r="AC1043" s="338" t="e">
        <f>VLOOKUP(F1043,'[1]CPO DATA'!$D:$I,4,FALSE)</f>
        <v>#N/A</v>
      </c>
      <c r="AD1043" s="418" t="e">
        <f>VLOOKUP(F1043,'STORE ITEMS'!C:F,2,FALSE)</f>
        <v>#N/A</v>
      </c>
    </row>
    <row r="1044" spans="1:30" ht="12.75" customHeight="1" x14ac:dyDescent="0.25">
      <c r="A1044" s="347" t="s">
        <v>3046</v>
      </c>
      <c r="B1044" s="376">
        <v>45355</v>
      </c>
      <c r="C1044" s="333" t="s">
        <v>35</v>
      </c>
      <c r="D1044" s="333" t="s">
        <v>71</v>
      </c>
      <c r="E1044" s="333"/>
      <c r="F1044" s="374" t="s">
        <v>3047</v>
      </c>
      <c r="G1044" s="372" t="s">
        <v>3048</v>
      </c>
      <c r="H1044" s="333">
        <v>5</v>
      </c>
      <c r="I1044" s="333" t="s">
        <v>3049</v>
      </c>
      <c r="J1044" s="333" t="s">
        <v>43</v>
      </c>
      <c r="K1044" s="333" t="s">
        <v>32</v>
      </c>
      <c r="L1044" s="333"/>
      <c r="M1044" s="333"/>
      <c r="N1044" s="417"/>
      <c r="O1044" s="417"/>
      <c r="P1044" s="462"/>
      <c r="Q1044" s="333"/>
      <c r="R1044" s="333"/>
      <c r="S1044" s="373"/>
      <c r="T1044" s="373"/>
      <c r="U1044" s="373"/>
      <c r="V1044" s="373"/>
      <c r="W1044" s="346">
        <v>45509</v>
      </c>
      <c r="X1044" s="333">
        <v>2</v>
      </c>
      <c r="Y1044" s="336" t="str">
        <f t="shared" ca="1" si="21"/>
        <v/>
      </c>
      <c r="Z1044" s="373"/>
      <c r="AA1044" s="373"/>
      <c r="AB1044" s="373"/>
      <c r="AC1044" s="338" t="str">
        <f>VLOOKUP(F1044,'[1]CPO DATA'!$D:$I,4,FALSE)</f>
        <v>BZ21/BZ22</v>
      </c>
      <c r="AD1044" s="338"/>
    </row>
    <row r="1045" spans="1:30" ht="12.75" customHeight="1" x14ac:dyDescent="0.25">
      <c r="A1045" s="347" t="s">
        <v>3050</v>
      </c>
      <c r="B1045" s="376">
        <v>45363</v>
      </c>
      <c r="C1045" s="333" t="s">
        <v>219</v>
      </c>
      <c r="D1045" s="333" t="s">
        <v>2977</v>
      </c>
      <c r="E1045" s="333"/>
      <c r="F1045" s="374">
        <v>263243200114</v>
      </c>
      <c r="G1045" s="372" t="s">
        <v>3051</v>
      </c>
      <c r="H1045" s="333">
        <v>6</v>
      </c>
      <c r="I1045" s="333" t="s">
        <v>2979</v>
      </c>
      <c r="J1045" s="333" t="s">
        <v>46</v>
      </c>
      <c r="K1045" s="333" t="s">
        <v>32</v>
      </c>
      <c r="L1045" s="333"/>
      <c r="M1045" s="333"/>
      <c r="N1045" s="417"/>
      <c r="O1045" s="417"/>
      <c r="P1045" s="462">
        <v>45364</v>
      </c>
      <c r="Q1045" s="333"/>
      <c r="R1045" s="333"/>
      <c r="S1045" s="373"/>
      <c r="T1045" s="373"/>
      <c r="U1045" s="373"/>
      <c r="V1045" s="373"/>
      <c r="W1045" s="346">
        <v>45432</v>
      </c>
      <c r="X1045" s="333">
        <v>2</v>
      </c>
      <c r="Y1045" s="336">
        <f t="shared" ca="1" si="21"/>
        <v>68</v>
      </c>
      <c r="Z1045" s="373"/>
      <c r="AA1045" s="373"/>
      <c r="AB1045" s="373"/>
      <c r="AD1045" s="338"/>
    </row>
    <row r="1046" spans="1:30" ht="12.75" customHeight="1" x14ac:dyDescent="0.25">
      <c r="A1046" s="347" t="s">
        <v>3052</v>
      </c>
      <c r="B1046" s="376">
        <v>45357</v>
      </c>
      <c r="C1046" s="333" t="s">
        <v>35</v>
      </c>
      <c r="D1046" s="333" t="s">
        <v>71</v>
      </c>
      <c r="E1046" s="333"/>
      <c r="F1046" s="374" t="s">
        <v>3053</v>
      </c>
      <c r="G1046" s="372" t="s">
        <v>3054</v>
      </c>
      <c r="H1046" s="333">
        <v>1</v>
      </c>
      <c r="I1046" s="333" t="s">
        <v>3002</v>
      </c>
      <c r="J1046" s="333" t="s">
        <v>68</v>
      </c>
      <c r="K1046" s="333" t="s">
        <v>69</v>
      </c>
      <c r="L1046" s="333"/>
      <c r="M1046" s="333"/>
      <c r="N1046" s="417"/>
      <c r="O1046" s="417"/>
      <c r="P1046" s="462"/>
      <c r="Q1046" s="333"/>
      <c r="R1046" s="333"/>
      <c r="S1046" s="373"/>
      <c r="T1046" s="373"/>
      <c r="U1046" s="373"/>
      <c r="V1046" s="373"/>
      <c r="W1046" s="346"/>
      <c r="X1046" s="333">
        <v>2</v>
      </c>
      <c r="Y1046" s="336" t="str">
        <f t="shared" ca="1" si="21"/>
        <v/>
      </c>
      <c r="Z1046" s="373"/>
      <c r="AA1046" s="373"/>
      <c r="AB1046" s="373"/>
      <c r="AC1046" s="338" t="e">
        <f>VLOOKUP(F1046,'[1]CPO DATA'!$D:$I,4,FALSE)</f>
        <v>#N/A</v>
      </c>
      <c r="AD1046" s="418" t="e">
        <f>VLOOKUP(F1046,'STORE ITEMS'!C:F,2,FALSE)</f>
        <v>#N/A</v>
      </c>
    </row>
    <row r="1047" spans="1:30" ht="12.75" customHeight="1" x14ac:dyDescent="0.25">
      <c r="A1047" s="347" t="s">
        <v>3055</v>
      </c>
      <c r="B1047" s="376">
        <v>45364</v>
      </c>
      <c r="C1047" s="333" t="s">
        <v>219</v>
      </c>
      <c r="D1047" s="333" t="s">
        <v>2977</v>
      </c>
      <c r="E1047" s="333"/>
      <c r="F1047" s="374"/>
      <c r="G1047" s="372" t="s">
        <v>3056</v>
      </c>
      <c r="H1047" s="333">
        <v>36</v>
      </c>
      <c r="I1047" s="333" t="s">
        <v>2979</v>
      </c>
      <c r="J1047" s="333" t="s">
        <v>541</v>
      </c>
      <c r="K1047" s="333" t="s">
        <v>32</v>
      </c>
      <c r="L1047" s="333"/>
      <c r="M1047" s="333"/>
      <c r="N1047" s="417"/>
      <c r="O1047" s="417"/>
      <c r="P1047" s="462">
        <v>45364</v>
      </c>
      <c r="Q1047" s="333"/>
      <c r="R1047" s="333"/>
      <c r="S1047" s="373"/>
      <c r="T1047" s="373"/>
      <c r="U1047" s="373"/>
      <c r="V1047" s="373"/>
      <c r="W1047" s="346">
        <v>45432</v>
      </c>
      <c r="X1047" s="333">
        <v>8</v>
      </c>
      <c r="Y1047" s="336">
        <f t="shared" ca="1" si="21"/>
        <v>68</v>
      </c>
      <c r="Z1047" s="373"/>
      <c r="AA1047" s="373"/>
      <c r="AB1047" s="373"/>
      <c r="AD1047" s="338"/>
    </row>
    <row r="1048" spans="1:30" ht="12.75" customHeight="1" x14ac:dyDescent="0.25">
      <c r="A1048" s="347" t="s">
        <v>3057</v>
      </c>
      <c r="B1048" s="376">
        <v>45363</v>
      </c>
      <c r="C1048" s="333" t="s">
        <v>35</v>
      </c>
      <c r="D1048" s="333" t="s">
        <v>83</v>
      </c>
      <c r="E1048" s="333"/>
      <c r="F1048" s="374" t="s">
        <v>3058</v>
      </c>
      <c r="G1048" s="372" t="s">
        <v>3059</v>
      </c>
      <c r="H1048" s="333">
        <v>2</v>
      </c>
      <c r="I1048" s="333" t="s">
        <v>3060</v>
      </c>
      <c r="J1048" s="333" t="s">
        <v>43</v>
      </c>
      <c r="K1048" s="333" t="s">
        <v>32</v>
      </c>
      <c r="L1048" s="333"/>
      <c r="M1048" s="333"/>
      <c r="N1048" s="417"/>
      <c r="O1048" s="417"/>
      <c r="P1048" s="462"/>
      <c r="Q1048" s="333"/>
      <c r="R1048" s="333"/>
      <c r="S1048" s="373"/>
      <c r="T1048" s="373"/>
      <c r="U1048" s="373"/>
      <c r="V1048" s="373"/>
      <c r="W1048" s="346"/>
      <c r="X1048" s="333">
        <v>4</v>
      </c>
      <c r="Y1048" s="336" t="str">
        <f t="shared" ca="1" si="21"/>
        <v/>
      </c>
      <c r="Z1048" s="373"/>
      <c r="AA1048" s="373"/>
      <c r="AB1048" s="373"/>
      <c r="AC1048" s="338" t="str">
        <f>VLOOKUP(F1048,'[1]CPO DATA'!$D:$I,4,FALSE)</f>
        <v>GH547</v>
      </c>
      <c r="AD1048" s="338"/>
    </row>
    <row r="1049" spans="1:30" ht="12.75" customHeight="1" x14ac:dyDescent="0.25">
      <c r="A1049" s="347" t="s">
        <v>3061</v>
      </c>
      <c r="B1049" s="376">
        <v>45355</v>
      </c>
      <c r="C1049" s="333" t="s">
        <v>35</v>
      </c>
      <c r="D1049" s="333" t="s">
        <v>71</v>
      </c>
      <c r="E1049" s="333"/>
      <c r="F1049" s="374" t="s">
        <v>2077</v>
      </c>
      <c r="G1049" s="372" t="s">
        <v>3062</v>
      </c>
      <c r="H1049" s="333">
        <v>1</v>
      </c>
      <c r="I1049" s="333" t="s">
        <v>3009</v>
      </c>
      <c r="J1049" s="333" t="s">
        <v>68</v>
      </c>
      <c r="K1049" s="333" t="s">
        <v>69</v>
      </c>
      <c r="L1049" s="333"/>
      <c r="M1049" s="333"/>
      <c r="N1049" s="417"/>
      <c r="O1049" s="417"/>
      <c r="P1049" s="462"/>
      <c r="Q1049" s="333"/>
      <c r="R1049" s="333"/>
      <c r="S1049" s="373"/>
      <c r="T1049" s="373"/>
      <c r="U1049" s="373"/>
      <c r="V1049" s="373"/>
      <c r="W1049" s="346">
        <v>45509</v>
      </c>
      <c r="X1049" s="333">
        <v>6</v>
      </c>
      <c r="Y1049" s="336" t="str">
        <f t="shared" ca="1" si="21"/>
        <v/>
      </c>
      <c r="Z1049" s="373"/>
      <c r="AA1049" s="373"/>
      <c r="AB1049" s="373"/>
      <c r="AC1049" s="338" t="str">
        <f>VLOOKUP(F1049,'[1]CPO DATA'!$D:$I,4,FALSE)</f>
        <v>BZ031</v>
      </c>
      <c r="AD1049" s="338"/>
    </row>
    <row r="1050" spans="1:30" ht="12.75" customHeight="1" x14ac:dyDescent="0.25">
      <c r="A1050" s="347" t="s">
        <v>3063</v>
      </c>
      <c r="B1050" s="376">
        <v>45362</v>
      </c>
      <c r="C1050" s="372" t="s">
        <v>60</v>
      </c>
      <c r="D1050" s="372" t="s">
        <v>575</v>
      </c>
      <c r="E1050" s="372"/>
      <c r="F1050" s="374" t="s">
        <v>3064</v>
      </c>
      <c r="G1050" s="372" t="s">
        <v>3065</v>
      </c>
      <c r="H1050" s="333">
        <v>2</v>
      </c>
      <c r="I1050" s="333" t="s">
        <v>3066</v>
      </c>
      <c r="J1050" s="333" t="s">
        <v>46</v>
      </c>
      <c r="K1050" s="333" t="s">
        <v>32</v>
      </c>
      <c r="L1050" s="333"/>
      <c r="M1050" s="333"/>
      <c r="N1050" s="417"/>
      <c r="O1050" s="417"/>
      <c r="P1050" s="462">
        <v>45370</v>
      </c>
      <c r="Q1050" s="333"/>
      <c r="R1050" s="333"/>
      <c r="S1050" s="373"/>
      <c r="T1050" s="373"/>
      <c r="U1050" s="373"/>
      <c r="V1050" s="373"/>
      <c r="W1050" s="346">
        <v>45450</v>
      </c>
      <c r="X1050" s="333">
        <v>4</v>
      </c>
      <c r="Y1050" s="336">
        <f t="shared" ca="1" si="21"/>
        <v>80</v>
      </c>
      <c r="Z1050" s="373"/>
      <c r="AA1050" s="373"/>
      <c r="AB1050" s="373"/>
      <c r="AD1050" s="338"/>
    </row>
    <row r="1051" spans="1:30" ht="12.75" customHeight="1" x14ac:dyDescent="0.25">
      <c r="A1051" s="347" t="s">
        <v>3067</v>
      </c>
      <c r="B1051" s="376">
        <v>45362</v>
      </c>
      <c r="C1051" s="372" t="s">
        <v>60</v>
      </c>
      <c r="D1051" s="372" t="s">
        <v>575</v>
      </c>
      <c r="E1051" s="372"/>
      <c r="F1051" s="374" t="s">
        <v>3068</v>
      </c>
      <c r="G1051" s="372" t="s">
        <v>3069</v>
      </c>
      <c r="H1051" s="333">
        <v>1</v>
      </c>
      <c r="I1051" s="333" t="s">
        <v>3066</v>
      </c>
      <c r="J1051" s="333" t="s">
        <v>46</v>
      </c>
      <c r="K1051" s="333" t="s">
        <v>32</v>
      </c>
      <c r="L1051" s="333"/>
      <c r="M1051" s="333"/>
      <c r="N1051" s="417"/>
      <c r="O1051" s="417"/>
      <c r="P1051" s="462">
        <v>45370</v>
      </c>
      <c r="Q1051" s="333"/>
      <c r="R1051" s="333"/>
      <c r="S1051" s="373"/>
      <c r="T1051" s="373"/>
      <c r="U1051" s="373"/>
      <c r="V1051" s="373"/>
      <c r="W1051" s="346">
        <v>45450</v>
      </c>
      <c r="X1051" s="333">
        <v>2</v>
      </c>
      <c r="Y1051" s="336">
        <f t="shared" ca="1" si="21"/>
        <v>80</v>
      </c>
      <c r="Z1051" s="373"/>
      <c r="AA1051" s="373"/>
      <c r="AB1051" s="373"/>
      <c r="AD1051" s="338"/>
    </row>
    <row r="1052" spans="1:30" ht="12.75" customHeight="1" x14ac:dyDescent="0.25">
      <c r="A1052" s="347" t="s">
        <v>3070</v>
      </c>
      <c r="B1052" s="376">
        <v>45362</v>
      </c>
      <c r="C1052" s="372" t="s">
        <v>60</v>
      </c>
      <c r="D1052" s="372" t="s">
        <v>575</v>
      </c>
      <c r="E1052" s="372"/>
      <c r="F1052" s="374" t="s">
        <v>3071</v>
      </c>
      <c r="G1052" s="372" t="s">
        <v>3072</v>
      </c>
      <c r="H1052" s="333">
        <v>2</v>
      </c>
      <c r="I1052" s="333" t="s">
        <v>3066</v>
      </c>
      <c r="J1052" s="333" t="s">
        <v>46</v>
      </c>
      <c r="K1052" s="333" t="s">
        <v>32</v>
      </c>
      <c r="L1052" s="333"/>
      <c r="M1052" s="333"/>
      <c r="N1052" s="417"/>
      <c r="O1052" s="417"/>
      <c r="P1052" s="462">
        <v>45370</v>
      </c>
      <c r="Q1052" s="333"/>
      <c r="R1052" s="333"/>
      <c r="S1052" s="373"/>
      <c r="T1052" s="373"/>
      <c r="U1052" s="373"/>
      <c r="V1052" s="373"/>
      <c r="W1052" s="346">
        <v>45450</v>
      </c>
      <c r="X1052" s="333">
        <v>2</v>
      </c>
      <c r="Y1052" s="336">
        <f t="shared" ca="1" si="21"/>
        <v>80</v>
      </c>
      <c r="Z1052" s="373"/>
      <c r="AA1052" s="373"/>
      <c r="AB1052" s="373"/>
      <c r="AD1052" s="338"/>
    </row>
    <row r="1053" spans="1:30" ht="12.75" customHeight="1" x14ac:dyDescent="0.25">
      <c r="A1053" s="347" t="s">
        <v>3073</v>
      </c>
      <c r="B1053" s="376">
        <v>45362</v>
      </c>
      <c r="C1053" s="372" t="s">
        <v>60</v>
      </c>
      <c r="D1053" s="372" t="s">
        <v>575</v>
      </c>
      <c r="E1053" s="372"/>
      <c r="F1053" s="374" t="s">
        <v>3074</v>
      </c>
      <c r="G1053" s="372" t="s">
        <v>3075</v>
      </c>
      <c r="H1053" s="333">
        <v>2</v>
      </c>
      <c r="I1053" s="333" t="s">
        <v>3066</v>
      </c>
      <c r="J1053" s="333" t="s">
        <v>46</v>
      </c>
      <c r="K1053" s="333" t="s">
        <v>32</v>
      </c>
      <c r="L1053" s="333"/>
      <c r="M1053" s="333"/>
      <c r="N1053" s="417"/>
      <c r="O1053" s="417"/>
      <c r="P1053" s="462">
        <v>45370</v>
      </c>
      <c r="Q1053" s="333"/>
      <c r="R1053" s="333"/>
      <c r="S1053" s="373"/>
      <c r="T1053" s="373"/>
      <c r="U1053" s="373"/>
      <c r="V1053" s="373"/>
      <c r="W1053" s="346">
        <v>45450</v>
      </c>
      <c r="X1053" s="333">
        <v>2</v>
      </c>
      <c r="Y1053" s="336">
        <f t="shared" ca="1" si="21"/>
        <v>80</v>
      </c>
      <c r="Z1053" s="373"/>
      <c r="AA1053" s="373"/>
      <c r="AB1053" s="373"/>
      <c r="AD1053" s="338"/>
    </row>
    <row r="1054" spans="1:30" ht="12.75" customHeight="1" x14ac:dyDescent="0.25">
      <c r="A1054" s="347" t="s">
        <v>3076</v>
      </c>
      <c r="B1054" s="376">
        <v>45362</v>
      </c>
      <c r="C1054" s="372" t="s">
        <v>60</v>
      </c>
      <c r="D1054" s="372" t="s">
        <v>575</v>
      </c>
      <c r="E1054" s="372"/>
      <c r="F1054" s="374" t="s">
        <v>3077</v>
      </c>
      <c r="G1054" s="372" t="s">
        <v>3078</v>
      </c>
      <c r="H1054" s="333">
        <v>2</v>
      </c>
      <c r="I1054" s="333" t="s">
        <v>3066</v>
      </c>
      <c r="J1054" s="333" t="s">
        <v>46</v>
      </c>
      <c r="K1054" s="333" t="s">
        <v>32</v>
      </c>
      <c r="L1054" s="333"/>
      <c r="M1054" s="333"/>
      <c r="N1054" s="417"/>
      <c r="O1054" s="417"/>
      <c r="P1054" s="462">
        <v>45370</v>
      </c>
      <c r="Q1054" s="333"/>
      <c r="R1054" s="333"/>
      <c r="S1054" s="373"/>
      <c r="T1054" s="373"/>
      <c r="U1054" s="373"/>
      <c r="V1054" s="373"/>
      <c r="W1054" s="346"/>
      <c r="X1054" s="333">
        <v>12</v>
      </c>
      <c r="Y1054" s="336">
        <f t="shared" ca="1" si="21"/>
        <v>216</v>
      </c>
      <c r="Z1054" s="373"/>
      <c r="AA1054" s="373"/>
      <c r="AB1054" s="373"/>
      <c r="AD1054" s="338"/>
    </row>
    <row r="1055" spans="1:30" ht="12.75" customHeight="1" x14ac:dyDescent="0.25">
      <c r="A1055" s="347" t="s">
        <v>3079</v>
      </c>
      <c r="B1055" s="376">
        <v>45362</v>
      </c>
      <c r="C1055" s="372" t="s">
        <v>60</v>
      </c>
      <c r="D1055" s="372" t="s">
        <v>575</v>
      </c>
      <c r="E1055" s="372"/>
      <c r="F1055" s="374" t="s">
        <v>3080</v>
      </c>
      <c r="G1055" s="372" t="s">
        <v>3081</v>
      </c>
      <c r="H1055" s="333">
        <v>2</v>
      </c>
      <c r="I1055" s="333" t="s">
        <v>3066</v>
      </c>
      <c r="J1055" s="333" t="s">
        <v>46</v>
      </c>
      <c r="K1055" s="333" t="s">
        <v>32</v>
      </c>
      <c r="L1055" s="333"/>
      <c r="M1055" s="333"/>
      <c r="N1055" s="417"/>
      <c r="O1055" s="417"/>
      <c r="P1055" s="462">
        <v>45370</v>
      </c>
      <c r="Q1055" s="333"/>
      <c r="R1055" s="333"/>
      <c r="S1055" s="373"/>
      <c r="T1055" s="373"/>
      <c r="U1055" s="373"/>
      <c r="V1055" s="373"/>
      <c r="W1055" s="346"/>
      <c r="X1055" s="333">
        <v>12</v>
      </c>
      <c r="Y1055" s="336">
        <f t="shared" ca="1" si="21"/>
        <v>216</v>
      </c>
      <c r="Z1055" s="373"/>
      <c r="AA1055" s="373"/>
      <c r="AB1055" s="373"/>
      <c r="AD1055" s="338"/>
    </row>
    <row r="1056" spans="1:30" ht="12.75" customHeight="1" x14ac:dyDescent="0.25">
      <c r="A1056" s="347" t="s">
        <v>3082</v>
      </c>
      <c r="B1056" s="376">
        <v>45362</v>
      </c>
      <c r="C1056" s="372" t="s">
        <v>60</v>
      </c>
      <c r="D1056" s="372" t="s">
        <v>575</v>
      </c>
      <c r="E1056" s="372"/>
      <c r="F1056" s="374" t="s">
        <v>3083</v>
      </c>
      <c r="G1056" s="372" t="s">
        <v>3084</v>
      </c>
      <c r="H1056" s="333">
        <v>2</v>
      </c>
      <c r="I1056" s="333" t="s">
        <v>3066</v>
      </c>
      <c r="J1056" s="333" t="s">
        <v>46</v>
      </c>
      <c r="K1056" s="333" t="s">
        <v>32</v>
      </c>
      <c r="L1056" s="333"/>
      <c r="M1056" s="333"/>
      <c r="N1056" s="417"/>
      <c r="O1056" s="417"/>
      <c r="P1056" s="462">
        <v>45370</v>
      </c>
      <c r="Q1056" s="333"/>
      <c r="R1056" s="333"/>
      <c r="S1056" s="373"/>
      <c r="T1056" s="373"/>
      <c r="U1056" s="373"/>
      <c r="V1056" s="373"/>
      <c r="W1056" s="346"/>
      <c r="X1056" s="333">
        <v>1</v>
      </c>
      <c r="Y1056" s="336">
        <f t="shared" ca="1" si="21"/>
        <v>216</v>
      </c>
      <c r="Z1056" s="373"/>
      <c r="AA1056" s="373"/>
      <c r="AB1056" s="373"/>
      <c r="AD1056" s="338"/>
    </row>
    <row r="1057" spans="1:28" s="338" customFormat="1" ht="12.75" customHeight="1" x14ac:dyDescent="0.25">
      <c r="A1057" s="347" t="s">
        <v>3085</v>
      </c>
      <c r="B1057" s="376">
        <v>45362</v>
      </c>
      <c r="C1057" s="372" t="s">
        <v>60</v>
      </c>
      <c r="D1057" s="372" t="s">
        <v>575</v>
      </c>
      <c r="E1057" s="372"/>
      <c r="F1057" s="374" t="s">
        <v>3086</v>
      </c>
      <c r="G1057" s="372" t="s">
        <v>3087</v>
      </c>
      <c r="H1057" s="333">
        <v>2</v>
      </c>
      <c r="I1057" s="333" t="s">
        <v>3066</v>
      </c>
      <c r="J1057" s="333" t="s">
        <v>46</v>
      </c>
      <c r="K1057" s="333" t="s">
        <v>32</v>
      </c>
      <c r="L1057" s="333"/>
      <c r="M1057" s="333"/>
      <c r="N1057" s="417"/>
      <c r="O1057" s="417"/>
      <c r="P1057" s="462">
        <v>45370</v>
      </c>
      <c r="Q1057" s="333"/>
      <c r="R1057" s="333"/>
      <c r="S1057" s="373"/>
      <c r="T1057" s="373"/>
      <c r="U1057" s="373"/>
      <c r="V1057" s="373"/>
      <c r="W1057" s="346"/>
      <c r="X1057" s="333">
        <v>20</v>
      </c>
      <c r="Y1057" s="336">
        <f t="shared" ca="1" si="21"/>
        <v>216</v>
      </c>
      <c r="Z1057" s="373"/>
      <c r="AA1057" s="373"/>
      <c r="AB1057" s="373"/>
    </row>
    <row r="1058" spans="1:28" s="338" customFormat="1" ht="12.75" customHeight="1" x14ac:dyDescent="0.25">
      <c r="A1058" s="347" t="s">
        <v>3088</v>
      </c>
      <c r="B1058" s="376">
        <v>45362</v>
      </c>
      <c r="C1058" s="372" t="s">
        <v>60</v>
      </c>
      <c r="D1058" s="372" t="s">
        <v>575</v>
      </c>
      <c r="E1058" s="372"/>
      <c r="F1058" s="374" t="s">
        <v>3089</v>
      </c>
      <c r="G1058" s="372" t="s">
        <v>3090</v>
      </c>
      <c r="H1058" s="333">
        <v>2</v>
      </c>
      <c r="I1058" s="333" t="s">
        <v>3066</v>
      </c>
      <c r="J1058" s="333" t="s">
        <v>46</v>
      </c>
      <c r="K1058" s="333" t="s">
        <v>32</v>
      </c>
      <c r="L1058" s="333"/>
      <c r="M1058" s="333"/>
      <c r="N1058" s="417"/>
      <c r="O1058" s="417"/>
      <c r="P1058" s="462">
        <v>45370</v>
      </c>
      <c r="Q1058" s="333"/>
      <c r="R1058" s="333"/>
      <c r="S1058" s="373"/>
      <c r="T1058" s="373"/>
      <c r="U1058" s="373"/>
      <c r="V1058" s="373"/>
      <c r="W1058" s="346">
        <v>45450</v>
      </c>
      <c r="X1058" s="333">
        <v>1</v>
      </c>
      <c r="Y1058" s="336">
        <f t="shared" ca="1" si="21"/>
        <v>80</v>
      </c>
      <c r="Z1058" s="373"/>
      <c r="AA1058" s="373"/>
      <c r="AB1058" s="373"/>
    </row>
    <row r="1059" spans="1:28" s="338" customFormat="1" ht="12.75" customHeight="1" x14ac:dyDescent="0.25">
      <c r="A1059" s="347" t="s">
        <v>3091</v>
      </c>
      <c r="B1059" s="376">
        <v>45362</v>
      </c>
      <c r="C1059" s="372" t="s">
        <v>60</v>
      </c>
      <c r="D1059" s="372" t="s">
        <v>575</v>
      </c>
      <c r="E1059" s="372"/>
      <c r="F1059" s="374" t="s">
        <v>3092</v>
      </c>
      <c r="G1059" s="372" t="s">
        <v>3093</v>
      </c>
      <c r="H1059" s="333">
        <v>2</v>
      </c>
      <c r="I1059" s="333" t="s">
        <v>3066</v>
      </c>
      <c r="J1059" s="333" t="s">
        <v>46</v>
      </c>
      <c r="K1059" s="333" t="s">
        <v>32</v>
      </c>
      <c r="L1059" s="333"/>
      <c r="M1059" s="333"/>
      <c r="N1059" s="417"/>
      <c r="O1059" s="417"/>
      <c r="P1059" s="462">
        <v>45370</v>
      </c>
      <c r="Q1059" s="333"/>
      <c r="R1059" s="333"/>
      <c r="S1059" s="373"/>
      <c r="T1059" s="373"/>
      <c r="U1059" s="373"/>
      <c r="V1059" s="373"/>
      <c r="W1059" s="346">
        <v>45450</v>
      </c>
      <c r="X1059" s="333">
        <v>4</v>
      </c>
      <c r="Y1059" s="336">
        <f t="shared" ca="1" si="21"/>
        <v>80</v>
      </c>
      <c r="Z1059" s="373"/>
      <c r="AA1059" s="373"/>
      <c r="AB1059" s="373"/>
    </row>
    <row r="1060" spans="1:28" s="338" customFormat="1" ht="12.75" customHeight="1" x14ac:dyDescent="0.25">
      <c r="A1060" s="347" t="s">
        <v>3094</v>
      </c>
      <c r="B1060" s="376">
        <v>45362</v>
      </c>
      <c r="C1060" s="372" t="s">
        <v>60</v>
      </c>
      <c r="D1060" s="372" t="s">
        <v>575</v>
      </c>
      <c r="E1060" s="372"/>
      <c r="F1060" s="374" t="s">
        <v>3095</v>
      </c>
      <c r="G1060" s="372" t="s">
        <v>3096</v>
      </c>
      <c r="H1060" s="333">
        <v>2</v>
      </c>
      <c r="I1060" s="333" t="s">
        <v>3066</v>
      </c>
      <c r="J1060" s="333" t="s">
        <v>46</v>
      </c>
      <c r="K1060" s="333" t="s">
        <v>32</v>
      </c>
      <c r="L1060" s="333"/>
      <c r="M1060" s="333"/>
      <c r="N1060" s="417"/>
      <c r="O1060" s="417"/>
      <c r="P1060" s="462">
        <v>45370</v>
      </c>
      <c r="Q1060" s="333"/>
      <c r="R1060" s="333"/>
      <c r="S1060" s="373"/>
      <c r="T1060" s="373"/>
      <c r="U1060" s="373"/>
      <c r="V1060" s="373"/>
      <c r="W1060" s="346">
        <v>45450</v>
      </c>
      <c r="X1060" s="333">
        <v>1</v>
      </c>
      <c r="Y1060" s="336">
        <f t="shared" ca="1" si="21"/>
        <v>80</v>
      </c>
      <c r="Z1060" s="373"/>
      <c r="AA1060" s="373"/>
      <c r="AB1060" s="373"/>
    </row>
    <row r="1061" spans="1:28" s="338" customFormat="1" ht="12.75" customHeight="1" x14ac:dyDescent="0.25">
      <c r="A1061" s="347" t="s">
        <v>3097</v>
      </c>
      <c r="B1061" s="376">
        <v>45362</v>
      </c>
      <c r="C1061" s="372" t="s">
        <v>60</v>
      </c>
      <c r="D1061" s="372" t="s">
        <v>575</v>
      </c>
      <c r="E1061" s="372"/>
      <c r="F1061" s="374" t="s">
        <v>3098</v>
      </c>
      <c r="G1061" s="372" t="s">
        <v>3099</v>
      </c>
      <c r="H1061" s="333">
        <v>2</v>
      </c>
      <c r="I1061" s="333" t="s">
        <v>3066</v>
      </c>
      <c r="J1061" s="333" t="s">
        <v>46</v>
      </c>
      <c r="K1061" s="333" t="s">
        <v>32</v>
      </c>
      <c r="L1061" s="333"/>
      <c r="M1061" s="333"/>
      <c r="N1061" s="417"/>
      <c r="O1061" s="417"/>
      <c r="P1061" s="462">
        <v>45370</v>
      </c>
      <c r="Q1061" s="333"/>
      <c r="R1061" s="333"/>
      <c r="S1061" s="373"/>
      <c r="T1061" s="373"/>
      <c r="U1061" s="373"/>
      <c r="V1061" s="373"/>
      <c r="W1061" s="346">
        <v>45450</v>
      </c>
      <c r="X1061" s="333">
        <v>2</v>
      </c>
      <c r="Y1061" s="336">
        <f t="shared" ca="1" si="21"/>
        <v>80</v>
      </c>
      <c r="Z1061" s="373"/>
      <c r="AA1061" s="373"/>
      <c r="AB1061" s="373"/>
    </row>
    <row r="1062" spans="1:28" s="338" customFormat="1" ht="12.75" customHeight="1" x14ac:dyDescent="0.25">
      <c r="A1062" s="347" t="s">
        <v>3100</v>
      </c>
      <c r="B1062" s="376">
        <v>45362</v>
      </c>
      <c r="C1062" s="372" t="s">
        <v>60</v>
      </c>
      <c r="D1062" s="372" t="s">
        <v>575</v>
      </c>
      <c r="E1062" s="372"/>
      <c r="F1062" s="374" t="s">
        <v>3101</v>
      </c>
      <c r="G1062" s="372" t="s">
        <v>3102</v>
      </c>
      <c r="H1062" s="333">
        <v>2</v>
      </c>
      <c r="I1062" s="333" t="s">
        <v>3066</v>
      </c>
      <c r="J1062" s="333" t="s">
        <v>46</v>
      </c>
      <c r="K1062" s="333" t="s">
        <v>32</v>
      </c>
      <c r="L1062" s="333"/>
      <c r="M1062" s="333"/>
      <c r="N1062" s="417"/>
      <c r="O1062" s="417"/>
      <c r="P1062" s="462">
        <v>45370</v>
      </c>
      <c r="Q1062" s="333"/>
      <c r="R1062" s="333"/>
      <c r="S1062" s="373"/>
      <c r="T1062" s="373"/>
      <c r="U1062" s="373"/>
      <c r="V1062" s="373"/>
      <c r="W1062" s="346">
        <v>45450</v>
      </c>
      <c r="X1062" s="373"/>
      <c r="Y1062" s="336">
        <f t="shared" ca="1" si="21"/>
        <v>80</v>
      </c>
      <c r="Z1062" s="373"/>
      <c r="AA1062" s="373"/>
      <c r="AB1062" s="373"/>
    </row>
    <row r="1063" spans="1:28" s="338" customFormat="1" ht="12.75" customHeight="1" x14ac:dyDescent="0.25">
      <c r="A1063" s="347" t="s">
        <v>3103</v>
      </c>
      <c r="B1063" s="376">
        <v>45362</v>
      </c>
      <c r="C1063" s="372" t="s">
        <v>60</v>
      </c>
      <c r="D1063" s="372" t="s">
        <v>575</v>
      </c>
      <c r="E1063" s="372"/>
      <c r="F1063" s="374" t="s">
        <v>3104</v>
      </c>
      <c r="G1063" s="372" t="s">
        <v>3105</v>
      </c>
      <c r="H1063" s="333">
        <v>2</v>
      </c>
      <c r="I1063" s="333" t="s">
        <v>3066</v>
      </c>
      <c r="J1063" s="333" t="s">
        <v>46</v>
      </c>
      <c r="K1063" s="333" t="s">
        <v>32</v>
      </c>
      <c r="L1063" s="333"/>
      <c r="M1063" s="333"/>
      <c r="N1063" s="417"/>
      <c r="O1063" s="417"/>
      <c r="P1063" s="462">
        <v>45370</v>
      </c>
      <c r="Q1063" s="333"/>
      <c r="R1063" s="333"/>
      <c r="S1063" s="373"/>
      <c r="T1063" s="373"/>
      <c r="U1063" s="373"/>
      <c r="V1063" s="373"/>
      <c r="W1063" s="346">
        <v>45450</v>
      </c>
      <c r="X1063" s="373"/>
      <c r="Y1063" s="336">
        <f t="shared" ca="1" si="21"/>
        <v>80</v>
      </c>
      <c r="Z1063" s="373"/>
      <c r="AA1063" s="373"/>
      <c r="AB1063" s="373"/>
    </row>
    <row r="1064" spans="1:28" s="338" customFormat="1" ht="12.75" customHeight="1" x14ac:dyDescent="0.25">
      <c r="A1064" s="347" t="s">
        <v>3106</v>
      </c>
      <c r="B1064" s="376">
        <v>45362</v>
      </c>
      <c r="C1064" s="372" t="s">
        <v>60</v>
      </c>
      <c r="D1064" s="372" t="s">
        <v>575</v>
      </c>
      <c r="E1064" s="372"/>
      <c r="F1064" s="374" t="s">
        <v>3107</v>
      </c>
      <c r="G1064" s="372" t="s">
        <v>1635</v>
      </c>
      <c r="H1064" s="333">
        <v>2</v>
      </c>
      <c r="I1064" s="333" t="s">
        <v>3066</v>
      </c>
      <c r="J1064" s="333" t="s">
        <v>46</v>
      </c>
      <c r="K1064" s="333" t="s">
        <v>32</v>
      </c>
      <c r="L1064" s="333"/>
      <c r="M1064" s="333"/>
      <c r="N1064" s="417"/>
      <c r="O1064" s="417"/>
      <c r="P1064" s="462">
        <v>45370</v>
      </c>
      <c r="Q1064" s="333"/>
      <c r="R1064" s="333"/>
      <c r="S1064" s="373"/>
      <c r="T1064" s="373"/>
      <c r="U1064" s="373"/>
      <c r="V1064" s="373"/>
      <c r="W1064" s="346" t="s">
        <v>1164</v>
      </c>
      <c r="X1064" s="373"/>
      <c r="Y1064" s="336">
        <f t="shared" ca="1" si="21"/>
        <v>216</v>
      </c>
      <c r="Z1064" s="373"/>
      <c r="AA1064" s="373"/>
      <c r="AB1064" s="373"/>
    </row>
    <row r="1065" spans="1:28" s="338" customFormat="1" ht="12.75" customHeight="1" x14ac:dyDescent="0.25">
      <c r="A1065" s="347" t="s">
        <v>3108</v>
      </c>
      <c r="B1065" s="376">
        <v>45362</v>
      </c>
      <c r="C1065" s="372" t="s">
        <v>60</v>
      </c>
      <c r="D1065" s="372" t="s">
        <v>575</v>
      </c>
      <c r="E1065" s="372"/>
      <c r="F1065" s="374" t="s">
        <v>3109</v>
      </c>
      <c r="G1065" s="372" t="s">
        <v>3110</v>
      </c>
      <c r="H1065" s="333">
        <v>2</v>
      </c>
      <c r="I1065" s="333" t="s">
        <v>3066</v>
      </c>
      <c r="J1065" s="333" t="s">
        <v>46</v>
      </c>
      <c r="K1065" s="333" t="s">
        <v>32</v>
      </c>
      <c r="L1065" s="333"/>
      <c r="M1065" s="333"/>
      <c r="N1065" s="417"/>
      <c r="O1065" s="417"/>
      <c r="P1065" s="462">
        <v>45370</v>
      </c>
      <c r="Q1065" s="333"/>
      <c r="R1065" s="333"/>
      <c r="S1065" s="373"/>
      <c r="T1065" s="373"/>
      <c r="U1065" s="373"/>
      <c r="V1065" s="373"/>
      <c r="W1065" s="346">
        <v>45450</v>
      </c>
      <c r="X1065" s="373"/>
      <c r="Y1065" s="336">
        <f t="shared" ca="1" si="21"/>
        <v>80</v>
      </c>
      <c r="Z1065" s="373"/>
      <c r="AA1065" s="373"/>
      <c r="AB1065" s="373"/>
    </row>
    <row r="1066" spans="1:28" s="338" customFormat="1" ht="12.75" customHeight="1" x14ac:dyDescent="0.25">
      <c r="A1066" s="347" t="s">
        <v>3111</v>
      </c>
      <c r="B1066" s="376">
        <v>45362</v>
      </c>
      <c r="C1066" s="372" t="s">
        <v>60</v>
      </c>
      <c r="D1066" s="372" t="s">
        <v>575</v>
      </c>
      <c r="E1066" s="372"/>
      <c r="F1066" s="374" t="s">
        <v>3112</v>
      </c>
      <c r="G1066" s="372" t="s">
        <v>3113</v>
      </c>
      <c r="H1066" s="333">
        <v>2</v>
      </c>
      <c r="I1066" s="333" t="s">
        <v>3066</v>
      </c>
      <c r="J1066" s="333" t="s">
        <v>46</v>
      </c>
      <c r="K1066" s="333" t="s">
        <v>32</v>
      </c>
      <c r="L1066" s="333"/>
      <c r="M1066" s="333"/>
      <c r="N1066" s="417"/>
      <c r="O1066" s="417"/>
      <c r="P1066" s="462">
        <v>45370</v>
      </c>
      <c r="Q1066" s="333"/>
      <c r="R1066" s="333"/>
      <c r="S1066" s="373"/>
      <c r="T1066" s="373"/>
      <c r="U1066" s="373"/>
      <c r="V1066" s="373"/>
      <c r="W1066" s="346">
        <v>45450</v>
      </c>
      <c r="X1066" s="373"/>
      <c r="Y1066" s="336">
        <f t="shared" ca="1" si="21"/>
        <v>80</v>
      </c>
      <c r="Z1066" s="373"/>
      <c r="AA1066" s="373"/>
      <c r="AB1066" s="373"/>
    </row>
    <row r="1067" spans="1:28" s="338" customFormat="1" ht="12.75" customHeight="1" x14ac:dyDescent="0.25">
      <c r="A1067" s="347" t="s">
        <v>3114</v>
      </c>
      <c r="B1067" s="376">
        <v>45362</v>
      </c>
      <c r="C1067" s="372" t="s">
        <v>60</v>
      </c>
      <c r="D1067" s="372" t="s">
        <v>575</v>
      </c>
      <c r="E1067" s="372"/>
      <c r="F1067" s="374" t="s">
        <v>3115</v>
      </c>
      <c r="G1067" s="372" t="s">
        <v>3116</v>
      </c>
      <c r="H1067" s="333">
        <v>2</v>
      </c>
      <c r="I1067" s="333" t="s">
        <v>3066</v>
      </c>
      <c r="J1067" s="333" t="s">
        <v>46</v>
      </c>
      <c r="K1067" s="333" t="s">
        <v>32</v>
      </c>
      <c r="L1067" s="333"/>
      <c r="M1067" s="333"/>
      <c r="N1067" s="417"/>
      <c r="O1067" s="417"/>
      <c r="P1067" s="462">
        <v>45370</v>
      </c>
      <c r="Q1067" s="333"/>
      <c r="R1067" s="333"/>
      <c r="S1067" s="373"/>
      <c r="T1067" s="373"/>
      <c r="U1067" s="373"/>
      <c r="V1067" s="373"/>
      <c r="W1067" s="346">
        <v>45450</v>
      </c>
      <c r="X1067" s="373"/>
      <c r="Y1067" s="336">
        <f t="shared" ca="1" si="21"/>
        <v>80</v>
      </c>
      <c r="Z1067" s="373"/>
      <c r="AA1067" s="373"/>
      <c r="AB1067" s="373"/>
    </row>
    <row r="1068" spans="1:28" s="338" customFormat="1" ht="12.75" customHeight="1" x14ac:dyDescent="0.25">
      <c r="A1068" s="347" t="s">
        <v>3117</v>
      </c>
      <c r="B1068" s="376">
        <v>45362</v>
      </c>
      <c r="C1068" s="372" t="s">
        <v>60</v>
      </c>
      <c r="D1068" s="372" t="s">
        <v>575</v>
      </c>
      <c r="E1068" s="372"/>
      <c r="F1068" s="374" t="s">
        <v>3118</v>
      </c>
      <c r="G1068" s="372" t="s">
        <v>3119</v>
      </c>
      <c r="H1068" s="333">
        <v>2</v>
      </c>
      <c r="I1068" s="333" t="s">
        <v>3066</v>
      </c>
      <c r="J1068" s="333" t="s">
        <v>46</v>
      </c>
      <c r="K1068" s="333" t="s">
        <v>32</v>
      </c>
      <c r="L1068" s="333"/>
      <c r="M1068" s="333"/>
      <c r="N1068" s="417"/>
      <c r="O1068" s="417"/>
      <c r="P1068" s="462">
        <v>45370</v>
      </c>
      <c r="Q1068" s="333"/>
      <c r="R1068" s="333"/>
      <c r="S1068" s="373"/>
      <c r="T1068" s="373"/>
      <c r="U1068" s="373"/>
      <c r="V1068" s="373"/>
      <c r="W1068" s="346">
        <v>45450</v>
      </c>
      <c r="X1068" s="373"/>
      <c r="Y1068" s="336">
        <f t="shared" ca="1" si="21"/>
        <v>80</v>
      </c>
      <c r="Z1068" s="373"/>
      <c r="AA1068" s="373"/>
      <c r="AB1068" s="373"/>
    </row>
    <row r="1069" spans="1:28" s="338" customFormat="1" ht="12.75" customHeight="1" x14ac:dyDescent="0.25">
      <c r="A1069" s="347" t="s">
        <v>3120</v>
      </c>
      <c r="B1069" s="376">
        <v>45362</v>
      </c>
      <c r="C1069" s="372" t="s">
        <v>60</v>
      </c>
      <c r="D1069" s="372" t="s">
        <v>575</v>
      </c>
      <c r="E1069" s="372"/>
      <c r="F1069" s="374" t="s">
        <v>3121</v>
      </c>
      <c r="G1069" s="372" t="s">
        <v>3122</v>
      </c>
      <c r="H1069" s="333">
        <v>2</v>
      </c>
      <c r="I1069" s="333" t="s">
        <v>3066</v>
      </c>
      <c r="J1069" s="333" t="s">
        <v>46</v>
      </c>
      <c r="K1069" s="333" t="s">
        <v>32</v>
      </c>
      <c r="L1069" s="333"/>
      <c r="M1069" s="333"/>
      <c r="N1069" s="417"/>
      <c r="O1069" s="417"/>
      <c r="P1069" s="462">
        <v>45370</v>
      </c>
      <c r="Q1069" s="333"/>
      <c r="R1069" s="333"/>
      <c r="S1069" s="373"/>
      <c r="T1069" s="373"/>
      <c r="U1069" s="373"/>
      <c r="V1069" s="373"/>
      <c r="W1069" s="346">
        <v>45450</v>
      </c>
      <c r="X1069" s="373"/>
      <c r="Y1069" s="336">
        <f t="shared" ca="1" si="21"/>
        <v>80</v>
      </c>
      <c r="Z1069" s="373"/>
      <c r="AA1069" s="373"/>
      <c r="AB1069" s="373"/>
    </row>
    <row r="1070" spans="1:28" s="338" customFormat="1" ht="12.75" customHeight="1" x14ac:dyDescent="0.25">
      <c r="A1070" s="347" t="s">
        <v>3123</v>
      </c>
      <c r="B1070" s="376">
        <v>45362</v>
      </c>
      <c r="C1070" s="372" t="s">
        <v>60</v>
      </c>
      <c r="D1070" s="372" t="s">
        <v>575</v>
      </c>
      <c r="E1070" s="366"/>
      <c r="F1070" s="365" t="s">
        <v>3124</v>
      </c>
      <c r="G1070" s="366" t="s">
        <v>3125</v>
      </c>
      <c r="H1070" s="333">
        <v>2</v>
      </c>
      <c r="I1070" s="333" t="s">
        <v>3066</v>
      </c>
      <c r="J1070" s="333" t="s">
        <v>46</v>
      </c>
      <c r="K1070" s="333" t="s">
        <v>32</v>
      </c>
      <c r="L1070" s="364"/>
      <c r="M1070" s="364"/>
      <c r="N1070" s="485"/>
      <c r="O1070" s="485"/>
      <c r="P1070" s="462">
        <v>45370</v>
      </c>
      <c r="Q1070" s="364"/>
      <c r="R1070" s="364"/>
      <c r="S1070" s="369"/>
      <c r="T1070" s="369"/>
      <c r="U1070" s="369"/>
      <c r="V1070" s="369"/>
      <c r="W1070" s="370">
        <v>45450</v>
      </c>
      <c r="X1070" s="369"/>
      <c r="Y1070" s="336">
        <f t="shared" ca="1" si="21"/>
        <v>80</v>
      </c>
      <c r="Z1070" s="369"/>
      <c r="AA1070" s="369"/>
      <c r="AB1070" s="369"/>
    </row>
    <row r="1071" spans="1:28" s="338" customFormat="1" ht="12.75" customHeight="1" x14ac:dyDescent="0.25">
      <c r="A1071" s="347" t="s">
        <v>3126</v>
      </c>
      <c r="B1071" s="376">
        <v>45362</v>
      </c>
      <c r="C1071" s="372" t="s">
        <v>60</v>
      </c>
      <c r="D1071" s="372" t="s">
        <v>575</v>
      </c>
      <c r="E1071" s="366"/>
      <c r="F1071" s="365" t="s">
        <v>3127</v>
      </c>
      <c r="G1071" s="366" t="s">
        <v>3128</v>
      </c>
      <c r="H1071" s="333">
        <v>2</v>
      </c>
      <c r="I1071" s="333" t="s">
        <v>3066</v>
      </c>
      <c r="J1071" s="333" t="s">
        <v>46</v>
      </c>
      <c r="K1071" s="333" t="s">
        <v>32</v>
      </c>
      <c r="L1071" s="364"/>
      <c r="M1071" s="364"/>
      <c r="N1071" s="485"/>
      <c r="O1071" s="485"/>
      <c r="P1071" s="462">
        <v>45370</v>
      </c>
      <c r="Q1071" s="364"/>
      <c r="R1071" s="364"/>
      <c r="S1071" s="369"/>
      <c r="T1071" s="369"/>
      <c r="U1071" s="369"/>
      <c r="V1071" s="369"/>
      <c r="W1071" s="370">
        <v>45450</v>
      </c>
      <c r="X1071" s="369"/>
      <c r="Y1071" s="336">
        <f t="shared" ca="1" si="21"/>
        <v>80</v>
      </c>
      <c r="Z1071" s="369"/>
      <c r="AA1071" s="369"/>
      <c r="AB1071" s="369"/>
    </row>
    <row r="1072" spans="1:28" s="338" customFormat="1" ht="12.75" customHeight="1" x14ac:dyDescent="0.25">
      <c r="A1072" s="347" t="s">
        <v>3129</v>
      </c>
      <c r="B1072" s="376">
        <v>45362</v>
      </c>
      <c r="C1072" s="372" t="s">
        <v>60</v>
      </c>
      <c r="D1072" s="372" t="s">
        <v>575</v>
      </c>
      <c r="E1072" s="366"/>
      <c r="F1072" s="365" t="s">
        <v>3130</v>
      </c>
      <c r="G1072" s="366" t="s">
        <v>3131</v>
      </c>
      <c r="H1072" s="333">
        <v>2</v>
      </c>
      <c r="I1072" s="333" t="s">
        <v>3066</v>
      </c>
      <c r="J1072" s="333" t="s">
        <v>46</v>
      </c>
      <c r="K1072" s="333" t="s">
        <v>32</v>
      </c>
      <c r="L1072" s="364"/>
      <c r="M1072" s="364"/>
      <c r="N1072" s="485"/>
      <c r="O1072" s="485"/>
      <c r="P1072" s="462">
        <v>45370</v>
      </c>
      <c r="Q1072" s="364"/>
      <c r="R1072" s="364"/>
      <c r="S1072" s="369"/>
      <c r="T1072" s="369"/>
      <c r="U1072" s="369"/>
      <c r="V1072" s="369"/>
      <c r="W1072" s="370">
        <v>45450</v>
      </c>
      <c r="X1072" s="369"/>
      <c r="Y1072" s="336">
        <f t="shared" ca="1" si="21"/>
        <v>80</v>
      </c>
      <c r="Z1072" s="369"/>
      <c r="AA1072" s="369"/>
      <c r="AB1072" s="369"/>
    </row>
    <row r="1073" spans="1:30" ht="12.75" customHeight="1" x14ac:dyDescent="0.25">
      <c r="A1073" s="347" t="s">
        <v>3132</v>
      </c>
      <c r="B1073" s="376">
        <v>45362</v>
      </c>
      <c r="C1073" s="372" t="s">
        <v>60</v>
      </c>
      <c r="D1073" s="372" t="s">
        <v>575</v>
      </c>
      <c r="E1073" s="366"/>
      <c r="F1073" s="365" t="s">
        <v>3133</v>
      </c>
      <c r="G1073" s="366" t="s">
        <v>1322</v>
      </c>
      <c r="H1073" s="333">
        <v>2</v>
      </c>
      <c r="I1073" s="333" t="s">
        <v>3066</v>
      </c>
      <c r="J1073" s="333" t="s">
        <v>46</v>
      </c>
      <c r="K1073" s="333" t="s">
        <v>32</v>
      </c>
      <c r="L1073" s="364"/>
      <c r="M1073" s="364"/>
      <c r="N1073" s="485"/>
      <c r="O1073" s="485"/>
      <c r="P1073" s="462">
        <v>45370</v>
      </c>
      <c r="Q1073" s="364"/>
      <c r="R1073" s="364"/>
      <c r="S1073" s="369"/>
      <c r="T1073" s="369"/>
      <c r="U1073" s="369"/>
      <c r="V1073" s="369"/>
      <c r="W1073" s="370">
        <v>45450</v>
      </c>
      <c r="X1073" s="369"/>
      <c r="Y1073" s="336">
        <f t="shared" ca="1" si="21"/>
        <v>80</v>
      </c>
      <c r="Z1073" s="369"/>
      <c r="AA1073" s="369"/>
      <c r="AB1073" s="369"/>
      <c r="AD1073" s="338"/>
    </row>
    <row r="1074" spans="1:30" ht="12.75" customHeight="1" x14ac:dyDescent="0.25">
      <c r="A1074" s="347" t="s">
        <v>3134</v>
      </c>
      <c r="B1074" s="376">
        <v>45362</v>
      </c>
      <c r="C1074" s="372" t="s">
        <v>60</v>
      </c>
      <c r="D1074" s="372" t="s">
        <v>575</v>
      </c>
      <c r="E1074" s="366"/>
      <c r="F1074" s="365" t="s">
        <v>3135</v>
      </c>
      <c r="G1074" s="366" t="s">
        <v>3136</v>
      </c>
      <c r="H1074" s="333">
        <v>4</v>
      </c>
      <c r="I1074" s="333" t="s">
        <v>3066</v>
      </c>
      <c r="J1074" s="333" t="s">
        <v>46</v>
      </c>
      <c r="K1074" s="333" t="s">
        <v>32</v>
      </c>
      <c r="L1074" s="364"/>
      <c r="M1074" s="364"/>
      <c r="N1074" s="485"/>
      <c r="O1074" s="485"/>
      <c r="P1074" s="462">
        <v>45370</v>
      </c>
      <c r="Q1074" s="364"/>
      <c r="R1074" s="364"/>
      <c r="S1074" s="369"/>
      <c r="T1074" s="369"/>
      <c r="U1074" s="369"/>
      <c r="V1074" s="369"/>
      <c r="W1074" s="370">
        <v>45450</v>
      </c>
      <c r="X1074" s="369"/>
      <c r="Y1074" s="336">
        <f t="shared" ca="1" si="21"/>
        <v>80</v>
      </c>
      <c r="Z1074" s="369"/>
      <c r="AA1074" s="369"/>
      <c r="AB1074" s="369"/>
      <c r="AD1074" s="338"/>
    </row>
    <row r="1075" spans="1:30" ht="12.75" customHeight="1" x14ac:dyDescent="0.25">
      <c r="A1075" s="347" t="s">
        <v>3137</v>
      </c>
      <c r="B1075" s="376">
        <v>45362</v>
      </c>
      <c r="C1075" s="372" t="s">
        <v>60</v>
      </c>
      <c r="D1075" s="372" t="s">
        <v>575</v>
      </c>
      <c r="E1075" s="366"/>
      <c r="F1075" s="365" t="s">
        <v>3071</v>
      </c>
      <c r="G1075" s="366" t="s">
        <v>3138</v>
      </c>
      <c r="H1075" s="333">
        <v>2</v>
      </c>
      <c r="I1075" s="333" t="s">
        <v>3066</v>
      </c>
      <c r="J1075" s="333" t="s">
        <v>46</v>
      </c>
      <c r="K1075" s="333" t="s">
        <v>32</v>
      </c>
      <c r="L1075" s="364"/>
      <c r="M1075" s="364"/>
      <c r="N1075" s="485"/>
      <c r="O1075" s="485"/>
      <c r="P1075" s="462">
        <v>45370</v>
      </c>
      <c r="Q1075" s="364"/>
      <c r="R1075" s="364"/>
      <c r="S1075" s="369"/>
      <c r="T1075" s="369"/>
      <c r="U1075" s="369"/>
      <c r="V1075" s="369"/>
      <c r="W1075" s="370">
        <v>45450</v>
      </c>
      <c r="X1075" s="369"/>
      <c r="Y1075" s="336">
        <f t="shared" ca="1" si="21"/>
        <v>80</v>
      </c>
      <c r="Z1075" s="369"/>
      <c r="AA1075" s="369"/>
      <c r="AB1075" s="369"/>
      <c r="AD1075" s="338"/>
    </row>
    <row r="1076" spans="1:30" ht="12.75" customHeight="1" x14ac:dyDescent="0.25">
      <c r="A1076" s="347" t="s">
        <v>3139</v>
      </c>
      <c r="B1076" s="376">
        <v>45362</v>
      </c>
      <c r="C1076" s="372" t="s">
        <v>60</v>
      </c>
      <c r="D1076" s="372" t="s">
        <v>575</v>
      </c>
      <c r="E1076" s="366"/>
      <c r="F1076" s="365" t="s">
        <v>3140</v>
      </c>
      <c r="G1076" s="366" t="s">
        <v>3141</v>
      </c>
      <c r="H1076" s="333">
        <v>1</v>
      </c>
      <c r="I1076" s="333" t="s">
        <v>3066</v>
      </c>
      <c r="J1076" s="333" t="s">
        <v>46</v>
      </c>
      <c r="K1076" s="333" t="s">
        <v>32</v>
      </c>
      <c r="L1076" s="364"/>
      <c r="M1076" s="364"/>
      <c r="N1076" s="485"/>
      <c r="O1076" s="485"/>
      <c r="P1076" s="462">
        <v>45370</v>
      </c>
      <c r="Q1076" s="364"/>
      <c r="R1076" s="364"/>
      <c r="S1076" s="369"/>
      <c r="T1076" s="369"/>
      <c r="U1076" s="369"/>
      <c r="V1076" s="369"/>
      <c r="W1076" s="370">
        <v>45450</v>
      </c>
      <c r="X1076" s="369"/>
      <c r="Y1076" s="336">
        <f t="shared" ca="1" si="21"/>
        <v>80</v>
      </c>
      <c r="Z1076" s="369"/>
      <c r="AA1076" s="369"/>
      <c r="AB1076" s="369"/>
      <c r="AD1076" s="338"/>
    </row>
    <row r="1077" spans="1:30" ht="12.75" customHeight="1" x14ac:dyDescent="0.25">
      <c r="A1077" s="347" t="s">
        <v>3142</v>
      </c>
      <c r="B1077" s="376">
        <v>45362</v>
      </c>
      <c r="C1077" s="372" t="s">
        <v>60</v>
      </c>
      <c r="D1077" s="372" t="s">
        <v>575</v>
      </c>
      <c r="E1077" s="366"/>
      <c r="F1077" s="365" t="s">
        <v>3143</v>
      </c>
      <c r="G1077" s="366" t="s">
        <v>3144</v>
      </c>
      <c r="H1077" s="333">
        <v>4</v>
      </c>
      <c r="I1077" s="333" t="s">
        <v>3066</v>
      </c>
      <c r="J1077" s="333" t="s">
        <v>46</v>
      </c>
      <c r="K1077" s="333" t="s">
        <v>32</v>
      </c>
      <c r="L1077" s="364"/>
      <c r="M1077" s="364"/>
      <c r="N1077" s="485"/>
      <c r="O1077" s="485"/>
      <c r="P1077" s="462">
        <v>45370</v>
      </c>
      <c r="Q1077" s="364"/>
      <c r="R1077" s="364"/>
      <c r="S1077" s="369"/>
      <c r="T1077" s="369"/>
      <c r="U1077" s="369"/>
      <c r="V1077" s="369"/>
      <c r="W1077" s="370">
        <v>45450</v>
      </c>
      <c r="X1077" s="369"/>
      <c r="Y1077" s="336">
        <f t="shared" ca="1" si="21"/>
        <v>80</v>
      </c>
      <c r="Z1077" s="369"/>
      <c r="AA1077" s="369"/>
      <c r="AB1077" s="369"/>
      <c r="AD1077" s="338"/>
    </row>
    <row r="1078" spans="1:30" ht="12.75" customHeight="1" x14ac:dyDescent="0.25">
      <c r="A1078" s="347" t="s">
        <v>3145</v>
      </c>
      <c r="B1078" s="376">
        <v>45362</v>
      </c>
      <c r="C1078" s="372" t="s">
        <v>60</v>
      </c>
      <c r="D1078" s="372" t="s">
        <v>575</v>
      </c>
      <c r="E1078" s="366"/>
      <c r="F1078" s="365" t="s">
        <v>3146</v>
      </c>
      <c r="G1078" s="366" t="s">
        <v>3147</v>
      </c>
      <c r="H1078" s="333">
        <v>2</v>
      </c>
      <c r="I1078" s="333" t="s">
        <v>3066</v>
      </c>
      <c r="J1078" s="333" t="s">
        <v>46</v>
      </c>
      <c r="K1078" s="333" t="s">
        <v>32</v>
      </c>
      <c r="L1078" s="364"/>
      <c r="M1078" s="364"/>
      <c r="N1078" s="485"/>
      <c r="O1078" s="485"/>
      <c r="P1078" s="462">
        <v>45370</v>
      </c>
      <c r="Q1078" s="364"/>
      <c r="R1078" s="364"/>
      <c r="S1078" s="369"/>
      <c r="T1078" s="369"/>
      <c r="U1078" s="369"/>
      <c r="V1078" s="369"/>
      <c r="W1078" s="370">
        <v>45440</v>
      </c>
      <c r="X1078" s="369"/>
      <c r="Y1078" s="336">
        <f t="shared" ca="1" si="21"/>
        <v>70</v>
      </c>
      <c r="Z1078" s="369"/>
      <c r="AA1078" s="369"/>
      <c r="AB1078" s="369"/>
      <c r="AD1078" s="338"/>
    </row>
    <row r="1079" spans="1:30" ht="12.75" customHeight="1" x14ac:dyDescent="0.25">
      <c r="A1079" s="347" t="s">
        <v>3148</v>
      </c>
      <c r="B1079" s="376">
        <v>45363</v>
      </c>
      <c r="C1079" s="333" t="s">
        <v>35</v>
      </c>
      <c r="D1079" s="333" t="s">
        <v>36</v>
      </c>
      <c r="E1079" s="333"/>
      <c r="F1079" s="374" t="s">
        <v>329</v>
      </c>
      <c r="G1079" s="372" t="s">
        <v>2845</v>
      </c>
      <c r="H1079" s="333">
        <v>1</v>
      </c>
      <c r="I1079" s="333" t="s">
        <v>2846</v>
      </c>
      <c r="J1079" s="333" t="s">
        <v>43</v>
      </c>
      <c r="K1079" s="333" t="s">
        <v>32</v>
      </c>
      <c r="L1079" s="333"/>
      <c r="M1079" s="333"/>
      <c r="N1079" s="417"/>
      <c r="O1079" s="417"/>
      <c r="P1079" s="462"/>
      <c r="Q1079" s="333"/>
      <c r="R1079" s="333"/>
      <c r="S1079" s="373"/>
      <c r="T1079" s="373"/>
      <c r="U1079" s="373"/>
      <c r="V1079" s="373"/>
      <c r="W1079" s="346">
        <v>45306</v>
      </c>
      <c r="X1079" s="373"/>
      <c r="Y1079" s="336" t="str">
        <f t="shared" ca="1" si="21"/>
        <v/>
      </c>
      <c r="Z1079" s="373"/>
      <c r="AA1079" s="373"/>
      <c r="AB1079" s="373"/>
      <c r="AC1079" s="338" t="e">
        <f>VLOOKUP(F1079,'[1]CPO DATA'!$D:$I,4,FALSE)</f>
        <v>#N/A</v>
      </c>
      <c r="AD1079" s="418" t="str">
        <f>VLOOKUP(F1079,'STORE ITEMS'!C:F,2,FALSE)</f>
        <v>TRAY, INSTRUMENT PANEL CUP HOLDER</v>
      </c>
    </row>
    <row r="1080" spans="1:30" ht="12.75" customHeight="1" x14ac:dyDescent="0.25">
      <c r="A1080" s="347" t="s">
        <v>3149</v>
      </c>
      <c r="B1080" s="376">
        <v>45363</v>
      </c>
      <c r="C1080" s="333" t="s">
        <v>35</v>
      </c>
      <c r="D1080" s="333" t="s">
        <v>36</v>
      </c>
      <c r="E1080" s="333"/>
      <c r="F1080" s="374" t="s">
        <v>2840</v>
      </c>
      <c r="G1080" s="372" t="s">
        <v>3150</v>
      </c>
      <c r="H1080" s="333">
        <v>1</v>
      </c>
      <c r="I1080" s="333" t="s">
        <v>2846</v>
      </c>
      <c r="J1080" s="333" t="s">
        <v>2768</v>
      </c>
      <c r="K1080" s="333" t="s">
        <v>69</v>
      </c>
      <c r="L1080" s="333"/>
      <c r="M1080" s="333"/>
      <c r="N1080" s="417"/>
      <c r="O1080" s="417"/>
      <c r="P1080" s="462"/>
      <c r="Q1080" s="333"/>
      <c r="R1080" s="333"/>
      <c r="S1080" s="373"/>
      <c r="T1080" s="373"/>
      <c r="U1080" s="373"/>
      <c r="V1080" s="373"/>
      <c r="W1080" s="346"/>
      <c r="X1080" s="373"/>
      <c r="Y1080" s="336" t="str">
        <f t="shared" ca="1" si="21"/>
        <v/>
      </c>
      <c r="Z1080" s="373"/>
      <c r="AA1080" s="373"/>
      <c r="AB1080" s="373"/>
      <c r="AC1080" s="338" t="e">
        <f>VLOOKUP(F1080,'[1]CPO DATA'!$D:$I,4,FALSE)</f>
        <v>#N/A</v>
      </c>
      <c r="AD1080" s="418" t="e">
        <f>VLOOKUP(F1080,'STORE ITEMS'!C:F,2,FALSE)</f>
        <v>#N/A</v>
      </c>
    </row>
    <row r="1081" spans="1:30" ht="12.75" customHeight="1" x14ac:dyDescent="0.25">
      <c r="A1081" s="347" t="s">
        <v>3151</v>
      </c>
      <c r="B1081" s="376">
        <v>45363</v>
      </c>
      <c r="C1081" s="333" t="s">
        <v>26</v>
      </c>
      <c r="D1081" s="333" t="s">
        <v>3152</v>
      </c>
      <c r="E1081" s="333"/>
      <c r="F1081" s="374">
        <v>1425979</v>
      </c>
      <c r="G1081" s="372" t="s">
        <v>3153</v>
      </c>
      <c r="H1081" s="333">
        <v>1</v>
      </c>
      <c r="I1081" s="333" t="s">
        <v>3154</v>
      </c>
      <c r="J1081" s="333" t="s">
        <v>46</v>
      </c>
      <c r="K1081" s="333" t="s">
        <v>32</v>
      </c>
      <c r="L1081" s="333"/>
      <c r="M1081" s="333"/>
      <c r="N1081" s="417"/>
      <c r="O1081" s="417"/>
      <c r="P1081" s="462">
        <v>45363</v>
      </c>
      <c r="Q1081" s="333"/>
      <c r="R1081" s="333"/>
      <c r="S1081" s="373"/>
      <c r="T1081" s="373"/>
      <c r="U1081" s="373"/>
      <c r="V1081" s="373"/>
      <c r="W1081" s="346"/>
      <c r="X1081" s="373"/>
      <c r="Y1081" s="336">
        <f t="shared" ca="1" si="21"/>
        <v>223</v>
      </c>
      <c r="Z1081" s="373"/>
      <c r="AA1081" s="373"/>
      <c r="AB1081" s="373"/>
      <c r="AD1081" s="338"/>
    </row>
    <row r="1082" spans="1:30" ht="12.75" customHeight="1" x14ac:dyDescent="0.25">
      <c r="A1082" s="347" t="s">
        <v>3155</v>
      </c>
      <c r="B1082" s="376">
        <v>45363</v>
      </c>
      <c r="C1082" s="333" t="s">
        <v>35</v>
      </c>
      <c r="D1082" s="333" t="s">
        <v>83</v>
      </c>
      <c r="E1082" s="333">
        <v>6980487</v>
      </c>
      <c r="F1082" s="374" t="s">
        <v>2240</v>
      </c>
      <c r="G1082" s="372" t="s">
        <v>3156</v>
      </c>
      <c r="H1082" s="333">
        <v>1</v>
      </c>
      <c r="I1082" s="333" t="s">
        <v>3157</v>
      </c>
      <c r="J1082" s="333" t="s">
        <v>68</v>
      </c>
      <c r="K1082" s="333" t="s">
        <v>69</v>
      </c>
      <c r="L1082" s="333"/>
      <c r="M1082" s="333"/>
      <c r="N1082" s="417"/>
      <c r="O1082" s="417"/>
      <c r="P1082" s="462"/>
      <c r="Q1082" s="333"/>
      <c r="R1082" s="333"/>
      <c r="S1082" s="373"/>
      <c r="T1082" s="373"/>
      <c r="U1082" s="373"/>
      <c r="V1082" s="373"/>
      <c r="W1082" s="402">
        <v>45040</v>
      </c>
      <c r="X1082" s="373"/>
      <c r="Y1082" s="336" t="str">
        <f t="shared" ca="1" si="21"/>
        <v/>
      </c>
      <c r="Z1082" s="373"/>
      <c r="AA1082" s="373"/>
      <c r="AB1082" s="373"/>
      <c r="AC1082" s="338" t="str">
        <f>VLOOKUP(F1082,'[1]CPO DATA'!$D:$I,4,FALSE)</f>
        <v>GH503</v>
      </c>
      <c r="AD1082" s="338"/>
    </row>
    <row r="1083" spans="1:30" ht="12.75" customHeight="1" x14ac:dyDescent="0.25">
      <c r="A1083" s="347" t="s">
        <v>3158</v>
      </c>
      <c r="B1083" s="376">
        <v>45363</v>
      </c>
      <c r="C1083" s="333" t="s">
        <v>35</v>
      </c>
      <c r="D1083" s="333" t="s">
        <v>71</v>
      </c>
      <c r="E1083" s="333" t="s">
        <v>3159</v>
      </c>
      <c r="F1083" s="374" t="s">
        <v>2881</v>
      </c>
      <c r="G1083" s="372" t="s">
        <v>3160</v>
      </c>
      <c r="H1083" s="333">
        <v>4</v>
      </c>
      <c r="I1083" s="333" t="s">
        <v>3161</v>
      </c>
      <c r="J1083" s="333" t="s">
        <v>102</v>
      </c>
      <c r="K1083" s="333" t="s">
        <v>69</v>
      </c>
      <c r="L1083" s="333"/>
      <c r="M1083" s="333"/>
      <c r="N1083" s="417"/>
      <c r="O1083" s="417"/>
      <c r="P1083" s="462"/>
      <c r="Q1083" s="333"/>
      <c r="R1083" s="333"/>
      <c r="S1083" s="373"/>
      <c r="T1083" s="373"/>
      <c r="U1083" s="373"/>
      <c r="V1083" s="373"/>
      <c r="W1083" s="346">
        <v>45397</v>
      </c>
      <c r="X1083" s="373"/>
      <c r="Y1083" s="336" t="str">
        <f t="shared" ca="1" si="21"/>
        <v/>
      </c>
      <c r="Z1083" s="373"/>
      <c r="AA1083" s="373"/>
      <c r="AB1083" s="373"/>
      <c r="AC1083" s="338" t="e">
        <f>VLOOKUP(F1083,'[1]CPO DATA'!$D:$I,4,FALSE)</f>
        <v>#N/A</v>
      </c>
      <c r="AD1083" s="418" t="str">
        <f>VLOOKUP(F1083,'STORE ITEMS'!C:F,2,FALSE)</f>
        <v>PIN</v>
      </c>
    </row>
    <row r="1084" spans="1:30" ht="12.75" customHeight="1" x14ac:dyDescent="0.25">
      <c r="A1084" s="347" t="s">
        <v>3162</v>
      </c>
      <c r="B1084" s="376">
        <v>45366</v>
      </c>
      <c r="C1084" s="333" t="s">
        <v>35</v>
      </c>
      <c r="D1084" s="333" t="s">
        <v>83</v>
      </c>
      <c r="E1084" s="333">
        <v>6980516</v>
      </c>
      <c r="F1084" s="374" t="s">
        <v>3163</v>
      </c>
      <c r="G1084" s="372" t="s">
        <v>3164</v>
      </c>
      <c r="H1084" s="333">
        <v>1</v>
      </c>
      <c r="I1084" s="333" t="s">
        <v>33</v>
      </c>
      <c r="J1084" s="333" t="s">
        <v>68</v>
      </c>
      <c r="K1084" s="333" t="s">
        <v>69</v>
      </c>
      <c r="L1084" s="333"/>
      <c r="M1084" s="333"/>
      <c r="N1084" s="417"/>
      <c r="O1084" s="417"/>
      <c r="P1084" s="462"/>
      <c r="Q1084" s="333"/>
      <c r="R1084" s="333"/>
      <c r="S1084" s="373"/>
      <c r="T1084" s="373"/>
      <c r="U1084" s="373"/>
      <c r="V1084" s="373"/>
      <c r="W1084" s="402">
        <v>45040</v>
      </c>
      <c r="X1084" s="373"/>
      <c r="Y1084" s="336" t="str">
        <f t="shared" ca="1" si="21"/>
        <v/>
      </c>
      <c r="Z1084" s="373"/>
      <c r="AA1084" s="373"/>
      <c r="AB1084" s="373"/>
      <c r="AC1084" s="338" t="str">
        <f>VLOOKUP(F1084,'[1]CPO DATA'!$D:$I,4,FALSE)</f>
        <v>GH710</v>
      </c>
      <c r="AD1084" s="338"/>
    </row>
    <row r="1085" spans="1:30" ht="12.75" customHeight="1" x14ac:dyDescent="0.25">
      <c r="A1085" s="347" t="s">
        <v>3165</v>
      </c>
      <c r="B1085" s="376">
        <v>45366</v>
      </c>
      <c r="C1085" s="333" t="s">
        <v>35</v>
      </c>
      <c r="D1085" s="333" t="s">
        <v>83</v>
      </c>
      <c r="E1085" s="333"/>
      <c r="F1085" s="374" t="s">
        <v>3166</v>
      </c>
      <c r="G1085" s="372" t="s">
        <v>3167</v>
      </c>
      <c r="H1085" s="333">
        <v>1</v>
      </c>
      <c r="I1085" s="333" t="s">
        <v>3168</v>
      </c>
      <c r="J1085" s="333" t="s">
        <v>31</v>
      </c>
      <c r="K1085" s="333" t="s">
        <v>32</v>
      </c>
      <c r="L1085" s="333"/>
      <c r="M1085" s="333"/>
      <c r="N1085" s="417"/>
      <c r="O1085" s="417"/>
      <c r="P1085" s="462"/>
      <c r="Q1085" s="333"/>
      <c r="R1085" s="333"/>
      <c r="S1085" s="373"/>
      <c r="T1085" s="373"/>
      <c r="U1085" s="373"/>
      <c r="V1085" s="373"/>
      <c r="W1085" s="346"/>
      <c r="X1085" s="373"/>
      <c r="Y1085" s="336" t="str">
        <f t="shared" ca="1" si="21"/>
        <v/>
      </c>
      <c r="Z1085" s="373"/>
      <c r="AA1085" s="373"/>
      <c r="AB1085" s="373"/>
      <c r="AC1085" s="338" t="str">
        <f>VLOOKUP(F1085,'[1]CPO DATA'!$D:$I,4,FALSE)</f>
        <v>GH521</v>
      </c>
      <c r="AD1085" s="338"/>
    </row>
    <row r="1086" spans="1:30" ht="12.75" customHeight="1" x14ac:dyDescent="0.25">
      <c r="A1086" s="347" t="s">
        <v>3169</v>
      </c>
      <c r="B1086" s="376">
        <v>45369</v>
      </c>
      <c r="C1086" s="333" t="s">
        <v>26</v>
      </c>
      <c r="D1086" s="333" t="s">
        <v>1259</v>
      </c>
      <c r="E1086" s="333"/>
      <c r="F1086" s="374">
        <v>1399129</v>
      </c>
      <c r="G1086" s="372" t="s">
        <v>3170</v>
      </c>
      <c r="H1086" s="333">
        <v>4</v>
      </c>
      <c r="I1086" s="333" t="s">
        <v>30</v>
      </c>
      <c r="J1086" s="333" t="s">
        <v>2627</v>
      </c>
      <c r="K1086" s="333" t="s">
        <v>69</v>
      </c>
      <c r="L1086" s="333"/>
      <c r="M1086" s="333"/>
      <c r="N1086" s="417"/>
      <c r="O1086" s="417"/>
      <c r="P1086" s="462">
        <v>45430</v>
      </c>
      <c r="Q1086" s="333"/>
      <c r="R1086" s="333"/>
      <c r="S1086" s="373"/>
      <c r="T1086" s="373"/>
      <c r="U1086" s="373"/>
      <c r="V1086" s="373"/>
      <c r="W1086" s="346"/>
      <c r="X1086" s="373"/>
      <c r="Y1086" s="336">
        <f t="shared" ca="1" si="21"/>
        <v>156</v>
      </c>
      <c r="Z1086" s="373"/>
      <c r="AA1086" s="373"/>
      <c r="AB1086" s="373"/>
      <c r="AD1086" s="338"/>
    </row>
    <row r="1087" spans="1:30" ht="12.75" customHeight="1" x14ac:dyDescent="0.25">
      <c r="A1087" s="347" t="s">
        <v>3171</v>
      </c>
      <c r="B1087" s="376">
        <v>45369</v>
      </c>
      <c r="C1087" s="333" t="s">
        <v>26</v>
      </c>
      <c r="D1087" s="333" t="s">
        <v>2631</v>
      </c>
      <c r="E1087" s="333"/>
      <c r="F1087" s="374">
        <v>1926127</v>
      </c>
      <c r="G1087" s="372" t="s">
        <v>3172</v>
      </c>
      <c r="H1087" s="333">
        <v>3</v>
      </c>
      <c r="I1087" s="333" t="s">
        <v>2640</v>
      </c>
      <c r="J1087" s="333" t="s">
        <v>2627</v>
      </c>
      <c r="K1087" s="333" t="s">
        <v>69</v>
      </c>
      <c r="L1087" s="333"/>
      <c r="M1087" s="333"/>
      <c r="N1087" s="417"/>
      <c r="O1087" s="417"/>
      <c r="P1087" s="462">
        <v>45369</v>
      </c>
      <c r="Q1087" s="333"/>
      <c r="R1087" s="333"/>
      <c r="S1087" s="373"/>
      <c r="T1087" s="373"/>
      <c r="U1087" s="373"/>
      <c r="V1087" s="373"/>
      <c r="W1087" s="346">
        <v>45378</v>
      </c>
      <c r="X1087" s="373">
        <v>3</v>
      </c>
      <c r="Y1087" s="336">
        <f t="shared" ca="1" si="21"/>
        <v>9</v>
      </c>
      <c r="Z1087" s="373"/>
      <c r="AA1087" s="373"/>
      <c r="AB1087" s="373"/>
      <c r="AD1087" s="338"/>
    </row>
    <row r="1088" spans="1:30" ht="12.75" customHeight="1" x14ac:dyDescent="0.25">
      <c r="A1088" s="347" t="s">
        <v>3173</v>
      </c>
      <c r="B1088" s="376">
        <v>45369</v>
      </c>
      <c r="C1088" s="333" t="s">
        <v>26</v>
      </c>
      <c r="D1088" s="333" t="s">
        <v>1259</v>
      </c>
      <c r="E1088" s="333"/>
      <c r="F1088" s="374">
        <v>1769877</v>
      </c>
      <c r="G1088" s="372" t="s">
        <v>3174</v>
      </c>
      <c r="H1088" s="333">
        <v>8</v>
      </c>
      <c r="I1088" s="333" t="s">
        <v>2852</v>
      </c>
      <c r="J1088" s="333" t="s">
        <v>2627</v>
      </c>
      <c r="K1088" s="333" t="s">
        <v>69</v>
      </c>
      <c r="L1088" s="333"/>
      <c r="M1088" s="333"/>
      <c r="N1088" s="417"/>
      <c r="O1088" s="417"/>
      <c r="P1088" s="462">
        <v>45369</v>
      </c>
      <c r="Q1088" s="333"/>
      <c r="R1088" s="333"/>
      <c r="S1088" s="373"/>
      <c r="T1088" s="373"/>
      <c r="U1088" s="373"/>
      <c r="V1088" s="373"/>
      <c r="W1088" s="346"/>
      <c r="X1088" s="373"/>
      <c r="Y1088" s="336">
        <f t="shared" ca="1" si="21"/>
        <v>217</v>
      </c>
      <c r="Z1088" s="373"/>
      <c r="AA1088" s="373"/>
      <c r="AB1088" s="373"/>
      <c r="AD1088" s="338"/>
    </row>
    <row r="1089" spans="1:29" s="338" customFormat="1" ht="12.75" customHeight="1" x14ac:dyDescent="0.25">
      <c r="A1089" s="347" t="s">
        <v>3175</v>
      </c>
      <c r="B1089" s="376">
        <v>45369</v>
      </c>
      <c r="C1089" s="333" t="s">
        <v>26</v>
      </c>
      <c r="D1089" s="333" t="s">
        <v>1259</v>
      </c>
      <c r="E1089" s="333"/>
      <c r="F1089" s="374">
        <v>1769878</v>
      </c>
      <c r="G1089" s="372" t="s">
        <v>3176</v>
      </c>
      <c r="H1089" s="333">
        <v>8</v>
      </c>
      <c r="I1089" s="333" t="s">
        <v>2852</v>
      </c>
      <c r="J1089" s="333" t="s">
        <v>2627</v>
      </c>
      <c r="K1089" s="333" t="s">
        <v>69</v>
      </c>
      <c r="L1089" s="333"/>
      <c r="M1089" s="333"/>
      <c r="N1089" s="417"/>
      <c r="O1089" s="417"/>
      <c r="P1089" s="462">
        <v>45369</v>
      </c>
      <c r="Q1089" s="333"/>
      <c r="R1089" s="333"/>
      <c r="S1089" s="373"/>
      <c r="T1089" s="373"/>
      <c r="U1089" s="373"/>
      <c r="V1089" s="373"/>
      <c r="W1089" s="346"/>
      <c r="X1089" s="373"/>
      <c r="Y1089" s="336">
        <f t="shared" ca="1" si="21"/>
        <v>217</v>
      </c>
      <c r="Z1089" s="373"/>
      <c r="AA1089" s="373"/>
      <c r="AB1089" s="373"/>
    </row>
    <row r="1090" spans="1:29" s="338" customFormat="1" ht="12.75" customHeight="1" x14ac:dyDescent="0.25">
      <c r="A1090" s="347" t="s">
        <v>3177</v>
      </c>
      <c r="B1090" s="376">
        <v>45369</v>
      </c>
      <c r="C1090" s="333" t="s">
        <v>26</v>
      </c>
      <c r="D1090" s="333"/>
      <c r="E1090" s="333"/>
      <c r="F1090" s="374">
        <v>10569646</v>
      </c>
      <c r="G1090" s="372" t="s">
        <v>3178</v>
      </c>
      <c r="H1090" s="333">
        <v>3200</v>
      </c>
      <c r="I1090" s="333" t="s">
        <v>3179</v>
      </c>
      <c r="J1090" s="333" t="s">
        <v>46</v>
      </c>
      <c r="K1090" s="333" t="s">
        <v>32</v>
      </c>
      <c r="L1090" s="333"/>
      <c r="M1090" s="333"/>
      <c r="N1090" s="417"/>
      <c r="O1090" s="417"/>
      <c r="P1090" s="462"/>
      <c r="Q1090" s="333"/>
      <c r="R1090" s="333"/>
      <c r="S1090" s="373"/>
      <c r="T1090" s="373"/>
      <c r="U1090" s="373"/>
      <c r="V1090" s="373"/>
      <c r="W1090" s="346"/>
      <c r="X1090" s="373"/>
      <c r="Y1090" s="336" t="str">
        <f t="shared" ca="1" si="21"/>
        <v/>
      </c>
      <c r="Z1090" s="373"/>
      <c r="AA1090" s="373"/>
      <c r="AB1090" s="373"/>
    </row>
    <row r="1091" spans="1:29" s="338" customFormat="1" ht="12.75" customHeight="1" x14ac:dyDescent="0.25">
      <c r="A1091" s="347" t="s">
        <v>3180</v>
      </c>
      <c r="B1091" s="376">
        <v>45371</v>
      </c>
      <c r="C1091" s="333" t="s">
        <v>26</v>
      </c>
      <c r="D1091" s="333" t="s">
        <v>1259</v>
      </c>
      <c r="E1091" s="333"/>
      <c r="F1091" s="374">
        <v>2109875</v>
      </c>
      <c r="G1091" s="372" t="s">
        <v>997</v>
      </c>
      <c r="H1091" s="333">
        <v>1</v>
      </c>
      <c r="I1091" s="333" t="s">
        <v>3181</v>
      </c>
      <c r="J1091" s="333" t="s">
        <v>2627</v>
      </c>
      <c r="K1091" s="333" t="s">
        <v>69</v>
      </c>
      <c r="L1091" s="333"/>
      <c r="M1091" s="333"/>
      <c r="N1091" s="417"/>
      <c r="O1091" s="417"/>
      <c r="P1091" s="462">
        <v>45372</v>
      </c>
      <c r="Q1091" s="333"/>
      <c r="R1091" s="333"/>
      <c r="S1091" s="373"/>
      <c r="T1091" s="373"/>
      <c r="U1091" s="373"/>
      <c r="V1091" s="373"/>
      <c r="W1091" s="481">
        <v>45544</v>
      </c>
      <c r="X1091" s="373"/>
      <c r="Y1091" s="336">
        <f t="shared" ca="1" si="21"/>
        <v>172</v>
      </c>
      <c r="Z1091" s="373"/>
      <c r="AA1091" s="373"/>
      <c r="AB1091" s="373"/>
    </row>
    <row r="1092" spans="1:29" s="338" customFormat="1" ht="12.75" customHeight="1" x14ac:dyDescent="0.25">
      <c r="A1092" s="347" t="s">
        <v>3182</v>
      </c>
      <c r="B1092" s="376">
        <v>45371</v>
      </c>
      <c r="C1092" s="333" t="s">
        <v>219</v>
      </c>
      <c r="D1092" s="333" t="s">
        <v>2977</v>
      </c>
      <c r="E1092" s="333"/>
      <c r="F1092" s="518">
        <v>288032403719</v>
      </c>
      <c r="G1092" s="372" t="s">
        <v>3183</v>
      </c>
      <c r="H1092" s="333">
        <v>1</v>
      </c>
      <c r="I1092" s="333" t="s">
        <v>2979</v>
      </c>
      <c r="J1092" s="333" t="s">
        <v>68</v>
      </c>
      <c r="K1092" s="333" t="s">
        <v>69</v>
      </c>
      <c r="L1092" s="333"/>
      <c r="M1092" s="333"/>
      <c r="N1092" s="417"/>
      <c r="O1092" s="417"/>
      <c r="P1092" s="462">
        <v>45370</v>
      </c>
      <c r="Q1092" s="333"/>
      <c r="R1092" s="333"/>
      <c r="S1092" s="373"/>
      <c r="T1092" s="373"/>
      <c r="U1092" s="373"/>
      <c r="V1092" s="373"/>
      <c r="W1092" s="346">
        <v>45387</v>
      </c>
      <c r="X1092" s="373">
        <v>1</v>
      </c>
      <c r="Y1092" s="336">
        <f t="shared" ca="1" si="21"/>
        <v>17</v>
      </c>
      <c r="Z1092" s="373"/>
      <c r="AA1092" s="373"/>
      <c r="AB1092" s="373"/>
    </row>
    <row r="1093" spans="1:29" s="338" customFormat="1" ht="12.75" customHeight="1" x14ac:dyDescent="0.25">
      <c r="A1093" s="347" t="s">
        <v>3184</v>
      </c>
      <c r="B1093" s="376">
        <v>45371</v>
      </c>
      <c r="C1093" s="333" t="s">
        <v>35</v>
      </c>
      <c r="D1093" s="333" t="s">
        <v>71</v>
      </c>
      <c r="E1093" s="333"/>
      <c r="F1093" s="374" t="s">
        <v>3185</v>
      </c>
      <c r="G1093" s="372" t="s">
        <v>3186</v>
      </c>
      <c r="H1093" s="333">
        <v>1</v>
      </c>
      <c r="I1093" s="333" t="s">
        <v>3187</v>
      </c>
      <c r="J1093" s="333" t="s">
        <v>31</v>
      </c>
      <c r="K1093" s="333" t="s">
        <v>32</v>
      </c>
      <c r="L1093" s="333"/>
      <c r="M1093" s="333"/>
      <c r="N1093" s="417"/>
      <c r="O1093" s="417"/>
      <c r="P1093" s="462"/>
      <c r="Q1093" s="333"/>
      <c r="R1093" s="333"/>
      <c r="S1093" s="373"/>
      <c r="T1093" s="373"/>
      <c r="U1093" s="373"/>
      <c r="V1093" s="373"/>
      <c r="W1093" s="346">
        <v>45509</v>
      </c>
      <c r="X1093" s="373"/>
      <c r="Y1093" s="336" t="str">
        <f t="shared" ca="1" si="21"/>
        <v/>
      </c>
      <c r="Z1093" s="373"/>
      <c r="AA1093" s="373"/>
      <c r="AB1093" s="373"/>
      <c r="AC1093" s="338" t="str">
        <f>VLOOKUP(F1093,'[1]CPO DATA'!$D:$I,4,FALSE)</f>
        <v>BZ22</v>
      </c>
    </row>
    <row r="1094" spans="1:29" s="338" customFormat="1" ht="12.75" customHeight="1" x14ac:dyDescent="0.25">
      <c r="A1094" s="347" t="s">
        <v>3188</v>
      </c>
      <c r="B1094" s="376">
        <v>45371</v>
      </c>
      <c r="C1094" s="333" t="s">
        <v>26</v>
      </c>
      <c r="D1094" s="333" t="s">
        <v>3189</v>
      </c>
      <c r="E1094" s="333"/>
      <c r="F1094" s="374">
        <v>1744932</v>
      </c>
      <c r="G1094" s="372" t="s">
        <v>3190</v>
      </c>
      <c r="H1094" s="333">
        <v>3</v>
      </c>
      <c r="I1094" s="333" t="s">
        <v>2964</v>
      </c>
      <c r="J1094" s="333" t="s">
        <v>541</v>
      </c>
      <c r="K1094" s="333" t="s">
        <v>32</v>
      </c>
      <c r="L1094" s="333"/>
      <c r="M1094" s="333"/>
      <c r="N1094" s="417"/>
      <c r="O1094" s="417"/>
      <c r="P1094" s="462">
        <v>45372</v>
      </c>
      <c r="Q1094" s="333"/>
      <c r="R1094" s="333"/>
      <c r="S1094" s="373"/>
      <c r="T1094" s="373"/>
      <c r="U1094" s="373"/>
      <c r="V1094" s="373"/>
      <c r="W1094" s="346">
        <v>45397</v>
      </c>
      <c r="X1094" s="373"/>
      <c r="Y1094" s="336">
        <f t="shared" ca="1" si="21"/>
        <v>25</v>
      </c>
      <c r="Z1094" s="373"/>
      <c r="AA1094" s="373"/>
      <c r="AB1094" s="373"/>
    </row>
    <row r="1095" spans="1:29" s="338" customFormat="1" ht="12.75" customHeight="1" x14ac:dyDescent="0.25">
      <c r="A1095" s="347" t="s">
        <v>3191</v>
      </c>
      <c r="B1095" s="376">
        <v>45371</v>
      </c>
      <c r="C1095" s="333" t="s">
        <v>26</v>
      </c>
      <c r="D1095" s="333" t="s">
        <v>1259</v>
      </c>
      <c r="E1095" s="333"/>
      <c r="F1095" s="374">
        <v>2030493</v>
      </c>
      <c r="G1095" s="372" t="s">
        <v>2851</v>
      </c>
      <c r="H1095" s="333">
        <v>1</v>
      </c>
      <c r="I1095" s="333" t="s">
        <v>2852</v>
      </c>
      <c r="J1095" s="333" t="s">
        <v>2627</v>
      </c>
      <c r="K1095" s="333" t="s">
        <v>69</v>
      </c>
      <c r="L1095" s="333"/>
      <c r="M1095" s="333"/>
      <c r="N1095" s="417"/>
      <c r="O1095" s="417"/>
      <c r="P1095" s="462">
        <v>45372</v>
      </c>
      <c r="Q1095" s="333"/>
      <c r="R1095" s="333"/>
      <c r="S1095" s="373"/>
      <c r="T1095" s="373"/>
      <c r="U1095" s="373"/>
      <c r="V1095" s="373"/>
      <c r="W1095" s="346"/>
      <c r="X1095" s="373"/>
      <c r="Y1095" s="336">
        <f t="shared" ca="1" si="21"/>
        <v>214</v>
      </c>
      <c r="Z1095" s="373"/>
      <c r="AA1095" s="373"/>
      <c r="AB1095" s="373"/>
    </row>
    <row r="1096" spans="1:29" s="338" customFormat="1" ht="12.75" customHeight="1" x14ac:dyDescent="0.25">
      <c r="A1096" s="347" t="s">
        <v>3192</v>
      </c>
      <c r="B1096" s="376">
        <v>45371</v>
      </c>
      <c r="C1096" s="333" t="s">
        <v>26</v>
      </c>
      <c r="D1096" s="333" t="s">
        <v>2631</v>
      </c>
      <c r="E1096" s="333"/>
      <c r="F1096" s="374">
        <v>2095912</v>
      </c>
      <c r="G1096" s="372" t="s">
        <v>3193</v>
      </c>
      <c r="H1096" s="333">
        <v>2</v>
      </c>
      <c r="I1096" s="333" t="s">
        <v>2640</v>
      </c>
      <c r="J1096" s="333" t="s">
        <v>2627</v>
      </c>
      <c r="K1096" s="333" t="s">
        <v>69</v>
      </c>
      <c r="L1096" s="333"/>
      <c r="M1096" s="333"/>
      <c r="N1096" s="417"/>
      <c r="O1096" s="417"/>
      <c r="P1096" s="462">
        <v>45372</v>
      </c>
      <c r="Q1096" s="333"/>
      <c r="R1096" s="333"/>
      <c r="S1096" s="373"/>
      <c r="T1096" s="373"/>
      <c r="U1096" s="373"/>
      <c r="V1096" s="373"/>
      <c r="W1096" s="346"/>
      <c r="X1096" s="373"/>
      <c r="Y1096" s="336">
        <f t="shared" ref="Y1096:Y1159" ca="1" si="22">IF(P1096="","",IF(W1096="",TODAY()-P1096,W1096-P1096))</f>
        <v>214</v>
      </c>
      <c r="Z1096" s="373"/>
      <c r="AA1096" s="373"/>
      <c r="AB1096" s="373"/>
    </row>
    <row r="1097" spans="1:29" s="325" customFormat="1" ht="12.75" customHeight="1" x14ac:dyDescent="0.25">
      <c r="A1097" s="347" t="s">
        <v>3194</v>
      </c>
      <c r="B1097" s="376">
        <v>45370</v>
      </c>
      <c r="C1097" s="333" t="s">
        <v>219</v>
      </c>
      <c r="D1097" s="333" t="s">
        <v>220</v>
      </c>
      <c r="E1097" s="519"/>
      <c r="F1097" s="374">
        <v>3755100090</v>
      </c>
      <c r="G1097" s="372" t="s">
        <v>3195</v>
      </c>
      <c r="H1097" s="333">
        <v>2</v>
      </c>
      <c r="I1097" s="333">
        <v>26</v>
      </c>
      <c r="J1097" s="333" t="s">
        <v>43</v>
      </c>
      <c r="K1097" s="333" t="s">
        <v>32</v>
      </c>
      <c r="L1097" s="519"/>
      <c r="M1097" s="519"/>
      <c r="N1097" s="520"/>
      <c r="O1097" s="520"/>
      <c r="P1097" s="462">
        <v>45372</v>
      </c>
      <c r="Q1097" s="519"/>
      <c r="R1097" s="519"/>
      <c r="S1097" s="521"/>
      <c r="T1097" s="521"/>
      <c r="U1097" s="521"/>
      <c r="V1097" s="521"/>
      <c r="W1097" s="522"/>
      <c r="X1097" s="521"/>
      <c r="Y1097" s="336">
        <f t="shared" ca="1" si="22"/>
        <v>214</v>
      </c>
      <c r="Z1097" s="521"/>
      <c r="AA1097" s="521"/>
      <c r="AB1097" s="521"/>
    </row>
    <row r="1098" spans="1:29" s="338" customFormat="1" ht="12.75" customHeight="1" x14ac:dyDescent="0.25">
      <c r="A1098" s="347" t="s">
        <v>3196</v>
      </c>
      <c r="B1098" s="376">
        <v>45370</v>
      </c>
      <c r="C1098" s="333" t="s">
        <v>219</v>
      </c>
      <c r="D1098" s="333" t="s">
        <v>220</v>
      </c>
      <c r="E1098" s="333"/>
      <c r="F1098" s="374">
        <v>3752100613</v>
      </c>
      <c r="G1098" s="372" t="s">
        <v>3197</v>
      </c>
      <c r="H1098" s="333">
        <v>2</v>
      </c>
      <c r="I1098" s="333">
        <v>26</v>
      </c>
      <c r="J1098" s="333" t="s">
        <v>68</v>
      </c>
      <c r="K1098" s="333" t="s">
        <v>69</v>
      </c>
      <c r="L1098" s="333"/>
      <c r="M1098" s="333" t="s">
        <v>3198</v>
      </c>
      <c r="N1098" s="417">
        <v>9000</v>
      </c>
      <c r="O1098" s="417"/>
      <c r="P1098" s="462">
        <v>45372</v>
      </c>
      <c r="Q1098" s="333"/>
      <c r="R1098" s="333"/>
      <c r="S1098" s="373"/>
      <c r="T1098" s="373"/>
      <c r="U1098" s="373"/>
      <c r="V1098" s="373"/>
      <c r="W1098" s="346"/>
      <c r="X1098" s="373"/>
      <c r="Y1098" s="336">
        <f t="shared" ca="1" si="22"/>
        <v>214</v>
      </c>
      <c r="Z1098" s="373"/>
      <c r="AA1098" s="373"/>
      <c r="AB1098" s="373"/>
    </row>
    <row r="1099" spans="1:29" s="338" customFormat="1" ht="12.75" customHeight="1" x14ac:dyDescent="0.25">
      <c r="A1099" s="347" t="s">
        <v>3199</v>
      </c>
      <c r="B1099" s="376">
        <v>45371</v>
      </c>
      <c r="C1099" s="333" t="s">
        <v>219</v>
      </c>
      <c r="D1099" s="333" t="s">
        <v>220</v>
      </c>
      <c r="E1099" s="333"/>
      <c r="F1099" s="374">
        <v>3241602410</v>
      </c>
      <c r="G1099" s="372" t="s">
        <v>3200</v>
      </c>
      <c r="H1099" s="333">
        <v>12</v>
      </c>
      <c r="I1099" s="333">
        <v>26</v>
      </c>
      <c r="J1099" s="333" t="s">
        <v>43</v>
      </c>
      <c r="K1099" s="333" t="s">
        <v>32</v>
      </c>
      <c r="L1099" s="333"/>
      <c r="M1099" s="333"/>
      <c r="N1099" s="417"/>
      <c r="O1099" s="417"/>
      <c r="P1099" s="462">
        <v>45372</v>
      </c>
      <c r="Q1099" s="333"/>
      <c r="R1099" s="333"/>
      <c r="S1099" s="373"/>
      <c r="T1099" s="373"/>
      <c r="U1099" s="373"/>
      <c r="V1099" s="373"/>
      <c r="W1099" s="346"/>
      <c r="X1099" s="373"/>
      <c r="Y1099" s="336">
        <f t="shared" ca="1" si="22"/>
        <v>214</v>
      </c>
      <c r="Z1099" s="373"/>
      <c r="AA1099" s="373"/>
      <c r="AB1099" s="373"/>
    </row>
    <row r="1100" spans="1:29" s="338" customFormat="1" ht="12.75" customHeight="1" x14ac:dyDescent="0.25">
      <c r="A1100" s="347" t="s">
        <v>3201</v>
      </c>
      <c r="B1100" s="376">
        <v>45371</v>
      </c>
      <c r="C1100" s="333" t="s">
        <v>219</v>
      </c>
      <c r="D1100" s="333" t="s">
        <v>220</v>
      </c>
      <c r="E1100" s="333"/>
      <c r="F1100" s="374">
        <v>9091541100</v>
      </c>
      <c r="G1100" s="372" t="s">
        <v>3202</v>
      </c>
      <c r="H1100" s="333">
        <v>24</v>
      </c>
      <c r="I1100" s="333">
        <v>20</v>
      </c>
      <c r="J1100" s="333" t="s">
        <v>541</v>
      </c>
      <c r="K1100" s="333" t="s">
        <v>32</v>
      </c>
      <c r="L1100" s="333"/>
      <c r="M1100" s="333"/>
      <c r="N1100" s="417"/>
      <c r="O1100" s="417"/>
      <c r="P1100" s="462">
        <v>45372</v>
      </c>
      <c r="Q1100" s="333"/>
      <c r="R1100" s="333"/>
      <c r="S1100" s="373"/>
      <c r="T1100" s="373"/>
      <c r="U1100" s="373"/>
      <c r="V1100" s="373"/>
      <c r="W1100" s="346"/>
      <c r="X1100" s="373"/>
      <c r="Y1100" s="336">
        <f t="shared" ca="1" si="22"/>
        <v>214</v>
      </c>
      <c r="Z1100" s="373"/>
      <c r="AA1100" s="373"/>
      <c r="AB1100" s="373"/>
    </row>
    <row r="1101" spans="1:29" s="338" customFormat="1" ht="12.75" customHeight="1" x14ac:dyDescent="0.25">
      <c r="A1101" s="347" t="s">
        <v>3203</v>
      </c>
      <c r="B1101" s="376">
        <v>45371</v>
      </c>
      <c r="C1101" s="333" t="s">
        <v>219</v>
      </c>
      <c r="D1101" s="333" t="s">
        <v>2977</v>
      </c>
      <c r="E1101" s="333"/>
      <c r="F1101" s="374">
        <v>501132403221</v>
      </c>
      <c r="G1101" s="372" t="s">
        <v>3204</v>
      </c>
      <c r="H1101" s="333">
        <v>4</v>
      </c>
      <c r="I1101" s="333" t="s">
        <v>2979</v>
      </c>
      <c r="J1101" s="333" t="s">
        <v>68</v>
      </c>
      <c r="K1101" s="333" t="s">
        <v>69</v>
      </c>
      <c r="L1101" s="333"/>
      <c r="M1101" s="333"/>
      <c r="N1101" s="417"/>
      <c r="O1101" s="417"/>
      <c r="P1101" s="462">
        <v>45370</v>
      </c>
      <c r="Q1101" s="333"/>
      <c r="R1101" s="333"/>
      <c r="S1101" s="373"/>
      <c r="T1101" s="373"/>
      <c r="U1101" s="373"/>
      <c r="V1101" s="373"/>
      <c r="W1101" s="346">
        <v>45387</v>
      </c>
      <c r="X1101" s="373">
        <v>4</v>
      </c>
      <c r="Y1101" s="336">
        <f t="shared" ca="1" si="22"/>
        <v>17</v>
      </c>
      <c r="Z1101" s="373"/>
      <c r="AA1101" s="373"/>
      <c r="AB1101" s="373"/>
    </row>
    <row r="1102" spans="1:29" s="338" customFormat="1" ht="12.75" customHeight="1" x14ac:dyDescent="0.25">
      <c r="A1102" s="347" t="s">
        <v>3205</v>
      </c>
      <c r="B1102" s="376">
        <v>45379</v>
      </c>
      <c r="C1102" s="333" t="s">
        <v>35</v>
      </c>
      <c r="D1102" s="333" t="s">
        <v>83</v>
      </c>
      <c r="E1102" s="333"/>
      <c r="F1102" s="374" t="s">
        <v>3206</v>
      </c>
      <c r="G1102" s="372" t="s">
        <v>3207</v>
      </c>
      <c r="H1102" s="333">
        <v>1</v>
      </c>
      <c r="I1102" s="333" t="s">
        <v>3208</v>
      </c>
      <c r="J1102" s="333" t="s">
        <v>68</v>
      </c>
      <c r="K1102" s="333" t="s">
        <v>69</v>
      </c>
      <c r="L1102" s="333"/>
      <c r="M1102" s="333"/>
      <c r="N1102" s="417"/>
      <c r="O1102" s="417"/>
      <c r="P1102" s="462"/>
      <c r="Q1102" s="333"/>
      <c r="R1102" s="333"/>
      <c r="S1102" s="373"/>
      <c r="T1102" s="373"/>
      <c r="U1102" s="373"/>
      <c r="V1102" s="373"/>
      <c r="W1102" s="346">
        <v>45509</v>
      </c>
      <c r="X1102" s="373"/>
      <c r="Y1102" s="336" t="str">
        <f t="shared" ca="1" si="22"/>
        <v/>
      </c>
      <c r="Z1102" s="373"/>
      <c r="AA1102" s="373"/>
      <c r="AB1102" s="373"/>
      <c r="AC1102" s="338" t="str">
        <f>VLOOKUP(F1102,'[1]CPO DATA'!$D:$I,4,FALSE)</f>
        <v>GH597</v>
      </c>
    </row>
    <row r="1103" spans="1:29" s="338" customFormat="1" ht="12.75" customHeight="1" x14ac:dyDescent="0.25">
      <c r="A1103" s="347" t="s">
        <v>3209</v>
      </c>
      <c r="B1103" s="376">
        <v>45379</v>
      </c>
      <c r="C1103" s="333" t="s">
        <v>60</v>
      </c>
      <c r="D1103" s="333" t="s">
        <v>1479</v>
      </c>
      <c r="E1103" s="333"/>
      <c r="F1103" s="374" t="s">
        <v>3210</v>
      </c>
      <c r="G1103" s="372" t="s">
        <v>3211</v>
      </c>
      <c r="H1103" s="333">
        <v>32</v>
      </c>
      <c r="I1103" s="333"/>
      <c r="J1103" s="333" t="s">
        <v>541</v>
      </c>
      <c r="K1103" s="333" t="s">
        <v>32</v>
      </c>
      <c r="L1103" s="333"/>
      <c r="M1103" s="333"/>
      <c r="N1103" s="417"/>
      <c r="O1103" s="417"/>
      <c r="P1103" s="462"/>
      <c r="Q1103" s="333"/>
      <c r="R1103" s="333"/>
      <c r="S1103" s="373"/>
      <c r="T1103" s="373"/>
      <c r="U1103" s="373"/>
      <c r="V1103" s="373"/>
      <c r="W1103" s="346"/>
      <c r="X1103" s="373"/>
      <c r="Y1103" s="336" t="str">
        <f t="shared" ca="1" si="22"/>
        <v/>
      </c>
      <c r="Z1103" s="373"/>
      <c r="AA1103" s="373"/>
      <c r="AB1103" s="373"/>
    </row>
    <row r="1104" spans="1:29" s="338" customFormat="1" ht="12.75" customHeight="1" x14ac:dyDescent="0.25">
      <c r="A1104" s="347" t="s">
        <v>3212</v>
      </c>
      <c r="B1104" s="376">
        <v>45378</v>
      </c>
      <c r="C1104" s="333" t="s">
        <v>26</v>
      </c>
      <c r="D1104" s="333" t="s">
        <v>1007</v>
      </c>
      <c r="E1104" s="333"/>
      <c r="F1104" s="374">
        <v>3110442</v>
      </c>
      <c r="G1104" s="372" t="s">
        <v>978</v>
      </c>
      <c r="H1104" s="333">
        <v>1</v>
      </c>
      <c r="I1104" s="333" t="s">
        <v>3025</v>
      </c>
      <c r="J1104" s="333" t="s">
        <v>31</v>
      </c>
      <c r="K1104" s="333" t="s">
        <v>32</v>
      </c>
      <c r="L1104" s="333"/>
      <c r="M1104" s="333"/>
      <c r="N1104" s="417"/>
      <c r="O1104" s="417"/>
      <c r="P1104" s="462">
        <v>45378</v>
      </c>
      <c r="Q1104" s="333"/>
      <c r="R1104" s="333"/>
      <c r="S1104" s="373"/>
      <c r="T1104" s="373"/>
      <c r="U1104" s="373"/>
      <c r="V1104" s="373"/>
      <c r="W1104" s="346"/>
      <c r="X1104" s="373"/>
      <c r="Y1104" s="336">
        <f t="shared" ca="1" si="22"/>
        <v>208</v>
      </c>
      <c r="Z1104" s="373"/>
      <c r="AA1104" s="373"/>
      <c r="AB1104" s="373"/>
    </row>
    <row r="1105" spans="1:29" s="338" customFormat="1" ht="12.75" customHeight="1" x14ac:dyDescent="0.25">
      <c r="A1105" s="347" t="s">
        <v>3213</v>
      </c>
      <c r="B1105" s="376">
        <v>45376</v>
      </c>
      <c r="C1105" s="333" t="s">
        <v>26</v>
      </c>
      <c r="D1105" s="333" t="s">
        <v>1259</v>
      </c>
      <c r="E1105" s="333"/>
      <c r="F1105" s="374">
        <v>1725755</v>
      </c>
      <c r="G1105" s="372" t="s">
        <v>3214</v>
      </c>
      <c r="H1105" s="333">
        <v>14</v>
      </c>
      <c r="I1105" s="333" t="s">
        <v>2852</v>
      </c>
      <c r="J1105" s="333" t="s">
        <v>2627</v>
      </c>
      <c r="K1105" s="333" t="s">
        <v>69</v>
      </c>
      <c r="L1105" s="333"/>
      <c r="M1105" s="333"/>
      <c r="N1105" s="417"/>
      <c r="O1105" s="417"/>
      <c r="P1105" s="462">
        <v>45373</v>
      </c>
      <c r="Q1105" s="333"/>
      <c r="R1105" s="333"/>
      <c r="S1105" s="373"/>
      <c r="T1105" s="373"/>
      <c r="U1105" s="373"/>
      <c r="V1105" s="373"/>
      <c r="W1105" s="346">
        <v>45397</v>
      </c>
      <c r="X1105" s="373"/>
      <c r="Y1105" s="336">
        <f t="shared" ca="1" si="22"/>
        <v>24</v>
      </c>
      <c r="Z1105" s="373"/>
      <c r="AA1105" s="373"/>
      <c r="AB1105" s="373"/>
    </row>
    <row r="1106" spans="1:29" s="338" customFormat="1" ht="12.75" customHeight="1" x14ac:dyDescent="0.25">
      <c r="A1106" s="347" t="s">
        <v>3215</v>
      </c>
      <c r="B1106" s="376">
        <v>45407</v>
      </c>
      <c r="C1106" s="333" t="s">
        <v>26</v>
      </c>
      <c r="D1106" s="333" t="s">
        <v>1259</v>
      </c>
      <c r="E1106" s="333"/>
      <c r="F1106" s="374">
        <v>2354275</v>
      </c>
      <c r="G1106" s="372" t="s">
        <v>3216</v>
      </c>
      <c r="H1106" s="333">
        <v>1</v>
      </c>
      <c r="I1106" s="333" t="s">
        <v>2852</v>
      </c>
      <c r="J1106" s="333" t="s">
        <v>2627</v>
      </c>
      <c r="K1106" s="333" t="s">
        <v>69</v>
      </c>
      <c r="L1106" s="333"/>
      <c r="M1106" s="333"/>
      <c r="N1106" s="417"/>
      <c r="O1106" s="417"/>
      <c r="P1106" s="462">
        <v>45373</v>
      </c>
      <c r="Q1106" s="333"/>
      <c r="R1106" s="333"/>
      <c r="S1106" s="373"/>
      <c r="T1106" s="373"/>
      <c r="U1106" s="373"/>
      <c r="V1106" s="373"/>
      <c r="W1106" s="346">
        <v>45397</v>
      </c>
      <c r="X1106" s="373"/>
      <c r="Y1106" s="336">
        <f t="shared" ca="1" si="22"/>
        <v>24</v>
      </c>
      <c r="Z1106" s="373"/>
      <c r="AA1106" s="373"/>
      <c r="AB1106" s="373"/>
    </row>
    <row r="1107" spans="1:29" s="338" customFormat="1" ht="12.75" customHeight="1" x14ac:dyDescent="0.25">
      <c r="A1107" s="347" t="s">
        <v>3217</v>
      </c>
      <c r="B1107" s="376">
        <v>45372</v>
      </c>
      <c r="C1107" s="333" t="s">
        <v>35</v>
      </c>
      <c r="D1107" s="333" t="s">
        <v>71</v>
      </c>
      <c r="E1107" s="333"/>
      <c r="F1107" s="374" t="s">
        <v>3047</v>
      </c>
      <c r="G1107" s="372" t="s">
        <v>3218</v>
      </c>
      <c r="H1107" s="333">
        <v>5</v>
      </c>
      <c r="I1107" s="333" t="s">
        <v>3187</v>
      </c>
      <c r="J1107" s="333" t="s">
        <v>43</v>
      </c>
      <c r="K1107" s="333" t="s">
        <v>32</v>
      </c>
      <c r="L1107" s="333"/>
      <c r="M1107" s="333"/>
      <c r="N1107" s="417"/>
      <c r="O1107" s="417"/>
      <c r="P1107" s="462"/>
      <c r="Q1107" s="333"/>
      <c r="R1107" s="333"/>
      <c r="S1107" s="373"/>
      <c r="T1107" s="373"/>
      <c r="U1107" s="373"/>
      <c r="V1107" s="373"/>
      <c r="W1107" s="346">
        <v>45509</v>
      </c>
      <c r="X1107" s="373"/>
      <c r="Y1107" s="336" t="str">
        <f t="shared" ca="1" si="22"/>
        <v/>
      </c>
      <c r="Z1107" s="373"/>
      <c r="AA1107" s="373"/>
      <c r="AB1107" s="373"/>
      <c r="AC1107" s="338" t="str">
        <f>VLOOKUP(F1107,'[1]CPO DATA'!$D:$I,4,FALSE)</f>
        <v>BZ21/BZ22</v>
      </c>
    </row>
    <row r="1108" spans="1:29" s="338" customFormat="1" ht="12.75" customHeight="1" x14ac:dyDescent="0.25">
      <c r="A1108" s="347" t="s">
        <v>3219</v>
      </c>
      <c r="B1108" s="376">
        <v>45372</v>
      </c>
      <c r="C1108" s="333" t="s">
        <v>26</v>
      </c>
      <c r="D1108" s="333" t="s">
        <v>2631</v>
      </c>
      <c r="E1108" s="333"/>
      <c r="F1108" s="374">
        <v>2129985</v>
      </c>
      <c r="G1108" s="372" t="s">
        <v>3220</v>
      </c>
      <c r="H1108" s="333">
        <v>1</v>
      </c>
      <c r="I1108" s="333" t="s">
        <v>3221</v>
      </c>
      <c r="J1108" s="333" t="s">
        <v>2627</v>
      </c>
      <c r="K1108" s="333" t="s">
        <v>69</v>
      </c>
      <c r="L1108" s="333"/>
      <c r="M1108" s="333"/>
      <c r="N1108" s="417"/>
      <c r="O1108" s="417"/>
      <c r="P1108" s="462">
        <v>45372</v>
      </c>
      <c r="Q1108" s="333"/>
      <c r="R1108" s="333"/>
      <c r="S1108" s="373"/>
      <c r="T1108" s="373"/>
      <c r="U1108" s="373"/>
      <c r="V1108" s="373"/>
      <c r="W1108" s="346">
        <v>45397</v>
      </c>
      <c r="X1108" s="373"/>
      <c r="Y1108" s="336">
        <f t="shared" ca="1" si="22"/>
        <v>25</v>
      </c>
      <c r="Z1108" s="373"/>
      <c r="AA1108" s="373"/>
      <c r="AB1108" s="373"/>
    </row>
    <row r="1109" spans="1:29" s="338" customFormat="1" ht="12.75" customHeight="1" x14ac:dyDescent="0.25">
      <c r="A1109" s="347" t="s">
        <v>3222</v>
      </c>
      <c r="B1109" s="376">
        <v>45372</v>
      </c>
      <c r="C1109" s="333" t="s">
        <v>26</v>
      </c>
      <c r="D1109" s="333" t="s">
        <v>1259</v>
      </c>
      <c r="E1109" s="333"/>
      <c r="F1109" s="374">
        <v>2489362</v>
      </c>
      <c r="G1109" s="372" t="s">
        <v>3223</v>
      </c>
      <c r="H1109" s="333">
        <v>1</v>
      </c>
      <c r="I1109" s="333" t="s">
        <v>30</v>
      </c>
      <c r="J1109" s="333" t="s">
        <v>2627</v>
      </c>
      <c r="K1109" s="333" t="s">
        <v>69</v>
      </c>
      <c r="L1109" s="333"/>
      <c r="M1109" s="333"/>
      <c r="N1109" s="417"/>
      <c r="O1109" s="417"/>
      <c r="P1109" s="462">
        <v>45372</v>
      </c>
      <c r="Q1109" s="333"/>
      <c r="R1109" s="333"/>
      <c r="S1109" s="373"/>
      <c r="T1109" s="373"/>
      <c r="U1109" s="373"/>
      <c r="V1109" s="373"/>
      <c r="W1109" s="346">
        <v>45397</v>
      </c>
      <c r="X1109" s="373"/>
      <c r="Y1109" s="336">
        <f t="shared" ca="1" si="22"/>
        <v>25</v>
      </c>
      <c r="Z1109" s="373"/>
      <c r="AA1109" s="373"/>
      <c r="AB1109" s="373"/>
    </row>
    <row r="1110" spans="1:29" s="338" customFormat="1" ht="12.75" customHeight="1" x14ac:dyDescent="0.25">
      <c r="A1110" s="347" t="s">
        <v>3224</v>
      </c>
      <c r="B1110" s="376">
        <v>45372</v>
      </c>
      <c r="C1110" s="333" t="s">
        <v>26</v>
      </c>
      <c r="D1110" s="333" t="s">
        <v>2631</v>
      </c>
      <c r="E1110" s="333"/>
      <c r="F1110" s="374">
        <v>1412093</v>
      </c>
      <c r="G1110" s="372" t="s">
        <v>3225</v>
      </c>
      <c r="H1110" s="333">
        <v>1</v>
      </c>
      <c r="I1110" s="333" t="s">
        <v>2640</v>
      </c>
      <c r="J1110" s="333" t="s">
        <v>2627</v>
      </c>
      <c r="K1110" s="333" t="s">
        <v>69</v>
      </c>
      <c r="L1110" s="333"/>
      <c r="M1110" s="333"/>
      <c r="N1110" s="417"/>
      <c r="O1110" s="417"/>
      <c r="P1110" s="462">
        <v>45372</v>
      </c>
      <c r="Q1110" s="333"/>
      <c r="R1110" s="333"/>
      <c r="S1110" s="373"/>
      <c r="T1110" s="373"/>
      <c r="U1110" s="373"/>
      <c r="V1110" s="373"/>
      <c r="W1110" s="346">
        <v>45397</v>
      </c>
      <c r="X1110" s="373"/>
      <c r="Y1110" s="336">
        <f t="shared" ca="1" si="22"/>
        <v>25</v>
      </c>
      <c r="Z1110" s="373"/>
      <c r="AA1110" s="373"/>
      <c r="AB1110" s="373"/>
    </row>
    <row r="1111" spans="1:29" s="338" customFormat="1" ht="12.75" customHeight="1" x14ac:dyDescent="0.25">
      <c r="A1111" s="347" t="s">
        <v>3226</v>
      </c>
      <c r="B1111" s="376">
        <v>45372</v>
      </c>
      <c r="C1111" s="333" t="s">
        <v>26</v>
      </c>
      <c r="D1111" s="333" t="s">
        <v>2631</v>
      </c>
      <c r="E1111" s="333"/>
      <c r="F1111" s="374">
        <v>1412094</v>
      </c>
      <c r="G1111" s="372" t="s">
        <v>3227</v>
      </c>
      <c r="H1111" s="333">
        <v>1</v>
      </c>
      <c r="I1111" s="333" t="s">
        <v>2640</v>
      </c>
      <c r="J1111" s="333" t="s">
        <v>2627</v>
      </c>
      <c r="K1111" s="333" t="s">
        <v>69</v>
      </c>
      <c r="L1111" s="333"/>
      <c r="M1111" s="333"/>
      <c r="N1111" s="417"/>
      <c r="O1111" s="417"/>
      <c r="P1111" s="462">
        <v>45372</v>
      </c>
      <c r="Q1111" s="333"/>
      <c r="R1111" s="333"/>
      <c r="S1111" s="373"/>
      <c r="T1111" s="373"/>
      <c r="U1111" s="373"/>
      <c r="V1111" s="373"/>
      <c r="W1111" s="346"/>
      <c r="X1111" s="373"/>
      <c r="Y1111" s="336">
        <f t="shared" ca="1" si="22"/>
        <v>214</v>
      </c>
      <c r="Z1111" s="373"/>
      <c r="AA1111" s="373"/>
      <c r="AB1111" s="373"/>
    </row>
    <row r="1112" spans="1:29" s="338" customFormat="1" ht="12.75" customHeight="1" x14ac:dyDescent="0.25">
      <c r="A1112" s="347" t="s">
        <v>3228</v>
      </c>
      <c r="B1112" s="376">
        <v>45372</v>
      </c>
      <c r="C1112" s="333" t="s">
        <v>26</v>
      </c>
      <c r="D1112" s="333" t="s">
        <v>1259</v>
      </c>
      <c r="E1112" s="333"/>
      <c r="F1112" s="374">
        <v>2120661</v>
      </c>
      <c r="G1112" s="372" t="s">
        <v>3229</v>
      </c>
      <c r="H1112" s="333">
        <v>1</v>
      </c>
      <c r="I1112" s="333" t="s">
        <v>2640</v>
      </c>
      <c r="J1112" s="333" t="s">
        <v>2627</v>
      </c>
      <c r="K1112" s="333" t="s">
        <v>69</v>
      </c>
      <c r="L1112" s="333"/>
      <c r="M1112" s="333"/>
      <c r="N1112" s="417"/>
      <c r="O1112" s="417"/>
      <c r="P1112" s="462">
        <v>45372</v>
      </c>
      <c r="Q1112" s="333"/>
      <c r="R1112" s="333"/>
      <c r="S1112" s="373"/>
      <c r="T1112" s="373"/>
      <c r="U1112" s="373"/>
      <c r="V1112" s="373"/>
      <c r="W1112" s="346">
        <v>45397</v>
      </c>
      <c r="X1112" s="373"/>
      <c r="Y1112" s="336">
        <f t="shared" ca="1" si="22"/>
        <v>25</v>
      </c>
      <c r="Z1112" s="373"/>
      <c r="AA1112" s="373"/>
      <c r="AB1112" s="373"/>
    </row>
    <row r="1113" spans="1:29" s="338" customFormat="1" ht="12.75" customHeight="1" x14ac:dyDescent="0.25">
      <c r="A1113" s="347" t="s">
        <v>3230</v>
      </c>
      <c r="B1113" s="376">
        <v>45372</v>
      </c>
      <c r="C1113" s="333" t="s">
        <v>219</v>
      </c>
      <c r="D1113" s="333" t="s">
        <v>220</v>
      </c>
      <c r="E1113" s="333"/>
      <c r="F1113" s="374">
        <v>3433101440</v>
      </c>
      <c r="G1113" s="372" t="s">
        <v>3231</v>
      </c>
      <c r="H1113" s="333">
        <v>48</v>
      </c>
      <c r="I1113" s="333">
        <v>26</v>
      </c>
      <c r="J1113" s="333" t="s">
        <v>43</v>
      </c>
      <c r="K1113" s="333" t="s">
        <v>32</v>
      </c>
      <c r="L1113" s="333"/>
      <c r="M1113" s="333"/>
      <c r="N1113" s="417"/>
      <c r="O1113" s="417"/>
      <c r="P1113" s="462">
        <v>45372</v>
      </c>
      <c r="Q1113" s="333"/>
      <c r="R1113" s="333"/>
      <c r="S1113" s="373"/>
      <c r="T1113" s="373"/>
      <c r="U1113" s="373"/>
      <c r="V1113" s="373"/>
      <c r="W1113" s="346"/>
      <c r="X1113" s="373"/>
      <c r="Y1113" s="336">
        <f t="shared" ca="1" si="22"/>
        <v>214</v>
      </c>
      <c r="Z1113" s="373"/>
      <c r="AA1113" s="373"/>
      <c r="AB1113" s="373"/>
    </row>
    <row r="1114" spans="1:29" s="338" customFormat="1" ht="12.75" customHeight="1" x14ac:dyDescent="0.25">
      <c r="A1114" s="347" t="s">
        <v>3232</v>
      </c>
      <c r="B1114" s="376">
        <v>45372</v>
      </c>
      <c r="C1114" s="333" t="s">
        <v>219</v>
      </c>
      <c r="D1114" s="333" t="s">
        <v>220</v>
      </c>
      <c r="E1114" s="333"/>
      <c r="F1114" s="374">
        <v>3423013730</v>
      </c>
      <c r="G1114" s="372" t="s">
        <v>3233</v>
      </c>
      <c r="H1114" s="333">
        <v>24</v>
      </c>
      <c r="I1114" s="333">
        <v>26</v>
      </c>
      <c r="J1114" s="333" t="s">
        <v>43</v>
      </c>
      <c r="K1114" s="333" t="s">
        <v>32</v>
      </c>
      <c r="L1114" s="333"/>
      <c r="M1114" s="333"/>
      <c r="N1114" s="417"/>
      <c r="O1114" s="417"/>
      <c r="P1114" s="462">
        <v>45372</v>
      </c>
      <c r="Q1114" s="333"/>
      <c r="R1114" s="333"/>
      <c r="S1114" s="373"/>
      <c r="T1114" s="373"/>
      <c r="U1114" s="373"/>
      <c r="V1114" s="373"/>
      <c r="W1114" s="346"/>
      <c r="X1114" s="373"/>
      <c r="Y1114" s="336">
        <f t="shared" ca="1" si="22"/>
        <v>214</v>
      </c>
      <c r="Z1114" s="373"/>
      <c r="AA1114" s="373"/>
      <c r="AB1114" s="373"/>
    </row>
    <row r="1115" spans="1:29" s="338" customFormat="1" ht="12.75" customHeight="1" x14ac:dyDescent="0.25">
      <c r="A1115" s="347" t="s">
        <v>3234</v>
      </c>
      <c r="B1115" s="376">
        <v>45372</v>
      </c>
      <c r="C1115" s="333" t="s">
        <v>26</v>
      </c>
      <c r="D1115" s="333" t="s">
        <v>2631</v>
      </c>
      <c r="E1115" s="333"/>
      <c r="F1115" s="374">
        <v>1412093</v>
      </c>
      <c r="G1115" s="372" t="s">
        <v>3225</v>
      </c>
      <c r="H1115" s="333">
        <v>1</v>
      </c>
      <c r="I1115" s="333" t="s">
        <v>2640</v>
      </c>
      <c r="J1115" s="333" t="s">
        <v>2627</v>
      </c>
      <c r="K1115" s="333" t="s">
        <v>69</v>
      </c>
      <c r="L1115" s="333"/>
      <c r="M1115" s="333"/>
      <c r="N1115" s="417"/>
      <c r="O1115" s="417"/>
      <c r="P1115" s="462">
        <v>45372</v>
      </c>
      <c r="Q1115" s="333"/>
      <c r="R1115" s="333"/>
      <c r="S1115" s="373"/>
      <c r="T1115" s="373"/>
      <c r="U1115" s="373"/>
      <c r="V1115" s="373"/>
      <c r="W1115" s="346">
        <v>45397</v>
      </c>
      <c r="X1115" s="373"/>
      <c r="Y1115" s="336">
        <f t="shared" ca="1" si="22"/>
        <v>25</v>
      </c>
      <c r="Z1115" s="373"/>
      <c r="AA1115" s="373"/>
      <c r="AB1115" s="373"/>
    </row>
    <row r="1116" spans="1:29" s="338" customFormat="1" ht="12.75" customHeight="1" x14ac:dyDescent="0.25">
      <c r="A1116" s="347" t="s">
        <v>3235</v>
      </c>
      <c r="B1116" s="376">
        <v>45372</v>
      </c>
      <c r="C1116" s="333" t="s">
        <v>26</v>
      </c>
      <c r="D1116" s="333" t="s">
        <v>2631</v>
      </c>
      <c r="E1116" s="333"/>
      <c r="F1116" s="374">
        <v>1412094</v>
      </c>
      <c r="G1116" s="372" t="s">
        <v>3225</v>
      </c>
      <c r="H1116" s="333">
        <v>1</v>
      </c>
      <c r="I1116" s="333" t="s">
        <v>2640</v>
      </c>
      <c r="J1116" s="333" t="s">
        <v>2627</v>
      </c>
      <c r="K1116" s="333" t="s">
        <v>69</v>
      </c>
      <c r="L1116" s="333"/>
      <c r="M1116" s="333"/>
      <c r="N1116" s="417"/>
      <c r="O1116" s="417"/>
      <c r="P1116" s="462">
        <v>45372</v>
      </c>
      <c r="Q1116" s="333"/>
      <c r="R1116" s="333"/>
      <c r="S1116" s="373"/>
      <c r="T1116" s="373"/>
      <c r="U1116" s="373"/>
      <c r="V1116" s="373"/>
      <c r="W1116" s="346"/>
      <c r="X1116" s="373"/>
      <c r="Y1116" s="336">
        <f t="shared" ca="1" si="22"/>
        <v>214</v>
      </c>
      <c r="Z1116" s="373"/>
      <c r="AA1116" s="373"/>
      <c r="AB1116" s="373"/>
    </row>
    <row r="1117" spans="1:29" s="338" customFormat="1" ht="12.75" customHeight="1" x14ac:dyDescent="0.25">
      <c r="A1117" s="347" t="s">
        <v>3236</v>
      </c>
      <c r="B1117" s="334">
        <v>45364</v>
      </c>
      <c r="C1117" s="396" t="s">
        <v>219</v>
      </c>
      <c r="D1117" s="333" t="s">
        <v>2977</v>
      </c>
      <c r="E1117" s="429"/>
      <c r="F1117" s="374">
        <v>62120520046</v>
      </c>
      <c r="G1117" s="372" t="s">
        <v>3237</v>
      </c>
      <c r="H1117" s="333">
        <v>12</v>
      </c>
      <c r="I1117" s="333" t="s">
        <v>2979</v>
      </c>
      <c r="J1117" s="333" t="s">
        <v>541</v>
      </c>
      <c r="K1117" s="332" t="s">
        <v>32</v>
      </c>
      <c r="L1117" s="333"/>
      <c r="M1117" s="333"/>
      <c r="N1117" s="417"/>
      <c r="O1117" s="417"/>
      <c r="P1117" s="343">
        <v>45364</v>
      </c>
      <c r="Q1117" s="333"/>
      <c r="R1117" s="333"/>
      <c r="S1117" s="373"/>
      <c r="T1117" s="373"/>
      <c r="U1117" s="373"/>
      <c r="V1117" s="373"/>
      <c r="W1117" s="346">
        <v>45387</v>
      </c>
      <c r="X1117" s="373">
        <v>12</v>
      </c>
      <c r="Y1117" s="336">
        <f t="shared" ca="1" si="22"/>
        <v>23</v>
      </c>
      <c r="Z1117" s="373"/>
      <c r="AA1117" s="373"/>
      <c r="AB1117" s="373"/>
    </row>
    <row r="1118" spans="1:29" s="338" customFormat="1" ht="12.75" customHeight="1" x14ac:dyDescent="0.25">
      <c r="A1118" s="347" t="s">
        <v>3238</v>
      </c>
      <c r="B1118" s="376">
        <v>45364</v>
      </c>
      <c r="C1118" s="333" t="s">
        <v>219</v>
      </c>
      <c r="D1118" s="333" t="s">
        <v>2977</v>
      </c>
      <c r="E1118" s="333"/>
      <c r="F1118" s="374">
        <v>12080901206</v>
      </c>
      <c r="G1118" s="372" t="s">
        <v>3239</v>
      </c>
      <c r="H1118" s="333">
        <v>24</v>
      </c>
      <c r="I1118" s="333" t="s">
        <v>2979</v>
      </c>
      <c r="J1118" s="333" t="s">
        <v>43</v>
      </c>
      <c r="K1118" s="333" t="s">
        <v>32</v>
      </c>
      <c r="L1118" s="333"/>
      <c r="M1118" s="333"/>
      <c r="N1118" s="417"/>
      <c r="O1118" s="417"/>
      <c r="P1118" s="462">
        <v>45364</v>
      </c>
      <c r="Q1118" s="333"/>
      <c r="R1118" s="333"/>
      <c r="S1118" s="373"/>
      <c r="T1118" s="373"/>
      <c r="U1118" s="373"/>
      <c r="V1118" s="373"/>
      <c r="W1118" s="346">
        <v>45387</v>
      </c>
      <c r="X1118" s="373">
        <v>24</v>
      </c>
      <c r="Y1118" s="336">
        <f t="shared" ca="1" si="22"/>
        <v>23</v>
      </c>
      <c r="Z1118" s="373"/>
      <c r="AA1118" s="373"/>
      <c r="AB1118" s="373"/>
    </row>
    <row r="1119" spans="1:29" s="338" customFormat="1" ht="12.75" customHeight="1" x14ac:dyDescent="0.25">
      <c r="A1119" s="347" t="s">
        <v>3240</v>
      </c>
      <c r="B1119" s="376">
        <v>45364</v>
      </c>
      <c r="C1119" s="333" t="s">
        <v>219</v>
      </c>
      <c r="D1119" s="333" t="s">
        <v>2977</v>
      </c>
      <c r="E1119" s="333"/>
      <c r="F1119" s="374">
        <v>275154107701</v>
      </c>
      <c r="G1119" s="372" t="s">
        <v>3241</v>
      </c>
      <c r="H1119" s="333">
        <v>12</v>
      </c>
      <c r="I1119" s="333" t="s">
        <v>2979</v>
      </c>
      <c r="J1119" s="333" t="s">
        <v>541</v>
      </c>
      <c r="K1119" s="333" t="s">
        <v>32</v>
      </c>
      <c r="L1119" s="333"/>
      <c r="M1119" s="333"/>
      <c r="N1119" s="417"/>
      <c r="O1119" s="417"/>
      <c r="P1119" s="462">
        <v>45364</v>
      </c>
      <c r="Q1119" s="333"/>
      <c r="R1119" s="333"/>
      <c r="S1119" s="373"/>
      <c r="T1119" s="373"/>
      <c r="U1119" s="373"/>
      <c r="V1119" s="373"/>
      <c r="W1119" s="346">
        <v>45384</v>
      </c>
      <c r="X1119" s="373">
        <v>12</v>
      </c>
      <c r="Y1119" s="336">
        <f t="shared" ca="1" si="22"/>
        <v>20</v>
      </c>
      <c r="Z1119" s="373"/>
      <c r="AA1119" s="373"/>
      <c r="AB1119" s="373"/>
    </row>
    <row r="1120" spans="1:29" s="338" customFormat="1" ht="12.75" customHeight="1" x14ac:dyDescent="0.25">
      <c r="A1120" s="347" t="s">
        <v>3242</v>
      </c>
      <c r="B1120" s="376">
        <v>45384</v>
      </c>
      <c r="C1120" s="333" t="s">
        <v>219</v>
      </c>
      <c r="D1120" s="333" t="s">
        <v>2977</v>
      </c>
      <c r="E1120" s="333"/>
      <c r="F1120" s="374" t="s">
        <v>33</v>
      </c>
      <c r="G1120" s="372" t="s">
        <v>3243</v>
      </c>
      <c r="H1120" s="333">
        <v>36</v>
      </c>
      <c r="I1120" s="333" t="s">
        <v>2979</v>
      </c>
      <c r="J1120" s="333" t="s">
        <v>541</v>
      </c>
      <c r="K1120" s="333" t="s">
        <v>32</v>
      </c>
      <c r="L1120" s="333"/>
      <c r="M1120" s="333"/>
      <c r="N1120" s="417"/>
      <c r="O1120" s="417"/>
      <c r="P1120" s="462">
        <v>45364</v>
      </c>
      <c r="Q1120" s="333"/>
      <c r="R1120" s="333"/>
      <c r="S1120" s="373"/>
      <c r="T1120" s="373"/>
      <c r="U1120" s="373"/>
      <c r="V1120" s="373"/>
      <c r="W1120" s="346">
        <v>45387</v>
      </c>
      <c r="X1120" s="373">
        <v>36</v>
      </c>
      <c r="Y1120" s="336">
        <f t="shared" ca="1" si="22"/>
        <v>23</v>
      </c>
      <c r="Z1120" s="373"/>
      <c r="AA1120" s="373"/>
      <c r="AB1120" s="373"/>
    </row>
    <row r="1121" spans="1:28" s="338" customFormat="1" ht="12.75" customHeight="1" x14ac:dyDescent="0.25">
      <c r="A1121" s="347" t="s">
        <v>3244</v>
      </c>
      <c r="B1121" s="376">
        <v>45384</v>
      </c>
      <c r="C1121" s="333" t="s">
        <v>219</v>
      </c>
      <c r="D1121" s="333" t="s">
        <v>1273</v>
      </c>
      <c r="E1121" s="333"/>
      <c r="F1121" s="374">
        <v>26247600104</v>
      </c>
      <c r="G1121" s="372" t="s">
        <v>3245</v>
      </c>
      <c r="H1121" s="333">
        <v>1</v>
      </c>
      <c r="I1121" s="333" t="s">
        <v>33</v>
      </c>
      <c r="J1121" s="333" t="s">
        <v>31</v>
      </c>
      <c r="K1121" s="333" t="s">
        <v>32</v>
      </c>
      <c r="L1121" s="333"/>
      <c r="M1121" s="333"/>
      <c r="N1121" s="417"/>
      <c r="O1121" s="417"/>
      <c r="P1121" s="462">
        <v>45384</v>
      </c>
      <c r="Q1121" s="333"/>
      <c r="R1121" s="333"/>
      <c r="S1121" s="373"/>
      <c r="T1121" s="373"/>
      <c r="U1121" s="373"/>
      <c r="V1121" s="373"/>
      <c r="W1121" s="346"/>
      <c r="X1121" s="373"/>
      <c r="Y1121" s="336">
        <f t="shared" ca="1" si="22"/>
        <v>202</v>
      </c>
      <c r="Z1121" s="373"/>
      <c r="AA1121" s="373"/>
      <c r="AB1121" s="373" t="s">
        <v>3246</v>
      </c>
    </row>
    <row r="1122" spans="1:28" s="338" customFormat="1" ht="12.75" customHeight="1" x14ac:dyDescent="0.25">
      <c r="A1122" s="347" t="s">
        <v>3247</v>
      </c>
      <c r="B1122" s="376">
        <v>45358</v>
      </c>
      <c r="C1122" s="333" t="s">
        <v>26</v>
      </c>
      <c r="D1122" s="333" t="s">
        <v>3189</v>
      </c>
      <c r="E1122" s="333"/>
      <c r="F1122" s="374">
        <v>816102</v>
      </c>
      <c r="G1122" s="372" t="s">
        <v>2994</v>
      </c>
      <c r="H1122" s="333">
        <v>6</v>
      </c>
      <c r="I1122" s="333" t="s">
        <v>3248</v>
      </c>
      <c r="J1122" s="333" t="s">
        <v>541</v>
      </c>
      <c r="K1122" s="333" t="s">
        <v>32</v>
      </c>
      <c r="L1122" s="333"/>
      <c r="M1122" s="333"/>
      <c r="N1122" s="417"/>
      <c r="O1122" s="417"/>
      <c r="P1122" s="462">
        <v>45364</v>
      </c>
      <c r="Q1122" s="333"/>
      <c r="R1122" s="333"/>
      <c r="S1122" s="373"/>
      <c r="T1122" s="373"/>
      <c r="U1122" s="373"/>
      <c r="V1122" s="373"/>
      <c r="W1122" s="346">
        <v>45378</v>
      </c>
      <c r="X1122" s="373"/>
      <c r="Y1122" s="336">
        <f t="shared" ca="1" si="22"/>
        <v>14</v>
      </c>
      <c r="Z1122" s="373"/>
      <c r="AA1122" s="373"/>
      <c r="AB1122" s="373"/>
    </row>
    <row r="1123" spans="1:28" s="338" customFormat="1" ht="12.75" customHeight="1" x14ac:dyDescent="0.25">
      <c r="A1123" s="347" t="s">
        <v>3249</v>
      </c>
      <c r="B1123" s="376">
        <v>45358</v>
      </c>
      <c r="C1123" s="333" t="s">
        <v>26</v>
      </c>
      <c r="D1123" s="333" t="s">
        <v>3189</v>
      </c>
      <c r="E1123" s="333"/>
      <c r="F1123" s="374">
        <v>2006759</v>
      </c>
      <c r="G1123" s="372" t="s">
        <v>3250</v>
      </c>
      <c r="H1123" s="333">
        <v>3</v>
      </c>
      <c r="I1123" s="333" t="s">
        <v>2992</v>
      </c>
      <c r="J1123" s="333" t="s">
        <v>541</v>
      </c>
      <c r="K1123" s="333" t="s">
        <v>32</v>
      </c>
      <c r="L1123" s="333"/>
      <c r="M1123" s="333"/>
      <c r="N1123" s="417"/>
      <c r="O1123" s="417"/>
      <c r="P1123" s="462">
        <v>45364</v>
      </c>
      <c r="Q1123" s="333"/>
      <c r="R1123" s="333"/>
      <c r="S1123" s="373"/>
      <c r="T1123" s="373"/>
      <c r="U1123" s="373"/>
      <c r="V1123" s="373"/>
      <c r="W1123" s="346">
        <v>45378</v>
      </c>
      <c r="X1123" s="373"/>
      <c r="Y1123" s="336">
        <f t="shared" ca="1" si="22"/>
        <v>14</v>
      </c>
      <c r="Z1123" s="373"/>
      <c r="AA1123" s="373"/>
      <c r="AB1123" s="373"/>
    </row>
    <row r="1124" spans="1:28" s="338" customFormat="1" ht="12.75" customHeight="1" x14ac:dyDescent="0.25">
      <c r="A1124" s="347" t="s">
        <v>3251</v>
      </c>
      <c r="B1124" s="376">
        <v>45362</v>
      </c>
      <c r="C1124" s="333" t="s">
        <v>60</v>
      </c>
      <c r="D1124" s="333" t="s">
        <v>575</v>
      </c>
      <c r="E1124" s="333"/>
      <c r="F1124" s="374" t="s">
        <v>3252</v>
      </c>
      <c r="G1124" s="372" t="s">
        <v>1853</v>
      </c>
      <c r="H1124" s="333">
        <v>1</v>
      </c>
      <c r="I1124" s="333">
        <v>115</v>
      </c>
      <c r="J1124" s="333" t="s">
        <v>68</v>
      </c>
      <c r="K1124" s="333" t="s">
        <v>69</v>
      </c>
      <c r="L1124" s="333"/>
      <c r="M1124" s="333"/>
      <c r="N1124" s="417"/>
      <c r="O1124" s="417"/>
      <c r="P1124" s="462">
        <v>45370</v>
      </c>
      <c r="Q1124" s="333"/>
      <c r="R1124" s="333"/>
      <c r="S1124" s="373"/>
      <c r="T1124" s="373"/>
      <c r="U1124" s="373"/>
      <c r="V1124" s="373"/>
      <c r="W1124" s="346"/>
      <c r="X1124" s="373"/>
      <c r="Y1124" s="336">
        <f t="shared" ca="1" si="22"/>
        <v>216</v>
      </c>
      <c r="Z1124" s="373"/>
      <c r="AA1124" s="373"/>
      <c r="AB1124" s="373"/>
    </row>
    <row r="1125" spans="1:28" s="338" customFormat="1" ht="12.75" customHeight="1" x14ac:dyDescent="0.25">
      <c r="A1125" s="347" t="s">
        <v>3253</v>
      </c>
      <c r="B1125" s="376">
        <v>45362</v>
      </c>
      <c r="C1125" s="333" t="s">
        <v>60</v>
      </c>
      <c r="D1125" s="333" t="s">
        <v>575</v>
      </c>
      <c r="E1125" s="333"/>
      <c r="F1125" s="374" t="s">
        <v>3254</v>
      </c>
      <c r="G1125" s="372" t="s">
        <v>3255</v>
      </c>
      <c r="H1125" s="333">
        <v>5</v>
      </c>
      <c r="I1125" s="333">
        <v>115</v>
      </c>
      <c r="J1125" s="333" t="s">
        <v>46</v>
      </c>
      <c r="K1125" s="333" t="s">
        <v>32</v>
      </c>
      <c r="L1125" s="333"/>
      <c r="M1125" s="333"/>
      <c r="N1125" s="417"/>
      <c r="O1125" s="417"/>
      <c r="P1125" s="462">
        <v>45370</v>
      </c>
      <c r="Q1125" s="333"/>
      <c r="R1125" s="333"/>
      <c r="S1125" s="373"/>
      <c r="T1125" s="373"/>
      <c r="U1125" s="373"/>
      <c r="V1125" s="373"/>
      <c r="W1125" s="346">
        <v>45450</v>
      </c>
      <c r="X1125" s="373"/>
      <c r="Y1125" s="336">
        <f t="shared" ca="1" si="22"/>
        <v>80</v>
      </c>
      <c r="Z1125" s="373"/>
      <c r="AA1125" s="373"/>
      <c r="AB1125" s="373"/>
    </row>
    <row r="1126" spans="1:28" s="338" customFormat="1" ht="12.75" customHeight="1" x14ac:dyDescent="0.25">
      <c r="A1126" s="347" t="s">
        <v>3256</v>
      </c>
      <c r="B1126" s="376">
        <v>45362</v>
      </c>
      <c r="C1126" s="333" t="s">
        <v>60</v>
      </c>
      <c r="D1126" s="333" t="s">
        <v>575</v>
      </c>
      <c r="E1126" s="333"/>
      <c r="F1126" s="374" t="s">
        <v>3257</v>
      </c>
      <c r="G1126" s="372" t="s">
        <v>3258</v>
      </c>
      <c r="H1126" s="333">
        <v>5</v>
      </c>
      <c r="I1126" s="333">
        <v>115</v>
      </c>
      <c r="J1126" s="333" t="s">
        <v>46</v>
      </c>
      <c r="K1126" s="333" t="s">
        <v>32</v>
      </c>
      <c r="L1126" s="333"/>
      <c r="M1126" s="333"/>
      <c r="N1126" s="417"/>
      <c r="O1126" s="417"/>
      <c r="P1126" s="462">
        <v>45370</v>
      </c>
      <c r="Q1126" s="333"/>
      <c r="R1126" s="333"/>
      <c r="S1126" s="373"/>
      <c r="T1126" s="373"/>
      <c r="U1126" s="373"/>
      <c r="V1126" s="373"/>
      <c r="W1126" s="346">
        <v>45450</v>
      </c>
      <c r="X1126" s="373"/>
      <c r="Y1126" s="336">
        <f t="shared" ca="1" si="22"/>
        <v>80</v>
      </c>
      <c r="Z1126" s="373"/>
      <c r="AA1126" s="373"/>
      <c r="AB1126" s="373"/>
    </row>
    <row r="1127" spans="1:28" s="338" customFormat="1" ht="12.75" customHeight="1" x14ac:dyDescent="0.25">
      <c r="A1127" s="347" t="s">
        <v>3259</v>
      </c>
      <c r="B1127" s="376">
        <v>45362</v>
      </c>
      <c r="C1127" s="333" t="s">
        <v>60</v>
      </c>
      <c r="D1127" s="333" t="s">
        <v>575</v>
      </c>
      <c r="E1127" s="333"/>
      <c r="F1127" s="374" t="s">
        <v>3252</v>
      </c>
      <c r="G1127" s="372" t="s">
        <v>1853</v>
      </c>
      <c r="H1127" s="333">
        <v>1</v>
      </c>
      <c r="I1127" s="333">
        <v>115</v>
      </c>
      <c r="J1127" s="333" t="s">
        <v>265</v>
      </c>
      <c r="K1127" s="333" t="s">
        <v>32</v>
      </c>
      <c r="L1127" s="333"/>
      <c r="M1127" s="333"/>
      <c r="N1127" s="417"/>
      <c r="O1127" s="417"/>
      <c r="P1127" s="462">
        <v>45370</v>
      </c>
      <c r="Q1127" s="333"/>
      <c r="R1127" s="333"/>
      <c r="S1127" s="373"/>
      <c r="T1127" s="373"/>
      <c r="U1127" s="373"/>
      <c r="V1127" s="373"/>
      <c r="W1127" s="346"/>
      <c r="X1127" s="373"/>
      <c r="Y1127" s="336">
        <f t="shared" ca="1" si="22"/>
        <v>216</v>
      </c>
      <c r="Z1127" s="373"/>
      <c r="AA1127" s="373"/>
      <c r="AB1127" s="373"/>
    </row>
    <row r="1128" spans="1:28" s="338" customFormat="1" ht="12.75" customHeight="1" x14ac:dyDescent="0.25">
      <c r="A1128" s="347" t="s">
        <v>3260</v>
      </c>
      <c r="B1128" s="376">
        <v>45362</v>
      </c>
      <c r="C1128" s="333" t="s">
        <v>60</v>
      </c>
      <c r="D1128" s="333" t="s">
        <v>575</v>
      </c>
      <c r="E1128" s="333"/>
      <c r="F1128" s="374" t="s">
        <v>3261</v>
      </c>
      <c r="G1128" s="372" t="s">
        <v>3262</v>
      </c>
      <c r="H1128" s="333">
        <v>1</v>
      </c>
      <c r="I1128" s="333">
        <v>116</v>
      </c>
      <c r="J1128" s="333" t="s">
        <v>46</v>
      </c>
      <c r="K1128" s="333" t="s">
        <v>32</v>
      </c>
      <c r="L1128" s="333"/>
      <c r="M1128" s="333"/>
      <c r="N1128" s="417"/>
      <c r="O1128" s="417"/>
      <c r="P1128" s="462">
        <v>45370</v>
      </c>
      <c r="Q1128" s="333"/>
      <c r="R1128" s="333"/>
      <c r="S1128" s="373"/>
      <c r="T1128" s="373"/>
      <c r="U1128" s="373"/>
      <c r="V1128" s="373"/>
      <c r="W1128" s="346">
        <v>45026</v>
      </c>
      <c r="X1128" s="373"/>
      <c r="Y1128" s="336">
        <f t="shared" ca="1" si="22"/>
        <v>-344</v>
      </c>
      <c r="Z1128" s="373"/>
      <c r="AA1128" s="373"/>
      <c r="AB1128" s="373"/>
    </row>
    <row r="1129" spans="1:28" s="338" customFormat="1" ht="12.75" customHeight="1" x14ac:dyDescent="0.25">
      <c r="A1129" s="347" t="s">
        <v>3263</v>
      </c>
      <c r="B1129" s="376">
        <v>45362</v>
      </c>
      <c r="C1129" s="333" t="s">
        <v>60</v>
      </c>
      <c r="D1129" s="333" t="s">
        <v>575</v>
      </c>
      <c r="E1129" s="364"/>
      <c r="F1129" s="374" t="s">
        <v>3264</v>
      </c>
      <c r="G1129" s="372" t="s">
        <v>3265</v>
      </c>
      <c r="H1129" s="333">
        <v>20</v>
      </c>
      <c r="I1129" s="333">
        <v>116</v>
      </c>
      <c r="J1129" s="333" t="s">
        <v>46</v>
      </c>
      <c r="K1129" s="333" t="s">
        <v>32</v>
      </c>
      <c r="L1129" s="333"/>
      <c r="M1129" s="333"/>
      <c r="N1129" s="417"/>
      <c r="O1129" s="417"/>
      <c r="P1129" s="462">
        <v>45370</v>
      </c>
      <c r="Q1129" s="333"/>
      <c r="R1129" s="333"/>
      <c r="S1129" s="373"/>
      <c r="T1129" s="373"/>
      <c r="U1129" s="373"/>
      <c r="V1129" s="373"/>
      <c r="W1129" s="346">
        <v>45450</v>
      </c>
      <c r="X1129" s="373"/>
      <c r="Y1129" s="336">
        <f t="shared" ca="1" si="22"/>
        <v>80</v>
      </c>
      <c r="Z1129" s="373"/>
      <c r="AA1129" s="373"/>
      <c r="AB1129" s="373"/>
    </row>
    <row r="1130" spans="1:28" s="338" customFormat="1" ht="12.75" customHeight="1" x14ac:dyDescent="0.25">
      <c r="A1130" s="347" t="s">
        <v>3266</v>
      </c>
      <c r="B1130" s="376">
        <v>45362</v>
      </c>
      <c r="C1130" s="333" t="s">
        <v>60</v>
      </c>
      <c r="D1130" s="332" t="s">
        <v>575</v>
      </c>
      <c r="E1130" s="333"/>
      <c r="F1130" s="523" t="s">
        <v>3095</v>
      </c>
      <c r="G1130" s="366" t="s">
        <v>3267</v>
      </c>
      <c r="H1130" s="364">
        <v>8</v>
      </c>
      <c r="I1130" s="364">
        <v>116</v>
      </c>
      <c r="J1130" s="333" t="s">
        <v>46</v>
      </c>
      <c r="K1130" s="333" t="s">
        <v>32</v>
      </c>
      <c r="L1130" s="364"/>
      <c r="M1130" s="364"/>
      <c r="N1130" s="485"/>
      <c r="O1130" s="485"/>
      <c r="P1130" s="462">
        <v>45370</v>
      </c>
      <c r="Q1130" s="364"/>
      <c r="R1130" s="364"/>
      <c r="S1130" s="369"/>
      <c r="T1130" s="369"/>
      <c r="U1130" s="369"/>
      <c r="V1130" s="369"/>
      <c r="W1130" s="370">
        <v>45450</v>
      </c>
      <c r="X1130" s="369"/>
      <c r="Y1130" s="336">
        <f t="shared" ca="1" si="22"/>
        <v>80</v>
      </c>
      <c r="Z1130" s="369"/>
      <c r="AA1130" s="369"/>
      <c r="AB1130" s="369"/>
    </row>
    <row r="1131" spans="1:28" s="338" customFormat="1" ht="12.75" customHeight="1" x14ac:dyDescent="0.25">
      <c r="A1131" s="347" t="s">
        <v>3268</v>
      </c>
      <c r="B1131" s="376">
        <v>45362</v>
      </c>
      <c r="C1131" s="333" t="s">
        <v>60</v>
      </c>
      <c r="D1131" s="332" t="s">
        <v>575</v>
      </c>
      <c r="E1131" s="333"/>
      <c r="F1131" s="524" t="s">
        <v>3269</v>
      </c>
      <c r="G1131" s="372" t="s">
        <v>3270</v>
      </c>
      <c r="H1131" s="333">
        <v>3</v>
      </c>
      <c r="I1131" s="333">
        <v>116</v>
      </c>
      <c r="J1131" s="333" t="s">
        <v>46</v>
      </c>
      <c r="K1131" s="333" t="s">
        <v>32</v>
      </c>
      <c r="L1131" s="333"/>
      <c r="M1131" s="333"/>
      <c r="N1131" s="417"/>
      <c r="O1131" s="417"/>
      <c r="P1131" s="462">
        <v>45370</v>
      </c>
      <c r="Q1131" s="333"/>
      <c r="R1131" s="333"/>
      <c r="S1131" s="373"/>
      <c r="T1131" s="373"/>
      <c r="U1131" s="373"/>
      <c r="V1131" s="373"/>
      <c r="W1131" s="346">
        <v>45450</v>
      </c>
      <c r="X1131" s="373"/>
      <c r="Y1131" s="336">
        <f t="shared" ca="1" si="22"/>
        <v>80</v>
      </c>
      <c r="Z1131" s="373"/>
      <c r="AA1131" s="373"/>
      <c r="AB1131" s="373"/>
    </row>
    <row r="1132" spans="1:28" s="338" customFormat="1" ht="12.75" customHeight="1" x14ac:dyDescent="0.25">
      <c r="A1132" s="347" t="s">
        <v>3271</v>
      </c>
      <c r="B1132" s="376">
        <v>45362</v>
      </c>
      <c r="C1132" s="333" t="s">
        <v>60</v>
      </c>
      <c r="D1132" s="332" t="s">
        <v>575</v>
      </c>
      <c r="E1132" s="333"/>
      <c r="F1132" s="524" t="s">
        <v>3272</v>
      </c>
      <c r="G1132" s="372" t="s">
        <v>3273</v>
      </c>
      <c r="H1132" s="333">
        <v>10</v>
      </c>
      <c r="I1132" s="333">
        <v>116</v>
      </c>
      <c r="J1132" s="333" t="s">
        <v>46</v>
      </c>
      <c r="K1132" s="333" t="s">
        <v>32</v>
      </c>
      <c r="L1132" s="333"/>
      <c r="M1132" s="333"/>
      <c r="N1132" s="417"/>
      <c r="O1132" s="417"/>
      <c r="P1132" s="462">
        <v>45370</v>
      </c>
      <c r="Q1132" s="333"/>
      <c r="R1132" s="333"/>
      <c r="S1132" s="373"/>
      <c r="T1132" s="373"/>
      <c r="U1132" s="373"/>
      <c r="V1132" s="373"/>
      <c r="W1132" s="346">
        <v>45450</v>
      </c>
      <c r="X1132" s="373"/>
      <c r="Y1132" s="336">
        <f t="shared" ca="1" si="22"/>
        <v>80</v>
      </c>
      <c r="Z1132" s="373"/>
      <c r="AA1132" s="373"/>
      <c r="AB1132" s="373"/>
    </row>
    <row r="1133" spans="1:28" s="338" customFormat="1" ht="12.75" customHeight="1" x14ac:dyDescent="0.25">
      <c r="A1133" s="347" t="s">
        <v>3274</v>
      </c>
      <c r="B1133" s="376">
        <v>45362</v>
      </c>
      <c r="C1133" s="333" t="s">
        <v>60</v>
      </c>
      <c r="D1133" s="332" t="s">
        <v>575</v>
      </c>
      <c r="E1133" s="333"/>
      <c r="F1133" s="524" t="s">
        <v>3275</v>
      </c>
      <c r="G1133" s="372" t="s">
        <v>3276</v>
      </c>
      <c r="H1133" s="333">
        <v>10</v>
      </c>
      <c r="I1133" s="333">
        <v>116</v>
      </c>
      <c r="J1133" s="333" t="s">
        <v>46</v>
      </c>
      <c r="K1133" s="333" t="s">
        <v>32</v>
      </c>
      <c r="L1133" s="333"/>
      <c r="M1133" s="333"/>
      <c r="N1133" s="417"/>
      <c r="O1133" s="417"/>
      <c r="P1133" s="462">
        <v>45370</v>
      </c>
      <c r="Q1133" s="333"/>
      <c r="R1133" s="333"/>
      <c r="S1133" s="373"/>
      <c r="T1133" s="373"/>
      <c r="U1133" s="373"/>
      <c r="V1133" s="373"/>
      <c r="W1133" s="346">
        <v>45450</v>
      </c>
      <c r="X1133" s="373"/>
      <c r="Y1133" s="336">
        <f t="shared" ca="1" si="22"/>
        <v>80</v>
      </c>
      <c r="Z1133" s="373"/>
      <c r="AA1133" s="373"/>
      <c r="AB1133" s="373"/>
    </row>
    <row r="1134" spans="1:28" s="338" customFormat="1" ht="12.75" customHeight="1" x14ac:dyDescent="0.25">
      <c r="A1134" s="347" t="s">
        <v>3277</v>
      </c>
      <c r="B1134" s="376">
        <v>45362</v>
      </c>
      <c r="C1134" s="333" t="s">
        <v>60</v>
      </c>
      <c r="D1134" s="332" t="s">
        <v>575</v>
      </c>
      <c r="E1134" s="333"/>
      <c r="F1134" s="524" t="s">
        <v>3278</v>
      </c>
      <c r="G1134" s="372" t="s">
        <v>3279</v>
      </c>
      <c r="H1134" s="333">
        <v>20</v>
      </c>
      <c r="I1134" s="333">
        <v>116</v>
      </c>
      <c r="J1134" s="333" t="s">
        <v>46</v>
      </c>
      <c r="K1134" s="333" t="s">
        <v>32</v>
      </c>
      <c r="L1134" s="333"/>
      <c r="M1134" s="333"/>
      <c r="N1134" s="417"/>
      <c r="O1134" s="417"/>
      <c r="P1134" s="462">
        <v>45370</v>
      </c>
      <c r="Q1134" s="333"/>
      <c r="R1134" s="333"/>
      <c r="S1134" s="373"/>
      <c r="T1134" s="373"/>
      <c r="U1134" s="373"/>
      <c r="V1134" s="373"/>
      <c r="W1134" s="346">
        <v>45450</v>
      </c>
      <c r="X1134" s="373"/>
      <c r="Y1134" s="336">
        <f t="shared" ca="1" si="22"/>
        <v>80</v>
      </c>
      <c r="Z1134" s="373"/>
      <c r="AA1134" s="373"/>
      <c r="AB1134" s="373"/>
    </row>
    <row r="1135" spans="1:28" s="338" customFormat="1" ht="12.75" customHeight="1" x14ac:dyDescent="0.25">
      <c r="A1135" s="347" t="s">
        <v>3280</v>
      </c>
      <c r="B1135" s="376">
        <v>45362</v>
      </c>
      <c r="C1135" s="333" t="s">
        <v>60</v>
      </c>
      <c r="D1135" s="332" t="s">
        <v>575</v>
      </c>
      <c r="E1135" s="333"/>
      <c r="F1135" s="524" t="s">
        <v>3281</v>
      </c>
      <c r="G1135" s="372" t="s">
        <v>3282</v>
      </c>
      <c r="H1135" s="333">
        <v>40</v>
      </c>
      <c r="I1135" s="333">
        <v>116</v>
      </c>
      <c r="J1135" s="333" t="s">
        <v>46</v>
      </c>
      <c r="K1135" s="333" t="s">
        <v>32</v>
      </c>
      <c r="L1135" s="333"/>
      <c r="M1135" s="333"/>
      <c r="N1135" s="417"/>
      <c r="O1135" s="417"/>
      <c r="P1135" s="462">
        <v>45370</v>
      </c>
      <c r="Q1135" s="333"/>
      <c r="R1135" s="333"/>
      <c r="S1135" s="373"/>
      <c r="T1135" s="373"/>
      <c r="U1135" s="373"/>
      <c r="V1135" s="373"/>
      <c r="W1135" s="346">
        <v>45450</v>
      </c>
      <c r="X1135" s="373"/>
      <c r="Y1135" s="336">
        <f t="shared" ca="1" si="22"/>
        <v>80</v>
      </c>
      <c r="Z1135" s="373"/>
      <c r="AA1135" s="373"/>
      <c r="AB1135" s="373"/>
    </row>
    <row r="1136" spans="1:28" s="338" customFormat="1" ht="12.75" customHeight="1" x14ac:dyDescent="0.25">
      <c r="A1136" s="347" t="s">
        <v>3283</v>
      </c>
      <c r="B1136" s="376">
        <v>45362</v>
      </c>
      <c r="C1136" s="333" t="s">
        <v>60</v>
      </c>
      <c r="D1136" s="332" t="s">
        <v>575</v>
      </c>
      <c r="E1136" s="333"/>
      <c r="F1136" s="524" t="s">
        <v>3284</v>
      </c>
      <c r="G1136" s="372" t="s">
        <v>3285</v>
      </c>
      <c r="H1136" s="333">
        <v>70</v>
      </c>
      <c r="I1136" s="333">
        <v>116</v>
      </c>
      <c r="J1136" s="333" t="s">
        <v>46</v>
      </c>
      <c r="K1136" s="333" t="s">
        <v>32</v>
      </c>
      <c r="L1136" s="333"/>
      <c r="M1136" s="333"/>
      <c r="N1136" s="417"/>
      <c r="O1136" s="417"/>
      <c r="P1136" s="462">
        <v>45370</v>
      </c>
      <c r="Q1136" s="333"/>
      <c r="R1136" s="333"/>
      <c r="S1136" s="373"/>
      <c r="T1136" s="373"/>
      <c r="U1136" s="373"/>
      <c r="V1136" s="373"/>
      <c r="W1136" s="346">
        <v>45450</v>
      </c>
      <c r="X1136" s="373"/>
      <c r="Y1136" s="336">
        <f t="shared" ca="1" si="22"/>
        <v>80</v>
      </c>
      <c r="Z1136" s="373"/>
      <c r="AA1136" s="373"/>
      <c r="AB1136" s="373"/>
    </row>
    <row r="1137" spans="1:28" s="338" customFormat="1" ht="12.75" customHeight="1" x14ac:dyDescent="0.25">
      <c r="A1137" s="347" t="s">
        <v>3286</v>
      </c>
      <c r="B1137" s="376">
        <v>45362</v>
      </c>
      <c r="C1137" s="333" t="s">
        <v>60</v>
      </c>
      <c r="D1137" s="332" t="s">
        <v>575</v>
      </c>
      <c r="E1137" s="333"/>
      <c r="F1137" s="524" t="s">
        <v>3287</v>
      </c>
      <c r="G1137" s="372" t="s">
        <v>3288</v>
      </c>
      <c r="H1137" s="333">
        <v>10</v>
      </c>
      <c r="I1137" s="333">
        <v>116</v>
      </c>
      <c r="J1137" s="333" t="s">
        <v>46</v>
      </c>
      <c r="K1137" s="333" t="s">
        <v>32</v>
      </c>
      <c r="L1137" s="333"/>
      <c r="M1137" s="333"/>
      <c r="N1137" s="417"/>
      <c r="O1137" s="417"/>
      <c r="P1137" s="462">
        <v>45370</v>
      </c>
      <c r="Q1137" s="333"/>
      <c r="R1137" s="333"/>
      <c r="S1137" s="373"/>
      <c r="T1137" s="373"/>
      <c r="U1137" s="373"/>
      <c r="V1137" s="373"/>
      <c r="W1137" s="346">
        <v>45450</v>
      </c>
      <c r="X1137" s="373"/>
      <c r="Y1137" s="336">
        <f t="shared" ca="1" si="22"/>
        <v>80</v>
      </c>
      <c r="Z1137" s="373"/>
      <c r="AA1137" s="373"/>
      <c r="AB1137" s="373"/>
    </row>
    <row r="1138" spans="1:28" s="338" customFormat="1" ht="12.75" customHeight="1" x14ac:dyDescent="0.25">
      <c r="A1138" s="347" t="s">
        <v>3289</v>
      </c>
      <c r="B1138" s="376">
        <v>45362</v>
      </c>
      <c r="C1138" s="333" t="s">
        <v>60</v>
      </c>
      <c r="D1138" s="332" t="s">
        <v>575</v>
      </c>
      <c r="E1138" s="333"/>
      <c r="F1138" s="524" t="s">
        <v>3290</v>
      </c>
      <c r="G1138" s="372" t="s">
        <v>3291</v>
      </c>
      <c r="H1138" s="333">
        <v>10</v>
      </c>
      <c r="I1138" s="333">
        <v>116</v>
      </c>
      <c r="J1138" s="333" t="s">
        <v>46</v>
      </c>
      <c r="K1138" s="333" t="s">
        <v>32</v>
      </c>
      <c r="L1138" s="333"/>
      <c r="M1138" s="333"/>
      <c r="N1138" s="417"/>
      <c r="O1138" s="417"/>
      <c r="P1138" s="462">
        <v>45370</v>
      </c>
      <c r="Q1138" s="333"/>
      <c r="R1138" s="333"/>
      <c r="S1138" s="373"/>
      <c r="T1138" s="373"/>
      <c r="U1138" s="373"/>
      <c r="V1138" s="373"/>
      <c r="W1138" s="346"/>
      <c r="X1138" s="373"/>
      <c r="Y1138" s="336">
        <f t="shared" ca="1" si="22"/>
        <v>216</v>
      </c>
      <c r="Z1138" s="373"/>
      <c r="AA1138" s="373"/>
      <c r="AB1138" s="373"/>
    </row>
    <row r="1139" spans="1:28" s="338" customFormat="1" ht="12.75" customHeight="1" x14ac:dyDescent="0.25">
      <c r="A1139" s="347" t="s">
        <v>3292</v>
      </c>
      <c r="B1139" s="376">
        <v>45362</v>
      </c>
      <c r="C1139" s="333" t="s">
        <v>60</v>
      </c>
      <c r="D1139" s="332" t="s">
        <v>575</v>
      </c>
      <c r="E1139" s="333"/>
      <c r="F1139" s="524" t="s">
        <v>3293</v>
      </c>
      <c r="G1139" s="372" t="s">
        <v>3294</v>
      </c>
      <c r="H1139" s="333">
        <v>40</v>
      </c>
      <c r="I1139" s="333">
        <v>116</v>
      </c>
      <c r="J1139" s="333" t="s">
        <v>46</v>
      </c>
      <c r="K1139" s="333" t="s">
        <v>32</v>
      </c>
      <c r="L1139" s="333"/>
      <c r="M1139" s="333"/>
      <c r="N1139" s="417"/>
      <c r="O1139" s="417"/>
      <c r="P1139" s="462">
        <v>45370</v>
      </c>
      <c r="Q1139" s="333"/>
      <c r="R1139" s="333"/>
      <c r="S1139" s="373"/>
      <c r="T1139" s="373"/>
      <c r="U1139" s="373"/>
      <c r="V1139" s="373"/>
      <c r="W1139" s="346"/>
      <c r="X1139" s="373"/>
      <c r="Y1139" s="336">
        <f t="shared" ca="1" si="22"/>
        <v>216</v>
      </c>
      <c r="Z1139" s="373"/>
      <c r="AA1139" s="373"/>
      <c r="AB1139" s="373"/>
    </row>
    <row r="1140" spans="1:28" s="338" customFormat="1" ht="12.75" customHeight="1" x14ac:dyDescent="0.25">
      <c r="A1140" s="347" t="s">
        <v>3295</v>
      </c>
      <c r="B1140" s="376">
        <v>45362</v>
      </c>
      <c r="C1140" s="333" t="s">
        <v>60</v>
      </c>
      <c r="D1140" s="332" t="s">
        <v>575</v>
      </c>
      <c r="E1140" s="333"/>
      <c r="F1140" s="524" t="s">
        <v>3296</v>
      </c>
      <c r="G1140" s="372" t="s">
        <v>3297</v>
      </c>
      <c r="H1140" s="333">
        <v>20</v>
      </c>
      <c r="I1140" s="333">
        <v>116</v>
      </c>
      <c r="J1140" s="333" t="s">
        <v>46</v>
      </c>
      <c r="K1140" s="333" t="s">
        <v>32</v>
      </c>
      <c r="L1140" s="333"/>
      <c r="M1140" s="333"/>
      <c r="N1140" s="417"/>
      <c r="O1140" s="417"/>
      <c r="P1140" s="462">
        <v>45370</v>
      </c>
      <c r="Q1140" s="333"/>
      <c r="R1140" s="333"/>
      <c r="S1140" s="373"/>
      <c r="T1140" s="373"/>
      <c r="U1140" s="373"/>
      <c r="V1140" s="373"/>
      <c r="W1140" s="346"/>
      <c r="X1140" s="373"/>
      <c r="Y1140" s="336">
        <f t="shared" ca="1" si="22"/>
        <v>216</v>
      </c>
      <c r="Z1140" s="373"/>
      <c r="AA1140" s="373"/>
      <c r="AB1140" s="373"/>
    </row>
    <row r="1141" spans="1:28" s="338" customFormat="1" ht="12.75" customHeight="1" x14ac:dyDescent="0.25">
      <c r="A1141" s="347" t="s">
        <v>3298</v>
      </c>
      <c r="B1141" s="376">
        <v>45362</v>
      </c>
      <c r="C1141" s="333" t="s">
        <v>60</v>
      </c>
      <c r="D1141" s="332" t="s">
        <v>575</v>
      </c>
      <c r="E1141" s="333"/>
      <c r="F1141" s="524" t="s">
        <v>3299</v>
      </c>
      <c r="G1141" s="372" t="s">
        <v>3300</v>
      </c>
      <c r="H1141" s="333">
        <v>10</v>
      </c>
      <c r="I1141" s="333">
        <v>116</v>
      </c>
      <c r="J1141" s="333" t="s">
        <v>46</v>
      </c>
      <c r="K1141" s="333" t="s">
        <v>32</v>
      </c>
      <c r="L1141" s="333"/>
      <c r="M1141" s="333"/>
      <c r="N1141" s="417"/>
      <c r="O1141" s="417"/>
      <c r="P1141" s="462">
        <v>45370</v>
      </c>
      <c r="Q1141" s="333"/>
      <c r="R1141" s="333"/>
      <c r="S1141" s="373"/>
      <c r="T1141" s="373"/>
      <c r="U1141" s="373"/>
      <c r="V1141" s="373"/>
      <c r="W1141" s="346">
        <v>45450</v>
      </c>
      <c r="X1141" s="373"/>
      <c r="Y1141" s="336">
        <f t="shared" ca="1" si="22"/>
        <v>80</v>
      </c>
      <c r="Z1141" s="373"/>
      <c r="AA1141" s="373"/>
      <c r="AB1141" s="373"/>
    </row>
    <row r="1142" spans="1:28" s="338" customFormat="1" ht="12.75" customHeight="1" x14ac:dyDescent="0.25">
      <c r="A1142" s="347" t="s">
        <v>3301</v>
      </c>
      <c r="B1142" s="376">
        <v>45362</v>
      </c>
      <c r="C1142" s="333" t="s">
        <v>60</v>
      </c>
      <c r="D1142" s="332" t="s">
        <v>575</v>
      </c>
      <c r="E1142" s="333"/>
      <c r="F1142" s="524" t="s">
        <v>3302</v>
      </c>
      <c r="G1142" s="372" t="s">
        <v>3303</v>
      </c>
      <c r="H1142" s="333">
        <v>2</v>
      </c>
      <c r="I1142" s="333">
        <v>116</v>
      </c>
      <c r="J1142" s="333" t="s">
        <v>46</v>
      </c>
      <c r="K1142" s="333" t="s">
        <v>32</v>
      </c>
      <c r="L1142" s="333"/>
      <c r="M1142" s="333"/>
      <c r="N1142" s="417"/>
      <c r="O1142" s="417"/>
      <c r="P1142" s="462">
        <v>45370</v>
      </c>
      <c r="Q1142" s="333"/>
      <c r="R1142" s="333"/>
      <c r="S1142" s="373"/>
      <c r="T1142" s="373"/>
      <c r="U1142" s="373"/>
      <c r="V1142" s="373"/>
      <c r="W1142" s="346">
        <v>45495</v>
      </c>
      <c r="X1142" s="373"/>
      <c r="Y1142" s="336">
        <f t="shared" ca="1" si="22"/>
        <v>125</v>
      </c>
      <c r="Z1142" s="373"/>
      <c r="AA1142" s="373"/>
      <c r="AB1142" s="373"/>
    </row>
    <row r="1143" spans="1:28" s="338" customFormat="1" ht="12.75" customHeight="1" x14ac:dyDescent="0.25">
      <c r="A1143" s="347" t="s">
        <v>3304</v>
      </c>
      <c r="B1143" s="376">
        <v>45362</v>
      </c>
      <c r="C1143" s="333" t="s">
        <v>60</v>
      </c>
      <c r="D1143" s="332" t="s">
        <v>575</v>
      </c>
      <c r="E1143" s="333"/>
      <c r="F1143" s="524" t="s">
        <v>3305</v>
      </c>
      <c r="G1143" s="372" t="s">
        <v>3306</v>
      </c>
      <c r="H1143" s="333">
        <v>8</v>
      </c>
      <c r="I1143" s="333">
        <v>116</v>
      </c>
      <c r="J1143" s="333" t="s">
        <v>46</v>
      </c>
      <c r="K1143" s="333" t="s">
        <v>32</v>
      </c>
      <c r="L1143" s="333"/>
      <c r="M1143" s="333"/>
      <c r="N1143" s="417"/>
      <c r="O1143" s="417"/>
      <c r="P1143" s="462">
        <v>45370</v>
      </c>
      <c r="Q1143" s="333"/>
      <c r="R1143" s="333"/>
      <c r="S1143" s="373"/>
      <c r="T1143" s="373"/>
      <c r="U1143" s="373"/>
      <c r="V1143" s="373"/>
      <c r="W1143" s="346">
        <v>45495</v>
      </c>
      <c r="X1143" s="373"/>
      <c r="Y1143" s="336">
        <f t="shared" ca="1" si="22"/>
        <v>125</v>
      </c>
      <c r="Z1143" s="373"/>
      <c r="AA1143" s="373"/>
      <c r="AB1143" s="373"/>
    </row>
    <row r="1144" spans="1:28" s="338" customFormat="1" ht="12.75" customHeight="1" x14ac:dyDescent="0.25">
      <c r="A1144" s="347" t="s">
        <v>3307</v>
      </c>
      <c r="B1144" s="376">
        <v>45362</v>
      </c>
      <c r="C1144" s="333" t="s">
        <v>60</v>
      </c>
      <c r="D1144" s="332" t="s">
        <v>575</v>
      </c>
      <c r="E1144" s="333"/>
      <c r="F1144" s="524" t="s">
        <v>3130</v>
      </c>
      <c r="G1144" s="372" t="s">
        <v>3308</v>
      </c>
      <c r="H1144" s="333">
        <v>10</v>
      </c>
      <c r="I1144" s="333">
        <v>116</v>
      </c>
      <c r="J1144" s="333" t="s">
        <v>46</v>
      </c>
      <c r="K1144" s="333" t="s">
        <v>32</v>
      </c>
      <c r="L1144" s="333"/>
      <c r="M1144" s="333"/>
      <c r="N1144" s="417"/>
      <c r="O1144" s="417"/>
      <c r="P1144" s="462">
        <v>45370</v>
      </c>
      <c r="Q1144" s="333"/>
      <c r="R1144" s="333"/>
      <c r="S1144" s="373"/>
      <c r="T1144" s="373"/>
      <c r="U1144" s="373"/>
      <c r="V1144" s="373"/>
      <c r="W1144" s="346">
        <v>45450</v>
      </c>
      <c r="X1144" s="373"/>
      <c r="Y1144" s="336">
        <f t="shared" ca="1" si="22"/>
        <v>80</v>
      </c>
      <c r="Z1144" s="373"/>
      <c r="AA1144" s="373"/>
      <c r="AB1144" s="373"/>
    </row>
    <row r="1145" spans="1:28" s="338" customFormat="1" ht="12.75" customHeight="1" x14ac:dyDescent="0.25">
      <c r="A1145" s="347" t="s">
        <v>3309</v>
      </c>
      <c r="B1145" s="376">
        <v>45362</v>
      </c>
      <c r="C1145" s="333" t="s">
        <v>60</v>
      </c>
      <c r="D1145" s="332" t="s">
        <v>575</v>
      </c>
      <c r="E1145" s="333"/>
      <c r="F1145" s="524" t="s">
        <v>3310</v>
      </c>
      <c r="G1145" s="372" t="s">
        <v>3311</v>
      </c>
      <c r="H1145" s="333">
        <v>10</v>
      </c>
      <c r="I1145" s="333">
        <v>116</v>
      </c>
      <c r="J1145" s="333" t="s">
        <v>46</v>
      </c>
      <c r="K1145" s="333" t="s">
        <v>32</v>
      </c>
      <c r="L1145" s="333"/>
      <c r="M1145" s="333"/>
      <c r="N1145" s="417"/>
      <c r="O1145" s="417"/>
      <c r="P1145" s="462">
        <v>45370</v>
      </c>
      <c r="Q1145" s="333"/>
      <c r="R1145" s="333"/>
      <c r="S1145" s="373"/>
      <c r="T1145" s="373"/>
      <c r="U1145" s="373"/>
      <c r="V1145" s="373"/>
      <c r="W1145" s="346">
        <v>45450</v>
      </c>
      <c r="X1145" s="373"/>
      <c r="Y1145" s="336">
        <f t="shared" ca="1" si="22"/>
        <v>80</v>
      </c>
      <c r="Z1145" s="373"/>
      <c r="AA1145" s="373"/>
      <c r="AB1145" s="373"/>
    </row>
    <row r="1146" spans="1:28" s="338" customFormat="1" ht="12.75" customHeight="1" x14ac:dyDescent="0.25">
      <c r="A1146" s="347" t="s">
        <v>3312</v>
      </c>
      <c r="B1146" s="376">
        <v>45362</v>
      </c>
      <c r="C1146" s="333" t="s">
        <v>60</v>
      </c>
      <c r="D1146" s="332" t="s">
        <v>575</v>
      </c>
      <c r="E1146" s="333"/>
      <c r="F1146" s="524" t="s">
        <v>3313</v>
      </c>
      <c r="G1146" s="372" t="s">
        <v>3314</v>
      </c>
      <c r="H1146" s="333">
        <v>2</v>
      </c>
      <c r="I1146" s="333">
        <v>116</v>
      </c>
      <c r="J1146" s="333" t="s">
        <v>46</v>
      </c>
      <c r="K1146" s="333" t="s">
        <v>32</v>
      </c>
      <c r="L1146" s="333"/>
      <c r="M1146" s="333"/>
      <c r="N1146" s="417"/>
      <c r="O1146" s="417"/>
      <c r="P1146" s="462">
        <v>45370</v>
      </c>
      <c r="Q1146" s="333"/>
      <c r="R1146" s="333"/>
      <c r="S1146" s="373"/>
      <c r="T1146" s="373"/>
      <c r="U1146" s="373"/>
      <c r="V1146" s="373"/>
      <c r="W1146" s="346">
        <v>45450</v>
      </c>
      <c r="X1146" s="373"/>
      <c r="Y1146" s="336">
        <f t="shared" ca="1" si="22"/>
        <v>80</v>
      </c>
      <c r="Z1146" s="373"/>
      <c r="AA1146" s="373"/>
      <c r="AB1146" s="373"/>
    </row>
    <row r="1147" spans="1:28" s="338" customFormat="1" ht="12.75" customHeight="1" x14ac:dyDescent="0.25">
      <c r="A1147" s="347" t="s">
        <v>3315</v>
      </c>
      <c r="B1147" s="376">
        <v>45362</v>
      </c>
      <c r="C1147" s="333" t="s">
        <v>60</v>
      </c>
      <c r="D1147" s="332" t="s">
        <v>575</v>
      </c>
      <c r="E1147" s="333"/>
      <c r="F1147" s="524" t="s">
        <v>3316</v>
      </c>
      <c r="G1147" s="372" t="s">
        <v>3317</v>
      </c>
      <c r="H1147" s="333">
        <v>10</v>
      </c>
      <c r="I1147" s="333">
        <v>116</v>
      </c>
      <c r="J1147" s="333" t="s">
        <v>46</v>
      </c>
      <c r="K1147" s="333" t="s">
        <v>32</v>
      </c>
      <c r="L1147" s="333"/>
      <c r="M1147" s="333"/>
      <c r="N1147" s="417"/>
      <c r="O1147" s="417"/>
      <c r="P1147" s="462">
        <v>45370</v>
      </c>
      <c r="Q1147" s="333"/>
      <c r="R1147" s="333"/>
      <c r="S1147" s="373"/>
      <c r="T1147" s="373"/>
      <c r="U1147" s="373"/>
      <c r="V1147" s="373"/>
      <c r="W1147" s="346">
        <v>45450</v>
      </c>
      <c r="X1147" s="373"/>
      <c r="Y1147" s="336">
        <f t="shared" ca="1" si="22"/>
        <v>80</v>
      </c>
      <c r="Z1147" s="373"/>
      <c r="AA1147" s="373"/>
      <c r="AB1147" s="373"/>
    </row>
    <row r="1148" spans="1:28" s="338" customFormat="1" ht="12.75" customHeight="1" x14ac:dyDescent="0.25">
      <c r="A1148" s="347" t="s">
        <v>3318</v>
      </c>
      <c r="B1148" s="376">
        <v>45362</v>
      </c>
      <c r="C1148" s="333" t="s">
        <v>60</v>
      </c>
      <c r="D1148" s="332" t="s">
        <v>575</v>
      </c>
      <c r="E1148" s="333"/>
      <c r="F1148" s="524" t="s">
        <v>3104</v>
      </c>
      <c r="G1148" s="372" t="s">
        <v>3319</v>
      </c>
      <c r="H1148" s="333">
        <v>10</v>
      </c>
      <c r="I1148" s="333">
        <v>116</v>
      </c>
      <c r="J1148" s="333" t="s">
        <v>46</v>
      </c>
      <c r="K1148" s="333" t="s">
        <v>32</v>
      </c>
      <c r="L1148" s="333"/>
      <c r="M1148" s="333"/>
      <c r="N1148" s="417"/>
      <c r="O1148" s="417"/>
      <c r="P1148" s="462">
        <v>45370</v>
      </c>
      <c r="Q1148" s="333"/>
      <c r="R1148" s="333"/>
      <c r="S1148" s="373"/>
      <c r="T1148" s="373"/>
      <c r="U1148" s="373"/>
      <c r="V1148" s="373"/>
      <c r="W1148" s="346">
        <v>45450</v>
      </c>
      <c r="X1148" s="373"/>
      <c r="Y1148" s="336">
        <f t="shared" ca="1" si="22"/>
        <v>80</v>
      </c>
      <c r="Z1148" s="373"/>
      <c r="AA1148" s="373"/>
      <c r="AB1148" s="373"/>
    </row>
    <row r="1149" spans="1:28" s="338" customFormat="1" ht="12.75" customHeight="1" x14ac:dyDescent="0.25">
      <c r="A1149" s="347" t="s">
        <v>3320</v>
      </c>
      <c r="B1149" s="376">
        <v>45362</v>
      </c>
      <c r="C1149" s="333" t="s">
        <v>60</v>
      </c>
      <c r="D1149" s="332" t="s">
        <v>575</v>
      </c>
      <c r="E1149" s="333"/>
      <c r="F1149" s="524" t="s">
        <v>3321</v>
      </c>
      <c r="G1149" s="372" t="s">
        <v>3322</v>
      </c>
      <c r="H1149" s="333">
        <v>1</v>
      </c>
      <c r="I1149" s="333">
        <v>116</v>
      </c>
      <c r="J1149" s="333" t="s">
        <v>46</v>
      </c>
      <c r="K1149" s="333" t="s">
        <v>32</v>
      </c>
      <c r="L1149" s="333"/>
      <c r="M1149" s="333"/>
      <c r="N1149" s="417"/>
      <c r="O1149" s="417"/>
      <c r="P1149" s="462">
        <v>45370</v>
      </c>
      <c r="Q1149" s="333"/>
      <c r="R1149" s="333"/>
      <c r="S1149" s="373"/>
      <c r="T1149" s="373"/>
      <c r="U1149" s="373"/>
      <c r="V1149" s="373"/>
      <c r="W1149" s="346">
        <v>45450</v>
      </c>
      <c r="X1149" s="373"/>
      <c r="Y1149" s="336">
        <f t="shared" ca="1" si="22"/>
        <v>80</v>
      </c>
      <c r="Z1149" s="373"/>
      <c r="AA1149" s="373"/>
      <c r="AB1149" s="373"/>
    </row>
    <row r="1150" spans="1:28" s="338" customFormat="1" ht="12.75" customHeight="1" x14ac:dyDescent="0.25">
      <c r="A1150" s="347" t="s">
        <v>3323</v>
      </c>
      <c r="B1150" s="376">
        <v>45362</v>
      </c>
      <c r="C1150" s="333" t="s">
        <v>60</v>
      </c>
      <c r="D1150" s="332" t="s">
        <v>575</v>
      </c>
      <c r="E1150" s="333"/>
      <c r="F1150" s="524" t="s">
        <v>3133</v>
      </c>
      <c r="G1150" s="372" t="s">
        <v>3324</v>
      </c>
      <c r="H1150" s="333">
        <v>3</v>
      </c>
      <c r="I1150" s="333">
        <v>116</v>
      </c>
      <c r="J1150" s="333" t="s">
        <v>46</v>
      </c>
      <c r="K1150" s="333" t="s">
        <v>32</v>
      </c>
      <c r="L1150" s="333"/>
      <c r="M1150" s="333"/>
      <c r="N1150" s="417"/>
      <c r="O1150" s="417"/>
      <c r="P1150" s="462">
        <v>45370</v>
      </c>
      <c r="Q1150" s="333"/>
      <c r="R1150" s="333"/>
      <c r="S1150" s="373"/>
      <c r="T1150" s="373"/>
      <c r="U1150" s="373"/>
      <c r="V1150" s="373"/>
      <c r="W1150" s="346">
        <v>45450</v>
      </c>
      <c r="X1150" s="373"/>
      <c r="Y1150" s="336">
        <f t="shared" ca="1" si="22"/>
        <v>80</v>
      </c>
      <c r="Z1150" s="373"/>
      <c r="AA1150" s="373"/>
      <c r="AB1150" s="373"/>
    </row>
    <row r="1151" spans="1:28" s="338" customFormat="1" ht="12.75" customHeight="1" x14ac:dyDescent="0.25">
      <c r="A1151" s="347" t="s">
        <v>3325</v>
      </c>
      <c r="B1151" s="376">
        <v>45362</v>
      </c>
      <c r="C1151" s="333" t="s">
        <v>60</v>
      </c>
      <c r="D1151" s="332" t="s">
        <v>575</v>
      </c>
      <c r="E1151" s="333"/>
      <c r="F1151" s="524" t="s">
        <v>3326</v>
      </c>
      <c r="G1151" s="372" t="s">
        <v>3327</v>
      </c>
      <c r="H1151" s="333">
        <v>8</v>
      </c>
      <c r="I1151" s="333">
        <v>116</v>
      </c>
      <c r="J1151" s="333" t="s">
        <v>46</v>
      </c>
      <c r="K1151" s="333" t="s">
        <v>32</v>
      </c>
      <c r="L1151" s="333"/>
      <c r="M1151" s="333"/>
      <c r="N1151" s="417"/>
      <c r="O1151" s="417"/>
      <c r="P1151" s="462">
        <v>45370</v>
      </c>
      <c r="Q1151" s="333"/>
      <c r="R1151" s="333"/>
      <c r="S1151" s="373"/>
      <c r="T1151" s="373"/>
      <c r="U1151" s="373"/>
      <c r="V1151" s="373"/>
      <c r="W1151" s="346">
        <v>45450</v>
      </c>
      <c r="X1151" s="373"/>
      <c r="Y1151" s="336">
        <f t="shared" ca="1" si="22"/>
        <v>80</v>
      </c>
      <c r="Z1151" s="373"/>
      <c r="AA1151" s="373"/>
      <c r="AB1151" s="373"/>
    </row>
    <row r="1152" spans="1:28" s="338" customFormat="1" ht="12.75" customHeight="1" x14ac:dyDescent="0.25">
      <c r="A1152" s="347" t="s">
        <v>3328</v>
      </c>
      <c r="B1152" s="376">
        <v>45362</v>
      </c>
      <c r="C1152" s="333" t="s">
        <v>60</v>
      </c>
      <c r="D1152" s="332" t="s">
        <v>575</v>
      </c>
      <c r="E1152" s="333"/>
      <c r="F1152" s="524" t="s">
        <v>3329</v>
      </c>
      <c r="G1152" s="372" t="s">
        <v>3330</v>
      </c>
      <c r="H1152" s="333">
        <v>1</v>
      </c>
      <c r="I1152" s="333">
        <v>116</v>
      </c>
      <c r="J1152" s="333" t="s">
        <v>46</v>
      </c>
      <c r="K1152" s="333" t="s">
        <v>32</v>
      </c>
      <c r="L1152" s="333"/>
      <c r="M1152" s="333"/>
      <c r="N1152" s="417"/>
      <c r="O1152" s="417"/>
      <c r="P1152" s="462">
        <v>45370</v>
      </c>
      <c r="Q1152" s="333"/>
      <c r="R1152" s="333"/>
      <c r="S1152" s="373"/>
      <c r="T1152" s="373"/>
      <c r="U1152" s="373"/>
      <c r="V1152" s="373"/>
      <c r="W1152" s="346">
        <v>45450</v>
      </c>
      <c r="X1152" s="373"/>
      <c r="Y1152" s="336">
        <f t="shared" ca="1" si="22"/>
        <v>80</v>
      </c>
      <c r="Z1152" s="373"/>
      <c r="AA1152" s="373"/>
      <c r="AB1152" s="373"/>
    </row>
    <row r="1153" spans="1:30" ht="12.75" customHeight="1" x14ac:dyDescent="0.25">
      <c r="A1153" s="347" t="s">
        <v>3331</v>
      </c>
      <c r="B1153" s="376">
        <v>45362</v>
      </c>
      <c r="C1153" s="333" t="s">
        <v>60</v>
      </c>
      <c r="D1153" s="332" t="s">
        <v>575</v>
      </c>
      <c r="E1153" s="333"/>
      <c r="F1153" s="524" t="s">
        <v>3332</v>
      </c>
      <c r="G1153" s="372" t="s">
        <v>3333</v>
      </c>
      <c r="H1153" s="333">
        <v>20</v>
      </c>
      <c r="I1153" s="333" t="s">
        <v>3334</v>
      </c>
      <c r="J1153" s="333" t="s">
        <v>46</v>
      </c>
      <c r="K1153" s="333" t="s">
        <v>32</v>
      </c>
      <c r="L1153" s="333"/>
      <c r="M1153" s="333"/>
      <c r="N1153" s="417"/>
      <c r="O1153" s="417"/>
      <c r="P1153" s="462">
        <v>45370</v>
      </c>
      <c r="Q1153" s="333"/>
      <c r="R1153" s="333"/>
      <c r="S1153" s="373"/>
      <c r="T1153" s="373"/>
      <c r="U1153" s="373"/>
      <c r="V1153" s="373"/>
      <c r="W1153" s="346" t="s">
        <v>1164</v>
      </c>
      <c r="X1153" s="373"/>
      <c r="Y1153" s="336">
        <f t="shared" ca="1" si="22"/>
        <v>216</v>
      </c>
      <c r="Z1153" s="373"/>
      <c r="AA1153" s="373"/>
      <c r="AB1153" s="373"/>
      <c r="AD1153" s="338"/>
    </row>
    <row r="1154" spans="1:30" ht="12.75" customHeight="1" x14ac:dyDescent="0.25">
      <c r="A1154" s="347" t="s">
        <v>3335</v>
      </c>
      <c r="B1154" s="376">
        <v>45362</v>
      </c>
      <c r="C1154" s="333" t="s">
        <v>60</v>
      </c>
      <c r="D1154" s="332" t="s">
        <v>575</v>
      </c>
      <c r="E1154" s="333"/>
      <c r="F1154" s="524" t="s">
        <v>3336</v>
      </c>
      <c r="G1154" s="372" t="s">
        <v>3337</v>
      </c>
      <c r="H1154" s="333">
        <v>20</v>
      </c>
      <c r="I1154" s="333" t="s">
        <v>3334</v>
      </c>
      <c r="J1154" s="333" t="s">
        <v>46</v>
      </c>
      <c r="K1154" s="333" t="s">
        <v>32</v>
      </c>
      <c r="L1154" s="333"/>
      <c r="M1154" s="333"/>
      <c r="N1154" s="417"/>
      <c r="O1154" s="417"/>
      <c r="P1154" s="462">
        <v>45370</v>
      </c>
      <c r="Q1154" s="333"/>
      <c r="R1154" s="333"/>
      <c r="S1154" s="373"/>
      <c r="T1154" s="373"/>
      <c r="U1154" s="373"/>
      <c r="V1154" s="373"/>
      <c r="W1154" s="346">
        <v>45450</v>
      </c>
      <c r="X1154" s="373"/>
      <c r="Y1154" s="336">
        <f t="shared" ca="1" si="22"/>
        <v>80</v>
      </c>
      <c r="Z1154" s="373"/>
      <c r="AA1154" s="373"/>
      <c r="AB1154" s="373"/>
      <c r="AD1154" s="338"/>
    </row>
    <row r="1155" spans="1:30" ht="12.75" customHeight="1" x14ac:dyDescent="0.25">
      <c r="A1155" s="347" t="s">
        <v>3338</v>
      </c>
      <c r="B1155" s="376">
        <v>45362</v>
      </c>
      <c r="C1155" s="333" t="s">
        <v>60</v>
      </c>
      <c r="D1155" s="332" t="s">
        <v>575</v>
      </c>
      <c r="E1155" s="333"/>
      <c r="F1155" s="524" t="s">
        <v>3101</v>
      </c>
      <c r="G1155" s="372" t="s">
        <v>3102</v>
      </c>
      <c r="H1155" s="333">
        <v>20</v>
      </c>
      <c r="I1155" s="333" t="s">
        <v>3334</v>
      </c>
      <c r="J1155" s="333" t="s">
        <v>46</v>
      </c>
      <c r="K1155" s="333" t="s">
        <v>32</v>
      </c>
      <c r="L1155" s="333"/>
      <c r="M1155" s="333"/>
      <c r="N1155" s="417"/>
      <c r="O1155" s="417"/>
      <c r="P1155" s="462">
        <v>45370</v>
      </c>
      <c r="Q1155" s="333"/>
      <c r="R1155" s="333"/>
      <c r="S1155" s="373"/>
      <c r="T1155" s="373"/>
      <c r="U1155" s="373"/>
      <c r="V1155" s="373"/>
      <c r="W1155" s="346">
        <v>45450</v>
      </c>
      <c r="X1155" s="373"/>
      <c r="Y1155" s="336">
        <f t="shared" ca="1" si="22"/>
        <v>80</v>
      </c>
      <c r="Z1155" s="373"/>
      <c r="AA1155" s="373"/>
      <c r="AB1155" s="373"/>
      <c r="AD1155" s="338"/>
    </row>
    <row r="1156" spans="1:30" ht="12.75" customHeight="1" x14ac:dyDescent="0.25">
      <c r="A1156" s="347" t="s">
        <v>3339</v>
      </c>
      <c r="B1156" s="376">
        <v>45362</v>
      </c>
      <c r="C1156" s="333" t="s">
        <v>60</v>
      </c>
      <c r="D1156" s="332" t="s">
        <v>575</v>
      </c>
      <c r="E1156" s="333"/>
      <c r="F1156" s="524" t="s">
        <v>3340</v>
      </c>
      <c r="G1156" s="372" t="s">
        <v>3341</v>
      </c>
      <c r="H1156" s="333">
        <v>20</v>
      </c>
      <c r="I1156" s="333" t="s">
        <v>3334</v>
      </c>
      <c r="J1156" s="333" t="s">
        <v>46</v>
      </c>
      <c r="K1156" s="333" t="s">
        <v>32</v>
      </c>
      <c r="L1156" s="333"/>
      <c r="M1156" s="333"/>
      <c r="N1156" s="417"/>
      <c r="O1156" s="417"/>
      <c r="P1156" s="462">
        <v>45370</v>
      </c>
      <c r="Q1156" s="333"/>
      <c r="R1156" s="333"/>
      <c r="S1156" s="373"/>
      <c r="T1156" s="373"/>
      <c r="U1156" s="373"/>
      <c r="V1156" s="373"/>
      <c r="W1156" s="346">
        <v>45450</v>
      </c>
      <c r="X1156" s="373"/>
      <c r="Y1156" s="336">
        <f t="shared" ca="1" si="22"/>
        <v>80</v>
      </c>
      <c r="Z1156" s="373"/>
      <c r="AA1156" s="373"/>
      <c r="AB1156" s="373"/>
      <c r="AD1156" s="338"/>
    </row>
    <row r="1157" spans="1:30" ht="12.75" customHeight="1" x14ac:dyDescent="0.25">
      <c r="A1157" s="347" t="s">
        <v>3342</v>
      </c>
      <c r="B1157" s="376">
        <v>45362</v>
      </c>
      <c r="C1157" s="333" t="s">
        <v>60</v>
      </c>
      <c r="D1157" s="332" t="s">
        <v>575</v>
      </c>
      <c r="E1157" s="333"/>
      <c r="F1157" s="524" t="s">
        <v>3343</v>
      </c>
      <c r="G1157" s="372" t="s">
        <v>3344</v>
      </c>
      <c r="H1157" s="333">
        <v>20</v>
      </c>
      <c r="I1157" s="333" t="s">
        <v>3334</v>
      </c>
      <c r="J1157" s="333" t="s">
        <v>46</v>
      </c>
      <c r="K1157" s="333" t="s">
        <v>32</v>
      </c>
      <c r="L1157" s="333"/>
      <c r="M1157" s="333"/>
      <c r="N1157" s="417"/>
      <c r="O1157" s="417"/>
      <c r="P1157" s="462">
        <v>45370</v>
      </c>
      <c r="Q1157" s="333"/>
      <c r="R1157" s="333"/>
      <c r="S1157" s="373"/>
      <c r="T1157" s="373"/>
      <c r="U1157" s="373"/>
      <c r="V1157" s="373"/>
      <c r="W1157" s="346">
        <v>45450</v>
      </c>
      <c r="X1157" s="373"/>
      <c r="Y1157" s="336">
        <f t="shared" ca="1" si="22"/>
        <v>80</v>
      </c>
      <c r="Z1157" s="373"/>
      <c r="AA1157" s="373"/>
      <c r="AB1157" s="373"/>
      <c r="AD1157" s="338"/>
    </row>
    <row r="1158" spans="1:30" ht="12.75" customHeight="1" x14ac:dyDescent="0.25">
      <c r="A1158" s="347" t="s">
        <v>3345</v>
      </c>
      <c r="B1158" s="376">
        <v>45362</v>
      </c>
      <c r="C1158" s="333" t="s">
        <v>60</v>
      </c>
      <c r="D1158" s="332" t="s">
        <v>575</v>
      </c>
      <c r="E1158" s="333"/>
      <c r="F1158" s="524" t="s">
        <v>3346</v>
      </c>
      <c r="G1158" s="372" t="s">
        <v>3347</v>
      </c>
      <c r="H1158" s="333">
        <v>20</v>
      </c>
      <c r="I1158" s="333" t="s">
        <v>3334</v>
      </c>
      <c r="J1158" s="333" t="s">
        <v>46</v>
      </c>
      <c r="K1158" s="333" t="s">
        <v>32</v>
      </c>
      <c r="L1158" s="333"/>
      <c r="M1158" s="333"/>
      <c r="N1158" s="417"/>
      <c r="O1158" s="417"/>
      <c r="P1158" s="462">
        <v>45370</v>
      </c>
      <c r="Q1158" s="333"/>
      <c r="R1158" s="333"/>
      <c r="S1158" s="373"/>
      <c r="T1158" s="373"/>
      <c r="U1158" s="373"/>
      <c r="V1158" s="373"/>
      <c r="W1158" s="346"/>
      <c r="X1158" s="373"/>
      <c r="Y1158" s="336">
        <f t="shared" ca="1" si="22"/>
        <v>216</v>
      </c>
      <c r="Z1158" s="373"/>
      <c r="AA1158" s="373"/>
      <c r="AB1158" s="373"/>
      <c r="AD1158" s="338"/>
    </row>
    <row r="1159" spans="1:30" ht="12.75" customHeight="1" x14ac:dyDescent="0.25">
      <c r="A1159" s="347" t="s">
        <v>3348</v>
      </c>
      <c r="B1159" s="376">
        <v>45362</v>
      </c>
      <c r="C1159" s="333" t="s">
        <v>60</v>
      </c>
      <c r="D1159" s="332" t="s">
        <v>575</v>
      </c>
      <c r="E1159" s="333"/>
      <c r="F1159" s="524" t="s">
        <v>3146</v>
      </c>
      <c r="G1159" s="372" t="s">
        <v>3147</v>
      </c>
      <c r="H1159" s="333">
        <v>20</v>
      </c>
      <c r="I1159" s="333" t="s">
        <v>3334</v>
      </c>
      <c r="J1159" s="333" t="s">
        <v>43</v>
      </c>
      <c r="K1159" s="333" t="s">
        <v>32</v>
      </c>
      <c r="L1159" s="333"/>
      <c r="M1159" s="333"/>
      <c r="N1159" s="417"/>
      <c r="O1159" s="417"/>
      <c r="P1159" s="462">
        <v>45370</v>
      </c>
      <c r="Q1159" s="333"/>
      <c r="R1159" s="333"/>
      <c r="S1159" s="373"/>
      <c r="T1159" s="373"/>
      <c r="U1159" s="373"/>
      <c r="V1159" s="373"/>
      <c r="W1159" s="346">
        <v>45386</v>
      </c>
      <c r="X1159" s="373">
        <v>10</v>
      </c>
      <c r="Y1159" s="336">
        <f t="shared" ca="1" si="22"/>
        <v>16</v>
      </c>
      <c r="Z1159" s="373"/>
      <c r="AA1159" s="373"/>
      <c r="AB1159" s="373"/>
      <c r="AD1159" s="338"/>
    </row>
    <row r="1160" spans="1:30" ht="12.75" customHeight="1" x14ac:dyDescent="0.25">
      <c r="A1160" s="347" t="s">
        <v>3349</v>
      </c>
      <c r="B1160" s="376">
        <v>45362</v>
      </c>
      <c r="C1160" s="333" t="s">
        <v>60</v>
      </c>
      <c r="D1160" s="332" t="s">
        <v>575</v>
      </c>
      <c r="E1160" s="333"/>
      <c r="F1160" s="524" t="s">
        <v>3350</v>
      </c>
      <c r="G1160" s="372" t="s">
        <v>3351</v>
      </c>
      <c r="H1160" s="333">
        <v>20</v>
      </c>
      <c r="I1160" s="333" t="s">
        <v>3334</v>
      </c>
      <c r="J1160" s="333" t="s">
        <v>43</v>
      </c>
      <c r="K1160" s="333" t="s">
        <v>32</v>
      </c>
      <c r="L1160" s="333"/>
      <c r="M1160" s="333"/>
      <c r="N1160" s="417"/>
      <c r="O1160" s="417"/>
      <c r="P1160" s="462">
        <v>45370</v>
      </c>
      <c r="Q1160" s="333"/>
      <c r="R1160" s="333"/>
      <c r="S1160" s="373"/>
      <c r="T1160" s="373"/>
      <c r="U1160" s="373"/>
      <c r="V1160" s="373"/>
      <c r="W1160" s="346"/>
      <c r="X1160" s="373"/>
      <c r="Y1160" s="336">
        <f t="shared" ref="Y1160:Y1223" ca="1" si="23">IF(P1160="","",IF(W1160="",TODAY()-P1160,W1160-P1160))</f>
        <v>216</v>
      </c>
      <c r="Z1160" s="373"/>
      <c r="AA1160" s="373"/>
      <c r="AB1160" s="373"/>
      <c r="AD1160" s="338"/>
    </row>
    <row r="1161" spans="1:30" ht="12.75" customHeight="1" x14ac:dyDescent="0.25">
      <c r="A1161" s="347" t="s">
        <v>3352</v>
      </c>
      <c r="B1161" s="376">
        <v>45362</v>
      </c>
      <c r="C1161" s="333" t="s">
        <v>60</v>
      </c>
      <c r="D1161" s="332" t="s">
        <v>575</v>
      </c>
      <c r="E1161" s="333"/>
      <c r="F1161" s="524" t="s">
        <v>3353</v>
      </c>
      <c r="G1161" s="372" t="s">
        <v>3354</v>
      </c>
      <c r="H1161" s="333">
        <v>20</v>
      </c>
      <c r="I1161" s="333" t="s">
        <v>3334</v>
      </c>
      <c r="J1161" s="333" t="s">
        <v>43</v>
      </c>
      <c r="K1161" s="333" t="s">
        <v>32</v>
      </c>
      <c r="L1161" s="333"/>
      <c r="M1161" s="333"/>
      <c r="N1161" s="417"/>
      <c r="O1161" s="417"/>
      <c r="P1161" s="462">
        <v>45370</v>
      </c>
      <c r="Q1161" s="333"/>
      <c r="R1161" s="333"/>
      <c r="S1161" s="373"/>
      <c r="T1161" s="373"/>
      <c r="U1161" s="373"/>
      <c r="V1161" s="373"/>
      <c r="W1161" s="346"/>
      <c r="X1161" s="373"/>
      <c r="Y1161" s="336">
        <f t="shared" ca="1" si="23"/>
        <v>216</v>
      </c>
      <c r="Z1161" s="373"/>
      <c r="AA1161" s="373"/>
      <c r="AB1161" s="373"/>
      <c r="AD1161" s="338"/>
    </row>
    <row r="1162" spans="1:30" ht="12.75" customHeight="1" x14ac:dyDescent="0.25">
      <c r="A1162" s="347" t="s">
        <v>3355</v>
      </c>
      <c r="B1162" s="376">
        <v>45386</v>
      </c>
      <c r="C1162" s="333" t="s">
        <v>26</v>
      </c>
      <c r="D1162" s="332" t="s">
        <v>1259</v>
      </c>
      <c r="E1162" s="333"/>
      <c r="F1162" s="524">
        <v>2265358</v>
      </c>
      <c r="G1162" s="372" t="s">
        <v>3356</v>
      </c>
      <c r="H1162" s="333">
        <v>1</v>
      </c>
      <c r="I1162" s="333" t="s">
        <v>2646</v>
      </c>
      <c r="J1162" s="333" t="s">
        <v>31</v>
      </c>
      <c r="K1162" s="333" t="s">
        <v>32</v>
      </c>
      <c r="L1162" s="333"/>
      <c r="M1162" s="333"/>
      <c r="N1162" s="417"/>
      <c r="O1162" s="417"/>
      <c r="P1162" s="462">
        <v>45386</v>
      </c>
      <c r="Q1162" s="333"/>
      <c r="R1162" s="333"/>
      <c r="S1162" s="373"/>
      <c r="T1162" s="373"/>
      <c r="U1162" s="373"/>
      <c r="V1162" s="373"/>
      <c r="W1162" s="346" t="s">
        <v>3357</v>
      </c>
      <c r="X1162" s="373"/>
      <c r="Y1162" s="336" t="e">
        <f t="shared" ca="1" si="23"/>
        <v>#VALUE!</v>
      </c>
      <c r="Z1162" s="373"/>
      <c r="AA1162" s="373"/>
      <c r="AB1162" s="373"/>
      <c r="AD1162" s="338"/>
    </row>
    <row r="1163" spans="1:30" ht="12.75" customHeight="1" x14ac:dyDescent="0.25">
      <c r="A1163" s="347" t="s">
        <v>3358</v>
      </c>
      <c r="B1163" s="376">
        <v>45366</v>
      </c>
      <c r="C1163" s="333" t="s">
        <v>35</v>
      </c>
      <c r="D1163" s="332" t="s">
        <v>83</v>
      </c>
      <c r="E1163" s="333"/>
      <c r="F1163" s="524" t="s">
        <v>3163</v>
      </c>
      <c r="G1163" s="372" t="s">
        <v>3359</v>
      </c>
      <c r="H1163" s="333">
        <v>2</v>
      </c>
      <c r="I1163" s="333" t="s">
        <v>3360</v>
      </c>
      <c r="J1163" s="333" t="s">
        <v>68</v>
      </c>
      <c r="K1163" s="333" t="s">
        <v>69</v>
      </c>
      <c r="L1163" s="333"/>
      <c r="M1163" s="333"/>
      <c r="N1163" s="417"/>
      <c r="O1163" s="417"/>
      <c r="P1163" s="462"/>
      <c r="Q1163" s="333"/>
      <c r="R1163" s="333"/>
      <c r="S1163" s="373"/>
      <c r="T1163" s="373"/>
      <c r="U1163" s="373"/>
      <c r="V1163" s="373"/>
      <c r="W1163" s="402">
        <v>45040</v>
      </c>
      <c r="X1163" s="373"/>
      <c r="Y1163" s="336" t="str">
        <f t="shared" ca="1" si="23"/>
        <v/>
      </c>
      <c r="Z1163" s="373"/>
      <c r="AA1163" s="373"/>
      <c r="AB1163" s="373"/>
      <c r="AC1163" s="338" t="str">
        <f>VLOOKUP(F1163,'[1]CPO DATA'!$D:$I,4,FALSE)</f>
        <v>GH710</v>
      </c>
      <c r="AD1163" s="338"/>
    </row>
    <row r="1164" spans="1:30" ht="12.75" customHeight="1" x14ac:dyDescent="0.25">
      <c r="A1164" s="347" t="s">
        <v>3361</v>
      </c>
      <c r="B1164" s="376">
        <v>45355</v>
      </c>
      <c r="C1164" s="333" t="s">
        <v>35</v>
      </c>
      <c r="D1164" s="332" t="s">
        <v>83</v>
      </c>
      <c r="E1164" s="333"/>
      <c r="F1164" s="524" t="s">
        <v>3362</v>
      </c>
      <c r="G1164" s="372" t="s">
        <v>3207</v>
      </c>
      <c r="H1164" s="333">
        <v>1</v>
      </c>
      <c r="I1164" s="333" t="s">
        <v>3208</v>
      </c>
      <c r="J1164" s="333" t="s">
        <v>68</v>
      </c>
      <c r="K1164" s="333" t="s">
        <v>69</v>
      </c>
      <c r="L1164" s="333"/>
      <c r="M1164" s="333"/>
      <c r="N1164" s="417"/>
      <c r="O1164" s="417"/>
      <c r="P1164" s="462"/>
      <c r="Q1164" s="333"/>
      <c r="R1164" s="333"/>
      <c r="S1164" s="373"/>
      <c r="T1164" s="373"/>
      <c r="U1164" s="373"/>
      <c r="V1164" s="373"/>
      <c r="W1164" s="346"/>
      <c r="X1164" s="373"/>
      <c r="Y1164" s="336" t="str">
        <f t="shared" ca="1" si="23"/>
        <v/>
      </c>
      <c r="Z1164" s="373"/>
      <c r="AA1164" s="373"/>
      <c r="AB1164" s="373"/>
      <c r="AC1164" s="338" t="e">
        <f>VLOOKUP(F1164,'[1]CPO DATA'!$D:$I,4,FALSE)</f>
        <v>#N/A</v>
      </c>
      <c r="AD1164" s="418" t="e">
        <f>VLOOKUP(F1164,'STORE ITEMS'!C:F,2,FALSE)</f>
        <v>#N/A</v>
      </c>
    </row>
    <row r="1165" spans="1:30" ht="12.75" customHeight="1" x14ac:dyDescent="0.25">
      <c r="A1165" s="347" t="s">
        <v>3363</v>
      </c>
      <c r="B1165" s="376">
        <v>45386</v>
      </c>
      <c r="C1165" s="396" t="s">
        <v>60</v>
      </c>
      <c r="D1165" s="332" t="s">
        <v>849</v>
      </c>
      <c r="E1165" s="333"/>
      <c r="F1165" s="524" t="s">
        <v>3364</v>
      </c>
      <c r="G1165" s="372" t="s">
        <v>3365</v>
      </c>
      <c r="H1165" s="333">
        <v>1</v>
      </c>
      <c r="I1165" s="333">
        <v>13</v>
      </c>
      <c r="J1165" s="333" t="s">
        <v>31</v>
      </c>
      <c r="K1165" s="333" t="s">
        <v>69</v>
      </c>
      <c r="L1165" s="333"/>
      <c r="M1165" s="333"/>
      <c r="N1165" s="417"/>
      <c r="O1165" s="417"/>
      <c r="P1165" s="462"/>
      <c r="Q1165" s="333"/>
      <c r="R1165" s="333"/>
      <c r="S1165" s="373"/>
      <c r="T1165" s="373"/>
      <c r="U1165" s="373"/>
      <c r="V1165" s="373"/>
      <c r="W1165" s="346">
        <v>45443</v>
      </c>
      <c r="X1165" s="373"/>
      <c r="Y1165" s="336" t="str">
        <f t="shared" ca="1" si="23"/>
        <v/>
      </c>
      <c r="Z1165" s="373"/>
      <c r="AA1165" s="373"/>
      <c r="AB1165" s="373" t="s">
        <v>3366</v>
      </c>
      <c r="AD1165" s="338"/>
    </row>
    <row r="1166" spans="1:30" ht="12.75" customHeight="1" x14ac:dyDescent="0.25">
      <c r="A1166" s="347" t="s">
        <v>3367</v>
      </c>
      <c r="B1166" s="376">
        <v>45387</v>
      </c>
      <c r="C1166" s="396" t="s">
        <v>35</v>
      </c>
      <c r="D1166" s="332" t="s">
        <v>71</v>
      </c>
      <c r="E1166" s="333"/>
      <c r="F1166" s="524" t="s">
        <v>3368</v>
      </c>
      <c r="G1166" s="372" t="s">
        <v>3369</v>
      </c>
      <c r="H1166" s="333">
        <v>1</v>
      </c>
      <c r="I1166" s="333" t="s">
        <v>3370</v>
      </c>
      <c r="J1166" s="333" t="s">
        <v>102</v>
      </c>
      <c r="K1166" s="333" t="s">
        <v>69</v>
      </c>
      <c r="L1166" s="333"/>
      <c r="M1166" s="333"/>
      <c r="N1166" s="417"/>
      <c r="O1166" s="417"/>
      <c r="P1166" s="462"/>
      <c r="Q1166" s="333"/>
      <c r="R1166" s="333"/>
      <c r="S1166" s="373"/>
      <c r="T1166" s="373"/>
      <c r="U1166" s="373"/>
      <c r="V1166" s="373"/>
      <c r="W1166" s="346">
        <v>45509</v>
      </c>
      <c r="X1166" s="373"/>
      <c r="Y1166" s="336" t="str">
        <f t="shared" ca="1" si="23"/>
        <v/>
      </c>
      <c r="Z1166" s="373"/>
      <c r="AA1166" s="373"/>
      <c r="AB1166" s="373"/>
      <c r="AC1166" s="338" t="str">
        <f>VLOOKUP(F1166,'[1]CPO DATA'!$D:$I,4,FALSE)</f>
        <v>BZ031</v>
      </c>
      <c r="AD1166" s="338"/>
    </row>
    <row r="1167" spans="1:30" ht="12.75" customHeight="1" x14ac:dyDescent="0.25">
      <c r="A1167" s="347" t="s">
        <v>3371</v>
      </c>
      <c r="B1167" s="376">
        <v>45387</v>
      </c>
      <c r="C1167" s="396" t="s">
        <v>35</v>
      </c>
      <c r="D1167" s="332" t="s">
        <v>71</v>
      </c>
      <c r="E1167" s="333"/>
      <c r="F1167" s="524" t="s">
        <v>3372</v>
      </c>
      <c r="G1167" s="372" t="s">
        <v>2813</v>
      </c>
      <c r="H1167" s="333">
        <v>1</v>
      </c>
      <c r="I1167" s="333" t="s">
        <v>3373</v>
      </c>
      <c r="J1167" s="333" t="s">
        <v>31</v>
      </c>
      <c r="K1167" s="333" t="s">
        <v>32</v>
      </c>
      <c r="L1167" s="333"/>
      <c r="M1167" s="333"/>
      <c r="N1167" s="417"/>
      <c r="O1167" s="417"/>
      <c r="P1167" s="462"/>
      <c r="Q1167" s="333"/>
      <c r="R1167" s="333"/>
      <c r="S1167" s="373"/>
      <c r="T1167" s="373"/>
      <c r="U1167" s="373"/>
      <c r="V1167" s="373"/>
      <c r="W1167" s="346">
        <v>45509</v>
      </c>
      <c r="X1167" s="373"/>
      <c r="Y1167" s="336" t="str">
        <f t="shared" ca="1" si="23"/>
        <v/>
      </c>
      <c r="Z1167" s="373"/>
      <c r="AA1167" s="373"/>
      <c r="AB1167" s="373"/>
      <c r="AC1167" s="338" t="str">
        <f>VLOOKUP(F1167,'[1]CPO DATA'!$D:$I,4,FALSE)</f>
        <v>BZ045</v>
      </c>
      <c r="AD1167" s="338"/>
    </row>
    <row r="1168" spans="1:30" ht="12.75" customHeight="1" x14ac:dyDescent="0.25">
      <c r="A1168" s="347" t="s">
        <v>3374</v>
      </c>
      <c r="B1168" s="376">
        <v>45390</v>
      </c>
      <c r="C1168" s="396" t="s">
        <v>60</v>
      </c>
      <c r="D1168" s="332" t="s">
        <v>849</v>
      </c>
      <c r="E1168" s="333"/>
      <c r="F1168" s="524" t="s">
        <v>3375</v>
      </c>
      <c r="G1168" s="372" t="s">
        <v>3376</v>
      </c>
      <c r="H1168" s="333">
        <v>1</v>
      </c>
      <c r="I1168" s="333">
        <v>15</v>
      </c>
      <c r="J1168" s="333" t="s">
        <v>31</v>
      </c>
      <c r="K1168" s="333" t="s">
        <v>32</v>
      </c>
      <c r="L1168" s="333"/>
      <c r="M1168" s="333"/>
      <c r="N1168" s="417"/>
      <c r="O1168" s="417"/>
      <c r="P1168" s="462"/>
      <c r="Q1168" s="333"/>
      <c r="R1168" s="333"/>
      <c r="S1168" s="373"/>
      <c r="T1168" s="373"/>
      <c r="U1168" s="373"/>
      <c r="V1168" s="373"/>
      <c r="W1168" s="346"/>
      <c r="X1168" s="373"/>
      <c r="Y1168" s="336" t="str">
        <f t="shared" ca="1" si="23"/>
        <v/>
      </c>
      <c r="Z1168" s="373"/>
      <c r="AA1168" s="373"/>
      <c r="AB1168" s="373"/>
      <c r="AD1168" s="338"/>
    </row>
    <row r="1169" spans="1:29" s="338" customFormat="1" ht="12.75" customHeight="1" x14ac:dyDescent="0.25">
      <c r="A1169" s="347" t="s">
        <v>3377</v>
      </c>
      <c r="B1169" s="376">
        <v>45387</v>
      </c>
      <c r="C1169" s="396" t="s">
        <v>60</v>
      </c>
      <c r="D1169" s="332" t="s">
        <v>849</v>
      </c>
      <c r="E1169" s="333"/>
      <c r="F1169" s="524" t="s">
        <v>3378</v>
      </c>
      <c r="G1169" s="372" t="s">
        <v>3379</v>
      </c>
      <c r="H1169" s="333">
        <v>1</v>
      </c>
      <c r="I1169" s="333">
        <v>14</v>
      </c>
      <c r="J1169" s="333" t="s">
        <v>43</v>
      </c>
      <c r="K1169" s="333" t="s">
        <v>32</v>
      </c>
      <c r="L1169" s="333"/>
      <c r="M1169" s="333"/>
      <c r="N1169" s="417"/>
      <c r="O1169" s="417"/>
      <c r="P1169" s="462"/>
      <c r="Q1169" s="333"/>
      <c r="R1169" s="333"/>
      <c r="S1169" s="373"/>
      <c r="T1169" s="373"/>
      <c r="U1169" s="373"/>
      <c r="V1169" s="373"/>
      <c r="W1169" s="346"/>
      <c r="X1169" s="373"/>
      <c r="Y1169" s="336" t="str">
        <f t="shared" ca="1" si="23"/>
        <v/>
      </c>
      <c r="Z1169" s="373"/>
      <c r="AA1169" s="373"/>
      <c r="AB1169" s="373"/>
    </row>
    <row r="1170" spans="1:29" s="338" customFormat="1" ht="12.75" customHeight="1" x14ac:dyDescent="0.25">
      <c r="A1170" s="347" t="s">
        <v>3380</v>
      </c>
      <c r="B1170" s="376">
        <v>45365</v>
      </c>
      <c r="C1170" s="333" t="s">
        <v>35</v>
      </c>
      <c r="D1170" s="332" t="s">
        <v>83</v>
      </c>
      <c r="E1170" s="333"/>
      <c r="F1170" s="524" t="s">
        <v>3381</v>
      </c>
      <c r="G1170" s="372" t="s">
        <v>3382</v>
      </c>
      <c r="H1170" s="333">
        <v>1</v>
      </c>
      <c r="I1170" s="525" t="s">
        <v>3383</v>
      </c>
      <c r="J1170" s="333" t="s">
        <v>265</v>
      </c>
      <c r="K1170" s="333" t="s">
        <v>32</v>
      </c>
      <c r="L1170" s="333"/>
      <c r="M1170" s="333"/>
      <c r="N1170" s="417"/>
      <c r="O1170" s="417"/>
      <c r="P1170" s="462"/>
      <c r="Q1170" s="333"/>
      <c r="R1170" s="333"/>
      <c r="S1170" s="373"/>
      <c r="T1170" s="373"/>
      <c r="U1170" s="373"/>
      <c r="V1170" s="373"/>
      <c r="W1170" s="346"/>
      <c r="X1170" s="373"/>
      <c r="Y1170" s="336" t="str">
        <f t="shared" ca="1" si="23"/>
        <v/>
      </c>
      <c r="Z1170" s="373"/>
      <c r="AA1170" s="373"/>
      <c r="AB1170" s="373"/>
      <c r="AC1170" s="338" t="str">
        <f>VLOOKUP(F1170,'[1]CPO DATA'!$D:$I,4,FALSE)</f>
        <v>GH551</v>
      </c>
    </row>
    <row r="1171" spans="1:29" s="338" customFormat="1" ht="12.75" customHeight="1" x14ac:dyDescent="0.25">
      <c r="A1171" s="347" t="s">
        <v>3384</v>
      </c>
      <c r="B1171" s="376">
        <v>45365</v>
      </c>
      <c r="C1171" s="333" t="s">
        <v>35</v>
      </c>
      <c r="D1171" s="332" t="s">
        <v>83</v>
      </c>
      <c r="E1171" s="333"/>
      <c r="F1171" s="524" t="s">
        <v>3385</v>
      </c>
      <c r="G1171" s="372" t="s">
        <v>1426</v>
      </c>
      <c r="H1171" s="333">
        <v>1</v>
      </c>
      <c r="I1171" s="333" t="s">
        <v>3386</v>
      </c>
      <c r="J1171" s="333" t="s">
        <v>46</v>
      </c>
      <c r="K1171" s="333" t="s">
        <v>32</v>
      </c>
      <c r="L1171" s="333"/>
      <c r="M1171" s="333"/>
      <c r="N1171" s="417"/>
      <c r="O1171" s="417"/>
      <c r="P1171" s="462"/>
      <c r="Q1171" s="333"/>
      <c r="R1171" s="333"/>
      <c r="S1171" s="373"/>
      <c r="T1171" s="373"/>
      <c r="U1171" s="373"/>
      <c r="V1171" s="373"/>
      <c r="W1171" s="346"/>
      <c r="X1171" s="373"/>
      <c r="Y1171" s="336" t="str">
        <f t="shared" ca="1" si="23"/>
        <v/>
      </c>
      <c r="Z1171" s="373"/>
      <c r="AA1171" s="373"/>
      <c r="AB1171" s="373"/>
      <c r="AC1171" s="338" t="str">
        <f>VLOOKUP(F1171,'[1]CPO DATA'!$D:$I,4,FALSE)</f>
        <v>GH565</v>
      </c>
    </row>
    <row r="1172" spans="1:29" s="338" customFormat="1" ht="12.75" customHeight="1" x14ac:dyDescent="0.25">
      <c r="A1172" s="347" t="s">
        <v>3387</v>
      </c>
      <c r="B1172" s="376">
        <v>45365</v>
      </c>
      <c r="C1172" s="333" t="s">
        <v>35</v>
      </c>
      <c r="D1172" s="332" t="s">
        <v>83</v>
      </c>
      <c r="E1172" s="333"/>
      <c r="F1172" s="524" t="s">
        <v>3388</v>
      </c>
      <c r="G1172" s="526" t="s">
        <v>3389</v>
      </c>
      <c r="H1172" s="333">
        <v>1</v>
      </c>
      <c r="I1172" s="333" t="s">
        <v>3390</v>
      </c>
      <c r="J1172" s="333" t="s">
        <v>541</v>
      </c>
      <c r="K1172" s="333" t="s">
        <v>32</v>
      </c>
      <c r="L1172" s="333"/>
      <c r="M1172" s="333"/>
      <c r="N1172" s="417"/>
      <c r="O1172" s="417"/>
      <c r="P1172" s="462"/>
      <c r="Q1172" s="333"/>
      <c r="R1172" s="333"/>
      <c r="S1172" s="373"/>
      <c r="T1172" s="373"/>
      <c r="U1172" s="373"/>
      <c r="V1172" s="373"/>
      <c r="W1172" s="346"/>
      <c r="X1172" s="373"/>
      <c r="Y1172" s="336" t="str">
        <f t="shared" ca="1" si="23"/>
        <v/>
      </c>
      <c r="Z1172" s="373"/>
      <c r="AA1172" s="373"/>
      <c r="AB1172" s="373"/>
      <c r="AC1172" s="338" t="str">
        <f>VLOOKUP(F1172,'[1]CPO DATA'!$D:$I,4,FALSE)</f>
        <v>GH560</v>
      </c>
    </row>
    <row r="1173" spans="1:29" s="338" customFormat="1" ht="12.75" customHeight="1" x14ac:dyDescent="0.25">
      <c r="A1173" s="347" t="s">
        <v>3391</v>
      </c>
      <c r="B1173" s="376">
        <v>45365</v>
      </c>
      <c r="C1173" s="333" t="s">
        <v>35</v>
      </c>
      <c r="D1173" s="332" t="s">
        <v>83</v>
      </c>
      <c r="E1173" s="333"/>
      <c r="F1173" s="524" t="s">
        <v>3392</v>
      </c>
      <c r="G1173" s="372" t="s">
        <v>3393</v>
      </c>
      <c r="H1173" s="333">
        <v>4</v>
      </c>
      <c r="I1173" s="333" t="s">
        <v>3390</v>
      </c>
      <c r="J1173" s="333" t="s">
        <v>541</v>
      </c>
      <c r="K1173" s="333" t="s">
        <v>32</v>
      </c>
      <c r="L1173" s="333"/>
      <c r="M1173" s="333"/>
      <c r="N1173" s="417"/>
      <c r="O1173" s="417"/>
      <c r="P1173" s="462"/>
      <c r="Q1173" s="333"/>
      <c r="R1173" s="333"/>
      <c r="S1173" s="373"/>
      <c r="T1173" s="373"/>
      <c r="U1173" s="373"/>
      <c r="V1173" s="373"/>
      <c r="W1173" s="346"/>
      <c r="X1173" s="373"/>
      <c r="Y1173" s="336" t="str">
        <f t="shared" ca="1" si="23"/>
        <v/>
      </c>
      <c r="Z1173" s="373"/>
      <c r="AA1173" s="373"/>
      <c r="AB1173" s="373"/>
      <c r="AC1173" s="338" t="str">
        <f>VLOOKUP(F1173,'[1]CPO DATA'!$D:$I,4,FALSE)</f>
        <v>GH560</v>
      </c>
    </row>
    <row r="1174" spans="1:29" s="338" customFormat="1" ht="12.75" customHeight="1" x14ac:dyDescent="0.25">
      <c r="A1174" s="347" t="s">
        <v>3394</v>
      </c>
      <c r="B1174" s="376">
        <v>45365</v>
      </c>
      <c r="C1174" s="333" t="s">
        <v>35</v>
      </c>
      <c r="D1174" s="332" t="s">
        <v>83</v>
      </c>
      <c r="E1174" s="333"/>
      <c r="F1174" s="524" t="s">
        <v>3395</v>
      </c>
      <c r="G1174" s="372" t="s">
        <v>3393</v>
      </c>
      <c r="H1174" s="333">
        <v>6</v>
      </c>
      <c r="I1174" s="333" t="s">
        <v>3396</v>
      </c>
      <c r="J1174" s="333" t="s">
        <v>541</v>
      </c>
      <c r="K1174" s="333" t="s">
        <v>32</v>
      </c>
      <c r="L1174" s="333"/>
      <c r="M1174" s="333"/>
      <c r="N1174" s="417"/>
      <c r="O1174" s="417"/>
      <c r="P1174" s="462"/>
      <c r="Q1174" s="333"/>
      <c r="R1174" s="333"/>
      <c r="S1174" s="373"/>
      <c r="T1174" s="373"/>
      <c r="U1174" s="373"/>
      <c r="V1174" s="373"/>
      <c r="W1174" s="346"/>
      <c r="X1174" s="373"/>
      <c r="Y1174" s="336" t="str">
        <f t="shared" ca="1" si="23"/>
        <v/>
      </c>
      <c r="Z1174" s="373"/>
      <c r="AA1174" s="373"/>
      <c r="AB1174" s="373"/>
      <c r="AC1174" s="338" t="str">
        <f>VLOOKUP(F1174,'[1]CPO DATA'!$D:$I,4,FALSE)</f>
        <v>GH560</v>
      </c>
    </row>
    <row r="1175" spans="1:29" s="338" customFormat="1" ht="12.75" customHeight="1" x14ac:dyDescent="0.25">
      <c r="A1175" s="347" t="s">
        <v>3397</v>
      </c>
      <c r="B1175" s="376">
        <v>45365</v>
      </c>
      <c r="C1175" s="333" t="s">
        <v>35</v>
      </c>
      <c r="D1175" s="332" t="s">
        <v>83</v>
      </c>
      <c r="E1175" s="333"/>
      <c r="F1175" s="524" t="s">
        <v>725</v>
      </c>
      <c r="G1175" s="372" t="s">
        <v>3398</v>
      </c>
      <c r="H1175" s="333">
        <v>1</v>
      </c>
      <c r="I1175" s="333" t="s">
        <v>3399</v>
      </c>
      <c r="J1175" s="333" t="s">
        <v>265</v>
      </c>
      <c r="K1175" s="333" t="s">
        <v>32</v>
      </c>
      <c r="L1175" s="333"/>
      <c r="M1175" s="333"/>
      <c r="N1175" s="417"/>
      <c r="O1175" s="417"/>
      <c r="P1175" s="462"/>
      <c r="Q1175" s="333"/>
      <c r="R1175" s="333"/>
      <c r="S1175" s="373"/>
      <c r="T1175" s="373"/>
      <c r="U1175" s="373"/>
      <c r="V1175" s="373"/>
      <c r="W1175" s="346" t="s">
        <v>3400</v>
      </c>
      <c r="X1175" s="373"/>
      <c r="Y1175" s="336" t="str">
        <f t="shared" ca="1" si="23"/>
        <v/>
      </c>
      <c r="Z1175" s="373"/>
      <c r="AA1175" s="373"/>
      <c r="AB1175" s="373"/>
      <c r="AC1175" s="338" t="str">
        <f>VLOOKUP(F1175,'[1]CPO DATA'!$D:$I,4,FALSE)</f>
        <v>GH541</v>
      </c>
    </row>
    <row r="1176" spans="1:29" s="338" customFormat="1" ht="12.75" customHeight="1" x14ac:dyDescent="0.25">
      <c r="A1176" s="347" t="s">
        <v>3401</v>
      </c>
      <c r="B1176" s="376">
        <v>45358</v>
      </c>
      <c r="C1176" s="333" t="s">
        <v>35</v>
      </c>
      <c r="D1176" s="332" t="s">
        <v>83</v>
      </c>
      <c r="E1176" s="333"/>
      <c r="F1176" s="524" t="s">
        <v>3402</v>
      </c>
      <c r="G1176" s="372" t="s">
        <v>3403</v>
      </c>
      <c r="H1176" s="333">
        <v>10</v>
      </c>
      <c r="I1176" s="333" t="s">
        <v>3404</v>
      </c>
      <c r="J1176" s="333" t="s">
        <v>43</v>
      </c>
      <c r="K1176" s="333" t="s">
        <v>32</v>
      </c>
      <c r="L1176" s="333"/>
      <c r="M1176" s="333"/>
      <c r="N1176" s="417"/>
      <c r="O1176" s="417"/>
      <c r="P1176" s="462"/>
      <c r="Q1176" s="333"/>
      <c r="R1176" s="333"/>
      <c r="S1176" s="373"/>
      <c r="T1176" s="373"/>
      <c r="U1176" s="373"/>
      <c r="V1176" s="373"/>
      <c r="W1176" s="346"/>
      <c r="X1176" s="373"/>
      <c r="Y1176" s="336" t="str">
        <f t="shared" ca="1" si="23"/>
        <v/>
      </c>
      <c r="Z1176" s="373"/>
      <c r="AA1176" s="373"/>
      <c r="AB1176" s="373"/>
      <c r="AC1176" s="338" t="str">
        <f>VLOOKUP(F1176,'[1]CPO DATA'!$D:$I,4,FALSE)</f>
        <v>GH567</v>
      </c>
    </row>
    <row r="1177" spans="1:29" s="338" customFormat="1" ht="12.75" customHeight="1" x14ac:dyDescent="0.25">
      <c r="A1177" s="347" t="s">
        <v>3405</v>
      </c>
      <c r="B1177" s="376"/>
      <c r="C1177" s="333" t="s">
        <v>35</v>
      </c>
      <c r="D1177" s="332" t="s">
        <v>71</v>
      </c>
      <c r="E1177" s="333"/>
      <c r="F1177" s="524" t="s">
        <v>3406</v>
      </c>
      <c r="G1177" s="372" t="s">
        <v>3407</v>
      </c>
      <c r="H1177" s="333">
        <v>1</v>
      </c>
      <c r="I1177" s="333" t="s">
        <v>3408</v>
      </c>
      <c r="J1177" s="333" t="s">
        <v>31</v>
      </c>
      <c r="K1177" s="333" t="s">
        <v>32</v>
      </c>
      <c r="L1177" s="333"/>
      <c r="M1177" s="333"/>
      <c r="N1177" s="417"/>
      <c r="O1177" s="417"/>
      <c r="P1177" s="462"/>
      <c r="Q1177" s="333"/>
      <c r="R1177" s="333"/>
      <c r="S1177" s="373"/>
      <c r="T1177" s="373"/>
      <c r="U1177" s="373"/>
      <c r="V1177" s="373"/>
      <c r="W1177" s="346">
        <v>45509</v>
      </c>
      <c r="X1177" s="373"/>
      <c r="Y1177" s="336" t="str">
        <f t="shared" ca="1" si="23"/>
        <v/>
      </c>
      <c r="Z1177" s="373"/>
      <c r="AA1177" s="373"/>
      <c r="AB1177" s="373"/>
    </row>
    <row r="1178" spans="1:29" s="338" customFormat="1" ht="12.75" customHeight="1" x14ac:dyDescent="0.25">
      <c r="A1178" s="347" t="s">
        <v>3409</v>
      </c>
      <c r="B1178" s="376">
        <v>45395</v>
      </c>
      <c r="C1178" s="396" t="s">
        <v>26</v>
      </c>
      <c r="D1178" s="332" t="s">
        <v>1377</v>
      </c>
      <c r="E1178" s="333"/>
      <c r="F1178" s="524">
        <v>816102</v>
      </c>
      <c r="G1178" s="372" t="s">
        <v>2994</v>
      </c>
      <c r="H1178" s="333">
        <v>6</v>
      </c>
      <c r="I1178" s="333" t="s">
        <v>3410</v>
      </c>
      <c r="J1178" s="333" t="s">
        <v>541</v>
      </c>
      <c r="K1178" s="333" t="s">
        <v>32</v>
      </c>
      <c r="L1178" s="333"/>
      <c r="M1178" s="333"/>
      <c r="N1178" s="417"/>
      <c r="O1178" s="417"/>
      <c r="P1178" s="462">
        <v>45397</v>
      </c>
      <c r="Q1178" s="333"/>
      <c r="R1178" s="333"/>
      <c r="S1178" s="373"/>
      <c r="T1178" s="373"/>
      <c r="U1178" s="373"/>
      <c r="V1178" s="373"/>
      <c r="W1178" s="346"/>
      <c r="X1178" s="373"/>
      <c r="Y1178" s="336">
        <f t="shared" ca="1" si="23"/>
        <v>189</v>
      </c>
      <c r="Z1178" s="373"/>
      <c r="AA1178" s="373"/>
      <c r="AB1178" s="373"/>
    </row>
    <row r="1179" spans="1:29" s="338" customFormat="1" ht="12.75" customHeight="1" x14ac:dyDescent="0.25">
      <c r="A1179" s="347" t="s">
        <v>3411</v>
      </c>
      <c r="B1179" s="376">
        <v>45395</v>
      </c>
      <c r="C1179" s="396" t="s">
        <v>26</v>
      </c>
      <c r="D1179" s="332" t="s">
        <v>3189</v>
      </c>
      <c r="E1179" s="333"/>
      <c r="F1179" s="524">
        <v>2006759</v>
      </c>
      <c r="G1179" s="372" t="s">
        <v>3412</v>
      </c>
      <c r="H1179" s="333">
        <v>3</v>
      </c>
      <c r="I1179" s="333" t="s">
        <v>3413</v>
      </c>
      <c r="J1179" s="333" t="s">
        <v>541</v>
      </c>
      <c r="K1179" s="333" t="s">
        <v>32</v>
      </c>
      <c r="L1179" s="333"/>
      <c r="M1179" s="333"/>
      <c r="N1179" s="417"/>
      <c r="O1179" s="417"/>
      <c r="P1179" s="462">
        <v>45397</v>
      </c>
      <c r="Q1179" s="333"/>
      <c r="R1179" s="333"/>
      <c r="S1179" s="373"/>
      <c r="T1179" s="373"/>
      <c r="U1179" s="373"/>
      <c r="V1179" s="373"/>
      <c r="W1179" s="346"/>
      <c r="X1179" s="373"/>
      <c r="Y1179" s="336">
        <f t="shared" ca="1" si="23"/>
        <v>189</v>
      </c>
      <c r="Z1179" s="373"/>
      <c r="AA1179" s="373"/>
      <c r="AB1179" s="373"/>
    </row>
    <row r="1180" spans="1:29" s="338" customFormat="1" ht="12.75" customHeight="1" x14ac:dyDescent="0.25">
      <c r="A1180" s="347" t="s">
        <v>3414</v>
      </c>
      <c r="B1180" s="376">
        <v>45395</v>
      </c>
      <c r="C1180" s="396" t="s">
        <v>26</v>
      </c>
      <c r="D1180" s="332" t="s">
        <v>3189</v>
      </c>
      <c r="E1180" s="333"/>
      <c r="F1180" s="524">
        <v>816102</v>
      </c>
      <c r="G1180" s="372" t="s">
        <v>2994</v>
      </c>
      <c r="H1180" s="333">
        <v>6</v>
      </c>
      <c r="I1180" s="333" t="s">
        <v>3413</v>
      </c>
      <c r="J1180" s="333" t="s">
        <v>541</v>
      </c>
      <c r="K1180" s="333" t="s">
        <v>32</v>
      </c>
      <c r="L1180" s="333"/>
      <c r="M1180" s="333"/>
      <c r="N1180" s="417"/>
      <c r="O1180" s="417"/>
      <c r="P1180" s="462">
        <v>45397</v>
      </c>
      <c r="Q1180" s="333"/>
      <c r="R1180" s="333"/>
      <c r="S1180" s="373"/>
      <c r="T1180" s="373"/>
      <c r="U1180" s="373"/>
      <c r="V1180" s="373"/>
      <c r="W1180" s="346"/>
      <c r="X1180" s="373"/>
      <c r="Y1180" s="336">
        <f t="shared" ca="1" si="23"/>
        <v>189</v>
      </c>
      <c r="Z1180" s="373"/>
      <c r="AA1180" s="373"/>
      <c r="AB1180" s="373"/>
    </row>
    <row r="1181" spans="1:29" s="338" customFormat="1" ht="12.75" customHeight="1" x14ac:dyDescent="0.25">
      <c r="A1181" s="347" t="s">
        <v>3415</v>
      </c>
      <c r="B1181" s="334">
        <v>45395</v>
      </c>
      <c r="C1181" s="396" t="s">
        <v>26</v>
      </c>
      <c r="D1181" s="332" t="s">
        <v>3189</v>
      </c>
      <c r="E1181" s="333"/>
      <c r="F1181" s="524">
        <v>1456761</v>
      </c>
      <c r="G1181" s="372" t="s">
        <v>3416</v>
      </c>
      <c r="H1181" s="333">
        <v>1</v>
      </c>
      <c r="I1181" s="333" t="s">
        <v>3413</v>
      </c>
      <c r="J1181" s="333" t="s">
        <v>68</v>
      </c>
      <c r="K1181" s="333" t="s">
        <v>69</v>
      </c>
      <c r="L1181" s="333"/>
      <c r="M1181" s="333"/>
      <c r="N1181" s="417"/>
      <c r="O1181" s="417"/>
      <c r="P1181" s="462">
        <v>45397</v>
      </c>
      <c r="Q1181" s="333"/>
      <c r="R1181" s="333"/>
      <c r="S1181" s="373"/>
      <c r="T1181" s="373"/>
      <c r="U1181" s="373"/>
      <c r="V1181" s="373"/>
      <c r="W1181" s="346"/>
      <c r="X1181" s="373"/>
      <c r="Y1181" s="336">
        <f t="shared" ca="1" si="23"/>
        <v>189</v>
      </c>
      <c r="Z1181" s="373"/>
      <c r="AA1181" s="373"/>
      <c r="AB1181" s="373"/>
    </row>
    <row r="1182" spans="1:29" s="338" customFormat="1" ht="12.75" customHeight="1" x14ac:dyDescent="0.25">
      <c r="A1182" s="347" t="s">
        <v>3417</v>
      </c>
      <c r="B1182" s="334">
        <v>45395</v>
      </c>
      <c r="C1182" s="396" t="s">
        <v>26</v>
      </c>
      <c r="D1182" s="332" t="s">
        <v>2631</v>
      </c>
      <c r="E1182" s="333"/>
      <c r="F1182" s="524">
        <v>2710411</v>
      </c>
      <c r="G1182" s="372" t="s">
        <v>3418</v>
      </c>
      <c r="H1182" s="333">
        <v>1</v>
      </c>
      <c r="I1182" s="333" t="s">
        <v>2640</v>
      </c>
      <c r="J1182" s="333" t="s">
        <v>2627</v>
      </c>
      <c r="K1182" s="333" t="s">
        <v>69</v>
      </c>
      <c r="L1182" s="333"/>
      <c r="M1182" s="333"/>
      <c r="N1182" s="417"/>
      <c r="O1182" s="417"/>
      <c r="P1182" s="462">
        <v>45397</v>
      </c>
      <c r="Q1182" s="333"/>
      <c r="R1182" s="333"/>
      <c r="S1182" s="373"/>
      <c r="T1182" s="373"/>
      <c r="U1182" s="373"/>
      <c r="V1182" s="373"/>
      <c r="W1182" s="346"/>
      <c r="X1182" s="373"/>
      <c r="Y1182" s="336">
        <f t="shared" ca="1" si="23"/>
        <v>189</v>
      </c>
      <c r="Z1182" s="373"/>
      <c r="AA1182" s="373"/>
      <c r="AB1182" s="373"/>
    </row>
    <row r="1183" spans="1:29" s="338" customFormat="1" ht="12.75" customHeight="1" x14ac:dyDescent="0.25">
      <c r="A1183" s="347" t="s">
        <v>3419</v>
      </c>
      <c r="B1183" s="334">
        <v>45397</v>
      </c>
      <c r="C1183" s="396" t="s">
        <v>60</v>
      </c>
      <c r="D1183" s="332" t="s">
        <v>880</v>
      </c>
      <c r="E1183" s="333"/>
      <c r="F1183" s="524" t="s">
        <v>3420</v>
      </c>
      <c r="G1183" s="372" t="s">
        <v>3421</v>
      </c>
      <c r="H1183" s="333">
        <v>1</v>
      </c>
      <c r="I1183" s="333">
        <v>385</v>
      </c>
      <c r="J1183" s="333" t="s">
        <v>68</v>
      </c>
      <c r="K1183" s="333" t="s">
        <v>69</v>
      </c>
      <c r="L1183" s="333"/>
      <c r="M1183" s="333"/>
      <c r="N1183" s="417"/>
      <c r="O1183" s="417"/>
      <c r="P1183" s="462"/>
      <c r="Q1183" s="333"/>
      <c r="R1183" s="333"/>
      <c r="S1183" s="373"/>
      <c r="T1183" s="373"/>
      <c r="U1183" s="373"/>
      <c r="V1183" s="373"/>
      <c r="W1183" s="346"/>
      <c r="X1183" s="373"/>
      <c r="Y1183" s="336" t="str">
        <f t="shared" ca="1" si="23"/>
        <v/>
      </c>
      <c r="Z1183" s="373"/>
      <c r="AA1183" s="373"/>
      <c r="AB1183" s="373"/>
    </row>
    <row r="1184" spans="1:29" s="338" customFormat="1" ht="12.75" customHeight="1" x14ac:dyDescent="0.25">
      <c r="A1184" s="347" t="s">
        <v>3422</v>
      </c>
      <c r="B1184" s="334">
        <v>45397</v>
      </c>
      <c r="C1184" s="396" t="s">
        <v>60</v>
      </c>
      <c r="D1184" s="332" t="s">
        <v>880</v>
      </c>
      <c r="E1184" s="333"/>
      <c r="F1184" s="524" t="s">
        <v>3423</v>
      </c>
      <c r="G1184" s="372" t="s">
        <v>1352</v>
      </c>
      <c r="H1184" s="333">
        <v>36</v>
      </c>
      <c r="I1184" s="333">
        <v>386</v>
      </c>
      <c r="J1184" s="333" t="s">
        <v>43</v>
      </c>
      <c r="K1184" s="333" t="s">
        <v>32</v>
      </c>
      <c r="L1184" s="333"/>
      <c r="M1184" s="333"/>
      <c r="N1184" s="417"/>
      <c r="O1184" s="417"/>
      <c r="P1184" s="462"/>
      <c r="Q1184" s="333"/>
      <c r="R1184" s="333"/>
      <c r="S1184" s="373"/>
      <c r="T1184" s="373"/>
      <c r="U1184" s="373"/>
      <c r="V1184" s="373"/>
      <c r="W1184" s="346"/>
      <c r="X1184" s="373"/>
      <c r="Y1184" s="336" t="str">
        <f t="shared" ca="1" si="23"/>
        <v/>
      </c>
      <c r="Z1184" s="373"/>
      <c r="AA1184" s="373"/>
      <c r="AB1184" s="373" t="s">
        <v>3424</v>
      </c>
    </row>
    <row r="1185" spans="1:30" ht="12.75" customHeight="1" x14ac:dyDescent="0.25">
      <c r="A1185" s="347" t="s">
        <v>3425</v>
      </c>
      <c r="B1185" s="334">
        <v>45398</v>
      </c>
      <c r="C1185" s="396" t="s">
        <v>60</v>
      </c>
      <c r="D1185" s="332" t="s">
        <v>880</v>
      </c>
      <c r="E1185" s="333"/>
      <c r="F1185" s="524" t="s">
        <v>3426</v>
      </c>
      <c r="G1185" s="372" t="s">
        <v>3427</v>
      </c>
      <c r="H1185" s="333">
        <v>1</v>
      </c>
      <c r="I1185" s="333">
        <v>388</v>
      </c>
      <c r="J1185" s="333" t="s">
        <v>31</v>
      </c>
      <c r="K1185" s="333" t="s">
        <v>32</v>
      </c>
      <c r="L1185" s="333"/>
      <c r="M1185" s="333"/>
      <c r="N1185" s="417"/>
      <c r="O1185" s="417"/>
      <c r="P1185" s="462"/>
      <c r="Q1185" s="333"/>
      <c r="R1185" s="333"/>
      <c r="S1185" s="373"/>
      <c r="T1185" s="373"/>
      <c r="U1185" s="373"/>
      <c r="V1185" s="373"/>
      <c r="W1185" s="346"/>
      <c r="X1185" s="373"/>
      <c r="Y1185" s="336" t="str">
        <f t="shared" ca="1" si="23"/>
        <v/>
      </c>
      <c r="Z1185" s="373"/>
      <c r="AA1185" s="373"/>
      <c r="AB1185" s="373"/>
      <c r="AD1185" s="338"/>
    </row>
    <row r="1186" spans="1:30" ht="12.75" customHeight="1" x14ac:dyDescent="0.25">
      <c r="A1186" s="347" t="s">
        <v>3428</v>
      </c>
      <c r="B1186" s="334">
        <v>45398</v>
      </c>
      <c r="C1186" s="396" t="s">
        <v>60</v>
      </c>
      <c r="D1186" s="332" t="s">
        <v>880</v>
      </c>
      <c r="E1186" s="333"/>
      <c r="F1186" s="524" t="s">
        <v>3429</v>
      </c>
      <c r="G1186" s="372" t="s">
        <v>3430</v>
      </c>
      <c r="H1186" s="333">
        <v>1</v>
      </c>
      <c r="I1186" s="333">
        <v>388</v>
      </c>
      <c r="J1186" s="333" t="s">
        <v>31</v>
      </c>
      <c r="K1186" s="333" t="s">
        <v>32</v>
      </c>
      <c r="L1186" s="333"/>
      <c r="M1186" s="333"/>
      <c r="N1186" s="417"/>
      <c r="O1186" s="417"/>
      <c r="P1186" s="462"/>
      <c r="Q1186" s="333"/>
      <c r="R1186" s="333"/>
      <c r="S1186" s="373"/>
      <c r="T1186" s="373"/>
      <c r="U1186" s="373"/>
      <c r="V1186" s="373"/>
      <c r="W1186" s="346"/>
      <c r="X1186" s="373"/>
      <c r="Y1186" s="336" t="str">
        <f t="shared" ca="1" si="23"/>
        <v/>
      </c>
      <c r="Z1186" s="373"/>
      <c r="AA1186" s="373"/>
      <c r="AB1186" s="373"/>
      <c r="AD1186" s="338"/>
    </row>
    <row r="1187" spans="1:30" ht="12.75" customHeight="1" x14ac:dyDescent="0.25">
      <c r="A1187" s="347" t="s">
        <v>3431</v>
      </c>
      <c r="B1187" s="334">
        <v>45398</v>
      </c>
      <c r="C1187" s="396" t="s">
        <v>60</v>
      </c>
      <c r="D1187" s="332" t="s">
        <v>880</v>
      </c>
      <c r="E1187" s="333"/>
      <c r="F1187" s="524" t="s">
        <v>1097</v>
      </c>
      <c r="G1187" s="372" t="s">
        <v>3432</v>
      </c>
      <c r="H1187" s="333">
        <v>1</v>
      </c>
      <c r="I1187" s="333">
        <v>388</v>
      </c>
      <c r="J1187" s="333" t="s">
        <v>43</v>
      </c>
      <c r="K1187" s="333" t="s">
        <v>32</v>
      </c>
      <c r="L1187" s="333"/>
      <c r="M1187" s="333"/>
      <c r="N1187" s="417"/>
      <c r="O1187" s="417"/>
      <c r="P1187" s="462"/>
      <c r="Q1187" s="333"/>
      <c r="R1187" s="333"/>
      <c r="S1187" s="373"/>
      <c r="T1187" s="373"/>
      <c r="U1187" s="373"/>
      <c r="V1187" s="373"/>
      <c r="W1187" s="346">
        <v>45303</v>
      </c>
      <c r="X1187" s="373"/>
      <c r="Y1187" s="336" t="str">
        <f t="shared" ca="1" si="23"/>
        <v/>
      </c>
      <c r="Z1187" s="373"/>
      <c r="AA1187" s="373"/>
      <c r="AB1187" s="373"/>
      <c r="AD1187" s="338"/>
    </row>
    <row r="1188" spans="1:30" ht="12.75" customHeight="1" x14ac:dyDescent="0.25">
      <c r="A1188" s="347" t="s">
        <v>3433</v>
      </c>
      <c r="B1188" s="334">
        <v>45397</v>
      </c>
      <c r="C1188" s="396" t="s">
        <v>60</v>
      </c>
      <c r="D1188" s="332" t="s">
        <v>880</v>
      </c>
      <c r="E1188" s="333"/>
      <c r="F1188" s="524" t="s">
        <v>1065</v>
      </c>
      <c r="G1188" s="372" t="s">
        <v>3434</v>
      </c>
      <c r="H1188" s="333">
        <v>2</v>
      </c>
      <c r="I1188" s="333">
        <v>388</v>
      </c>
      <c r="J1188" s="333" t="s">
        <v>31</v>
      </c>
      <c r="K1188" s="333" t="s">
        <v>32</v>
      </c>
      <c r="L1188" s="333"/>
      <c r="M1188" s="333"/>
      <c r="N1188" s="417"/>
      <c r="O1188" s="417"/>
      <c r="P1188" s="462"/>
      <c r="Q1188" s="333"/>
      <c r="R1188" s="333"/>
      <c r="S1188" s="373"/>
      <c r="T1188" s="373"/>
      <c r="U1188" s="373"/>
      <c r="V1188" s="373"/>
      <c r="W1188" s="346">
        <v>45443</v>
      </c>
      <c r="X1188" s="373"/>
      <c r="Y1188" s="336" t="str">
        <f t="shared" ca="1" si="23"/>
        <v/>
      </c>
      <c r="Z1188" s="373"/>
      <c r="AA1188" s="373"/>
      <c r="AB1188" s="373" t="s">
        <v>3435</v>
      </c>
      <c r="AD1188" s="338"/>
    </row>
    <row r="1189" spans="1:30" ht="12.75" customHeight="1" x14ac:dyDescent="0.25">
      <c r="A1189" s="347" t="s">
        <v>3436</v>
      </c>
      <c r="B1189" s="334">
        <v>45398</v>
      </c>
      <c r="C1189" s="396" t="s">
        <v>60</v>
      </c>
      <c r="D1189" s="332" t="s">
        <v>849</v>
      </c>
      <c r="E1189" s="333"/>
      <c r="F1189" s="524" t="s">
        <v>3437</v>
      </c>
      <c r="G1189" s="372" t="s">
        <v>3438</v>
      </c>
      <c r="H1189" s="333">
        <v>1</v>
      </c>
      <c r="I1189" s="333">
        <v>14</v>
      </c>
      <c r="J1189" s="333" t="s">
        <v>68</v>
      </c>
      <c r="K1189" s="333" t="s">
        <v>69</v>
      </c>
      <c r="L1189" s="333"/>
      <c r="M1189" s="333"/>
      <c r="N1189" s="417"/>
      <c r="O1189" s="417"/>
      <c r="P1189" s="462"/>
      <c r="Q1189" s="333"/>
      <c r="R1189" s="333"/>
      <c r="S1189" s="373"/>
      <c r="T1189" s="373"/>
      <c r="U1189" s="373"/>
      <c r="V1189" s="373"/>
      <c r="W1189" s="346"/>
      <c r="X1189" s="373"/>
      <c r="Y1189" s="336" t="str">
        <f t="shared" ca="1" si="23"/>
        <v/>
      </c>
      <c r="Z1189" s="373"/>
      <c r="AA1189" s="373"/>
      <c r="AB1189" s="373"/>
      <c r="AD1189" s="338"/>
    </row>
    <row r="1190" spans="1:30" ht="12.75" customHeight="1" x14ac:dyDescent="0.25">
      <c r="A1190" s="347" t="s">
        <v>3439</v>
      </c>
      <c r="B1190" s="334">
        <v>45398</v>
      </c>
      <c r="C1190" s="396" t="s">
        <v>26</v>
      </c>
      <c r="D1190" s="332" t="s">
        <v>1007</v>
      </c>
      <c r="E1190" s="333"/>
      <c r="F1190" s="524">
        <v>3110442</v>
      </c>
      <c r="G1190" s="372" t="s">
        <v>978</v>
      </c>
      <c r="H1190" s="333">
        <v>2</v>
      </c>
      <c r="I1190" s="333" t="s">
        <v>3025</v>
      </c>
      <c r="J1190" s="333" t="s">
        <v>31</v>
      </c>
      <c r="K1190" s="333" t="s">
        <v>32</v>
      </c>
      <c r="L1190" s="333"/>
      <c r="M1190" s="333"/>
      <c r="N1190" s="417"/>
      <c r="O1190" s="417"/>
      <c r="P1190" s="462">
        <v>45398</v>
      </c>
      <c r="Q1190" s="333"/>
      <c r="R1190" s="333"/>
      <c r="S1190" s="373"/>
      <c r="T1190" s="373"/>
      <c r="U1190" s="373"/>
      <c r="V1190" s="373"/>
      <c r="W1190" s="346"/>
      <c r="X1190" s="373"/>
      <c r="Y1190" s="336">
        <f t="shared" ca="1" si="23"/>
        <v>188</v>
      </c>
      <c r="Z1190" s="373"/>
      <c r="AA1190" s="373"/>
      <c r="AB1190" s="373"/>
      <c r="AD1190" s="338"/>
    </row>
    <row r="1191" spans="1:30" ht="12.75" customHeight="1" x14ac:dyDescent="0.25">
      <c r="A1191" s="347" t="s">
        <v>3440</v>
      </c>
      <c r="B1191" s="334">
        <v>45399</v>
      </c>
      <c r="C1191" s="396" t="s">
        <v>60</v>
      </c>
      <c r="D1191" s="332" t="s">
        <v>1843</v>
      </c>
      <c r="E1191" s="333"/>
      <c r="F1191" s="524" t="s">
        <v>3441</v>
      </c>
      <c r="G1191" s="372" t="s">
        <v>3442</v>
      </c>
      <c r="H1191" s="333">
        <v>1</v>
      </c>
      <c r="I1191" s="333">
        <v>41</v>
      </c>
      <c r="J1191" s="333" t="s">
        <v>43</v>
      </c>
      <c r="K1191" s="333" t="s">
        <v>32</v>
      </c>
      <c r="L1191" s="333"/>
      <c r="M1191" s="333"/>
      <c r="N1191" s="417"/>
      <c r="O1191" s="417"/>
      <c r="P1191" s="462">
        <v>45461</v>
      </c>
      <c r="Q1191" s="333"/>
      <c r="R1191" s="333"/>
      <c r="S1191" s="373"/>
      <c r="T1191" s="373"/>
      <c r="U1191" s="373"/>
      <c r="V1191" s="373"/>
      <c r="W1191" s="346"/>
      <c r="X1191" s="373"/>
      <c r="Y1191" s="336">
        <f t="shared" ca="1" si="23"/>
        <v>125</v>
      </c>
      <c r="Z1191" s="373"/>
      <c r="AA1191" s="373"/>
      <c r="AB1191" s="373"/>
    </row>
    <row r="1192" spans="1:30" ht="12.75" customHeight="1" x14ac:dyDescent="0.25">
      <c r="A1192" s="347" t="s">
        <v>3443</v>
      </c>
      <c r="B1192" s="334">
        <v>45393</v>
      </c>
      <c r="C1192" s="396" t="s">
        <v>60</v>
      </c>
      <c r="D1192" s="332" t="s">
        <v>880</v>
      </c>
      <c r="E1192" s="333"/>
      <c r="F1192" s="524"/>
      <c r="G1192" s="372" t="s">
        <v>3444</v>
      </c>
      <c r="H1192" s="333">
        <v>1</v>
      </c>
      <c r="I1192" s="333">
        <v>385</v>
      </c>
      <c r="J1192" s="333" t="s">
        <v>43</v>
      </c>
      <c r="K1192" s="333" t="s">
        <v>32</v>
      </c>
      <c r="L1192" s="333"/>
      <c r="M1192" s="333"/>
      <c r="N1192" s="417"/>
      <c r="O1192" s="417"/>
      <c r="P1192" s="462"/>
      <c r="Q1192" s="333"/>
      <c r="R1192" s="333"/>
      <c r="S1192" s="373"/>
      <c r="T1192" s="373"/>
      <c r="U1192" s="373"/>
      <c r="V1192" s="373"/>
      <c r="W1192" s="346"/>
      <c r="X1192" s="373"/>
      <c r="Y1192" s="336" t="str">
        <f t="shared" ca="1" si="23"/>
        <v/>
      </c>
      <c r="Z1192" s="373"/>
      <c r="AA1192" s="373"/>
      <c r="AB1192" s="373"/>
      <c r="AD1192" s="338"/>
    </row>
    <row r="1193" spans="1:30" ht="12.75" customHeight="1" x14ac:dyDescent="0.25">
      <c r="A1193" s="347" t="s">
        <v>3445</v>
      </c>
      <c r="B1193" s="334">
        <v>45401</v>
      </c>
      <c r="C1193" s="396" t="s">
        <v>60</v>
      </c>
      <c r="D1193" s="332" t="s">
        <v>880</v>
      </c>
      <c r="E1193" s="333"/>
      <c r="F1193" s="524" t="s">
        <v>3446</v>
      </c>
      <c r="G1193" s="372" t="s">
        <v>3447</v>
      </c>
      <c r="H1193" s="333">
        <v>1</v>
      </c>
      <c r="I1193" s="333">
        <v>382</v>
      </c>
      <c r="J1193" s="333" t="s">
        <v>31</v>
      </c>
      <c r="K1193" s="333" t="s">
        <v>32</v>
      </c>
      <c r="L1193" s="333"/>
      <c r="M1193" s="333"/>
      <c r="N1193" s="417"/>
      <c r="O1193" s="417"/>
      <c r="P1193" s="462"/>
      <c r="Q1193" s="333"/>
      <c r="R1193" s="333"/>
      <c r="S1193" s="373"/>
      <c r="T1193" s="373"/>
      <c r="U1193" s="373"/>
      <c r="V1193" s="373"/>
      <c r="W1193" s="346">
        <v>45303</v>
      </c>
      <c r="X1193" s="373"/>
      <c r="Y1193" s="336" t="str">
        <f t="shared" ca="1" si="23"/>
        <v/>
      </c>
      <c r="Z1193" s="373"/>
      <c r="AA1193" s="373"/>
      <c r="AB1193" s="373" t="s">
        <v>3448</v>
      </c>
      <c r="AD1193" s="338"/>
    </row>
    <row r="1194" spans="1:30" ht="12.75" customHeight="1" x14ac:dyDescent="0.25">
      <c r="A1194" s="347" t="s">
        <v>3449</v>
      </c>
      <c r="B1194" s="334">
        <v>45401</v>
      </c>
      <c r="C1194" s="396" t="s">
        <v>219</v>
      </c>
      <c r="D1194" s="332">
        <v>1918</v>
      </c>
      <c r="E1194" s="333"/>
      <c r="F1194" s="524">
        <v>585867402305</v>
      </c>
      <c r="G1194" s="372" t="s">
        <v>3450</v>
      </c>
      <c r="H1194" s="333">
        <v>2</v>
      </c>
      <c r="I1194" s="333" t="s">
        <v>277</v>
      </c>
      <c r="J1194" s="333" t="s">
        <v>541</v>
      </c>
      <c r="K1194" s="333" t="s">
        <v>32</v>
      </c>
      <c r="L1194" s="333"/>
      <c r="M1194" s="333"/>
      <c r="N1194" s="417"/>
      <c r="O1194" s="417"/>
      <c r="P1194" s="462">
        <v>45401</v>
      </c>
      <c r="Q1194" s="333"/>
      <c r="R1194" s="333"/>
      <c r="S1194" s="373"/>
      <c r="T1194" s="373"/>
      <c r="U1194" s="373"/>
      <c r="V1194" s="373"/>
      <c r="W1194" s="346"/>
      <c r="X1194" s="373">
        <v>2</v>
      </c>
      <c r="Y1194" s="336">
        <f t="shared" ca="1" si="23"/>
        <v>185</v>
      </c>
      <c r="Z1194" s="373"/>
      <c r="AA1194" s="373"/>
      <c r="AB1194" s="373" t="s">
        <v>3451</v>
      </c>
      <c r="AD1194" s="338"/>
    </row>
    <row r="1195" spans="1:30" ht="12.75" customHeight="1" x14ac:dyDescent="0.25">
      <c r="A1195" s="347" t="s">
        <v>3452</v>
      </c>
      <c r="B1195" s="334">
        <v>45401</v>
      </c>
      <c r="C1195" s="396" t="s">
        <v>219</v>
      </c>
      <c r="D1195" s="332">
        <v>1918</v>
      </c>
      <c r="E1195" s="333"/>
      <c r="F1195" s="524">
        <v>585867402306</v>
      </c>
      <c r="G1195" s="372" t="s">
        <v>3453</v>
      </c>
      <c r="H1195" s="333">
        <v>2</v>
      </c>
      <c r="I1195" s="333" t="s">
        <v>277</v>
      </c>
      <c r="J1195" s="333" t="s">
        <v>541</v>
      </c>
      <c r="K1195" s="333" t="s">
        <v>32</v>
      </c>
      <c r="L1195" s="333"/>
      <c r="M1195" s="333"/>
      <c r="N1195" s="417"/>
      <c r="O1195" s="417"/>
      <c r="P1195" s="462">
        <v>45401</v>
      </c>
      <c r="Q1195" s="333"/>
      <c r="R1195" s="333"/>
      <c r="S1195" s="373"/>
      <c r="T1195" s="373"/>
      <c r="U1195" s="373"/>
      <c r="V1195" s="373"/>
      <c r="W1195" s="346"/>
      <c r="X1195" s="373">
        <v>2</v>
      </c>
      <c r="Y1195" s="336">
        <f t="shared" ca="1" si="23"/>
        <v>185</v>
      </c>
      <c r="Z1195" s="373"/>
      <c r="AA1195" s="373"/>
      <c r="AB1195" s="373" t="s">
        <v>3451</v>
      </c>
      <c r="AD1195" s="338"/>
    </row>
    <row r="1196" spans="1:30" ht="12.75" customHeight="1" x14ac:dyDescent="0.25">
      <c r="A1196" s="347" t="s">
        <v>3454</v>
      </c>
      <c r="B1196" s="334">
        <v>45401</v>
      </c>
      <c r="C1196" s="396" t="s">
        <v>219</v>
      </c>
      <c r="D1196" s="332">
        <v>1918</v>
      </c>
      <c r="E1196" s="333"/>
      <c r="F1196" s="524">
        <v>550754500157</v>
      </c>
      <c r="G1196" s="372" t="s">
        <v>3455</v>
      </c>
      <c r="H1196" s="333">
        <v>1</v>
      </c>
      <c r="I1196" s="333" t="s">
        <v>277</v>
      </c>
      <c r="J1196" s="333" t="s">
        <v>31</v>
      </c>
      <c r="K1196" s="333" t="s">
        <v>32</v>
      </c>
      <c r="L1196" s="333"/>
      <c r="M1196" s="333"/>
      <c r="N1196" s="417"/>
      <c r="O1196" s="417"/>
      <c r="P1196" s="462">
        <v>45401</v>
      </c>
      <c r="Q1196" s="333"/>
      <c r="R1196" s="333"/>
      <c r="S1196" s="373"/>
      <c r="T1196" s="373"/>
      <c r="U1196" s="373"/>
      <c r="V1196" s="373"/>
      <c r="W1196" s="346">
        <v>45443</v>
      </c>
      <c r="X1196" s="373">
        <v>1</v>
      </c>
      <c r="Y1196" s="336">
        <f t="shared" ca="1" si="23"/>
        <v>42</v>
      </c>
      <c r="Z1196" s="373"/>
      <c r="AA1196" s="373"/>
      <c r="AB1196" s="373"/>
      <c r="AD1196" s="338"/>
    </row>
    <row r="1197" spans="1:30" ht="12.75" customHeight="1" x14ac:dyDescent="0.25">
      <c r="A1197" s="347" t="s">
        <v>3456</v>
      </c>
      <c r="B1197" s="334">
        <v>45401</v>
      </c>
      <c r="C1197" s="396" t="s">
        <v>219</v>
      </c>
      <c r="D1197" s="332">
        <v>1918</v>
      </c>
      <c r="E1197" s="333"/>
      <c r="F1197" s="524">
        <v>287154800105</v>
      </c>
      <c r="G1197" s="372" t="s">
        <v>3457</v>
      </c>
      <c r="H1197" s="333">
        <v>2</v>
      </c>
      <c r="I1197" s="333" t="s">
        <v>277</v>
      </c>
      <c r="J1197" s="333" t="s">
        <v>541</v>
      </c>
      <c r="K1197" s="333" t="s">
        <v>32</v>
      </c>
      <c r="L1197" s="333"/>
      <c r="M1197" s="333"/>
      <c r="N1197" s="417"/>
      <c r="O1197" s="417"/>
      <c r="P1197" s="462">
        <v>45401</v>
      </c>
      <c r="Q1197" s="333"/>
      <c r="R1197" s="333"/>
      <c r="S1197" s="373"/>
      <c r="T1197" s="373"/>
      <c r="U1197" s="373"/>
      <c r="V1197" s="373"/>
      <c r="W1197" s="346">
        <v>45443</v>
      </c>
      <c r="X1197" s="373">
        <v>2</v>
      </c>
      <c r="Y1197" s="336">
        <f t="shared" ca="1" si="23"/>
        <v>42</v>
      </c>
      <c r="Z1197" s="373"/>
      <c r="AA1197" s="373"/>
      <c r="AB1197" s="373"/>
      <c r="AD1197" s="338"/>
    </row>
    <row r="1198" spans="1:30" ht="12.75" customHeight="1" x14ac:dyDescent="0.25">
      <c r="A1198" s="347" t="s">
        <v>3458</v>
      </c>
      <c r="B1198" s="334">
        <v>45386</v>
      </c>
      <c r="C1198" s="396" t="s">
        <v>219</v>
      </c>
      <c r="D1198" s="332">
        <v>1918</v>
      </c>
      <c r="E1198" s="333"/>
      <c r="F1198" s="524">
        <v>553029303304</v>
      </c>
      <c r="G1198" s="372" t="s">
        <v>3459</v>
      </c>
      <c r="H1198" s="333">
        <v>2</v>
      </c>
      <c r="I1198" s="333" t="s">
        <v>277</v>
      </c>
      <c r="J1198" s="333" t="s">
        <v>541</v>
      </c>
      <c r="K1198" s="333" t="s">
        <v>32</v>
      </c>
      <c r="L1198" s="333"/>
      <c r="M1198" s="333"/>
      <c r="N1198" s="417"/>
      <c r="O1198" s="417"/>
      <c r="P1198" s="462">
        <v>45401</v>
      </c>
      <c r="Q1198" s="333"/>
      <c r="R1198" s="333"/>
      <c r="S1198" s="373"/>
      <c r="T1198" s="373"/>
      <c r="U1198" s="373"/>
      <c r="V1198" s="373"/>
      <c r="W1198" s="346">
        <v>45443</v>
      </c>
      <c r="X1198" s="373">
        <v>2</v>
      </c>
      <c r="Y1198" s="336">
        <f t="shared" ca="1" si="23"/>
        <v>42</v>
      </c>
      <c r="Z1198" s="373"/>
      <c r="AA1198" s="373"/>
      <c r="AB1198" s="373"/>
      <c r="AD1198" s="338"/>
    </row>
    <row r="1199" spans="1:30" ht="12.75" customHeight="1" x14ac:dyDescent="0.25">
      <c r="A1199" s="347" t="s">
        <v>3460</v>
      </c>
      <c r="B1199" s="334">
        <v>45386</v>
      </c>
      <c r="C1199" s="396" t="s">
        <v>219</v>
      </c>
      <c r="D1199" s="332">
        <v>1918</v>
      </c>
      <c r="E1199" s="333"/>
      <c r="F1199" s="524">
        <v>570950108228</v>
      </c>
      <c r="G1199" s="372" t="s">
        <v>3461</v>
      </c>
      <c r="H1199" s="333">
        <v>2</v>
      </c>
      <c r="I1199" s="333" t="s">
        <v>277</v>
      </c>
      <c r="J1199" s="333" t="s">
        <v>541</v>
      </c>
      <c r="K1199" s="333" t="s">
        <v>32</v>
      </c>
      <c r="L1199" s="333"/>
      <c r="M1199" s="333"/>
      <c r="N1199" s="417"/>
      <c r="O1199" s="417"/>
      <c r="P1199" s="462">
        <v>45401</v>
      </c>
      <c r="Q1199" s="333"/>
      <c r="R1199" s="333"/>
      <c r="S1199" s="373"/>
      <c r="T1199" s="373"/>
      <c r="U1199" s="373"/>
      <c r="V1199" s="373"/>
      <c r="W1199" s="346">
        <v>45446</v>
      </c>
      <c r="X1199" s="373">
        <v>2</v>
      </c>
      <c r="Y1199" s="336">
        <f t="shared" ca="1" si="23"/>
        <v>45</v>
      </c>
      <c r="Z1199" s="373"/>
      <c r="AA1199" s="373"/>
      <c r="AB1199" s="373"/>
      <c r="AD1199" s="338"/>
    </row>
    <row r="1200" spans="1:30" ht="12.75" customHeight="1" x14ac:dyDescent="0.25">
      <c r="A1200" s="347" t="s">
        <v>3462</v>
      </c>
      <c r="B1200" s="334">
        <v>45386</v>
      </c>
      <c r="C1200" s="396" t="s">
        <v>219</v>
      </c>
      <c r="D1200" s="332">
        <v>1918</v>
      </c>
      <c r="E1200" s="333"/>
      <c r="F1200" s="524">
        <v>570914604205</v>
      </c>
      <c r="G1200" s="372" t="s">
        <v>3463</v>
      </c>
      <c r="H1200" s="333">
        <v>8</v>
      </c>
      <c r="I1200" s="333" t="s">
        <v>277</v>
      </c>
      <c r="J1200" s="333" t="s">
        <v>541</v>
      </c>
      <c r="K1200" s="333" t="s">
        <v>32</v>
      </c>
      <c r="L1200" s="333"/>
      <c r="M1200" s="333"/>
      <c r="N1200" s="417"/>
      <c r="O1200" s="417"/>
      <c r="P1200" s="462">
        <v>45401</v>
      </c>
      <c r="Q1200" s="333"/>
      <c r="R1200" s="333"/>
      <c r="S1200" s="373"/>
      <c r="T1200" s="373"/>
      <c r="U1200" s="373"/>
      <c r="V1200" s="373"/>
      <c r="W1200" s="346">
        <v>45443</v>
      </c>
      <c r="X1200" s="373">
        <v>8</v>
      </c>
      <c r="Y1200" s="336">
        <f t="shared" ca="1" si="23"/>
        <v>42</v>
      </c>
      <c r="Z1200" s="373"/>
      <c r="AA1200" s="373"/>
      <c r="AB1200" s="373"/>
      <c r="AD1200" s="338"/>
    </row>
    <row r="1201" spans="1:30" ht="12.75" customHeight="1" x14ac:dyDescent="0.25">
      <c r="A1201" s="347" t="s">
        <v>3464</v>
      </c>
      <c r="B1201" s="334">
        <v>45386</v>
      </c>
      <c r="C1201" s="396" t="s">
        <v>219</v>
      </c>
      <c r="D1201" s="332">
        <v>1918</v>
      </c>
      <c r="E1201" s="333"/>
      <c r="F1201" s="524">
        <v>254750104220</v>
      </c>
      <c r="G1201" s="372" t="s">
        <v>3465</v>
      </c>
      <c r="H1201" s="333">
        <v>4</v>
      </c>
      <c r="I1201" s="333" t="s">
        <v>277</v>
      </c>
      <c r="J1201" s="333" t="s">
        <v>541</v>
      </c>
      <c r="K1201" s="333" t="s">
        <v>32</v>
      </c>
      <c r="L1201" s="333"/>
      <c r="M1201" s="333"/>
      <c r="N1201" s="417"/>
      <c r="O1201" s="417"/>
      <c r="P1201" s="462">
        <v>45401</v>
      </c>
      <c r="Q1201" s="333"/>
      <c r="R1201" s="333"/>
      <c r="S1201" s="373"/>
      <c r="T1201" s="373"/>
      <c r="U1201" s="373"/>
      <c r="V1201" s="373"/>
      <c r="W1201" s="346">
        <v>45446</v>
      </c>
      <c r="X1201" s="373">
        <v>4</v>
      </c>
      <c r="Y1201" s="336">
        <f t="shared" ca="1" si="23"/>
        <v>45</v>
      </c>
      <c r="Z1201" s="373"/>
      <c r="AA1201" s="373"/>
      <c r="AB1201" s="373"/>
      <c r="AD1201" s="338"/>
    </row>
    <row r="1202" spans="1:30" ht="12.75" customHeight="1" x14ac:dyDescent="0.25">
      <c r="A1202" s="347" t="s">
        <v>3466</v>
      </c>
      <c r="B1202" s="334">
        <v>45386</v>
      </c>
      <c r="C1202" s="396" t="s">
        <v>219</v>
      </c>
      <c r="D1202" s="332">
        <v>1918</v>
      </c>
      <c r="E1202" s="333"/>
      <c r="F1202" s="524">
        <v>14280500705</v>
      </c>
      <c r="G1202" s="372" t="s">
        <v>3467</v>
      </c>
      <c r="H1202" s="333">
        <v>6</v>
      </c>
      <c r="I1202" s="333" t="s">
        <v>277</v>
      </c>
      <c r="J1202" s="333" t="s">
        <v>541</v>
      </c>
      <c r="K1202" s="333" t="s">
        <v>32</v>
      </c>
      <c r="L1202" s="333"/>
      <c r="M1202" s="333"/>
      <c r="N1202" s="417"/>
      <c r="O1202" s="417"/>
      <c r="P1202" s="462">
        <v>45401</v>
      </c>
      <c r="Q1202" s="333"/>
      <c r="R1202" s="333"/>
      <c r="S1202" s="373"/>
      <c r="T1202" s="373"/>
      <c r="U1202" s="373"/>
      <c r="V1202" s="373"/>
      <c r="W1202" s="346">
        <v>45443</v>
      </c>
      <c r="X1202" s="373">
        <v>6</v>
      </c>
      <c r="Y1202" s="336">
        <f t="shared" ca="1" si="23"/>
        <v>42</v>
      </c>
      <c r="Z1202" s="373"/>
      <c r="AA1202" s="373"/>
      <c r="AB1202" s="373"/>
      <c r="AD1202" s="338"/>
    </row>
    <row r="1203" spans="1:30" ht="12.75" customHeight="1" x14ac:dyDescent="0.25">
      <c r="A1203" s="347" t="s">
        <v>3468</v>
      </c>
      <c r="B1203" s="334">
        <v>45386</v>
      </c>
      <c r="C1203" s="396" t="s">
        <v>219</v>
      </c>
      <c r="D1203" s="332">
        <v>1918</v>
      </c>
      <c r="E1203" s="333"/>
      <c r="F1203" s="524">
        <v>570914604207</v>
      </c>
      <c r="G1203" s="372" t="s">
        <v>3469</v>
      </c>
      <c r="H1203" s="333">
        <v>4</v>
      </c>
      <c r="I1203" s="333" t="s">
        <v>277</v>
      </c>
      <c r="J1203" s="333" t="s">
        <v>541</v>
      </c>
      <c r="K1203" s="333" t="s">
        <v>32</v>
      </c>
      <c r="L1203" s="333"/>
      <c r="M1203" s="333"/>
      <c r="N1203" s="417"/>
      <c r="O1203" s="417"/>
      <c r="P1203" s="462">
        <v>45401</v>
      </c>
      <c r="Q1203" s="333"/>
      <c r="R1203" s="333"/>
      <c r="S1203" s="373"/>
      <c r="T1203" s="373"/>
      <c r="U1203" s="373"/>
      <c r="V1203" s="373"/>
      <c r="W1203" s="346">
        <v>45443</v>
      </c>
      <c r="X1203" s="373">
        <v>4</v>
      </c>
      <c r="Y1203" s="336">
        <f t="shared" ca="1" si="23"/>
        <v>42</v>
      </c>
      <c r="Z1203" s="373"/>
      <c r="AA1203" s="373"/>
      <c r="AB1203" s="373"/>
      <c r="AD1203" s="338"/>
    </row>
    <row r="1204" spans="1:30" ht="12.75" customHeight="1" x14ac:dyDescent="0.25">
      <c r="A1204" s="347" t="s">
        <v>3470</v>
      </c>
      <c r="B1204" s="334">
        <v>45386</v>
      </c>
      <c r="C1204" s="396" t="s">
        <v>219</v>
      </c>
      <c r="D1204" s="332">
        <v>1918</v>
      </c>
      <c r="E1204" s="333"/>
      <c r="F1204" s="524">
        <v>254714604215</v>
      </c>
      <c r="G1204" s="372" t="s">
        <v>3471</v>
      </c>
      <c r="H1204" s="333">
        <v>2</v>
      </c>
      <c r="I1204" s="333" t="s">
        <v>277</v>
      </c>
      <c r="J1204" s="333" t="s">
        <v>541</v>
      </c>
      <c r="K1204" s="333" t="s">
        <v>32</v>
      </c>
      <c r="L1204" s="333"/>
      <c r="M1204" s="333"/>
      <c r="N1204" s="417"/>
      <c r="O1204" s="417"/>
      <c r="P1204" s="462">
        <v>45401</v>
      </c>
      <c r="Q1204" s="333"/>
      <c r="R1204" s="333"/>
      <c r="S1204" s="373"/>
      <c r="T1204" s="373"/>
      <c r="U1204" s="373"/>
      <c r="V1204" s="373"/>
      <c r="W1204" s="346">
        <v>45446</v>
      </c>
      <c r="X1204" s="373">
        <v>2</v>
      </c>
      <c r="Y1204" s="336">
        <f t="shared" ca="1" si="23"/>
        <v>45</v>
      </c>
      <c r="Z1204" s="373"/>
      <c r="AA1204" s="373"/>
      <c r="AB1204" s="373"/>
      <c r="AD1204" s="338"/>
    </row>
    <row r="1205" spans="1:30" ht="12.75" customHeight="1" x14ac:dyDescent="0.25">
      <c r="A1205" s="347" t="s">
        <v>3472</v>
      </c>
      <c r="B1205" s="334">
        <v>45401</v>
      </c>
      <c r="C1205" s="396" t="s">
        <v>219</v>
      </c>
      <c r="D1205" s="332">
        <v>1918</v>
      </c>
      <c r="E1205" s="333"/>
      <c r="F1205" s="524">
        <v>14280500454</v>
      </c>
      <c r="G1205" s="372" t="s">
        <v>3473</v>
      </c>
      <c r="H1205" s="333">
        <v>2</v>
      </c>
      <c r="I1205" s="333" t="s">
        <v>277</v>
      </c>
      <c r="J1205" s="333" t="s">
        <v>541</v>
      </c>
      <c r="K1205" s="333" t="s">
        <v>32</v>
      </c>
      <c r="L1205" s="333"/>
      <c r="M1205" s="333"/>
      <c r="N1205" s="417"/>
      <c r="O1205" s="417"/>
      <c r="P1205" s="462">
        <v>45401</v>
      </c>
      <c r="Q1205" s="333"/>
      <c r="R1205" s="333"/>
      <c r="S1205" s="373"/>
      <c r="T1205" s="373"/>
      <c r="U1205" s="373"/>
      <c r="V1205" s="373"/>
      <c r="W1205" s="346">
        <v>45446</v>
      </c>
      <c r="X1205" s="373">
        <v>2</v>
      </c>
      <c r="Y1205" s="336">
        <f t="shared" ca="1" si="23"/>
        <v>45</v>
      </c>
      <c r="Z1205" s="373"/>
      <c r="AA1205" s="373"/>
      <c r="AB1205" s="373"/>
      <c r="AD1205" s="338"/>
    </row>
    <row r="1206" spans="1:30" ht="12.75" customHeight="1" x14ac:dyDescent="0.25">
      <c r="A1206" s="347" t="s">
        <v>3474</v>
      </c>
      <c r="B1206" s="334">
        <v>45386</v>
      </c>
      <c r="C1206" s="396" t="s">
        <v>219</v>
      </c>
      <c r="D1206" s="332">
        <v>1918</v>
      </c>
      <c r="E1206" s="333"/>
      <c r="F1206" s="524">
        <v>570914604208</v>
      </c>
      <c r="G1206" s="372" t="s">
        <v>3475</v>
      </c>
      <c r="H1206" s="333">
        <v>2</v>
      </c>
      <c r="I1206" s="333" t="s">
        <v>277</v>
      </c>
      <c r="J1206" s="333" t="s">
        <v>541</v>
      </c>
      <c r="K1206" s="333" t="s">
        <v>32</v>
      </c>
      <c r="L1206" s="333"/>
      <c r="M1206" s="333"/>
      <c r="N1206" s="417"/>
      <c r="O1206" s="417"/>
      <c r="P1206" s="462">
        <v>45401</v>
      </c>
      <c r="Q1206" s="333"/>
      <c r="R1206" s="333"/>
      <c r="S1206" s="373"/>
      <c r="T1206" s="373"/>
      <c r="U1206" s="373"/>
      <c r="V1206" s="373"/>
      <c r="W1206" s="346">
        <v>45446</v>
      </c>
      <c r="X1206" s="373">
        <v>2</v>
      </c>
      <c r="Y1206" s="336">
        <f t="shared" ca="1" si="23"/>
        <v>45</v>
      </c>
      <c r="Z1206" s="373"/>
      <c r="AA1206" s="373"/>
      <c r="AB1206" s="373"/>
      <c r="AD1206" s="338"/>
    </row>
    <row r="1207" spans="1:30" ht="12.75" customHeight="1" x14ac:dyDescent="0.25">
      <c r="A1207" s="347" t="s">
        <v>3476</v>
      </c>
      <c r="B1207" s="334">
        <v>45401</v>
      </c>
      <c r="C1207" s="396" t="s">
        <v>219</v>
      </c>
      <c r="D1207" s="332">
        <v>1918</v>
      </c>
      <c r="E1207" s="333"/>
      <c r="F1207" s="524">
        <v>275446804201</v>
      </c>
      <c r="G1207" s="372" t="s">
        <v>3477</v>
      </c>
      <c r="H1207" s="333">
        <v>12</v>
      </c>
      <c r="I1207" s="333" t="s">
        <v>277</v>
      </c>
      <c r="J1207" s="333" t="s">
        <v>541</v>
      </c>
      <c r="K1207" s="333" t="s">
        <v>32</v>
      </c>
      <c r="L1207" s="333"/>
      <c r="M1207" s="333"/>
      <c r="N1207" s="417"/>
      <c r="O1207" s="417"/>
      <c r="P1207" s="462">
        <v>45401</v>
      </c>
      <c r="Q1207" s="333"/>
      <c r="R1207" s="333"/>
      <c r="S1207" s="373"/>
      <c r="T1207" s="373"/>
      <c r="U1207" s="373"/>
      <c r="V1207" s="373"/>
      <c r="W1207" s="346">
        <v>45443</v>
      </c>
      <c r="X1207" s="373">
        <v>12</v>
      </c>
      <c r="Y1207" s="336">
        <f t="shared" ca="1" si="23"/>
        <v>42</v>
      </c>
      <c r="Z1207" s="373"/>
      <c r="AA1207" s="373"/>
      <c r="AB1207" s="373"/>
      <c r="AD1207" s="338"/>
    </row>
    <row r="1208" spans="1:30" ht="12.75" customHeight="1" x14ac:dyDescent="0.25">
      <c r="A1208" s="347" t="s">
        <v>3478</v>
      </c>
      <c r="B1208" s="334">
        <v>45401</v>
      </c>
      <c r="C1208" s="396" t="s">
        <v>219</v>
      </c>
      <c r="D1208" s="332">
        <v>1918</v>
      </c>
      <c r="E1208" s="333"/>
      <c r="F1208" s="524">
        <v>257342904203</v>
      </c>
      <c r="G1208" s="372" t="s">
        <v>3479</v>
      </c>
      <c r="H1208" s="333">
        <v>12</v>
      </c>
      <c r="I1208" s="333" t="s">
        <v>277</v>
      </c>
      <c r="J1208" s="333" t="s">
        <v>541</v>
      </c>
      <c r="K1208" s="333" t="s">
        <v>32</v>
      </c>
      <c r="L1208" s="333"/>
      <c r="M1208" s="333"/>
      <c r="N1208" s="417"/>
      <c r="O1208" s="417"/>
      <c r="P1208" s="462">
        <v>45401</v>
      </c>
      <c r="Q1208" s="333"/>
      <c r="R1208" s="333"/>
      <c r="S1208" s="373"/>
      <c r="T1208" s="373"/>
      <c r="U1208" s="373"/>
      <c r="V1208" s="373"/>
      <c r="W1208" s="346">
        <v>45443</v>
      </c>
      <c r="X1208" s="373">
        <v>12</v>
      </c>
      <c r="Y1208" s="336">
        <f t="shared" ca="1" si="23"/>
        <v>42</v>
      </c>
      <c r="Z1208" s="373"/>
      <c r="AA1208" s="373"/>
      <c r="AB1208" s="373"/>
      <c r="AD1208" s="338"/>
    </row>
    <row r="1209" spans="1:30" ht="12.75" customHeight="1" x14ac:dyDescent="0.25">
      <c r="A1209" s="347" t="s">
        <v>3480</v>
      </c>
      <c r="B1209" s="334">
        <v>45401</v>
      </c>
      <c r="C1209" s="396" t="s">
        <v>219</v>
      </c>
      <c r="D1209" s="332">
        <v>1918</v>
      </c>
      <c r="E1209" s="333"/>
      <c r="F1209" s="524">
        <v>505324200103</v>
      </c>
      <c r="G1209" s="372" t="s">
        <v>3481</v>
      </c>
      <c r="H1209" s="333">
        <v>1</v>
      </c>
      <c r="I1209" s="333" t="s">
        <v>277</v>
      </c>
      <c r="J1209" s="333" t="s">
        <v>31</v>
      </c>
      <c r="K1209" s="333" t="s">
        <v>32</v>
      </c>
      <c r="L1209" s="333"/>
      <c r="M1209" s="333"/>
      <c r="N1209" s="417"/>
      <c r="O1209" s="417"/>
      <c r="P1209" s="462">
        <v>45401</v>
      </c>
      <c r="Q1209" s="333"/>
      <c r="R1209" s="333"/>
      <c r="S1209" s="373"/>
      <c r="T1209" s="373"/>
      <c r="U1209" s="373"/>
      <c r="V1209" s="373"/>
      <c r="W1209" s="346">
        <v>45443</v>
      </c>
      <c r="X1209" s="373">
        <v>1</v>
      </c>
      <c r="Y1209" s="336">
        <f t="shared" ca="1" si="23"/>
        <v>42</v>
      </c>
      <c r="Z1209" s="373"/>
      <c r="AA1209" s="373"/>
      <c r="AB1209" s="373"/>
      <c r="AD1209" s="338"/>
    </row>
    <row r="1210" spans="1:30" ht="12.75" customHeight="1" x14ac:dyDescent="0.25">
      <c r="A1210" s="347" t="s">
        <v>3482</v>
      </c>
      <c r="B1210" s="334">
        <v>45401</v>
      </c>
      <c r="C1210" s="396" t="s">
        <v>219</v>
      </c>
      <c r="D1210" s="332">
        <v>1918</v>
      </c>
      <c r="E1210" s="333"/>
      <c r="F1210" s="524">
        <v>501132403202</v>
      </c>
      <c r="G1210" s="372" t="s">
        <v>3483</v>
      </c>
      <c r="H1210" s="333">
        <v>20</v>
      </c>
      <c r="I1210" s="333" t="s">
        <v>277</v>
      </c>
      <c r="J1210" s="333" t="s">
        <v>46</v>
      </c>
      <c r="K1210" s="333" t="s">
        <v>32</v>
      </c>
      <c r="L1210" s="333"/>
      <c r="M1210" s="333"/>
      <c r="N1210" s="417"/>
      <c r="O1210" s="417"/>
      <c r="P1210" s="462">
        <v>45401</v>
      </c>
      <c r="Q1210" s="333"/>
      <c r="R1210" s="333"/>
      <c r="S1210" s="373"/>
      <c r="T1210" s="373"/>
      <c r="U1210" s="373"/>
      <c r="V1210" s="373"/>
      <c r="W1210" s="346">
        <v>45448</v>
      </c>
      <c r="X1210" s="373">
        <v>25</v>
      </c>
      <c r="Y1210" s="336">
        <f t="shared" ca="1" si="23"/>
        <v>47</v>
      </c>
      <c r="Z1210" s="373"/>
      <c r="AA1210" s="373"/>
      <c r="AB1210" s="373" t="s">
        <v>3246</v>
      </c>
      <c r="AD1210" s="338"/>
    </row>
    <row r="1211" spans="1:30" ht="12.75" customHeight="1" x14ac:dyDescent="0.25">
      <c r="A1211" s="347" t="s">
        <v>3484</v>
      </c>
      <c r="B1211" s="376">
        <v>45386</v>
      </c>
      <c r="C1211" s="396" t="s">
        <v>219</v>
      </c>
      <c r="D1211" s="332">
        <v>1918</v>
      </c>
      <c r="E1211" s="333"/>
      <c r="F1211" s="524">
        <v>14300512250</v>
      </c>
      <c r="G1211" s="372" t="s">
        <v>605</v>
      </c>
      <c r="H1211" s="333">
        <v>1</v>
      </c>
      <c r="I1211" s="333" t="s">
        <v>277</v>
      </c>
      <c r="J1211" s="333" t="s">
        <v>541</v>
      </c>
      <c r="K1211" s="333" t="s">
        <v>32</v>
      </c>
      <c r="L1211" s="333"/>
      <c r="M1211" s="333"/>
      <c r="N1211" s="417"/>
      <c r="O1211" s="417"/>
      <c r="P1211" s="462">
        <v>45401</v>
      </c>
      <c r="Q1211" s="333"/>
      <c r="R1211" s="333"/>
      <c r="S1211" s="373"/>
      <c r="T1211" s="373"/>
      <c r="U1211" s="373"/>
      <c r="V1211" s="373"/>
      <c r="W1211" s="346"/>
      <c r="X1211" s="373">
        <v>1</v>
      </c>
      <c r="Y1211" s="336">
        <f t="shared" ca="1" si="23"/>
        <v>185</v>
      </c>
      <c r="Z1211" s="373"/>
      <c r="AA1211" s="373"/>
      <c r="AB1211" s="373" t="s">
        <v>3246</v>
      </c>
      <c r="AD1211" s="338"/>
    </row>
    <row r="1212" spans="1:30" ht="12.75" customHeight="1" x14ac:dyDescent="0.25">
      <c r="A1212" s="347" t="s">
        <v>3485</v>
      </c>
      <c r="B1212" s="334">
        <v>45401</v>
      </c>
      <c r="C1212" s="396" t="s">
        <v>219</v>
      </c>
      <c r="D1212" s="332">
        <v>1918</v>
      </c>
      <c r="E1212" s="333"/>
      <c r="F1212" s="524">
        <v>11325696682</v>
      </c>
      <c r="G1212" s="372" t="s">
        <v>3486</v>
      </c>
      <c r="H1212" s="333">
        <v>4</v>
      </c>
      <c r="I1212" s="333" t="s">
        <v>277</v>
      </c>
      <c r="J1212" s="333" t="s">
        <v>541</v>
      </c>
      <c r="K1212" s="333" t="s">
        <v>32</v>
      </c>
      <c r="L1212" s="333"/>
      <c r="M1212" s="333"/>
      <c r="N1212" s="417"/>
      <c r="O1212" s="417"/>
      <c r="P1212" s="462">
        <v>45401</v>
      </c>
      <c r="Q1212" s="333"/>
      <c r="R1212" s="333"/>
      <c r="S1212" s="373"/>
      <c r="T1212" s="373"/>
      <c r="U1212" s="373"/>
      <c r="V1212" s="373"/>
      <c r="W1212" s="346">
        <v>45448</v>
      </c>
      <c r="X1212" s="373">
        <v>10</v>
      </c>
      <c r="Y1212" s="336">
        <f t="shared" ca="1" si="23"/>
        <v>47</v>
      </c>
      <c r="Z1212" s="373"/>
      <c r="AA1212" s="373"/>
      <c r="AB1212" s="373" t="s">
        <v>3246</v>
      </c>
      <c r="AD1212" s="338"/>
    </row>
    <row r="1213" spans="1:30" ht="12.75" customHeight="1" x14ac:dyDescent="0.25">
      <c r="A1213" s="347" t="s">
        <v>3487</v>
      </c>
      <c r="B1213" s="376">
        <v>45386</v>
      </c>
      <c r="C1213" s="396" t="s">
        <v>219</v>
      </c>
      <c r="D1213" s="332">
        <v>1918</v>
      </c>
      <c r="E1213" s="333"/>
      <c r="F1213" s="524" t="s">
        <v>3488</v>
      </c>
      <c r="G1213" s="372" t="s">
        <v>3489</v>
      </c>
      <c r="H1213" s="333">
        <v>1</v>
      </c>
      <c r="I1213" s="333" t="s">
        <v>277</v>
      </c>
      <c r="J1213" s="333" t="s">
        <v>541</v>
      </c>
      <c r="K1213" s="333" t="s">
        <v>32</v>
      </c>
      <c r="L1213" s="333"/>
      <c r="M1213" s="333"/>
      <c r="N1213" s="417"/>
      <c r="O1213" s="417"/>
      <c r="P1213" s="462">
        <v>45401</v>
      </c>
      <c r="Q1213" s="333"/>
      <c r="R1213" s="333"/>
      <c r="S1213" s="373"/>
      <c r="T1213" s="373"/>
      <c r="U1213" s="373"/>
      <c r="V1213" s="373"/>
      <c r="W1213" s="527">
        <v>45443</v>
      </c>
      <c r="X1213" s="373">
        <v>1</v>
      </c>
      <c r="Y1213" s="336">
        <f t="shared" ca="1" si="23"/>
        <v>42</v>
      </c>
      <c r="Z1213" s="373"/>
      <c r="AA1213" s="373"/>
      <c r="AB1213" s="373"/>
      <c r="AD1213" s="338"/>
    </row>
    <row r="1214" spans="1:30" ht="12.75" customHeight="1" x14ac:dyDescent="0.25">
      <c r="A1214" s="347" t="s">
        <v>3490</v>
      </c>
      <c r="B1214" s="376">
        <v>45404</v>
      </c>
      <c r="C1214" s="396" t="s">
        <v>26</v>
      </c>
      <c r="D1214" s="332" t="s">
        <v>2631</v>
      </c>
      <c r="E1214" s="333"/>
      <c r="F1214" s="524">
        <v>2532014</v>
      </c>
      <c r="G1214" s="372" t="s">
        <v>3491</v>
      </c>
      <c r="H1214" s="333">
        <v>1</v>
      </c>
      <c r="I1214" s="333" t="s">
        <v>2640</v>
      </c>
      <c r="J1214" s="333" t="s">
        <v>2627</v>
      </c>
      <c r="K1214" s="333" t="s">
        <v>69</v>
      </c>
      <c r="L1214" s="333"/>
      <c r="M1214" s="333"/>
      <c r="N1214" s="417"/>
      <c r="O1214" s="417"/>
      <c r="P1214" s="462">
        <v>45397</v>
      </c>
      <c r="Q1214" s="333"/>
      <c r="R1214" s="333"/>
      <c r="S1214" s="373"/>
      <c r="T1214" s="373"/>
      <c r="U1214" s="373"/>
      <c r="V1214" s="373"/>
      <c r="W1214" s="346"/>
      <c r="X1214" s="373"/>
      <c r="Y1214" s="336">
        <f t="shared" ca="1" si="23"/>
        <v>189</v>
      </c>
      <c r="Z1214" s="373"/>
      <c r="AA1214" s="373"/>
      <c r="AB1214" s="373"/>
      <c r="AD1214" s="338"/>
    </row>
    <row r="1215" spans="1:30" ht="12.75" customHeight="1" x14ac:dyDescent="0.25">
      <c r="A1215" s="347" t="s">
        <v>3492</v>
      </c>
      <c r="B1215" s="376">
        <v>45397</v>
      </c>
      <c r="C1215" s="396" t="s">
        <v>35</v>
      </c>
      <c r="D1215" s="332" t="s">
        <v>1506</v>
      </c>
      <c r="E1215" s="333"/>
      <c r="F1215" s="524" t="s">
        <v>2920</v>
      </c>
      <c r="G1215" s="372" t="s">
        <v>3493</v>
      </c>
      <c r="H1215" s="333">
        <v>1</v>
      </c>
      <c r="I1215" s="333"/>
      <c r="J1215" s="333" t="s">
        <v>2627</v>
      </c>
      <c r="K1215" s="333" t="s">
        <v>69</v>
      </c>
      <c r="L1215" s="333"/>
      <c r="M1215" s="333" t="s">
        <v>3494</v>
      </c>
      <c r="N1215" s="417" t="s">
        <v>33</v>
      </c>
      <c r="O1215" s="417"/>
      <c r="P1215" s="462">
        <v>45397</v>
      </c>
      <c r="Q1215" s="333"/>
      <c r="R1215" s="333"/>
      <c r="S1215" s="373"/>
      <c r="T1215" s="373"/>
      <c r="U1215" s="373"/>
      <c r="V1215" s="373"/>
      <c r="W1215" s="346"/>
      <c r="X1215" s="373"/>
      <c r="Y1215" s="336">
        <f t="shared" ca="1" si="23"/>
        <v>189</v>
      </c>
      <c r="Z1215" s="373"/>
      <c r="AA1215" s="373"/>
      <c r="AB1215" s="373"/>
      <c r="AC1215" s="338" t="e">
        <f>VLOOKUP(F1215,'[1]CPO DATA'!$D:$I,4,FALSE)</f>
        <v>#N/A</v>
      </c>
      <c r="AD1215" s="418" t="e">
        <f>VLOOKUP(F1215,'STORE ITEMS'!C:F,2,FALSE)</f>
        <v>#N/A</v>
      </c>
    </row>
    <row r="1216" spans="1:30" ht="12.75" customHeight="1" x14ac:dyDescent="0.25">
      <c r="A1216" s="347" t="s">
        <v>3495</v>
      </c>
      <c r="B1216" s="376">
        <v>45397</v>
      </c>
      <c r="C1216" s="396" t="s">
        <v>35</v>
      </c>
      <c r="D1216" s="332" t="s">
        <v>1506</v>
      </c>
      <c r="E1216" s="333"/>
      <c r="F1216" s="524" t="s">
        <v>3496</v>
      </c>
      <c r="G1216" s="372" t="s">
        <v>2422</v>
      </c>
      <c r="H1216" s="333">
        <v>6</v>
      </c>
      <c r="I1216" s="333"/>
      <c r="J1216" s="333" t="s">
        <v>2627</v>
      </c>
      <c r="K1216" s="333" t="s">
        <v>69</v>
      </c>
      <c r="L1216" s="333"/>
      <c r="M1216" s="333" t="s">
        <v>3494</v>
      </c>
      <c r="N1216" s="417" t="s">
        <v>33</v>
      </c>
      <c r="O1216" s="417"/>
      <c r="P1216" s="462">
        <v>45397</v>
      </c>
      <c r="Q1216" s="333"/>
      <c r="R1216" s="333"/>
      <c r="S1216" s="373"/>
      <c r="T1216" s="373"/>
      <c r="U1216" s="373"/>
      <c r="V1216" s="373"/>
      <c r="W1216" s="346"/>
      <c r="X1216" s="373"/>
      <c r="Y1216" s="336">
        <f t="shared" ca="1" si="23"/>
        <v>189</v>
      </c>
      <c r="Z1216" s="373"/>
      <c r="AA1216" s="373"/>
      <c r="AB1216" s="373"/>
      <c r="AC1216" s="338" t="e">
        <f>VLOOKUP(F1216,'[1]CPO DATA'!$D:$I,4,FALSE)</f>
        <v>#N/A</v>
      </c>
      <c r="AD1216" s="418" t="e">
        <f>VLOOKUP(F1216,'STORE ITEMS'!C:F,2,FALSE)</f>
        <v>#N/A</v>
      </c>
    </row>
    <row r="1217" spans="1:30" ht="12.75" customHeight="1" x14ac:dyDescent="0.25">
      <c r="A1217" s="347" t="s">
        <v>3497</v>
      </c>
      <c r="B1217" s="376">
        <v>45397</v>
      </c>
      <c r="C1217" s="396" t="s">
        <v>35</v>
      </c>
      <c r="D1217" s="332" t="s">
        <v>1506</v>
      </c>
      <c r="E1217" s="333"/>
      <c r="F1217" s="524" t="s">
        <v>2923</v>
      </c>
      <c r="G1217" s="372" t="s">
        <v>1189</v>
      </c>
      <c r="H1217" s="333">
        <v>2</v>
      </c>
      <c r="I1217" s="333"/>
      <c r="J1217" s="333" t="s">
        <v>2627</v>
      </c>
      <c r="K1217" s="333" t="s">
        <v>69</v>
      </c>
      <c r="L1217" s="333"/>
      <c r="M1217" s="333" t="s">
        <v>3494</v>
      </c>
      <c r="N1217" s="417" t="s">
        <v>33</v>
      </c>
      <c r="O1217" s="417"/>
      <c r="P1217" s="462">
        <v>45397</v>
      </c>
      <c r="Q1217" s="333"/>
      <c r="R1217" s="333"/>
      <c r="S1217" s="373"/>
      <c r="T1217" s="373"/>
      <c r="U1217" s="373"/>
      <c r="V1217" s="373"/>
      <c r="W1217" s="346"/>
      <c r="X1217" s="373"/>
      <c r="Y1217" s="336">
        <f t="shared" ca="1" si="23"/>
        <v>189</v>
      </c>
      <c r="Z1217" s="373"/>
      <c r="AA1217" s="373"/>
      <c r="AB1217" s="373"/>
      <c r="AC1217" s="338" t="e">
        <f>VLOOKUP(F1217,'[1]CPO DATA'!$D:$I,4,FALSE)</f>
        <v>#N/A</v>
      </c>
      <c r="AD1217" s="418" t="e">
        <f>VLOOKUP(F1217,'STORE ITEMS'!C:F,2,FALSE)</f>
        <v>#N/A</v>
      </c>
    </row>
    <row r="1218" spans="1:30" ht="12.75" customHeight="1" x14ac:dyDescent="0.25">
      <c r="A1218" s="347" t="s">
        <v>3498</v>
      </c>
      <c r="B1218" s="376">
        <v>45397</v>
      </c>
      <c r="C1218" s="396" t="s">
        <v>35</v>
      </c>
      <c r="D1218" s="332" t="s">
        <v>1506</v>
      </c>
      <c r="E1218" s="333"/>
      <c r="F1218" s="524" t="s">
        <v>2252</v>
      </c>
      <c r="G1218" s="372" t="s">
        <v>1181</v>
      </c>
      <c r="H1218" s="333">
        <v>8</v>
      </c>
      <c r="I1218" s="333"/>
      <c r="J1218" s="333" t="s">
        <v>2627</v>
      </c>
      <c r="K1218" s="333" t="s">
        <v>69</v>
      </c>
      <c r="L1218" s="333"/>
      <c r="M1218" s="333" t="s">
        <v>3494</v>
      </c>
      <c r="N1218" s="417" t="s">
        <v>33</v>
      </c>
      <c r="O1218" s="417"/>
      <c r="P1218" s="462">
        <v>45397</v>
      </c>
      <c r="Q1218" s="333"/>
      <c r="R1218" s="333"/>
      <c r="S1218" s="373"/>
      <c r="T1218" s="373"/>
      <c r="U1218" s="373"/>
      <c r="V1218" s="373"/>
      <c r="W1218" s="346">
        <v>45226</v>
      </c>
      <c r="X1218" s="373"/>
      <c r="Y1218" s="336">
        <f t="shared" ca="1" si="23"/>
        <v>-171</v>
      </c>
      <c r="Z1218" s="373"/>
      <c r="AA1218" s="373"/>
      <c r="AB1218" s="373"/>
      <c r="AC1218" s="338" t="e">
        <f>VLOOKUP(F1218,'[1]CPO DATA'!$D:$I,4,FALSE)</f>
        <v>#N/A</v>
      </c>
      <c r="AD1218" s="418" t="str">
        <f>VLOOKUP(F1218,'STORE ITEMS'!C:F,2,FALSE)</f>
        <v>BOLT</v>
      </c>
    </row>
    <row r="1219" spans="1:30" ht="12.75" customHeight="1" x14ac:dyDescent="0.25">
      <c r="A1219" s="347" t="s">
        <v>3499</v>
      </c>
      <c r="B1219" s="376">
        <v>45397</v>
      </c>
      <c r="C1219" s="396" t="s">
        <v>35</v>
      </c>
      <c r="D1219" s="332" t="s">
        <v>1506</v>
      </c>
      <c r="E1219" s="333"/>
      <c r="F1219" s="524" t="s">
        <v>2926</v>
      </c>
      <c r="G1219" s="372" t="s">
        <v>1181</v>
      </c>
      <c r="H1219" s="333">
        <v>2</v>
      </c>
      <c r="I1219" s="333"/>
      <c r="J1219" s="333" t="s">
        <v>2627</v>
      </c>
      <c r="K1219" s="333" t="s">
        <v>69</v>
      </c>
      <c r="L1219" s="333"/>
      <c r="M1219" s="333" t="s">
        <v>3494</v>
      </c>
      <c r="N1219" s="417" t="s">
        <v>33</v>
      </c>
      <c r="O1219" s="417"/>
      <c r="P1219" s="462">
        <v>45397</v>
      </c>
      <c r="Q1219" s="333"/>
      <c r="R1219" s="333"/>
      <c r="S1219" s="373"/>
      <c r="T1219" s="373"/>
      <c r="U1219" s="373"/>
      <c r="V1219" s="373"/>
      <c r="W1219" s="346"/>
      <c r="X1219" s="373"/>
      <c r="Y1219" s="336">
        <f t="shared" ca="1" si="23"/>
        <v>189</v>
      </c>
      <c r="Z1219" s="373"/>
      <c r="AA1219" s="373"/>
      <c r="AB1219" s="373"/>
      <c r="AC1219" s="338" t="e">
        <f>VLOOKUP(F1219,'[1]CPO DATA'!$D:$I,4,FALSE)</f>
        <v>#N/A</v>
      </c>
      <c r="AD1219" s="418" t="e">
        <f>VLOOKUP(F1219,'STORE ITEMS'!C:F,2,FALSE)</f>
        <v>#N/A</v>
      </c>
    </row>
    <row r="1220" spans="1:30" ht="12.75" customHeight="1" x14ac:dyDescent="0.25">
      <c r="A1220" s="347" t="s">
        <v>3500</v>
      </c>
      <c r="B1220" s="376">
        <v>45397</v>
      </c>
      <c r="C1220" s="396" t="s">
        <v>35</v>
      </c>
      <c r="D1220" s="332" t="s">
        <v>1506</v>
      </c>
      <c r="E1220" s="333"/>
      <c r="F1220" s="524" t="s">
        <v>2928</v>
      </c>
      <c r="G1220" s="372" t="s">
        <v>1264</v>
      </c>
      <c r="H1220" s="333">
        <v>2</v>
      </c>
      <c r="I1220" s="333"/>
      <c r="J1220" s="333" t="s">
        <v>2627</v>
      </c>
      <c r="K1220" s="333" t="s">
        <v>69</v>
      </c>
      <c r="L1220" s="333"/>
      <c r="M1220" s="333" t="s">
        <v>3494</v>
      </c>
      <c r="N1220" s="417" t="s">
        <v>33</v>
      </c>
      <c r="O1220" s="417"/>
      <c r="P1220" s="462">
        <v>45397</v>
      </c>
      <c r="Q1220" s="333"/>
      <c r="R1220" s="333"/>
      <c r="S1220" s="373"/>
      <c r="T1220" s="373"/>
      <c r="U1220" s="373"/>
      <c r="V1220" s="373"/>
      <c r="W1220" s="346"/>
      <c r="X1220" s="373"/>
      <c r="Y1220" s="336">
        <f t="shared" ca="1" si="23"/>
        <v>189</v>
      </c>
      <c r="Z1220" s="373"/>
      <c r="AA1220" s="373"/>
      <c r="AB1220" s="373"/>
      <c r="AC1220" s="338" t="e">
        <f>VLOOKUP(F1220,'[1]CPO DATA'!$D:$I,4,FALSE)</f>
        <v>#N/A</v>
      </c>
      <c r="AD1220" s="418" t="e">
        <f>VLOOKUP(F1220,'STORE ITEMS'!C:F,2,FALSE)</f>
        <v>#N/A</v>
      </c>
    </row>
    <row r="1221" spans="1:30" ht="12.75" customHeight="1" x14ac:dyDescent="0.25">
      <c r="A1221" s="347" t="s">
        <v>3501</v>
      </c>
      <c r="B1221" s="376">
        <v>45397</v>
      </c>
      <c r="C1221" s="396" t="s">
        <v>35</v>
      </c>
      <c r="D1221" s="332" t="s">
        <v>1506</v>
      </c>
      <c r="E1221" s="333"/>
      <c r="F1221" s="524" t="s">
        <v>2930</v>
      </c>
      <c r="G1221" s="372" t="s">
        <v>2403</v>
      </c>
      <c r="H1221" s="333">
        <v>2</v>
      </c>
      <c r="I1221" s="333"/>
      <c r="J1221" s="333" t="s">
        <v>2627</v>
      </c>
      <c r="K1221" s="333" t="s">
        <v>69</v>
      </c>
      <c r="L1221" s="333"/>
      <c r="M1221" s="333" t="s">
        <v>3494</v>
      </c>
      <c r="N1221" s="417" t="s">
        <v>33</v>
      </c>
      <c r="O1221" s="417"/>
      <c r="P1221" s="462">
        <v>45397</v>
      </c>
      <c r="Q1221" s="333"/>
      <c r="R1221" s="333"/>
      <c r="S1221" s="373"/>
      <c r="T1221" s="373"/>
      <c r="U1221" s="373"/>
      <c r="V1221" s="373"/>
      <c r="W1221" s="346"/>
      <c r="X1221" s="373"/>
      <c r="Y1221" s="336">
        <f t="shared" ca="1" si="23"/>
        <v>189</v>
      </c>
      <c r="Z1221" s="373"/>
      <c r="AA1221" s="373"/>
      <c r="AB1221" s="373"/>
      <c r="AC1221" s="338" t="e">
        <f>VLOOKUP(F1221,'[1]CPO DATA'!$D:$I,4,FALSE)</f>
        <v>#N/A</v>
      </c>
      <c r="AD1221" s="418" t="e">
        <f>VLOOKUP(F1221,'STORE ITEMS'!C:F,2,FALSE)</f>
        <v>#N/A</v>
      </c>
    </row>
    <row r="1222" spans="1:30" ht="12.75" customHeight="1" x14ac:dyDescent="0.25">
      <c r="A1222" s="347" t="s">
        <v>3502</v>
      </c>
      <c r="B1222" s="376">
        <v>45397</v>
      </c>
      <c r="C1222" s="396" t="s">
        <v>35</v>
      </c>
      <c r="D1222" s="332" t="s">
        <v>1506</v>
      </c>
      <c r="E1222" s="333"/>
      <c r="F1222" s="524" t="s">
        <v>2932</v>
      </c>
      <c r="G1222" s="372" t="s">
        <v>1264</v>
      </c>
      <c r="H1222" s="333">
        <v>4</v>
      </c>
      <c r="I1222" s="333"/>
      <c r="J1222" s="333" t="s">
        <v>2627</v>
      </c>
      <c r="K1222" s="333" t="s">
        <v>69</v>
      </c>
      <c r="L1222" s="333"/>
      <c r="M1222" s="333" t="s">
        <v>3494</v>
      </c>
      <c r="N1222" s="417" t="s">
        <v>33</v>
      </c>
      <c r="O1222" s="417"/>
      <c r="P1222" s="462">
        <v>45397</v>
      </c>
      <c r="Q1222" s="333"/>
      <c r="R1222" s="333"/>
      <c r="S1222" s="373"/>
      <c r="T1222" s="373"/>
      <c r="U1222" s="373"/>
      <c r="V1222" s="373"/>
      <c r="W1222" s="346"/>
      <c r="X1222" s="373"/>
      <c r="Y1222" s="336">
        <f t="shared" ca="1" si="23"/>
        <v>189</v>
      </c>
      <c r="Z1222" s="373"/>
      <c r="AA1222" s="373"/>
      <c r="AB1222" s="373"/>
      <c r="AC1222" s="338" t="e">
        <f>VLOOKUP(F1222,'[1]CPO DATA'!$D:$I,4,FALSE)</f>
        <v>#N/A</v>
      </c>
      <c r="AD1222" s="418" t="e">
        <f>VLOOKUP(F1222,'STORE ITEMS'!C:F,2,FALSE)</f>
        <v>#N/A</v>
      </c>
    </row>
    <row r="1223" spans="1:30" ht="12.75" customHeight="1" x14ac:dyDescent="0.25">
      <c r="A1223" s="347" t="s">
        <v>3503</v>
      </c>
      <c r="B1223" s="376">
        <v>45397</v>
      </c>
      <c r="C1223" s="396" t="s">
        <v>35</v>
      </c>
      <c r="D1223" s="332" t="s">
        <v>1506</v>
      </c>
      <c r="E1223" s="333"/>
      <c r="F1223" s="524" t="s">
        <v>3504</v>
      </c>
      <c r="G1223" s="372" t="s">
        <v>3505</v>
      </c>
      <c r="H1223" s="333">
        <v>2</v>
      </c>
      <c r="I1223" s="333"/>
      <c r="J1223" s="333" t="s">
        <v>2627</v>
      </c>
      <c r="K1223" s="333" t="s">
        <v>69</v>
      </c>
      <c r="L1223" s="333"/>
      <c r="M1223" s="333" t="s">
        <v>3494</v>
      </c>
      <c r="N1223" s="417" t="s">
        <v>33</v>
      </c>
      <c r="O1223" s="417"/>
      <c r="P1223" s="462">
        <v>45397</v>
      </c>
      <c r="Q1223" s="333"/>
      <c r="R1223" s="333"/>
      <c r="S1223" s="373"/>
      <c r="T1223" s="373"/>
      <c r="U1223" s="373"/>
      <c r="V1223" s="373"/>
      <c r="W1223" s="346"/>
      <c r="X1223" s="373"/>
      <c r="Y1223" s="336">
        <f t="shared" ca="1" si="23"/>
        <v>189</v>
      </c>
      <c r="Z1223" s="373"/>
      <c r="AA1223" s="373"/>
      <c r="AB1223" s="373"/>
      <c r="AC1223" s="338" t="e">
        <f>VLOOKUP(F1223,'[1]CPO DATA'!$D:$I,4,FALSE)</f>
        <v>#N/A</v>
      </c>
      <c r="AD1223" s="418" t="e">
        <f>VLOOKUP(F1223,'STORE ITEMS'!C:F,2,FALSE)</f>
        <v>#N/A</v>
      </c>
    </row>
    <row r="1224" spans="1:30" ht="12.75" customHeight="1" x14ac:dyDescent="0.25">
      <c r="A1224" s="347" t="s">
        <v>3506</v>
      </c>
      <c r="B1224" s="376">
        <v>45397</v>
      </c>
      <c r="C1224" s="396" t="s">
        <v>35</v>
      </c>
      <c r="D1224" s="332" t="s">
        <v>1506</v>
      </c>
      <c r="E1224" s="333"/>
      <c r="F1224" s="524" t="s">
        <v>2937</v>
      </c>
      <c r="G1224" s="372" t="s">
        <v>1181</v>
      </c>
      <c r="H1224" s="333">
        <v>2</v>
      </c>
      <c r="I1224" s="333"/>
      <c r="J1224" s="333" t="s">
        <v>2627</v>
      </c>
      <c r="K1224" s="333" t="s">
        <v>69</v>
      </c>
      <c r="L1224" s="333"/>
      <c r="M1224" s="333" t="s">
        <v>3494</v>
      </c>
      <c r="N1224" s="417" t="s">
        <v>33</v>
      </c>
      <c r="O1224" s="417"/>
      <c r="P1224" s="462">
        <v>45397</v>
      </c>
      <c r="Q1224" s="333"/>
      <c r="R1224" s="333"/>
      <c r="S1224" s="373"/>
      <c r="T1224" s="373"/>
      <c r="U1224" s="373"/>
      <c r="V1224" s="373"/>
      <c r="W1224" s="346"/>
      <c r="X1224" s="373"/>
      <c r="Y1224" s="336">
        <f t="shared" ref="Y1224:Y1287" ca="1" si="24">IF(P1224="","",IF(W1224="",TODAY()-P1224,W1224-P1224))</f>
        <v>189</v>
      </c>
      <c r="Z1224" s="373"/>
      <c r="AA1224" s="373"/>
      <c r="AB1224" s="373"/>
      <c r="AC1224" s="338" t="e">
        <f>VLOOKUP(F1224,'[1]CPO DATA'!$D:$I,4,FALSE)</f>
        <v>#N/A</v>
      </c>
      <c r="AD1224" s="418" t="e">
        <f>VLOOKUP(F1224,'STORE ITEMS'!C:F,2,FALSE)</f>
        <v>#N/A</v>
      </c>
    </row>
    <row r="1225" spans="1:30" ht="12.75" customHeight="1" x14ac:dyDescent="0.25">
      <c r="A1225" s="347" t="s">
        <v>3507</v>
      </c>
      <c r="B1225" s="376">
        <v>45397</v>
      </c>
      <c r="C1225" s="396" t="s">
        <v>35</v>
      </c>
      <c r="D1225" s="332" t="s">
        <v>3508</v>
      </c>
      <c r="E1225" s="333"/>
      <c r="F1225" s="524" t="s">
        <v>2939</v>
      </c>
      <c r="G1225" s="372" t="s">
        <v>3509</v>
      </c>
      <c r="H1225" s="333">
        <v>1</v>
      </c>
      <c r="I1225" s="333"/>
      <c r="J1225" s="333" t="s">
        <v>2627</v>
      </c>
      <c r="K1225" s="333" t="s">
        <v>69</v>
      </c>
      <c r="L1225" s="333"/>
      <c r="M1225" s="333" t="s">
        <v>3494</v>
      </c>
      <c r="N1225" s="417" t="s">
        <v>33</v>
      </c>
      <c r="O1225" s="417"/>
      <c r="P1225" s="462">
        <v>45397</v>
      </c>
      <c r="Q1225" s="333"/>
      <c r="R1225" s="333"/>
      <c r="S1225" s="373"/>
      <c r="T1225" s="373"/>
      <c r="U1225" s="373"/>
      <c r="V1225" s="373"/>
      <c r="W1225" s="346"/>
      <c r="X1225" s="373"/>
      <c r="Y1225" s="336">
        <f t="shared" ca="1" si="24"/>
        <v>189</v>
      </c>
      <c r="Z1225" s="373"/>
      <c r="AA1225" s="373"/>
      <c r="AB1225" s="373"/>
      <c r="AC1225" s="338" t="e">
        <f>VLOOKUP(F1225,'[1]CPO DATA'!$D:$I,4,FALSE)</f>
        <v>#N/A</v>
      </c>
      <c r="AD1225" s="418" t="e">
        <f>VLOOKUP(F1225,'STORE ITEMS'!C:F,2,FALSE)</f>
        <v>#N/A</v>
      </c>
    </row>
    <row r="1226" spans="1:30" ht="12.75" customHeight="1" x14ac:dyDescent="0.25">
      <c r="A1226" s="347" t="s">
        <v>3510</v>
      </c>
      <c r="B1226" s="376">
        <v>45397</v>
      </c>
      <c r="C1226" s="396" t="s">
        <v>35</v>
      </c>
      <c r="D1226" s="332" t="s">
        <v>3508</v>
      </c>
      <c r="E1226" s="333"/>
      <c r="F1226" s="524" t="s">
        <v>3511</v>
      </c>
      <c r="G1226" s="372" t="s">
        <v>3512</v>
      </c>
      <c r="H1226" s="333">
        <v>1</v>
      </c>
      <c r="I1226" s="333"/>
      <c r="J1226" s="333" t="s">
        <v>2627</v>
      </c>
      <c r="K1226" s="333" t="s">
        <v>69</v>
      </c>
      <c r="L1226" s="333"/>
      <c r="M1226" s="333" t="s">
        <v>3494</v>
      </c>
      <c r="N1226" s="417" t="s">
        <v>33</v>
      </c>
      <c r="O1226" s="417"/>
      <c r="P1226" s="462">
        <v>45397</v>
      </c>
      <c r="Q1226" s="333"/>
      <c r="R1226" s="333"/>
      <c r="S1226" s="373"/>
      <c r="T1226" s="373"/>
      <c r="U1226" s="373"/>
      <c r="V1226" s="373"/>
      <c r="W1226" s="346"/>
      <c r="X1226" s="373"/>
      <c r="Y1226" s="336">
        <f t="shared" ca="1" si="24"/>
        <v>189</v>
      </c>
      <c r="Z1226" s="373"/>
      <c r="AA1226" s="373"/>
      <c r="AB1226" s="373"/>
      <c r="AC1226" s="338" t="e">
        <f>VLOOKUP(F1226,'[1]CPO DATA'!$D:$I,4,FALSE)</f>
        <v>#N/A</v>
      </c>
      <c r="AD1226" s="418" t="e">
        <f>VLOOKUP(F1226,'STORE ITEMS'!C:F,2,FALSE)</f>
        <v>#N/A</v>
      </c>
    </row>
    <row r="1227" spans="1:30" ht="12.75" customHeight="1" x14ac:dyDescent="0.25">
      <c r="A1227" s="347" t="s">
        <v>3513</v>
      </c>
      <c r="B1227" s="376">
        <v>45397</v>
      </c>
      <c r="C1227" s="396" t="s">
        <v>35</v>
      </c>
      <c r="D1227" s="332" t="s">
        <v>1506</v>
      </c>
      <c r="E1227" s="333"/>
      <c r="F1227" s="524" t="s">
        <v>3514</v>
      </c>
      <c r="G1227" s="372" t="s">
        <v>3515</v>
      </c>
      <c r="H1227" s="333">
        <v>1</v>
      </c>
      <c r="I1227" s="333"/>
      <c r="J1227" s="333" t="s">
        <v>2627</v>
      </c>
      <c r="K1227" s="333" t="s">
        <v>69</v>
      </c>
      <c r="L1227" s="333"/>
      <c r="M1227" s="333" t="s">
        <v>3494</v>
      </c>
      <c r="N1227" s="417" t="s">
        <v>33</v>
      </c>
      <c r="O1227" s="417"/>
      <c r="P1227" s="462">
        <v>45397</v>
      </c>
      <c r="Q1227" s="333"/>
      <c r="R1227" s="333"/>
      <c r="S1227" s="373"/>
      <c r="T1227" s="373"/>
      <c r="U1227" s="373"/>
      <c r="V1227" s="373"/>
      <c r="W1227" s="346"/>
      <c r="X1227" s="373"/>
      <c r="Y1227" s="336">
        <f t="shared" ca="1" si="24"/>
        <v>189</v>
      </c>
      <c r="Z1227" s="373"/>
      <c r="AA1227" s="373"/>
      <c r="AB1227" s="373"/>
      <c r="AC1227" s="338" t="e">
        <f>VLOOKUP(F1227,'[1]CPO DATA'!$D:$I,4,FALSE)</f>
        <v>#N/A</v>
      </c>
      <c r="AD1227" s="418" t="e">
        <f>VLOOKUP(F1227,'STORE ITEMS'!C:F,2,FALSE)</f>
        <v>#N/A</v>
      </c>
    </row>
    <row r="1228" spans="1:30" ht="12.75" customHeight="1" x14ac:dyDescent="0.25">
      <c r="A1228" s="347" t="s">
        <v>3516</v>
      </c>
      <c r="B1228" s="376">
        <v>45397</v>
      </c>
      <c r="C1228" s="396" t="s">
        <v>35</v>
      </c>
      <c r="D1228" s="332" t="s">
        <v>1506</v>
      </c>
      <c r="E1228" s="333"/>
      <c r="F1228" s="524" t="s">
        <v>1180</v>
      </c>
      <c r="G1228" s="372" t="s">
        <v>1181</v>
      </c>
      <c r="H1228" s="333">
        <v>2</v>
      </c>
      <c r="I1228" s="333"/>
      <c r="J1228" s="333" t="s">
        <v>2627</v>
      </c>
      <c r="K1228" s="333" t="s">
        <v>69</v>
      </c>
      <c r="L1228" s="333"/>
      <c r="M1228" s="333" t="s">
        <v>3494</v>
      </c>
      <c r="N1228" s="417" t="s">
        <v>33</v>
      </c>
      <c r="O1228" s="417"/>
      <c r="P1228" s="462">
        <v>45397</v>
      </c>
      <c r="Q1228" s="333"/>
      <c r="R1228" s="333"/>
      <c r="S1228" s="373"/>
      <c r="T1228" s="373"/>
      <c r="U1228" s="373"/>
      <c r="V1228" s="373"/>
      <c r="W1228" s="346"/>
      <c r="X1228" s="373"/>
      <c r="Y1228" s="336">
        <f t="shared" ca="1" si="24"/>
        <v>189</v>
      </c>
      <c r="Z1228" s="373"/>
      <c r="AA1228" s="373"/>
      <c r="AB1228" s="373"/>
      <c r="AC1228" s="338" t="e">
        <f>VLOOKUP(F1228,'[1]CPO DATA'!$D:$I,4,FALSE)</f>
        <v>#N/A</v>
      </c>
      <c r="AD1228" s="418" t="e">
        <f>VLOOKUP(F1228,'STORE ITEMS'!C:F,2,FALSE)</f>
        <v>#N/A</v>
      </c>
    </row>
    <row r="1229" spans="1:30" ht="12.75" customHeight="1" x14ac:dyDescent="0.25">
      <c r="A1229" s="347" t="s">
        <v>3517</v>
      </c>
      <c r="B1229" s="376">
        <v>45397</v>
      </c>
      <c r="C1229" s="396" t="s">
        <v>35</v>
      </c>
      <c r="D1229" s="332" t="s">
        <v>1506</v>
      </c>
      <c r="E1229" s="333"/>
      <c r="F1229" s="524" t="s">
        <v>3518</v>
      </c>
      <c r="G1229" s="372" t="s">
        <v>3519</v>
      </c>
      <c r="H1229" s="333">
        <v>1</v>
      </c>
      <c r="I1229" s="333"/>
      <c r="J1229" s="333" t="s">
        <v>2627</v>
      </c>
      <c r="K1229" s="333" t="s">
        <v>69</v>
      </c>
      <c r="L1229" s="333"/>
      <c r="M1229" s="333" t="s">
        <v>3494</v>
      </c>
      <c r="N1229" s="417" t="s">
        <v>33</v>
      </c>
      <c r="O1229" s="417"/>
      <c r="P1229" s="462">
        <v>45397</v>
      </c>
      <c r="Q1229" s="333"/>
      <c r="R1229" s="333"/>
      <c r="S1229" s="373"/>
      <c r="T1229" s="373"/>
      <c r="U1229" s="373"/>
      <c r="V1229" s="373"/>
      <c r="W1229" s="346"/>
      <c r="X1229" s="373"/>
      <c r="Y1229" s="336">
        <f t="shared" ca="1" si="24"/>
        <v>189</v>
      </c>
      <c r="Z1229" s="373"/>
      <c r="AA1229" s="373"/>
      <c r="AB1229" s="373"/>
      <c r="AC1229" s="338" t="e">
        <f>VLOOKUP(F1229,'[1]CPO DATA'!$D:$I,4,FALSE)</f>
        <v>#N/A</v>
      </c>
      <c r="AD1229" s="418" t="e">
        <f>VLOOKUP(F1229,'STORE ITEMS'!C:F,2,FALSE)</f>
        <v>#N/A</v>
      </c>
    </row>
    <row r="1230" spans="1:30" ht="12.75" customHeight="1" x14ac:dyDescent="0.25">
      <c r="A1230" s="347" t="s">
        <v>3520</v>
      </c>
      <c r="B1230" s="376">
        <v>45397</v>
      </c>
      <c r="C1230" s="396" t="s">
        <v>35</v>
      </c>
      <c r="D1230" s="332" t="s">
        <v>1506</v>
      </c>
      <c r="E1230" s="333"/>
      <c r="F1230" s="524" t="s">
        <v>3521</v>
      </c>
      <c r="G1230" s="372" t="s">
        <v>3522</v>
      </c>
      <c r="H1230" s="333">
        <v>1</v>
      </c>
      <c r="I1230" s="333"/>
      <c r="J1230" s="333" t="s">
        <v>2627</v>
      </c>
      <c r="K1230" s="333" t="s">
        <v>69</v>
      </c>
      <c r="L1230" s="333"/>
      <c r="M1230" s="333" t="s">
        <v>3494</v>
      </c>
      <c r="N1230" s="417" t="s">
        <v>33</v>
      </c>
      <c r="O1230" s="417"/>
      <c r="P1230" s="462">
        <v>45397</v>
      </c>
      <c r="Q1230" s="333"/>
      <c r="R1230" s="333"/>
      <c r="S1230" s="373"/>
      <c r="T1230" s="373"/>
      <c r="U1230" s="373"/>
      <c r="V1230" s="373"/>
      <c r="W1230" s="346"/>
      <c r="X1230" s="373"/>
      <c r="Y1230" s="336">
        <f t="shared" ca="1" si="24"/>
        <v>189</v>
      </c>
      <c r="Z1230" s="373"/>
      <c r="AA1230" s="373"/>
      <c r="AB1230" s="373"/>
      <c r="AC1230" s="338" t="e">
        <f>VLOOKUP(F1230,'[1]CPO DATA'!$D:$I,4,FALSE)</f>
        <v>#N/A</v>
      </c>
      <c r="AD1230" s="418" t="e">
        <f>VLOOKUP(F1230,'STORE ITEMS'!C:F,2,FALSE)</f>
        <v>#N/A</v>
      </c>
    </row>
    <row r="1231" spans="1:30" ht="12.75" customHeight="1" x14ac:dyDescent="0.25">
      <c r="A1231" s="347" t="s">
        <v>3523</v>
      </c>
      <c r="B1231" s="376">
        <v>45397</v>
      </c>
      <c r="C1231" s="396" t="s">
        <v>35</v>
      </c>
      <c r="D1231" s="332" t="s">
        <v>1506</v>
      </c>
      <c r="E1231" s="333"/>
      <c r="F1231" s="524" t="s">
        <v>3524</v>
      </c>
      <c r="G1231" s="372" t="s">
        <v>3522</v>
      </c>
      <c r="H1231" s="333">
        <v>1</v>
      </c>
      <c r="I1231" s="333"/>
      <c r="J1231" s="333" t="s">
        <v>2627</v>
      </c>
      <c r="K1231" s="333" t="s">
        <v>69</v>
      </c>
      <c r="L1231" s="333"/>
      <c r="M1231" s="333" t="s">
        <v>3494</v>
      </c>
      <c r="N1231" s="417" t="s">
        <v>33</v>
      </c>
      <c r="O1231" s="417"/>
      <c r="P1231" s="462">
        <v>45397</v>
      </c>
      <c r="Q1231" s="333"/>
      <c r="R1231" s="333"/>
      <c r="S1231" s="373"/>
      <c r="T1231" s="373"/>
      <c r="U1231" s="373"/>
      <c r="V1231" s="373"/>
      <c r="W1231" s="346"/>
      <c r="X1231" s="373"/>
      <c r="Y1231" s="336">
        <f t="shared" ca="1" si="24"/>
        <v>189</v>
      </c>
      <c r="Z1231" s="373"/>
      <c r="AA1231" s="373"/>
      <c r="AB1231" s="373"/>
      <c r="AC1231" s="338" t="e">
        <f>VLOOKUP(F1231,'[1]CPO DATA'!$D:$I,4,FALSE)</f>
        <v>#N/A</v>
      </c>
      <c r="AD1231" s="418" t="e">
        <f>VLOOKUP(F1231,'STORE ITEMS'!C:F,2,FALSE)</f>
        <v>#N/A</v>
      </c>
    </row>
    <row r="1232" spans="1:30" ht="12.75" customHeight="1" x14ac:dyDescent="0.25">
      <c r="A1232" s="347" t="s">
        <v>3525</v>
      </c>
      <c r="B1232" s="376">
        <v>45397</v>
      </c>
      <c r="C1232" s="396" t="s">
        <v>35</v>
      </c>
      <c r="D1232" s="332" t="s">
        <v>1506</v>
      </c>
      <c r="E1232" s="333"/>
      <c r="F1232" s="524" t="s">
        <v>3526</v>
      </c>
      <c r="G1232" s="372" t="s">
        <v>3527</v>
      </c>
      <c r="H1232" s="333">
        <v>1</v>
      </c>
      <c r="I1232" s="333"/>
      <c r="J1232" s="333" t="s">
        <v>2627</v>
      </c>
      <c r="K1232" s="333" t="s">
        <v>69</v>
      </c>
      <c r="L1232" s="333"/>
      <c r="M1232" s="333" t="s">
        <v>3494</v>
      </c>
      <c r="N1232" s="417" t="s">
        <v>33</v>
      </c>
      <c r="O1232" s="417"/>
      <c r="P1232" s="462">
        <v>45397</v>
      </c>
      <c r="Q1232" s="333"/>
      <c r="R1232" s="333"/>
      <c r="S1232" s="373"/>
      <c r="T1232" s="373"/>
      <c r="U1232" s="373"/>
      <c r="V1232" s="373"/>
      <c r="W1232" s="346"/>
      <c r="X1232" s="373"/>
      <c r="Y1232" s="336">
        <f t="shared" ca="1" si="24"/>
        <v>189</v>
      </c>
      <c r="Z1232" s="373"/>
      <c r="AA1232" s="373"/>
      <c r="AB1232" s="373"/>
      <c r="AC1232" s="338" t="e">
        <f>VLOOKUP(F1232,'[1]CPO DATA'!$D:$I,4,FALSE)</f>
        <v>#N/A</v>
      </c>
      <c r="AD1232" s="418" t="e">
        <f>VLOOKUP(F1232,'STORE ITEMS'!C:F,2,FALSE)</f>
        <v>#N/A</v>
      </c>
    </row>
    <row r="1233" spans="1:30" ht="12.75" customHeight="1" x14ac:dyDescent="0.25">
      <c r="A1233" s="347" t="s">
        <v>3528</v>
      </c>
      <c r="B1233" s="376">
        <v>45397</v>
      </c>
      <c r="C1233" s="396" t="s">
        <v>35</v>
      </c>
      <c r="D1233" s="332" t="s">
        <v>1506</v>
      </c>
      <c r="E1233" s="333"/>
      <c r="F1233" s="524" t="s">
        <v>2295</v>
      </c>
      <c r="G1233" s="372" t="s">
        <v>3389</v>
      </c>
      <c r="H1233" s="333">
        <v>2</v>
      </c>
      <c r="I1233" s="333"/>
      <c r="J1233" s="333" t="s">
        <v>2627</v>
      </c>
      <c r="K1233" s="333" t="s">
        <v>69</v>
      </c>
      <c r="L1233" s="333"/>
      <c r="M1233" s="333" t="s">
        <v>3494</v>
      </c>
      <c r="N1233" s="417" t="s">
        <v>33</v>
      </c>
      <c r="O1233" s="417"/>
      <c r="P1233" s="462">
        <v>45397</v>
      </c>
      <c r="Q1233" s="333"/>
      <c r="R1233" s="333"/>
      <c r="S1233" s="373"/>
      <c r="T1233" s="373"/>
      <c r="U1233" s="373"/>
      <c r="V1233" s="373"/>
      <c r="W1233" s="346">
        <v>45209</v>
      </c>
      <c r="X1233" s="373"/>
      <c r="Y1233" s="336">
        <f t="shared" ca="1" si="24"/>
        <v>-188</v>
      </c>
      <c r="Z1233" s="373"/>
      <c r="AA1233" s="373"/>
      <c r="AB1233" s="373"/>
      <c r="AC1233" s="338" t="e">
        <f>VLOOKUP(F1233,'[1]CPO DATA'!$D:$I,4,FALSE)</f>
        <v>#N/A</v>
      </c>
      <c r="AD1233" s="418" t="str">
        <f>VLOOKUP(F1233,'STORE ITEMS'!C:F,2,FALSE)</f>
        <v>BOLT WASHER</v>
      </c>
    </row>
    <row r="1234" spans="1:30" ht="12.75" customHeight="1" x14ac:dyDescent="0.25">
      <c r="A1234" s="347" t="s">
        <v>3529</v>
      </c>
      <c r="B1234" s="376">
        <v>45397</v>
      </c>
      <c r="C1234" s="396" t="s">
        <v>35</v>
      </c>
      <c r="D1234" s="332" t="s">
        <v>1506</v>
      </c>
      <c r="E1234" s="333"/>
      <c r="F1234" s="524" t="s">
        <v>3530</v>
      </c>
      <c r="G1234" s="372" t="s">
        <v>2403</v>
      </c>
      <c r="H1234" s="333">
        <v>1</v>
      </c>
      <c r="I1234" s="333"/>
      <c r="J1234" s="333" t="s">
        <v>2627</v>
      </c>
      <c r="K1234" s="333" t="s">
        <v>69</v>
      </c>
      <c r="L1234" s="333"/>
      <c r="M1234" s="333" t="s">
        <v>3494</v>
      </c>
      <c r="N1234" s="417" t="s">
        <v>33</v>
      </c>
      <c r="O1234" s="417"/>
      <c r="P1234" s="462">
        <v>45397</v>
      </c>
      <c r="Q1234" s="333"/>
      <c r="R1234" s="333"/>
      <c r="S1234" s="373"/>
      <c r="T1234" s="373"/>
      <c r="U1234" s="373"/>
      <c r="V1234" s="373"/>
      <c r="W1234" s="346"/>
      <c r="X1234" s="373"/>
      <c r="Y1234" s="336">
        <f t="shared" ca="1" si="24"/>
        <v>189</v>
      </c>
      <c r="Z1234" s="373"/>
      <c r="AA1234" s="373"/>
      <c r="AB1234" s="373"/>
      <c r="AC1234" s="338" t="e">
        <f>VLOOKUP(F1234,'[1]CPO DATA'!$D:$I,4,FALSE)</f>
        <v>#N/A</v>
      </c>
      <c r="AD1234" s="418" t="e">
        <f>VLOOKUP(F1234,'STORE ITEMS'!C:F,2,FALSE)</f>
        <v>#N/A</v>
      </c>
    </row>
    <row r="1235" spans="1:30" ht="12.75" customHeight="1" x14ac:dyDescent="0.25">
      <c r="A1235" s="347" t="s">
        <v>3531</v>
      </c>
      <c r="B1235" s="376">
        <v>45397</v>
      </c>
      <c r="C1235" s="396" t="s">
        <v>35</v>
      </c>
      <c r="D1235" s="332" t="s">
        <v>274</v>
      </c>
      <c r="E1235" s="333"/>
      <c r="F1235" s="524" t="s">
        <v>2898</v>
      </c>
      <c r="G1235" s="372" t="s">
        <v>3532</v>
      </c>
      <c r="H1235" s="333">
        <v>1</v>
      </c>
      <c r="I1235" s="333"/>
      <c r="J1235" s="333" t="s">
        <v>2627</v>
      </c>
      <c r="K1235" s="333" t="s">
        <v>69</v>
      </c>
      <c r="L1235" s="333"/>
      <c r="M1235" s="333" t="s">
        <v>3494</v>
      </c>
      <c r="N1235" s="417" t="s">
        <v>33</v>
      </c>
      <c r="O1235" s="417"/>
      <c r="P1235" s="462">
        <v>45397</v>
      </c>
      <c r="Q1235" s="333"/>
      <c r="R1235" s="333"/>
      <c r="S1235" s="373"/>
      <c r="T1235" s="373"/>
      <c r="U1235" s="373"/>
      <c r="V1235" s="373"/>
      <c r="W1235" s="346"/>
      <c r="X1235" s="373"/>
      <c r="Y1235" s="336">
        <f t="shared" ca="1" si="24"/>
        <v>189</v>
      </c>
      <c r="Z1235" s="373"/>
      <c r="AA1235" s="373"/>
      <c r="AB1235" s="373"/>
      <c r="AC1235" s="338" t="e">
        <f>VLOOKUP(F1235,'[1]CPO DATA'!$D:$I,4,FALSE)</f>
        <v>#N/A</v>
      </c>
      <c r="AD1235" s="418" t="str">
        <f>VLOOKUP(F1235,'STORE ITEMS'!C:F,2,FALSE)</f>
        <v>CONNECTOR SUB A</v>
      </c>
    </row>
    <row r="1236" spans="1:30" ht="12.75" customHeight="1" x14ac:dyDescent="0.25">
      <c r="A1236" s="347" t="s">
        <v>3533</v>
      </c>
      <c r="B1236" s="376">
        <v>45397</v>
      </c>
      <c r="C1236" s="396" t="s">
        <v>35</v>
      </c>
      <c r="D1236" s="332" t="s">
        <v>274</v>
      </c>
      <c r="E1236" s="333"/>
      <c r="F1236" s="524" t="s">
        <v>2902</v>
      </c>
      <c r="G1236" s="372" t="s">
        <v>3532</v>
      </c>
      <c r="H1236" s="333">
        <v>1</v>
      </c>
      <c r="I1236" s="333"/>
      <c r="J1236" s="333" t="s">
        <v>2627</v>
      </c>
      <c r="K1236" s="333" t="s">
        <v>69</v>
      </c>
      <c r="L1236" s="333"/>
      <c r="M1236" s="333" t="s">
        <v>3494</v>
      </c>
      <c r="N1236" s="417" t="s">
        <v>33</v>
      </c>
      <c r="O1236" s="417"/>
      <c r="P1236" s="462">
        <v>45397</v>
      </c>
      <c r="Q1236" s="333"/>
      <c r="R1236" s="333"/>
      <c r="S1236" s="373"/>
      <c r="T1236" s="373"/>
      <c r="U1236" s="373"/>
      <c r="V1236" s="373"/>
      <c r="W1236" s="346"/>
      <c r="X1236" s="373"/>
      <c r="Y1236" s="336">
        <f t="shared" ca="1" si="24"/>
        <v>189</v>
      </c>
      <c r="Z1236" s="373"/>
      <c r="AA1236" s="373"/>
      <c r="AB1236" s="373"/>
      <c r="AC1236" s="338" t="e">
        <f>VLOOKUP(F1236,'[1]CPO DATA'!$D:$I,4,FALSE)</f>
        <v>#N/A</v>
      </c>
      <c r="AD1236" s="418" t="e">
        <f>VLOOKUP(F1236,'STORE ITEMS'!C:F,2,FALSE)</f>
        <v>#N/A</v>
      </c>
    </row>
    <row r="1237" spans="1:30" ht="12.75" customHeight="1" x14ac:dyDescent="0.25">
      <c r="A1237" s="347" t="s">
        <v>3534</v>
      </c>
      <c r="B1237" s="376">
        <v>45397</v>
      </c>
      <c r="C1237" s="396" t="s">
        <v>35</v>
      </c>
      <c r="D1237" s="332" t="s">
        <v>1506</v>
      </c>
      <c r="E1237" s="333"/>
      <c r="F1237" s="524" t="s">
        <v>2906</v>
      </c>
      <c r="G1237" s="372" t="s">
        <v>1189</v>
      </c>
      <c r="H1237" s="333">
        <v>1</v>
      </c>
      <c r="I1237" s="333"/>
      <c r="J1237" s="333" t="s">
        <v>2627</v>
      </c>
      <c r="K1237" s="333" t="s">
        <v>69</v>
      </c>
      <c r="L1237" s="333"/>
      <c r="M1237" s="333" t="s">
        <v>3494</v>
      </c>
      <c r="N1237" s="417" t="s">
        <v>33</v>
      </c>
      <c r="O1237" s="417"/>
      <c r="P1237" s="462">
        <v>45397</v>
      </c>
      <c r="Q1237" s="333"/>
      <c r="R1237" s="333"/>
      <c r="S1237" s="373"/>
      <c r="T1237" s="373"/>
      <c r="U1237" s="373"/>
      <c r="V1237" s="373"/>
      <c r="W1237" s="346"/>
      <c r="X1237" s="373"/>
      <c r="Y1237" s="336">
        <f t="shared" ca="1" si="24"/>
        <v>189</v>
      </c>
      <c r="Z1237" s="373"/>
      <c r="AA1237" s="373"/>
      <c r="AB1237" s="373"/>
      <c r="AC1237" s="338" t="e">
        <f>VLOOKUP(F1237,'[1]CPO DATA'!$D:$I,4,FALSE)</f>
        <v>#N/A</v>
      </c>
      <c r="AD1237" s="418" t="e">
        <f>VLOOKUP(F1237,'STORE ITEMS'!C:F,2,FALSE)</f>
        <v>#N/A</v>
      </c>
    </row>
    <row r="1238" spans="1:30" ht="12.75" customHeight="1" x14ac:dyDescent="0.25">
      <c r="A1238" s="347" t="s">
        <v>3535</v>
      </c>
      <c r="B1238" s="376">
        <v>45397</v>
      </c>
      <c r="C1238" s="396" t="s">
        <v>35</v>
      </c>
      <c r="D1238" s="332" t="s">
        <v>1506</v>
      </c>
      <c r="E1238" s="333"/>
      <c r="F1238" s="524" t="s">
        <v>2909</v>
      </c>
      <c r="G1238" s="372" t="s">
        <v>1189</v>
      </c>
      <c r="H1238" s="333">
        <v>1</v>
      </c>
      <c r="I1238" s="333"/>
      <c r="J1238" s="333" t="s">
        <v>2627</v>
      </c>
      <c r="K1238" s="333" t="s">
        <v>69</v>
      </c>
      <c r="L1238" s="333"/>
      <c r="M1238" s="333" t="s">
        <v>3494</v>
      </c>
      <c r="N1238" s="417" t="s">
        <v>33</v>
      </c>
      <c r="O1238" s="417"/>
      <c r="P1238" s="462">
        <v>45397</v>
      </c>
      <c r="Q1238" s="333"/>
      <c r="R1238" s="333"/>
      <c r="S1238" s="373"/>
      <c r="T1238" s="373"/>
      <c r="U1238" s="373"/>
      <c r="V1238" s="373"/>
      <c r="W1238" s="346"/>
      <c r="X1238" s="373"/>
      <c r="Y1238" s="336">
        <f t="shared" ca="1" si="24"/>
        <v>189</v>
      </c>
      <c r="Z1238" s="373"/>
      <c r="AA1238" s="373"/>
      <c r="AB1238" s="373"/>
      <c r="AC1238" s="338" t="e">
        <f>VLOOKUP(F1238,'[1]CPO DATA'!$D:$I,4,FALSE)</f>
        <v>#N/A</v>
      </c>
      <c r="AD1238" s="418" t="e">
        <f>VLOOKUP(F1238,'STORE ITEMS'!C:F,2,FALSE)</f>
        <v>#N/A</v>
      </c>
    </row>
    <row r="1239" spans="1:30" ht="12.75" customHeight="1" x14ac:dyDescent="0.25">
      <c r="A1239" s="347" t="s">
        <v>3536</v>
      </c>
      <c r="B1239" s="376">
        <v>45397</v>
      </c>
      <c r="C1239" s="396" t="s">
        <v>35</v>
      </c>
      <c r="D1239" s="332" t="s">
        <v>1506</v>
      </c>
      <c r="E1239" s="333"/>
      <c r="F1239" s="524" t="s">
        <v>3537</v>
      </c>
      <c r="G1239" s="372" t="s">
        <v>3538</v>
      </c>
      <c r="H1239" s="333">
        <v>1</v>
      </c>
      <c r="I1239" s="333"/>
      <c r="J1239" s="333" t="s">
        <v>2627</v>
      </c>
      <c r="K1239" s="333" t="s">
        <v>69</v>
      </c>
      <c r="L1239" s="333"/>
      <c r="M1239" s="333" t="s">
        <v>3494</v>
      </c>
      <c r="N1239" s="417" t="s">
        <v>33</v>
      </c>
      <c r="O1239" s="417"/>
      <c r="P1239" s="462">
        <v>45397</v>
      </c>
      <c r="Q1239" s="333"/>
      <c r="R1239" s="333"/>
      <c r="S1239" s="373"/>
      <c r="T1239" s="373"/>
      <c r="U1239" s="373"/>
      <c r="V1239" s="373"/>
      <c r="W1239" s="346"/>
      <c r="X1239" s="373"/>
      <c r="Y1239" s="336">
        <f t="shared" ca="1" si="24"/>
        <v>189</v>
      </c>
      <c r="Z1239" s="373"/>
      <c r="AA1239" s="373"/>
      <c r="AB1239" s="373"/>
      <c r="AC1239" s="338" t="e">
        <f>VLOOKUP(F1239,'[1]CPO DATA'!$D:$I,4,FALSE)</f>
        <v>#N/A</v>
      </c>
      <c r="AD1239" s="418" t="e">
        <f>VLOOKUP(F1239,'STORE ITEMS'!C:F,2,FALSE)</f>
        <v>#N/A</v>
      </c>
    </row>
    <row r="1240" spans="1:30" ht="12.75" customHeight="1" x14ac:dyDescent="0.25">
      <c r="A1240" s="347" t="s">
        <v>3539</v>
      </c>
      <c r="B1240" s="407">
        <v>45404</v>
      </c>
      <c r="C1240" s="508" t="s">
        <v>3540</v>
      </c>
      <c r="D1240" s="399" t="s">
        <v>526</v>
      </c>
      <c r="E1240" s="333"/>
      <c r="F1240" s="524" t="s">
        <v>3541</v>
      </c>
      <c r="G1240" s="372" t="s">
        <v>3542</v>
      </c>
      <c r="H1240" s="372">
        <v>1</v>
      </c>
      <c r="I1240" s="372">
        <v>4</v>
      </c>
      <c r="J1240" s="333" t="s">
        <v>31</v>
      </c>
      <c r="K1240" s="333" t="s">
        <v>32</v>
      </c>
      <c r="L1240" s="333"/>
      <c r="M1240" s="333"/>
      <c r="N1240" s="417"/>
      <c r="O1240" s="417"/>
      <c r="P1240" s="462">
        <v>45406</v>
      </c>
      <c r="Q1240" s="333"/>
      <c r="R1240" s="333"/>
      <c r="S1240" s="373"/>
      <c r="T1240" s="373"/>
      <c r="U1240" s="373"/>
      <c r="V1240" s="373"/>
      <c r="W1240" s="346"/>
      <c r="X1240" s="373"/>
      <c r="Y1240" s="336">
        <f t="shared" ca="1" si="24"/>
        <v>180</v>
      </c>
      <c r="Z1240" s="373"/>
      <c r="AA1240" s="373"/>
      <c r="AB1240" s="373"/>
    </row>
    <row r="1241" spans="1:30" ht="12.75" customHeight="1" x14ac:dyDescent="0.25">
      <c r="A1241" s="347" t="s">
        <v>3543</v>
      </c>
      <c r="B1241" s="376">
        <v>45406</v>
      </c>
      <c r="C1241" s="396" t="s">
        <v>3540</v>
      </c>
      <c r="D1241" s="332" t="s">
        <v>3544</v>
      </c>
      <c r="E1241" s="333"/>
      <c r="F1241" s="524" t="s">
        <v>3545</v>
      </c>
      <c r="G1241" s="372" t="s">
        <v>3546</v>
      </c>
      <c r="H1241" s="333">
        <v>1</v>
      </c>
      <c r="I1241" s="333">
        <v>41</v>
      </c>
      <c r="J1241" s="333" t="s">
        <v>43</v>
      </c>
      <c r="K1241" s="333" t="s">
        <v>32</v>
      </c>
      <c r="L1241" s="333"/>
      <c r="M1241" s="333"/>
      <c r="N1241" s="417"/>
      <c r="O1241" s="417"/>
      <c r="P1241" s="462">
        <v>45407</v>
      </c>
      <c r="Q1241" s="333"/>
      <c r="R1241" s="333"/>
      <c r="S1241" s="373"/>
      <c r="T1241" s="373"/>
      <c r="U1241" s="373"/>
      <c r="V1241" s="373"/>
      <c r="W1241" s="346"/>
      <c r="X1241" s="373"/>
      <c r="Y1241" s="336">
        <f t="shared" ca="1" si="24"/>
        <v>179</v>
      </c>
      <c r="Z1241" s="373"/>
      <c r="AA1241" s="373"/>
      <c r="AB1241" s="373"/>
    </row>
    <row r="1242" spans="1:30" ht="12.75" customHeight="1" x14ac:dyDescent="0.25">
      <c r="A1242" s="347" t="s">
        <v>3547</v>
      </c>
      <c r="B1242" s="376">
        <v>45406</v>
      </c>
      <c r="C1242" s="396" t="s">
        <v>3540</v>
      </c>
      <c r="D1242" s="332" t="s">
        <v>3544</v>
      </c>
      <c r="E1242" s="333"/>
      <c r="F1242" s="524" t="s">
        <v>1844</v>
      </c>
      <c r="G1242" s="372" t="s">
        <v>3548</v>
      </c>
      <c r="H1242" s="333">
        <v>1</v>
      </c>
      <c r="I1242" s="333">
        <v>41</v>
      </c>
      <c r="J1242" s="333" t="s">
        <v>68</v>
      </c>
      <c r="K1242" s="333" t="s">
        <v>69</v>
      </c>
      <c r="L1242" s="333"/>
      <c r="M1242" s="333" t="s">
        <v>3549</v>
      </c>
      <c r="N1242" s="417"/>
      <c r="O1242" s="417"/>
      <c r="P1242" s="462">
        <v>45407</v>
      </c>
      <c r="Q1242" s="333"/>
      <c r="R1242" s="333"/>
      <c r="S1242" s="373"/>
      <c r="T1242" s="373"/>
      <c r="U1242" s="373"/>
      <c r="V1242" s="373"/>
      <c r="W1242" s="346">
        <v>45373</v>
      </c>
      <c r="X1242" s="373"/>
      <c r="Y1242" s="336">
        <f t="shared" ca="1" si="24"/>
        <v>-34</v>
      </c>
      <c r="Z1242" s="373"/>
      <c r="AA1242" s="373"/>
      <c r="AB1242" s="373"/>
      <c r="AD1242" s="338"/>
    </row>
    <row r="1243" spans="1:30" ht="12.75" customHeight="1" x14ac:dyDescent="0.25">
      <c r="A1243" s="347" t="s">
        <v>3550</v>
      </c>
      <c r="B1243" s="376">
        <v>45406</v>
      </c>
      <c r="C1243" s="396" t="s">
        <v>3540</v>
      </c>
      <c r="D1243" s="332" t="s">
        <v>3544</v>
      </c>
      <c r="E1243" s="333"/>
      <c r="F1243" s="524" t="s">
        <v>3551</v>
      </c>
      <c r="G1243" s="372" t="s">
        <v>3552</v>
      </c>
      <c r="H1243" s="333">
        <v>1</v>
      </c>
      <c r="I1243" s="333">
        <v>41</v>
      </c>
      <c r="J1243" s="333" t="s">
        <v>68</v>
      </c>
      <c r="K1243" s="333" t="s">
        <v>69</v>
      </c>
      <c r="L1243" s="333"/>
      <c r="M1243" s="333" t="s">
        <v>3549</v>
      </c>
      <c r="N1243" s="417"/>
      <c r="O1243" s="417"/>
      <c r="P1243" s="462">
        <v>45407</v>
      </c>
      <c r="Q1243" s="333"/>
      <c r="R1243" s="333"/>
      <c r="S1243" s="373"/>
      <c r="T1243" s="373"/>
      <c r="U1243" s="373"/>
      <c r="V1243" s="373"/>
      <c r="W1243" s="346">
        <v>44847</v>
      </c>
      <c r="X1243" s="373"/>
      <c r="Y1243" s="336">
        <f t="shared" ca="1" si="24"/>
        <v>-560</v>
      </c>
      <c r="Z1243" s="373"/>
      <c r="AA1243" s="373"/>
      <c r="AB1243" s="373"/>
      <c r="AD1243" s="338"/>
    </row>
    <row r="1244" spans="1:30" ht="12.75" customHeight="1" x14ac:dyDescent="0.25">
      <c r="A1244" s="347" t="s">
        <v>3553</v>
      </c>
      <c r="B1244" s="376">
        <v>45400</v>
      </c>
      <c r="C1244" s="396" t="s">
        <v>3540</v>
      </c>
      <c r="D1244" s="332" t="s">
        <v>3544</v>
      </c>
      <c r="E1244" s="333"/>
      <c r="F1244" s="524" t="s">
        <v>3554</v>
      </c>
      <c r="G1244" s="372" t="s">
        <v>3555</v>
      </c>
      <c r="H1244" s="333">
        <v>1</v>
      </c>
      <c r="I1244" s="333">
        <v>41</v>
      </c>
      <c r="J1244" s="333" t="s">
        <v>31</v>
      </c>
      <c r="K1244" s="333" t="s">
        <v>32</v>
      </c>
      <c r="L1244" s="333"/>
      <c r="M1244" s="333"/>
      <c r="N1244" s="417"/>
      <c r="O1244" s="417"/>
      <c r="P1244" s="462">
        <v>45407</v>
      </c>
      <c r="Q1244" s="333"/>
      <c r="R1244" s="333"/>
      <c r="S1244" s="373"/>
      <c r="T1244" s="373"/>
      <c r="U1244" s="373"/>
      <c r="V1244" s="373"/>
      <c r="W1244" s="346">
        <v>45467</v>
      </c>
      <c r="X1244" s="373"/>
      <c r="Y1244" s="336">
        <f t="shared" ca="1" si="24"/>
        <v>60</v>
      </c>
      <c r="Z1244" s="373"/>
      <c r="AA1244" s="373"/>
      <c r="AB1244" s="373"/>
      <c r="AD1244" s="338"/>
    </row>
    <row r="1245" spans="1:30" ht="12.75" customHeight="1" x14ac:dyDescent="0.25">
      <c r="A1245" s="347" t="s">
        <v>3556</v>
      </c>
      <c r="B1245" s="376">
        <v>45400</v>
      </c>
      <c r="C1245" s="396" t="s">
        <v>3540</v>
      </c>
      <c r="D1245" s="332" t="s">
        <v>3544</v>
      </c>
      <c r="E1245" s="333"/>
      <c r="F1245" s="524" t="s">
        <v>3557</v>
      </c>
      <c r="G1245" s="372" t="s">
        <v>3558</v>
      </c>
      <c r="H1245" s="333">
        <v>1</v>
      </c>
      <c r="I1245" s="333">
        <v>41</v>
      </c>
      <c r="J1245" s="333" t="s">
        <v>31</v>
      </c>
      <c r="K1245" s="333" t="s">
        <v>32</v>
      </c>
      <c r="L1245" s="333"/>
      <c r="M1245" s="333"/>
      <c r="N1245" s="417"/>
      <c r="O1245" s="417"/>
      <c r="P1245" s="462">
        <v>45407</v>
      </c>
      <c r="Q1245" s="333"/>
      <c r="R1245" s="333"/>
      <c r="S1245" s="373"/>
      <c r="T1245" s="373"/>
      <c r="U1245" s="373"/>
      <c r="V1245" s="373"/>
      <c r="W1245" s="346"/>
      <c r="X1245" s="373"/>
      <c r="Y1245" s="336">
        <f t="shared" ca="1" si="24"/>
        <v>179</v>
      </c>
      <c r="Z1245" s="373"/>
      <c r="AA1245" s="373"/>
      <c r="AB1245" s="373"/>
    </row>
    <row r="1246" spans="1:30" ht="12.75" customHeight="1" x14ac:dyDescent="0.25">
      <c r="A1246" s="347" t="s">
        <v>3559</v>
      </c>
      <c r="B1246" s="376">
        <v>45400</v>
      </c>
      <c r="C1246" s="396" t="s">
        <v>3540</v>
      </c>
      <c r="D1246" s="332" t="s">
        <v>3544</v>
      </c>
      <c r="E1246" s="333"/>
      <c r="F1246" s="524" t="s">
        <v>3560</v>
      </c>
      <c r="G1246" s="372" t="s">
        <v>3561</v>
      </c>
      <c r="H1246" s="333">
        <v>1</v>
      </c>
      <c r="I1246" s="333">
        <v>41</v>
      </c>
      <c r="J1246" s="333" t="s">
        <v>31</v>
      </c>
      <c r="K1246" s="333" t="s">
        <v>32</v>
      </c>
      <c r="L1246" s="333"/>
      <c r="M1246" s="333"/>
      <c r="N1246" s="417"/>
      <c r="O1246" s="417"/>
      <c r="P1246" s="462">
        <v>45407</v>
      </c>
      <c r="Q1246" s="333"/>
      <c r="R1246" s="333"/>
      <c r="S1246" s="373"/>
      <c r="T1246" s="373"/>
      <c r="U1246" s="373"/>
      <c r="V1246" s="373"/>
      <c r="W1246" s="346">
        <v>45467</v>
      </c>
      <c r="X1246" s="373"/>
      <c r="Y1246" s="336">
        <f t="shared" ca="1" si="24"/>
        <v>60</v>
      </c>
      <c r="Z1246" s="373"/>
      <c r="AA1246" s="373"/>
      <c r="AB1246" s="373"/>
      <c r="AD1246" s="338"/>
    </row>
    <row r="1247" spans="1:30" ht="12.75" customHeight="1" x14ac:dyDescent="0.25">
      <c r="A1247" s="347" t="s">
        <v>3562</v>
      </c>
      <c r="B1247" s="376">
        <v>45400</v>
      </c>
      <c r="C1247" s="396" t="s">
        <v>3540</v>
      </c>
      <c r="D1247" s="332" t="s">
        <v>3544</v>
      </c>
      <c r="E1247" s="333"/>
      <c r="F1247" s="524" t="s">
        <v>3563</v>
      </c>
      <c r="G1247" s="372" t="s">
        <v>3564</v>
      </c>
      <c r="H1247" s="333">
        <v>4</v>
      </c>
      <c r="I1247" s="333">
        <v>41</v>
      </c>
      <c r="J1247" s="333" t="s">
        <v>46</v>
      </c>
      <c r="K1247" s="333" t="s">
        <v>32</v>
      </c>
      <c r="L1247" s="333"/>
      <c r="M1247" s="333"/>
      <c r="N1247" s="417"/>
      <c r="O1247" s="417"/>
      <c r="P1247" s="462">
        <v>45407</v>
      </c>
      <c r="Q1247" s="333"/>
      <c r="R1247" s="333"/>
      <c r="S1247" s="373"/>
      <c r="T1247" s="373"/>
      <c r="U1247" s="373"/>
      <c r="V1247" s="373"/>
      <c r="W1247" s="346">
        <v>45467</v>
      </c>
      <c r="X1247" s="373"/>
      <c r="Y1247" s="336">
        <f t="shared" ca="1" si="24"/>
        <v>60</v>
      </c>
      <c r="Z1247" s="373"/>
      <c r="AA1247" s="373"/>
      <c r="AB1247" s="373"/>
      <c r="AD1247" s="338"/>
    </row>
    <row r="1248" spans="1:30" ht="12.75" customHeight="1" x14ac:dyDescent="0.25">
      <c r="A1248" s="347" t="s">
        <v>3565</v>
      </c>
      <c r="B1248" s="376">
        <v>45400</v>
      </c>
      <c r="C1248" s="396" t="s">
        <v>3540</v>
      </c>
      <c r="D1248" s="332" t="s">
        <v>3544</v>
      </c>
      <c r="E1248" s="333"/>
      <c r="F1248" s="524" t="s">
        <v>3441</v>
      </c>
      <c r="G1248" s="372" t="s">
        <v>3566</v>
      </c>
      <c r="H1248" s="333">
        <v>1</v>
      </c>
      <c r="I1248" s="333">
        <v>41</v>
      </c>
      <c r="J1248" s="333" t="s">
        <v>265</v>
      </c>
      <c r="K1248" s="333" t="s">
        <v>32</v>
      </c>
      <c r="L1248" s="333"/>
      <c r="M1248" s="333"/>
      <c r="N1248" s="417"/>
      <c r="O1248" s="417"/>
      <c r="P1248" s="462">
        <v>45407</v>
      </c>
      <c r="Q1248" s="333"/>
      <c r="R1248" s="333"/>
      <c r="S1248" s="373"/>
      <c r="T1248" s="373"/>
      <c r="U1248" s="373"/>
      <c r="V1248" s="373"/>
      <c r="W1248" s="346">
        <v>45467</v>
      </c>
      <c r="X1248" s="373"/>
      <c r="Y1248" s="336">
        <f t="shared" ca="1" si="24"/>
        <v>60</v>
      </c>
      <c r="Z1248" s="373"/>
      <c r="AA1248" s="373"/>
      <c r="AB1248" s="373"/>
      <c r="AD1248" s="338"/>
    </row>
    <row r="1249" spans="1:30" ht="12.75" customHeight="1" x14ac:dyDescent="0.25">
      <c r="A1249" s="347" t="s">
        <v>3567</v>
      </c>
      <c r="B1249" s="376">
        <v>45400</v>
      </c>
      <c r="C1249" s="396" t="s">
        <v>3540</v>
      </c>
      <c r="D1249" s="332" t="s">
        <v>3544</v>
      </c>
      <c r="E1249" s="333"/>
      <c r="F1249" s="524" t="s">
        <v>3441</v>
      </c>
      <c r="G1249" s="372" t="s">
        <v>3442</v>
      </c>
      <c r="H1249" s="333">
        <v>1</v>
      </c>
      <c r="I1249" s="333">
        <v>41</v>
      </c>
      <c r="J1249" s="333" t="s">
        <v>43</v>
      </c>
      <c r="K1249" s="333" t="s">
        <v>32</v>
      </c>
      <c r="L1249" s="333"/>
      <c r="M1249" s="333"/>
      <c r="N1249" s="417"/>
      <c r="O1249" s="417"/>
      <c r="P1249" s="462">
        <v>45407</v>
      </c>
      <c r="Q1249" s="333"/>
      <c r="R1249" s="333"/>
      <c r="S1249" s="373"/>
      <c r="T1249" s="373"/>
      <c r="U1249" s="373"/>
      <c r="V1249" s="373"/>
      <c r="W1249" s="346">
        <v>45467</v>
      </c>
      <c r="X1249" s="373"/>
      <c r="Y1249" s="336">
        <f t="shared" ca="1" si="24"/>
        <v>60</v>
      </c>
      <c r="Z1249" s="373"/>
      <c r="AA1249" s="373"/>
      <c r="AB1249" s="373"/>
      <c r="AD1249" s="338"/>
    </row>
    <row r="1250" spans="1:30" ht="12.75" customHeight="1" x14ac:dyDescent="0.25">
      <c r="A1250" s="347" t="s">
        <v>3568</v>
      </c>
      <c r="B1250" s="376">
        <v>45400</v>
      </c>
      <c r="C1250" s="396" t="s">
        <v>3540</v>
      </c>
      <c r="D1250" s="332" t="s">
        <v>3544</v>
      </c>
      <c r="E1250" s="333"/>
      <c r="F1250" s="524" t="s">
        <v>3569</v>
      </c>
      <c r="G1250" s="372" t="s">
        <v>3570</v>
      </c>
      <c r="H1250" s="333">
        <v>1</v>
      </c>
      <c r="I1250" s="333">
        <v>41</v>
      </c>
      <c r="J1250" s="333" t="s">
        <v>31</v>
      </c>
      <c r="K1250" s="333" t="s">
        <v>32</v>
      </c>
      <c r="L1250" s="333"/>
      <c r="M1250" s="333"/>
      <c r="N1250" s="417"/>
      <c r="O1250" s="417"/>
      <c r="P1250" s="462">
        <v>45407</v>
      </c>
      <c r="Q1250" s="333"/>
      <c r="R1250" s="333"/>
      <c r="S1250" s="373"/>
      <c r="T1250" s="373"/>
      <c r="U1250" s="373"/>
      <c r="V1250" s="373"/>
      <c r="W1250" s="346">
        <v>45467</v>
      </c>
      <c r="X1250" s="373"/>
      <c r="Y1250" s="336">
        <f t="shared" ca="1" si="24"/>
        <v>60</v>
      </c>
      <c r="Z1250" s="373"/>
      <c r="AA1250" s="373"/>
      <c r="AB1250" s="373"/>
      <c r="AD1250" s="338"/>
    </row>
    <row r="1251" spans="1:30" ht="12.75" customHeight="1" x14ac:dyDescent="0.25">
      <c r="A1251" s="347" t="s">
        <v>3571</v>
      </c>
      <c r="B1251" s="376">
        <v>45400</v>
      </c>
      <c r="C1251" s="396" t="s">
        <v>3540</v>
      </c>
      <c r="D1251" s="332" t="s">
        <v>3544</v>
      </c>
      <c r="E1251" s="333"/>
      <c r="F1251" s="524" t="s">
        <v>3572</v>
      </c>
      <c r="G1251" s="372" t="s">
        <v>3573</v>
      </c>
      <c r="H1251" s="333">
        <v>1</v>
      </c>
      <c r="I1251" s="333">
        <v>41</v>
      </c>
      <c r="J1251" s="333" t="s">
        <v>31</v>
      </c>
      <c r="K1251" s="333" t="s">
        <v>32</v>
      </c>
      <c r="L1251" s="333"/>
      <c r="M1251" s="333"/>
      <c r="N1251" s="417"/>
      <c r="O1251" s="417"/>
      <c r="P1251" s="462">
        <v>45407</v>
      </c>
      <c r="Q1251" s="333"/>
      <c r="R1251" s="333"/>
      <c r="S1251" s="373"/>
      <c r="T1251" s="373"/>
      <c r="U1251" s="373"/>
      <c r="V1251" s="373"/>
      <c r="W1251" s="346"/>
      <c r="X1251" s="373"/>
      <c r="Y1251" s="336">
        <f t="shared" ca="1" si="24"/>
        <v>179</v>
      </c>
      <c r="Z1251" s="373"/>
      <c r="AA1251" s="373"/>
      <c r="AB1251" s="373"/>
    </row>
    <row r="1252" spans="1:30" s="538" customFormat="1" ht="12.75" customHeight="1" x14ac:dyDescent="0.25">
      <c r="A1252" s="528" t="s">
        <v>3574</v>
      </c>
      <c r="B1252" s="529">
        <v>45400</v>
      </c>
      <c r="C1252" s="530" t="s">
        <v>3540</v>
      </c>
      <c r="D1252" s="531" t="s">
        <v>3544</v>
      </c>
      <c r="E1252" s="333"/>
      <c r="F1252" s="532" t="s">
        <v>3575</v>
      </c>
      <c r="G1252" s="533" t="s">
        <v>3576</v>
      </c>
      <c r="H1252" s="533">
        <v>48</v>
      </c>
      <c r="I1252" s="533">
        <v>41</v>
      </c>
      <c r="J1252" s="533" t="s">
        <v>46</v>
      </c>
      <c r="K1252" s="533" t="s">
        <v>32</v>
      </c>
      <c r="L1252" s="333"/>
      <c r="M1252" s="333"/>
      <c r="N1252" s="417"/>
      <c r="O1252" s="417"/>
      <c r="P1252" s="534">
        <v>45407</v>
      </c>
      <c r="Q1252" s="533"/>
      <c r="R1252" s="533"/>
      <c r="S1252" s="535"/>
      <c r="T1252" s="535"/>
      <c r="U1252" s="535"/>
      <c r="V1252" s="535"/>
      <c r="W1252" s="536">
        <v>44967</v>
      </c>
      <c r="X1252" s="535"/>
      <c r="Y1252" s="537">
        <f t="shared" ca="1" si="24"/>
        <v>-440</v>
      </c>
      <c r="Z1252" s="535"/>
      <c r="AA1252" s="535"/>
      <c r="AB1252" s="535"/>
    </row>
    <row r="1253" spans="1:30" ht="12.75" customHeight="1" x14ac:dyDescent="0.25">
      <c r="A1253" s="347" t="s">
        <v>3577</v>
      </c>
      <c r="B1253" s="376">
        <v>45400</v>
      </c>
      <c r="C1253" s="396" t="s">
        <v>3540</v>
      </c>
      <c r="D1253" s="332" t="s">
        <v>3544</v>
      </c>
      <c r="E1253" s="333"/>
      <c r="F1253" s="524" t="s">
        <v>3578</v>
      </c>
      <c r="G1253" s="372" t="s">
        <v>3579</v>
      </c>
      <c r="H1253" s="333">
        <v>1</v>
      </c>
      <c r="I1253" s="333">
        <v>41</v>
      </c>
      <c r="J1253" s="333" t="s">
        <v>31</v>
      </c>
      <c r="K1253" s="333" t="s">
        <v>32</v>
      </c>
      <c r="L1253" s="333"/>
      <c r="M1253" s="333"/>
      <c r="N1253" s="417"/>
      <c r="O1253" s="417"/>
      <c r="P1253" s="462">
        <v>45407</v>
      </c>
      <c r="Q1253" s="333"/>
      <c r="R1253" s="333"/>
      <c r="S1253" s="373"/>
      <c r="T1253" s="373"/>
      <c r="U1253" s="373"/>
      <c r="V1253" s="373"/>
      <c r="W1253" s="346">
        <v>45467</v>
      </c>
      <c r="X1253" s="373"/>
      <c r="Y1253" s="336">
        <f t="shared" ca="1" si="24"/>
        <v>60</v>
      </c>
      <c r="Z1253" s="373"/>
      <c r="AA1253" s="373"/>
      <c r="AB1253" s="373"/>
      <c r="AD1253" s="338"/>
    </row>
    <row r="1254" spans="1:30" ht="12.75" customHeight="1" x14ac:dyDescent="0.25">
      <c r="A1254" s="347" t="s">
        <v>3580</v>
      </c>
      <c r="B1254" s="376">
        <v>45399</v>
      </c>
      <c r="C1254" s="396" t="s">
        <v>3540</v>
      </c>
      <c r="D1254" s="332" t="s">
        <v>3544</v>
      </c>
      <c r="E1254" s="333"/>
      <c r="F1254" s="524" t="s">
        <v>3581</v>
      </c>
      <c r="G1254" s="372" t="s">
        <v>3582</v>
      </c>
      <c r="H1254" s="333">
        <v>24</v>
      </c>
      <c r="I1254" s="525" t="s">
        <v>2627</v>
      </c>
      <c r="J1254" s="333" t="s">
        <v>102</v>
      </c>
      <c r="K1254" s="333" t="s">
        <v>69</v>
      </c>
      <c r="L1254" s="333"/>
      <c r="M1254" s="333" t="s">
        <v>3549</v>
      </c>
      <c r="N1254" s="417"/>
      <c r="O1254" s="417"/>
      <c r="P1254" s="462">
        <v>45407</v>
      </c>
      <c r="Q1254" s="333"/>
      <c r="R1254" s="333"/>
      <c r="S1254" s="373"/>
      <c r="T1254" s="373"/>
      <c r="U1254" s="373"/>
      <c r="V1254" s="373"/>
      <c r="W1254" s="346"/>
      <c r="X1254" s="373"/>
      <c r="Y1254" s="336">
        <f t="shared" ca="1" si="24"/>
        <v>179</v>
      </c>
      <c r="Z1254" s="373"/>
      <c r="AA1254" s="373"/>
      <c r="AB1254" s="373"/>
    </row>
    <row r="1255" spans="1:30" ht="12.75" customHeight="1" x14ac:dyDescent="0.25">
      <c r="A1255" s="347" t="s">
        <v>3583</v>
      </c>
      <c r="B1255" s="376">
        <v>45399</v>
      </c>
      <c r="C1255" s="396" t="s">
        <v>3540</v>
      </c>
      <c r="D1255" s="332" t="s">
        <v>3544</v>
      </c>
      <c r="E1255" s="333"/>
      <c r="F1255" s="524" t="s">
        <v>3584</v>
      </c>
      <c r="G1255" s="372" t="s">
        <v>3585</v>
      </c>
      <c r="H1255" s="333">
        <v>1</v>
      </c>
      <c r="I1255" s="525" t="s">
        <v>2627</v>
      </c>
      <c r="J1255" s="333" t="s">
        <v>102</v>
      </c>
      <c r="K1255" s="333" t="s">
        <v>69</v>
      </c>
      <c r="L1255" s="333"/>
      <c r="M1255" s="333" t="s">
        <v>3549</v>
      </c>
      <c r="N1255" s="417"/>
      <c r="O1255" s="417"/>
      <c r="P1255" s="462">
        <v>45407</v>
      </c>
      <c r="Q1255" s="333"/>
      <c r="R1255" s="333"/>
      <c r="S1255" s="373"/>
      <c r="T1255" s="373"/>
      <c r="U1255" s="373"/>
      <c r="V1255" s="373"/>
      <c r="W1255" s="346"/>
      <c r="X1255" s="373"/>
      <c r="Y1255" s="336">
        <f t="shared" ca="1" si="24"/>
        <v>179</v>
      </c>
      <c r="Z1255" s="373"/>
      <c r="AA1255" s="373"/>
      <c r="AB1255" s="373"/>
    </row>
    <row r="1256" spans="1:30" ht="12.75" customHeight="1" x14ac:dyDescent="0.25">
      <c r="A1256" s="347" t="s">
        <v>3586</v>
      </c>
      <c r="B1256" s="376">
        <v>45399</v>
      </c>
      <c r="C1256" s="396" t="s">
        <v>3540</v>
      </c>
      <c r="D1256" s="332" t="s">
        <v>3544</v>
      </c>
      <c r="E1256" s="333"/>
      <c r="F1256" s="524" t="s">
        <v>3587</v>
      </c>
      <c r="G1256" s="526" t="s">
        <v>3588</v>
      </c>
      <c r="H1256" s="333">
        <v>2</v>
      </c>
      <c r="I1256" s="525" t="s">
        <v>2627</v>
      </c>
      <c r="J1256" s="333" t="s">
        <v>102</v>
      </c>
      <c r="K1256" s="333" t="s">
        <v>69</v>
      </c>
      <c r="L1256" s="333"/>
      <c r="M1256" s="333" t="s">
        <v>3549</v>
      </c>
      <c r="N1256" s="417"/>
      <c r="O1256" s="417"/>
      <c r="P1256" s="462">
        <v>45407</v>
      </c>
      <c r="Q1256" s="333"/>
      <c r="R1256" s="333"/>
      <c r="S1256" s="373"/>
      <c r="T1256" s="373"/>
      <c r="U1256" s="373"/>
      <c r="V1256" s="373"/>
      <c r="W1256" s="346"/>
      <c r="X1256" s="373"/>
      <c r="Y1256" s="336">
        <f t="shared" ca="1" si="24"/>
        <v>179</v>
      </c>
      <c r="Z1256" s="373"/>
      <c r="AA1256" s="373"/>
      <c r="AB1256" s="373"/>
    </row>
    <row r="1257" spans="1:30" ht="12.75" customHeight="1" x14ac:dyDescent="0.25">
      <c r="A1257" s="347" t="s">
        <v>3589</v>
      </c>
      <c r="B1257" s="376">
        <v>45399</v>
      </c>
      <c r="C1257" s="396" t="s">
        <v>3540</v>
      </c>
      <c r="D1257" s="332" t="s">
        <v>3544</v>
      </c>
      <c r="E1257" s="333"/>
      <c r="F1257" s="524" t="s">
        <v>3590</v>
      </c>
      <c r="G1257" s="372" t="s">
        <v>3591</v>
      </c>
      <c r="H1257" s="333">
        <v>1</v>
      </c>
      <c r="I1257" s="525" t="s">
        <v>2627</v>
      </c>
      <c r="J1257" s="333" t="s">
        <v>68</v>
      </c>
      <c r="K1257" s="333" t="s">
        <v>69</v>
      </c>
      <c r="L1257" s="333"/>
      <c r="M1257" s="333" t="s">
        <v>3549</v>
      </c>
      <c r="N1257" s="417"/>
      <c r="O1257" s="417"/>
      <c r="P1257" s="462">
        <v>45407</v>
      </c>
      <c r="Q1257" s="333"/>
      <c r="R1257" s="333"/>
      <c r="S1257" s="373"/>
      <c r="T1257" s="373"/>
      <c r="U1257" s="373"/>
      <c r="V1257" s="373"/>
      <c r="W1257" s="346"/>
      <c r="X1257" s="373"/>
      <c r="Y1257" s="336">
        <f t="shared" ca="1" si="24"/>
        <v>179</v>
      </c>
      <c r="Z1257" s="373"/>
      <c r="AA1257" s="373"/>
      <c r="AB1257" s="373"/>
    </row>
    <row r="1258" spans="1:30" ht="12.75" customHeight="1" x14ac:dyDescent="0.25">
      <c r="A1258" s="347" t="s">
        <v>3592</v>
      </c>
      <c r="B1258" s="376">
        <v>45399</v>
      </c>
      <c r="C1258" s="396" t="s">
        <v>3540</v>
      </c>
      <c r="D1258" s="332" t="s">
        <v>3544</v>
      </c>
      <c r="E1258" s="333"/>
      <c r="F1258" s="524" t="s">
        <v>3593</v>
      </c>
      <c r="G1258" s="372" t="s">
        <v>3594</v>
      </c>
      <c r="H1258" s="333">
        <v>1</v>
      </c>
      <c r="I1258" s="525" t="s">
        <v>2627</v>
      </c>
      <c r="J1258" s="333" t="s">
        <v>102</v>
      </c>
      <c r="K1258" s="333" t="s">
        <v>69</v>
      </c>
      <c r="L1258" s="333"/>
      <c r="M1258" s="333" t="s">
        <v>3549</v>
      </c>
      <c r="N1258" s="417"/>
      <c r="O1258" s="417"/>
      <c r="P1258" s="462">
        <v>45407</v>
      </c>
      <c r="Q1258" s="333"/>
      <c r="R1258" s="333"/>
      <c r="S1258" s="373"/>
      <c r="T1258" s="373"/>
      <c r="U1258" s="373"/>
      <c r="V1258" s="373"/>
      <c r="W1258" s="346"/>
      <c r="X1258" s="373"/>
      <c r="Y1258" s="336">
        <f t="shared" ca="1" si="24"/>
        <v>179</v>
      </c>
      <c r="Z1258" s="373"/>
      <c r="AA1258" s="373"/>
      <c r="AB1258" s="373"/>
    </row>
    <row r="1259" spans="1:30" ht="12.75" customHeight="1" x14ac:dyDescent="0.25">
      <c r="A1259" s="347" t="s">
        <v>3595</v>
      </c>
      <c r="B1259" s="376">
        <v>45399</v>
      </c>
      <c r="C1259" s="396" t="s">
        <v>3540</v>
      </c>
      <c r="D1259" s="332" t="s">
        <v>3544</v>
      </c>
      <c r="E1259" s="333"/>
      <c r="F1259" s="524" t="s">
        <v>1844</v>
      </c>
      <c r="G1259" s="372" t="s">
        <v>3548</v>
      </c>
      <c r="H1259" s="333">
        <v>1</v>
      </c>
      <c r="I1259" s="525" t="s">
        <v>2627</v>
      </c>
      <c r="J1259" s="333" t="s">
        <v>68</v>
      </c>
      <c r="K1259" s="333" t="s">
        <v>69</v>
      </c>
      <c r="L1259" s="333"/>
      <c r="M1259" s="333" t="s">
        <v>3549</v>
      </c>
      <c r="N1259" s="417"/>
      <c r="O1259" s="417"/>
      <c r="P1259" s="462">
        <v>45407</v>
      </c>
      <c r="Q1259" s="333"/>
      <c r="R1259" s="333"/>
      <c r="S1259" s="373"/>
      <c r="T1259" s="373"/>
      <c r="U1259" s="373"/>
      <c r="V1259" s="373"/>
      <c r="W1259" s="346">
        <v>45373</v>
      </c>
      <c r="X1259" s="373"/>
      <c r="Y1259" s="336">
        <f t="shared" ca="1" si="24"/>
        <v>-34</v>
      </c>
      <c r="Z1259" s="373"/>
      <c r="AA1259" s="373"/>
      <c r="AB1259" s="373"/>
      <c r="AD1259" s="338"/>
    </row>
    <row r="1260" spans="1:30" ht="12.75" customHeight="1" x14ac:dyDescent="0.25">
      <c r="A1260" s="347" t="s">
        <v>3596</v>
      </c>
      <c r="B1260" s="376">
        <v>45399</v>
      </c>
      <c r="C1260" s="396" t="s">
        <v>3540</v>
      </c>
      <c r="D1260" s="332" t="s">
        <v>3544</v>
      </c>
      <c r="E1260" s="333"/>
      <c r="F1260" s="524" t="s">
        <v>3597</v>
      </c>
      <c r="G1260" s="372" t="s">
        <v>3598</v>
      </c>
      <c r="H1260" s="333">
        <v>1</v>
      </c>
      <c r="I1260" s="525" t="s">
        <v>2627</v>
      </c>
      <c r="J1260" s="333" t="s">
        <v>102</v>
      </c>
      <c r="K1260" s="333" t="s">
        <v>69</v>
      </c>
      <c r="L1260" s="333"/>
      <c r="M1260" s="333" t="s">
        <v>3549</v>
      </c>
      <c r="N1260" s="417"/>
      <c r="O1260" s="417"/>
      <c r="P1260" s="462">
        <v>45407</v>
      </c>
      <c r="Q1260" s="333"/>
      <c r="R1260" s="333"/>
      <c r="S1260" s="373"/>
      <c r="T1260" s="373"/>
      <c r="U1260" s="373"/>
      <c r="V1260" s="373"/>
      <c r="W1260" s="346"/>
      <c r="X1260" s="373"/>
      <c r="Y1260" s="336">
        <f t="shared" ca="1" si="24"/>
        <v>179</v>
      </c>
      <c r="Z1260" s="373"/>
      <c r="AA1260" s="373"/>
      <c r="AB1260" s="373"/>
    </row>
    <row r="1261" spans="1:30" ht="12.75" customHeight="1" x14ac:dyDescent="0.25">
      <c r="A1261" s="347" t="s">
        <v>3599</v>
      </c>
      <c r="B1261" s="376">
        <v>45407</v>
      </c>
      <c r="C1261" s="396" t="s">
        <v>3540</v>
      </c>
      <c r="D1261" s="332" t="s">
        <v>3544</v>
      </c>
      <c r="E1261" s="333"/>
      <c r="F1261" s="524" t="s">
        <v>3600</v>
      </c>
      <c r="G1261" s="372" t="s">
        <v>3601</v>
      </c>
      <c r="H1261" s="333">
        <v>1</v>
      </c>
      <c r="I1261" s="333">
        <v>41</v>
      </c>
      <c r="J1261" s="333" t="s">
        <v>68</v>
      </c>
      <c r="K1261" s="333" t="s">
        <v>69</v>
      </c>
      <c r="L1261" s="333"/>
      <c r="M1261" s="333" t="s">
        <v>3549</v>
      </c>
      <c r="N1261" s="417"/>
      <c r="O1261" s="417"/>
      <c r="P1261" s="462">
        <v>45407</v>
      </c>
      <c r="Q1261" s="333"/>
      <c r="R1261" s="333"/>
      <c r="S1261" s="373"/>
      <c r="T1261" s="373"/>
      <c r="U1261" s="373"/>
      <c r="V1261" s="373"/>
      <c r="W1261" s="346"/>
      <c r="X1261" s="373"/>
      <c r="Y1261" s="336">
        <f t="shared" ca="1" si="24"/>
        <v>179</v>
      </c>
      <c r="Z1261" s="373"/>
      <c r="AA1261" s="373"/>
      <c r="AB1261" s="373"/>
    </row>
    <row r="1262" spans="1:30" ht="12.75" customHeight="1" x14ac:dyDescent="0.25">
      <c r="A1262" s="347" t="s">
        <v>3602</v>
      </c>
      <c r="B1262" s="376">
        <v>45411</v>
      </c>
      <c r="C1262" s="396" t="s">
        <v>3603</v>
      </c>
      <c r="D1262" s="332" t="s">
        <v>2816</v>
      </c>
      <c r="E1262" s="333"/>
      <c r="F1262" s="524" t="s">
        <v>3604</v>
      </c>
      <c r="G1262" s="372" t="s">
        <v>3605</v>
      </c>
      <c r="H1262" s="333">
        <v>2</v>
      </c>
      <c r="I1262" s="333"/>
      <c r="J1262" s="333"/>
      <c r="K1262" s="333" t="s">
        <v>32</v>
      </c>
      <c r="L1262" s="333"/>
      <c r="M1262" s="333"/>
      <c r="N1262" s="417"/>
      <c r="O1262" s="417"/>
      <c r="P1262" s="462"/>
      <c r="Q1262" s="333"/>
      <c r="R1262" s="333"/>
      <c r="S1262" s="373"/>
      <c r="T1262" s="373"/>
      <c r="U1262" s="373"/>
      <c r="V1262" s="373"/>
      <c r="W1262" s="346"/>
      <c r="X1262" s="373"/>
      <c r="Y1262" s="336" t="str">
        <f t="shared" ca="1" si="24"/>
        <v/>
      </c>
      <c r="Z1262" s="373"/>
      <c r="AA1262" s="373"/>
      <c r="AB1262" s="373"/>
      <c r="AD1262" s="338"/>
    </row>
    <row r="1263" spans="1:30" ht="12.75" customHeight="1" x14ac:dyDescent="0.25">
      <c r="A1263" s="347" t="s">
        <v>3606</v>
      </c>
      <c r="B1263" s="376">
        <v>45411</v>
      </c>
      <c r="C1263" s="396" t="s">
        <v>3603</v>
      </c>
      <c r="D1263" s="332" t="s">
        <v>2816</v>
      </c>
      <c r="E1263" s="333"/>
      <c r="F1263" s="524" t="s">
        <v>3607</v>
      </c>
      <c r="G1263" s="372" t="s">
        <v>3608</v>
      </c>
      <c r="H1263" s="333">
        <v>5</v>
      </c>
      <c r="I1263" s="333"/>
      <c r="J1263" s="333"/>
      <c r="K1263" s="333" t="s">
        <v>32</v>
      </c>
      <c r="L1263" s="333"/>
      <c r="M1263" s="333"/>
      <c r="N1263" s="417"/>
      <c r="O1263" s="417"/>
      <c r="P1263" s="462"/>
      <c r="Q1263" s="333"/>
      <c r="R1263" s="333"/>
      <c r="S1263" s="373"/>
      <c r="T1263" s="373"/>
      <c r="U1263" s="373"/>
      <c r="V1263" s="373"/>
      <c r="W1263" s="346"/>
      <c r="X1263" s="373"/>
      <c r="Y1263" s="336" t="str">
        <f t="shared" ca="1" si="24"/>
        <v/>
      </c>
      <c r="Z1263" s="373"/>
      <c r="AA1263" s="373"/>
      <c r="AB1263" s="373"/>
      <c r="AD1263" s="338"/>
    </row>
    <row r="1264" spans="1:30" ht="12.75" customHeight="1" x14ac:dyDescent="0.25">
      <c r="A1264" s="347" t="s">
        <v>3609</v>
      </c>
      <c r="B1264" s="376">
        <v>45411</v>
      </c>
      <c r="C1264" s="396" t="s">
        <v>3603</v>
      </c>
      <c r="D1264" s="332" t="s">
        <v>2816</v>
      </c>
      <c r="E1264" s="333"/>
      <c r="F1264" s="524" t="s">
        <v>3610</v>
      </c>
      <c r="G1264" s="372" t="s">
        <v>3611</v>
      </c>
      <c r="H1264" s="333">
        <v>2</v>
      </c>
      <c r="I1264" s="333"/>
      <c r="J1264" s="333"/>
      <c r="K1264" s="333" t="s">
        <v>32</v>
      </c>
      <c r="L1264" s="333"/>
      <c r="M1264" s="333"/>
      <c r="N1264" s="417"/>
      <c r="O1264" s="417"/>
      <c r="P1264" s="462"/>
      <c r="Q1264" s="333"/>
      <c r="R1264" s="333"/>
      <c r="S1264" s="373"/>
      <c r="T1264" s="373"/>
      <c r="U1264" s="373"/>
      <c r="V1264" s="373"/>
      <c r="W1264" s="346"/>
      <c r="X1264" s="373"/>
      <c r="Y1264" s="336" t="str">
        <f t="shared" ca="1" si="24"/>
        <v/>
      </c>
      <c r="Z1264" s="373"/>
      <c r="AA1264" s="373"/>
      <c r="AB1264" s="373"/>
      <c r="AD1264" s="338"/>
    </row>
    <row r="1265" spans="1:28" s="338" customFormat="1" ht="12.75" customHeight="1" x14ac:dyDescent="0.25">
      <c r="A1265" s="347" t="s">
        <v>3612</v>
      </c>
      <c r="B1265" s="376">
        <v>45411</v>
      </c>
      <c r="C1265" s="396" t="s">
        <v>3603</v>
      </c>
      <c r="D1265" s="332" t="s">
        <v>2816</v>
      </c>
      <c r="E1265" s="333"/>
      <c r="F1265" s="524" t="s">
        <v>3613</v>
      </c>
      <c r="G1265" s="372" t="s">
        <v>3614</v>
      </c>
      <c r="H1265" s="333">
        <v>8</v>
      </c>
      <c r="I1265" s="333"/>
      <c r="J1265" s="333"/>
      <c r="K1265" s="333" t="s">
        <v>32</v>
      </c>
      <c r="L1265" s="333"/>
      <c r="M1265" s="333"/>
      <c r="N1265" s="417"/>
      <c r="O1265" s="417"/>
      <c r="P1265" s="462"/>
      <c r="Q1265" s="333"/>
      <c r="R1265" s="333"/>
      <c r="S1265" s="373"/>
      <c r="T1265" s="373"/>
      <c r="U1265" s="373"/>
      <c r="V1265" s="373"/>
      <c r="W1265" s="346"/>
      <c r="X1265" s="373"/>
      <c r="Y1265" s="336" t="str">
        <f t="shared" ca="1" si="24"/>
        <v/>
      </c>
      <c r="Z1265" s="373"/>
      <c r="AA1265" s="373"/>
      <c r="AB1265" s="373"/>
    </row>
    <row r="1266" spans="1:28" s="338" customFormat="1" ht="12.75" customHeight="1" x14ac:dyDescent="0.25">
      <c r="A1266" s="347" t="s">
        <v>3615</v>
      </c>
      <c r="B1266" s="376">
        <v>45411</v>
      </c>
      <c r="C1266" s="396" t="s">
        <v>3603</v>
      </c>
      <c r="D1266" s="332" t="s">
        <v>2816</v>
      </c>
      <c r="E1266" s="333"/>
      <c r="F1266" s="524" t="s">
        <v>2817</v>
      </c>
      <c r="G1266" s="372" t="s">
        <v>3616</v>
      </c>
      <c r="H1266" s="333">
        <v>1</v>
      </c>
      <c r="I1266" s="333"/>
      <c r="J1266" s="333"/>
      <c r="K1266" s="333" t="s">
        <v>32</v>
      </c>
      <c r="L1266" s="333"/>
      <c r="M1266" s="333"/>
      <c r="N1266" s="417"/>
      <c r="O1266" s="417"/>
      <c r="P1266" s="462"/>
      <c r="Q1266" s="333"/>
      <c r="R1266" s="333"/>
      <c r="S1266" s="373"/>
      <c r="T1266" s="373"/>
      <c r="U1266" s="373"/>
      <c r="V1266" s="373"/>
      <c r="W1266" s="346"/>
      <c r="X1266" s="373"/>
      <c r="Y1266" s="336" t="str">
        <f t="shared" ca="1" si="24"/>
        <v/>
      </c>
      <c r="Z1266" s="373"/>
      <c r="AA1266" s="373"/>
      <c r="AB1266" s="373"/>
    </row>
    <row r="1267" spans="1:28" s="338" customFormat="1" ht="12.75" customHeight="1" x14ac:dyDescent="0.25">
      <c r="A1267" s="347" t="s">
        <v>3617</v>
      </c>
      <c r="B1267" s="376">
        <v>45411</v>
      </c>
      <c r="C1267" s="396" t="s">
        <v>3603</v>
      </c>
      <c r="D1267" s="332" t="s">
        <v>2816</v>
      </c>
      <c r="E1267" s="333"/>
      <c r="F1267" s="524" t="s">
        <v>3618</v>
      </c>
      <c r="G1267" s="372" t="s">
        <v>3616</v>
      </c>
      <c r="H1267" s="333">
        <v>1</v>
      </c>
      <c r="I1267" s="333"/>
      <c r="J1267" s="333"/>
      <c r="K1267" s="333" t="s">
        <v>32</v>
      </c>
      <c r="L1267" s="333"/>
      <c r="M1267" s="333"/>
      <c r="N1267" s="417"/>
      <c r="O1267" s="417"/>
      <c r="P1267" s="462"/>
      <c r="Q1267" s="333"/>
      <c r="R1267" s="333"/>
      <c r="S1267" s="373"/>
      <c r="T1267" s="373"/>
      <c r="U1267" s="373"/>
      <c r="V1267" s="373"/>
      <c r="W1267" s="346"/>
      <c r="X1267" s="373"/>
      <c r="Y1267" s="336" t="str">
        <f t="shared" ca="1" si="24"/>
        <v/>
      </c>
      <c r="Z1267" s="373"/>
      <c r="AA1267" s="373"/>
      <c r="AB1267" s="373"/>
    </row>
    <row r="1268" spans="1:28" s="338" customFormat="1" ht="12.75" customHeight="1" x14ac:dyDescent="0.25">
      <c r="A1268" s="347" t="s">
        <v>3619</v>
      </c>
      <c r="B1268" s="376">
        <v>45411</v>
      </c>
      <c r="C1268" s="396" t="s">
        <v>3603</v>
      </c>
      <c r="D1268" s="332" t="s">
        <v>2496</v>
      </c>
      <c r="E1268" s="333"/>
      <c r="F1268" s="524" t="s">
        <v>3620</v>
      </c>
      <c r="G1268" s="372" t="s">
        <v>3621</v>
      </c>
      <c r="H1268" s="333">
        <v>1</v>
      </c>
      <c r="I1268" s="333"/>
      <c r="J1268" s="333"/>
      <c r="K1268" s="333" t="s">
        <v>32</v>
      </c>
      <c r="L1268" s="333"/>
      <c r="M1268" s="333"/>
      <c r="N1268" s="417"/>
      <c r="O1268" s="417"/>
      <c r="P1268" s="462"/>
      <c r="Q1268" s="333"/>
      <c r="R1268" s="333"/>
      <c r="S1268" s="373"/>
      <c r="T1268" s="373"/>
      <c r="U1268" s="373"/>
      <c r="V1268" s="373"/>
      <c r="W1268" s="346"/>
      <c r="X1268" s="373"/>
      <c r="Y1268" s="336" t="str">
        <f t="shared" ca="1" si="24"/>
        <v/>
      </c>
      <c r="Z1268" s="373"/>
      <c r="AA1268" s="373"/>
      <c r="AB1268" s="373"/>
    </row>
    <row r="1269" spans="1:28" s="338" customFormat="1" ht="12.75" customHeight="1" x14ac:dyDescent="0.25">
      <c r="A1269" s="347" t="s">
        <v>3622</v>
      </c>
      <c r="B1269" s="376">
        <v>45411</v>
      </c>
      <c r="C1269" s="396" t="s">
        <v>60</v>
      </c>
      <c r="D1269" s="332" t="s">
        <v>1555</v>
      </c>
      <c r="E1269" s="333"/>
      <c r="F1269" s="524" t="s">
        <v>3623</v>
      </c>
      <c r="G1269" s="372" t="s">
        <v>3624</v>
      </c>
      <c r="H1269" s="333">
        <v>8</v>
      </c>
      <c r="I1269" s="333">
        <v>340</v>
      </c>
      <c r="J1269" s="333" t="s">
        <v>68</v>
      </c>
      <c r="K1269" s="333" t="s">
        <v>69</v>
      </c>
      <c r="L1269" s="333"/>
      <c r="M1269" s="333"/>
      <c r="N1269" s="417"/>
      <c r="O1269" s="417"/>
      <c r="P1269" s="462"/>
      <c r="Q1269" s="333"/>
      <c r="R1269" s="333"/>
      <c r="S1269" s="373"/>
      <c r="T1269" s="373"/>
      <c r="U1269" s="373"/>
      <c r="V1269" s="373"/>
      <c r="W1269" s="346"/>
      <c r="X1269" s="373"/>
      <c r="Y1269" s="336" t="str">
        <f t="shared" ca="1" si="24"/>
        <v/>
      </c>
      <c r="Z1269" s="373"/>
      <c r="AA1269" s="373"/>
      <c r="AB1269" s="373"/>
    </row>
    <row r="1270" spans="1:28" s="338" customFormat="1" ht="12.75" customHeight="1" x14ac:dyDescent="0.25">
      <c r="A1270" s="347" t="s">
        <v>3625</v>
      </c>
      <c r="B1270" s="376">
        <v>45411</v>
      </c>
      <c r="C1270" s="396" t="s">
        <v>60</v>
      </c>
      <c r="D1270" s="332" t="s">
        <v>1555</v>
      </c>
      <c r="E1270" s="333"/>
      <c r="F1270" s="524" t="s">
        <v>3626</v>
      </c>
      <c r="G1270" s="372" t="s">
        <v>3627</v>
      </c>
      <c r="H1270" s="333">
        <v>4</v>
      </c>
      <c r="I1270" s="333">
        <v>340</v>
      </c>
      <c r="J1270" s="333" t="s">
        <v>68</v>
      </c>
      <c r="K1270" s="333" t="s">
        <v>69</v>
      </c>
      <c r="L1270" s="333"/>
      <c r="M1270" s="333"/>
      <c r="N1270" s="417"/>
      <c r="O1270" s="417"/>
      <c r="P1270" s="462"/>
      <c r="Q1270" s="333"/>
      <c r="R1270" s="333"/>
      <c r="S1270" s="373"/>
      <c r="T1270" s="373"/>
      <c r="U1270" s="373"/>
      <c r="V1270" s="373"/>
      <c r="W1270" s="346"/>
      <c r="X1270" s="373"/>
      <c r="Y1270" s="336" t="str">
        <f t="shared" ca="1" si="24"/>
        <v/>
      </c>
      <c r="Z1270" s="373"/>
      <c r="AA1270" s="373"/>
      <c r="AB1270" s="373"/>
    </row>
    <row r="1271" spans="1:28" s="338" customFormat="1" ht="12.75" customHeight="1" x14ac:dyDescent="0.25">
      <c r="A1271" s="347" t="s">
        <v>3628</v>
      </c>
      <c r="B1271" s="376">
        <v>45411</v>
      </c>
      <c r="C1271" s="396" t="s">
        <v>60</v>
      </c>
      <c r="D1271" s="332" t="s">
        <v>1555</v>
      </c>
      <c r="E1271" s="333"/>
      <c r="F1271" s="524" t="s">
        <v>3629</v>
      </c>
      <c r="G1271" s="372" t="s">
        <v>3630</v>
      </c>
      <c r="H1271" s="333">
        <v>8</v>
      </c>
      <c r="I1271" s="333">
        <v>340</v>
      </c>
      <c r="J1271" s="333" t="s">
        <v>68</v>
      </c>
      <c r="K1271" s="333" t="s">
        <v>69</v>
      </c>
      <c r="L1271" s="333"/>
      <c r="M1271" s="333"/>
      <c r="N1271" s="417"/>
      <c r="O1271" s="417"/>
      <c r="P1271" s="462"/>
      <c r="Q1271" s="333"/>
      <c r="R1271" s="333"/>
      <c r="S1271" s="373"/>
      <c r="T1271" s="373"/>
      <c r="U1271" s="373"/>
      <c r="V1271" s="373"/>
      <c r="W1271" s="346"/>
      <c r="X1271" s="373"/>
      <c r="Y1271" s="336" t="str">
        <f t="shared" ca="1" si="24"/>
        <v/>
      </c>
      <c r="Z1271" s="373"/>
      <c r="AA1271" s="373"/>
      <c r="AB1271" s="373"/>
    </row>
    <row r="1272" spans="1:28" s="338" customFormat="1" ht="12.75" customHeight="1" x14ac:dyDescent="0.25">
      <c r="A1272" s="347" t="s">
        <v>3631</v>
      </c>
      <c r="B1272" s="376">
        <v>45411</v>
      </c>
      <c r="C1272" s="396" t="s">
        <v>60</v>
      </c>
      <c r="D1272" s="332" t="s">
        <v>1555</v>
      </c>
      <c r="E1272" s="333"/>
      <c r="F1272" s="524" t="s">
        <v>3632</v>
      </c>
      <c r="G1272" s="372" t="s">
        <v>3633</v>
      </c>
      <c r="H1272" s="333">
        <v>4</v>
      </c>
      <c r="I1272" s="333">
        <v>340</v>
      </c>
      <c r="J1272" s="333" t="s">
        <v>68</v>
      </c>
      <c r="K1272" s="333" t="s">
        <v>69</v>
      </c>
      <c r="L1272" s="333"/>
      <c r="M1272" s="333"/>
      <c r="N1272" s="417"/>
      <c r="O1272" s="417"/>
      <c r="P1272" s="462"/>
      <c r="Q1272" s="333"/>
      <c r="R1272" s="333"/>
      <c r="S1272" s="373"/>
      <c r="T1272" s="373"/>
      <c r="U1272" s="373"/>
      <c r="V1272" s="373"/>
      <c r="W1272" s="346"/>
      <c r="X1272" s="373"/>
      <c r="Y1272" s="336" t="str">
        <f t="shared" ca="1" si="24"/>
        <v/>
      </c>
      <c r="Z1272" s="373"/>
      <c r="AA1272" s="373"/>
      <c r="AB1272" s="373"/>
    </row>
    <row r="1273" spans="1:28" s="338" customFormat="1" ht="12.75" customHeight="1" x14ac:dyDescent="0.25">
      <c r="A1273" s="347" t="s">
        <v>3634</v>
      </c>
      <c r="B1273" s="376">
        <v>45411</v>
      </c>
      <c r="C1273" s="396" t="s">
        <v>60</v>
      </c>
      <c r="D1273" s="332" t="s">
        <v>1555</v>
      </c>
      <c r="E1273" s="333"/>
      <c r="F1273" s="524" t="s">
        <v>3635</v>
      </c>
      <c r="G1273" s="372" t="s">
        <v>3636</v>
      </c>
      <c r="H1273" s="333">
        <v>36</v>
      </c>
      <c r="I1273" s="333">
        <v>340</v>
      </c>
      <c r="J1273" s="333" t="s">
        <v>68</v>
      </c>
      <c r="K1273" s="333" t="s">
        <v>69</v>
      </c>
      <c r="L1273" s="333"/>
      <c r="M1273" s="333"/>
      <c r="N1273" s="417"/>
      <c r="O1273" s="417"/>
      <c r="P1273" s="462"/>
      <c r="Q1273" s="333"/>
      <c r="R1273" s="333"/>
      <c r="S1273" s="373"/>
      <c r="T1273" s="373"/>
      <c r="U1273" s="373"/>
      <c r="V1273" s="373"/>
      <c r="W1273" s="346"/>
      <c r="X1273" s="373"/>
      <c r="Y1273" s="336" t="str">
        <f t="shared" ca="1" si="24"/>
        <v/>
      </c>
      <c r="Z1273" s="373"/>
      <c r="AA1273" s="373"/>
      <c r="AB1273" s="373"/>
    </row>
    <row r="1274" spans="1:28" s="338" customFormat="1" ht="12.75" customHeight="1" x14ac:dyDescent="0.25">
      <c r="A1274" s="347" t="s">
        <v>3637</v>
      </c>
      <c r="B1274" s="376">
        <v>45411</v>
      </c>
      <c r="C1274" s="396" t="s">
        <v>60</v>
      </c>
      <c r="D1274" s="332" t="s">
        <v>1555</v>
      </c>
      <c r="E1274" s="333"/>
      <c r="F1274" s="524" t="s">
        <v>3638</v>
      </c>
      <c r="G1274" s="372" t="s">
        <v>3639</v>
      </c>
      <c r="H1274" s="333">
        <v>8</v>
      </c>
      <c r="I1274" s="333">
        <v>340</v>
      </c>
      <c r="J1274" s="333" t="s">
        <v>68</v>
      </c>
      <c r="K1274" s="333" t="s">
        <v>69</v>
      </c>
      <c r="L1274" s="333"/>
      <c r="M1274" s="333"/>
      <c r="N1274" s="417"/>
      <c r="O1274" s="417"/>
      <c r="P1274" s="462"/>
      <c r="Q1274" s="333"/>
      <c r="R1274" s="333"/>
      <c r="S1274" s="373"/>
      <c r="T1274" s="373"/>
      <c r="U1274" s="373"/>
      <c r="V1274" s="373"/>
      <c r="W1274" s="346">
        <v>44999</v>
      </c>
      <c r="X1274" s="373"/>
      <c r="Y1274" s="336" t="str">
        <f t="shared" ca="1" si="24"/>
        <v/>
      </c>
      <c r="Z1274" s="373"/>
      <c r="AA1274" s="373"/>
      <c r="AB1274" s="373"/>
    </row>
    <row r="1275" spans="1:28" s="338" customFormat="1" ht="12.75" customHeight="1" x14ac:dyDescent="0.25">
      <c r="A1275" s="347" t="s">
        <v>3640</v>
      </c>
      <c r="B1275" s="376">
        <v>45411</v>
      </c>
      <c r="C1275" s="396" t="s">
        <v>60</v>
      </c>
      <c r="D1275" s="332" t="s">
        <v>1555</v>
      </c>
      <c r="E1275" s="333"/>
      <c r="F1275" s="524" t="s">
        <v>3641</v>
      </c>
      <c r="G1275" s="372" t="s">
        <v>3642</v>
      </c>
      <c r="H1275" s="333">
        <v>4</v>
      </c>
      <c r="I1275" s="333">
        <v>340</v>
      </c>
      <c r="J1275" s="333" t="s">
        <v>68</v>
      </c>
      <c r="K1275" s="333" t="s">
        <v>69</v>
      </c>
      <c r="L1275" s="333"/>
      <c r="M1275" s="333"/>
      <c r="N1275" s="417"/>
      <c r="O1275" s="417"/>
      <c r="P1275" s="462"/>
      <c r="Q1275" s="333"/>
      <c r="R1275" s="333"/>
      <c r="S1275" s="373"/>
      <c r="T1275" s="373"/>
      <c r="U1275" s="373"/>
      <c r="V1275" s="373"/>
      <c r="W1275" s="346"/>
      <c r="X1275" s="373"/>
      <c r="Y1275" s="336" t="str">
        <f t="shared" ca="1" si="24"/>
        <v/>
      </c>
      <c r="Z1275" s="373"/>
      <c r="AA1275" s="373"/>
      <c r="AB1275" s="373"/>
    </row>
    <row r="1276" spans="1:28" s="338" customFormat="1" ht="12.75" customHeight="1" x14ac:dyDescent="0.25">
      <c r="A1276" s="347" t="s">
        <v>3643</v>
      </c>
      <c r="B1276" s="376">
        <v>45411</v>
      </c>
      <c r="C1276" s="396" t="s">
        <v>60</v>
      </c>
      <c r="D1276" s="332" t="s">
        <v>1555</v>
      </c>
      <c r="E1276" s="333"/>
      <c r="F1276" s="524" t="s">
        <v>3644</v>
      </c>
      <c r="G1276" s="372" t="s">
        <v>3645</v>
      </c>
      <c r="H1276" s="333">
        <v>4</v>
      </c>
      <c r="I1276" s="333">
        <v>340</v>
      </c>
      <c r="J1276" s="333" t="s">
        <v>68</v>
      </c>
      <c r="K1276" s="333" t="s">
        <v>69</v>
      </c>
      <c r="L1276" s="333"/>
      <c r="M1276" s="333"/>
      <c r="N1276" s="417"/>
      <c r="O1276" s="417"/>
      <c r="P1276" s="462"/>
      <c r="Q1276" s="333"/>
      <c r="R1276" s="333"/>
      <c r="S1276" s="373"/>
      <c r="T1276" s="373"/>
      <c r="U1276" s="373"/>
      <c r="V1276" s="373"/>
      <c r="W1276" s="346"/>
      <c r="X1276" s="373"/>
      <c r="Y1276" s="336" t="str">
        <f t="shared" ca="1" si="24"/>
        <v/>
      </c>
      <c r="Z1276" s="373"/>
      <c r="AA1276" s="373"/>
      <c r="AB1276" s="373"/>
    </row>
    <row r="1277" spans="1:28" s="338" customFormat="1" ht="12.75" customHeight="1" x14ac:dyDescent="0.25">
      <c r="A1277" s="347" t="s">
        <v>3646</v>
      </c>
      <c r="B1277" s="376">
        <v>45411</v>
      </c>
      <c r="C1277" s="396" t="s">
        <v>60</v>
      </c>
      <c r="D1277" s="332" t="s">
        <v>1555</v>
      </c>
      <c r="E1277" s="333"/>
      <c r="F1277" s="524" t="s">
        <v>3647</v>
      </c>
      <c r="G1277" s="372" t="s">
        <v>3648</v>
      </c>
      <c r="H1277" s="333">
        <v>4</v>
      </c>
      <c r="I1277" s="333">
        <v>340</v>
      </c>
      <c r="J1277" s="333" t="s">
        <v>68</v>
      </c>
      <c r="K1277" s="333" t="s">
        <v>69</v>
      </c>
      <c r="L1277" s="333"/>
      <c r="M1277" s="333"/>
      <c r="N1277" s="417"/>
      <c r="O1277" s="417"/>
      <c r="P1277" s="462"/>
      <c r="Q1277" s="333"/>
      <c r="R1277" s="333"/>
      <c r="S1277" s="373"/>
      <c r="T1277" s="373"/>
      <c r="U1277" s="373"/>
      <c r="V1277" s="373"/>
      <c r="W1277" s="346"/>
      <c r="X1277" s="373"/>
      <c r="Y1277" s="336" t="str">
        <f t="shared" ca="1" si="24"/>
        <v/>
      </c>
      <c r="Z1277" s="373"/>
      <c r="AA1277" s="373"/>
      <c r="AB1277" s="373"/>
    </row>
    <row r="1278" spans="1:28" s="338" customFormat="1" ht="12.75" customHeight="1" x14ac:dyDescent="0.25">
      <c r="A1278" s="347" t="s">
        <v>3649</v>
      </c>
      <c r="B1278" s="376">
        <v>45411</v>
      </c>
      <c r="C1278" s="396" t="s">
        <v>60</v>
      </c>
      <c r="D1278" s="332" t="s">
        <v>1555</v>
      </c>
      <c r="E1278" s="333"/>
      <c r="F1278" s="523" t="s">
        <v>3650</v>
      </c>
      <c r="G1278" s="366" t="s">
        <v>3651</v>
      </c>
      <c r="H1278" s="364">
        <v>4</v>
      </c>
      <c r="I1278" s="333">
        <v>340</v>
      </c>
      <c r="J1278" s="333" t="s">
        <v>68</v>
      </c>
      <c r="K1278" s="333" t="s">
        <v>69</v>
      </c>
      <c r="L1278" s="333"/>
      <c r="M1278" s="333"/>
      <c r="N1278" s="417"/>
      <c r="O1278" s="417"/>
      <c r="P1278" s="491"/>
      <c r="Q1278" s="364"/>
      <c r="R1278" s="364"/>
      <c r="S1278" s="369"/>
      <c r="T1278" s="369"/>
      <c r="U1278" s="369"/>
      <c r="V1278" s="369"/>
      <c r="W1278" s="370">
        <v>44662</v>
      </c>
      <c r="X1278" s="369"/>
      <c r="Y1278" s="336" t="str">
        <f t="shared" ca="1" si="24"/>
        <v/>
      </c>
      <c r="Z1278" s="369"/>
      <c r="AA1278" s="369"/>
      <c r="AB1278" s="369"/>
    </row>
    <row r="1279" spans="1:28" s="338" customFormat="1" ht="12.75" customHeight="1" x14ac:dyDescent="0.25">
      <c r="A1279" s="347" t="s">
        <v>3652</v>
      </c>
      <c r="B1279" s="376">
        <v>45411</v>
      </c>
      <c r="C1279" s="396" t="s">
        <v>60</v>
      </c>
      <c r="D1279" s="332" t="s">
        <v>1555</v>
      </c>
      <c r="E1279" s="333"/>
      <c r="F1279" s="524" t="s">
        <v>3653</v>
      </c>
      <c r="G1279" s="372" t="s">
        <v>3654</v>
      </c>
      <c r="H1279" s="333">
        <v>8</v>
      </c>
      <c r="I1279" s="333">
        <v>340</v>
      </c>
      <c r="J1279" s="333" t="s">
        <v>68</v>
      </c>
      <c r="K1279" s="333" t="s">
        <v>69</v>
      </c>
      <c r="L1279" s="429"/>
      <c r="M1279" s="429"/>
      <c r="N1279" s="539"/>
      <c r="O1279" s="539"/>
      <c r="P1279" s="462"/>
      <c r="Q1279" s="333"/>
      <c r="R1279" s="333"/>
      <c r="S1279" s="373"/>
      <c r="T1279" s="373"/>
      <c r="U1279" s="373"/>
      <c r="V1279" s="373"/>
      <c r="W1279" s="346"/>
      <c r="X1279" s="373"/>
      <c r="Y1279" s="336" t="str">
        <f t="shared" ca="1" si="24"/>
        <v/>
      </c>
      <c r="Z1279" s="373"/>
      <c r="AA1279" s="373"/>
      <c r="AB1279" s="373"/>
    </row>
    <row r="1280" spans="1:28" s="338" customFormat="1" ht="12.75" customHeight="1" x14ac:dyDescent="0.25">
      <c r="A1280" s="347" t="s">
        <v>3655</v>
      </c>
      <c r="B1280" s="376">
        <v>45411</v>
      </c>
      <c r="C1280" s="396" t="s">
        <v>60</v>
      </c>
      <c r="D1280" s="332" t="s">
        <v>1555</v>
      </c>
      <c r="E1280" s="333"/>
      <c r="F1280" s="524" t="s">
        <v>3656</v>
      </c>
      <c r="G1280" s="372" t="s">
        <v>3657</v>
      </c>
      <c r="H1280" s="333">
        <v>4</v>
      </c>
      <c r="I1280" s="333">
        <v>340</v>
      </c>
      <c r="J1280" s="333" t="s">
        <v>68</v>
      </c>
      <c r="K1280" s="333" t="s">
        <v>69</v>
      </c>
      <c r="L1280" s="429"/>
      <c r="M1280" s="429"/>
      <c r="N1280" s="539"/>
      <c r="O1280" s="539"/>
      <c r="P1280" s="462"/>
      <c r="Q1280" s="333"/>
      <c r="R1280" s="333"/>
      <c r="S1280" s="373"/>
      <c r="T1280" s="373"/>
      <c r="U1280" s="373"/>
      <c r="V1280" s="373"/>
      <c r="W1280" s="346">
        <v>45132</v>
      </c>
      <c r="X1280" s="373"/>
      <c r="Y1280" s="336" t="str">
        <f t="shared" ca="1" si="24"/>
        <v/>
      </c>
      <c r="Z1280" s="373"/>
      <c r="AA1280" s="373"/>
      <c r="AB1280" s="373"/>
    </row>
    <row r="1281" spans="1:30" ht="12.75" customHeight="1" x14ac:dyDescent="0.25">
      <c r="A1281" s="347" t="s">
        <v>3658</v>
      </c>
      <c r="B1281" s="376">
        <v>45411</v>
      </c>
      <c r="C1281" s="396" t="s">
        <v>60</v>
      </c>
      <c r="D1281" s="332" t="s">
        <v>1555</v>
      </c>
      <c r="E1281" s="333"/>
      <c r="F1281" s="524">
        <v>3003502802</v>
      </c>
      <c r="G1281" s="372" t="s">
        <v>3659</v>
      </c>
      <c r="H1281" s="333">
        <v>8</v>
      </c>
      <c r="I1281" s="333">
        <v>340</v>
      </c>
      <c r="J1281" s="333" t="s">
        <v>68</v>
      </c>
      <c r="K1281" s="333" t="s">
        <v>69</v>
      </c>
      <c r="P1281" s="462"/>
      <c r="Q1281" s="333"/>
      <c r="R1281" s="333"/>
      <c r="S1281" s="373"/>
      <c r="T1281" s="373"/>
      <c r="U1281" s="373"/>
      <c r="V1281" s="373"/>
      <c r="W1281" s="346"/>
      <c r="X1281" s="373"/>
      <c r="Y1281" s="336" t="str">
        <f t="shared" ca="1" si="24"/>
        <v/>
      </c>
      <c r="Z1281" s="373"/>
      <c r="AA1281" s="373"/>
      <c r="AB1281" s="373"/>
      <c r="AD1281" s="338"/>
    </row>
    <row r="1282" spans="1:30" ht="12.75" customHeight="1" x14ac:dyDescent="0.25">
      <c r="A1282" s="347" t="s">
        <v>3660</v>
      </c>
      <c r="B1282" s="376">
        <v>45411</v>
      </c>
      <c r="C1282" s="396" t="s">
        <v>60</v>
      </c>
      <c r="D1282" s="332" t="s">
        <v>1555</v>
      </c>
      <c r="E1282" s="333"/>
      <c r="F1282" s="524" t="s">
        <v>1609</v>
      </c>
      <c r="G1282" s="372" t="s">
        <v>3661</v>
      </c>
      <c r="H1282" s="333">
        <v>2</v>
      </c>
      <c r="I1282" s="333">
        <v>340</v>
      </c>
      <c r="J1282" s="333" t="s">
        <v>68</v>
      </c>
      <c r="K1282" s="333" t="s">
        <v>69</v>
      </c>
      <c r="P1282" s="462"/>
      <c r="Q1282" s="333"/>
      <c r="R1282" s="333"/>
      <c r="S1282" s="373"/>
      <c r="T1282" s="373"/>
      <c r="U1282" s="373"/>
      <c r="V1282" s="373"/>
      <c r="W1282" s="346">
        <v>45132</v>
      </c>
      <c r="X1282" s="373"/>
      <c r="Y1282" s="336" t="str">
        <f t="shared" ca="1" si="24"/>
        <v/>
      </c>
      <c r="Z1282" s="373"/>
      <c r="AA1282" s="373"/>
      <c r="AB1282" s="373"/>
      <c r="AD1282" s="338"/>
    </row>
    <row r="1283" spans="1:30" ht="12.75" customHeight="1" x14ac:dyDescent="0.25">
      <c r="A1283" s="347" t="s">
        <v>3662</v>
      </c>
      <c r="B1283" s="376">
        <v>45412</v>
      </c>
      <c r="C1283" s="396" t="s">
        <v>3540</v>
      </c>
      <c r="D1283" s="332" t="s">
        <v>526</v>
      </c>
      <c r="E1283" s="333"/>
      <c r="F1283" s="524" t="s">
        <v>3663</v>
      </c>
      <c r="G1283" s="372" t="s">
        <v>3664</v>
      </c>
      <c r="H1283" s="333">
        <v>1</v>
      </c>
      <c r="I1283" s="333">
        <v>5</v>
      </c>
      <c r="J1283" s="333" t="s">
        <v>31</v>
      </c>
      <c r="K1283" s="333" t="s">
        <v>32</v>
      </c>
      <c r="P1283" s="462">
        <v>45419</v>
      </c>
      <c r="Q1283" s="333"/>
      <c r="R1283" s="333"/>
      <c r="S1283" s="373"/>
      <c r="T1283" s="373"/>
      <c r="U1283" s="373"/>
      <c r="V1283" s="373"/>
      <c r="W1283" s="346"/>
      <c r="X1283" s="373"/>
      <c r="Y1283" s="336">
        <f t="shared" ca="1" si="24"/>
        <v>167</v>
      </c>
      <c r="Z1283" s="373"/>
      <c r="AA1283" s="373"/>
      <c r="AB1283" s="373"/>
    </row>
    <row r="1284" spans="1:30" ht="12.75" customHeight="1" x14ac:dyDescent="0.25">
      <c r="A1284" s="347" t="s">
        <v>3665</v>
      </c>
      <c r="B1284" s="376">
        <v>45412</v>
      </c>
      <c r="C1284" s="396" t="s">
        <v>3540</v>
      </c>
      <c r="D1284" s="332" t="s">
        <v>526</v>
      </c>
      <c r="E1284" s="333"/>
      <c r="F1284" s="524" t="s">
        <v>3666</v>
      </c>
      <c r="G1284" s="372" t="s">
        <v>3667</v>
      </c>
      <c r="H1284" s="333">
        <v>1</v>
      </c>
      <c r="I1284" s="333">
        <v>5</v>
      </c>
      <c r="J1284" s="333" t="s">
        <v>31</v>
      </c>
      <c r="K1284" s="333" t="s">
        <v>32</v>
      </c>
      <c r="P1284" s="462">
        <v>45419</v>
      </c>
      <c r="Q1284" s="333"/>
      <c r="R1284" s="333"/>
      <c r="S1284" s="373"/>
      <c r="T1284" s="373"/>
      <c r="U1284" s="373"/>
      <c r="V1284" s="373"/>
      <c r="W1284" s="346"/>
      <c r="X1284" s="373"/>
      <c r="Y1284" s="336">
        <f t="shared" ca="1" si="24"/>
        <v>167</v>
      </c>
      <c r="Z1284" s="373"/>
      <c r="AA1284" s="373"/>
      <c r="AB1284" s="373"/>
    </row>
    <row r="1285" spans="1:30" ht="12.75" customHeight="1" x14ac:dyDescent="0.25">
      <c r="A1285" s="347" t="s">
        <v>3668</v>
      </c>
      <c r="B1285" s="376">
        <v>45411</v>
      </c>
      <c r="C1285" s="396" t="s">
        <v>3540</v>
      </c>
      <c r="D1285" s="332" t="s">
        <v>526</v>
      </c>
      <c r="E1285" s="333"/>
      <c r="F1285" s="524" t="s">
        <v>3669</v>
      </c>
      <c r="G1285" s="372" t="s">
        <v>3670</v>
      </c>
      <c r="H1285" s="333">
        <v>90</v>
      </c>
      <c r="I1285" s="333">
        <v>5</v>
      </c>
      <c r="J1285" s="333" t="s">
        <v>541</v>
      </c>
      <c r="K1285" s="364" t="s">
        <v>32</v>
      </c>
      <c r="P1285" s="462">
        <v>45419</v>
      </c>
      <c r="Q1285" s="333"/>
      <c r="R1285" s="333"/>
      <c r="S1285" s="373"/>
      <c r="T1285" s="373"/>
      <c r="U1285" s="373"/>
      <c r="V1285" s="373"/>
      <c r="W1285" s="346"/>
      <c r="X1285" s="373"/>
      <c r="Y1285" s="336">
        <f t="shared" ca="1" si="24"/>
        <v>167</v>
      </c>
      <c r="Z1285" s="373"/>
      <c r="AA1285" s="373"/>
      <c r="AB1285" s="373"/>
    </row>
    <row r="1286" spans="1:30" ht="12.75" customHeight="1" x14ac:dyDescent="0.25">
      <c r="A1286" s="347" t="s">
        <v>3671</v>
      </c>
      <c r="B1286" s="376">
        <v>45411</v>
      </c>
      <c r="C1286" s="396" t="s">
        <v>35</v>
      </c>
      <c r="D1286" s="332" t="s">
        <v>36</v>
      </c>
      <c r="E1286" s="333"/>
      <c r="F1286" s="524" t="s">
        <v>3672</v>
      </c>
      <c r="G1286" s="372" t="s">
        <v>3673</v>
      </c>
      <c r="H1286" s="333">
        <v>15</v>
      </c>
      <c r="I1286" s="333" t="s">
        <v>3674</v>
      </c>
      <c r="J1286" s="332" t="s">
        <v>46</v>
      </c>
      <c r="K1286" s="333" t="s">
        <v>32</v>
      </c>
      <c r="L1286" s="396"/>
      <c r="M1286" s="333"/>
      <c r="N1286" s="417"/>
      <c r="O1286" s="417"/>
      <c r="P1286" s="343"/>
      <c r="Q1286" s="333"/>
      <c r="R1286" s="333"/>
      <c r="S1286" s="373"/>
      <c r="T1286" s="373"/>
      <c r="U1286" s="373"/>
      <c r="V1286" s="373"/>
      <c r="W1286" s="346">
        <v>45420</v>
      </c>
      <c r="X1286" s="373">
        <v>25</v>
      </c>
      <c r="Y1286" s="336" t="str">
        <f t="shared" ca="1" si="24"/>
        <v/>
      </c>
      <c r="Z1286" s="373"/>
      <c r="AA1286" s="373"/>
      <c r="AB1286" s="373"/>
      <c r="AC1286" s="338" t="str">
        <f>VLOOKUP(F1286,'[1]CPO DATA'!$D:$I,4,FALSE)</f>
        <v>JD01/JE01/JG01</v>
      </c>
      <c r="AD1286" s="338"/>
    </row>
    <row r="1287" spans="1:30" ht="12.75" customHeight="1" x14ac:dyDescent="0.25">
      <c r="A1287" s="347" t="s">
        <v>3675</v>
      </c>
      <c r="B1287" s="376">
        <v>45411</v>
      </c>
      <c r="C1287" s="396" t="s">
        <v>35</v>
      </c>
      <c r="D1287" s="332" t="s">
        <v>36</v>
      </c>
      <c r="E1287" s="333"/>
      <c r="F1287" s="524" t="s">
        <v>3676</v>
      </c>
      <c r="G1287" s="372" t="s">
        <v>3677</v>
      </c>
      <c r="H1287" s="333">
        <v>15</v>
      </c>
      <c r="I1287" s="333" t="s">
        <v>3674</v>
      </c>
      <c r="J1287" s="332" t="s">
        <v>46</v>
      </c>
      <c r="K1287" s="333" t="s">
        <v>32</v>
      </c>
      <c r="L1287" s="396"/>
      <c r="M1287" s="333"/>
      <c r="N1287" s="417"/>
      <c r="O1287" s="417"/>
      <c r="P1287" s="343"/>
      <c r="Q1287" s="333"/>
      <c r="R1287" s="333"/>
      <c r="S1287" s="373"/>
      <c r="T1287" s="373"/>
      <c r="U1287" s="373"/>
      <c r="V1287" s="373"/>
      <c r="W1287" s="346">
        <v>45426</v>
      </c>
      <c r="X1287" s="373"/>
      <c r="Y1287" s="336" t="str">
        <f t="shared" ca="1" si="24"/>
        <v/>
      </c>
      <c r="Z1287" s="373"/>
      <c r="AA1287" s="373"/>
      <c r="AB1287" s="373"/>
      <c r="AC1287" s="338" t="str">
        <f>VLOOKUP(F1287,'[1]CPO DATA'!$D:$I,4,FALSE)</f>
        <v>JD01/JE01/JG01</v>
      </c>
      <c r="AD1287" s="338"/>
    </row>
    <row r="1288" spans="1:30" ht="12.75" customHeight="1" x14ac:dyDescent="0.25">
      <c r="A1288" s="347" t="s">
        <v>3678</v>
      </c>
      <c r="B1288" s="376">
        <v>45411</v>
      </c>
      <c r="C1288" s="396" t="s">
        <v>35</v>
      </c>
      <c r="D1288" s="332" t="s">
        <v>36</v>
      </c>
      <c r="E1288" s="333"/>
      <c r="F1288" s="524" t="s">
        <v>3679</v>
      </c>
      <c r="G1288" s="372" t="s">
        <v>2725</v>
      </c>
      <c r="H1288" s="333">
        <v>15</v>
      </c>
      <c r="I1288" s="333" t="s">
        <v>3674</v>
      </c>
      <c r="J1288" s="332" t="s">
        <v>46</v>
      </c>
      <c r="K1288" s="333" t="s">
        <v>32</v>
      </c>
      <c r="L1288" s="396"/>
      <c r="M1288" s="333"/>
      <c r="N1288" s="417"/>
      <c r="O1288" s="417"/>
      <c r="P1288" s="343"/>
      <c r="Q1288" s="333"/>
      <c r="R1288" s="333"/>
      <c r="S1288" s="373"/>
      <c r="T1288" s="373"/>
      <c r="U1288" s="373"/>
      <c r="V1288" s="373"/>
      <c r="W1288" s="346">
        <v>45426</v>
      </c>
      <c r="X1288" s="373"/>
      <c r="Y1288" s="336" t="str">
        <f t="shared" ref="Y1288:Y1351" ca="1" si="25">IF(P1288="","",IF(W1288="",TODAY()-P1288,W1288-P1288))</f>
        <v/>
      </c>
      <c r="Z1288" s="373"/>
      <c r="AA1288" s="373"/>
      <c r="AB1288" s="373"/>
      <c r="AC1288" s="338" t="str">
        <f>VLOOKUP(F1288,'[1]CPO DATA'!$D:$I,4,FALSE)</f>
        <v>JD01/JE01/JG01</v>
      </c>
      <c r="AD1288" s="338"/>
    </row>
    <row r="1289" spans="1:30" ht="12.75" customHeight="1" x14ac:dyDescent="0.25">
      <c r="A1289" s="347" t="s">
        <v>3680</v>
      </c>
      <c r="B1289" s="376">
        <v>45411</v>
      </c>
      <c r="C1289" s="396" t="s">
        <v>35</v>
      </c>
      <c r="D1289" s="332" t="s">
        <v>36</v>
      </c>
      <c r="E1289" s="333"/>
      <c r="F1289" s="524" t="s">
        <v>408</v>
      </c>
      <c r="G1289" s="372" t="s">
        <v>409</v>
      </c>
      <c r="H1289" s="333">
        <v>35</v>
      </c>
      <c r="I1289" s="333" t="s">
        <v>3681</v>
      </c>
      <c r="J1289" s="332" t="s">
        <v>46</v>
      </c>
      <c r="K1289" s="333" t="s">
        <v>32</v>
      </c>
      <c r="L1289" s="396"/>
      <c r="M1289" s="333"/>
      <c r="N1289" s="417"/>
      <c r="O1289" s="417"/>
      <c r="P1289" s="343"/>
      <c r="Q1289" s="333"/>
      <c r="R1289" s="333"/>
      <c r="S1289" s="373"/>
      <c r="T1289" s="373"/>
      <c r="U1289" s="373"/>
      <c r="V1289" s="373"/>
      <c r="W1289" s="346">
        <v>45419</v>
      </c>
      <c r="X1289" s="373"/>
      <c r="Y1289" s="336" t="str">
        <f t="shared" ca="1" si="25"/>
        <v/>
      </c>
      <c r="Z1289" s="373"/>
      <c r="AA1289" s="373"/>
      <c r="AB1289" s="373"/>
      <c r="AC1289" s="338" t="str">
        <f>VLOOKUP(F1289,'[1]CPO DATA'!$D:$I,4,FALSE)</f>
        <v>JE1/JG1/JD1/HT1/HW1/HV1/HW1</v>
      </c>
      <c r="AD1289" s="338"/>
    </row>
    <row r="1290" spans="1:30" ht="12.75" customHeight="1" x14ac:dyDescent="0.25">
      <c r="A1290" s="347" t="s">
        <v>3682</v>
      </c>
      <c r="B1290" s="376">
        <v>45411</v>
      </c>
      <c r="C1290" s="396" t="s">
        <v>35</v>
      </c>
      <c r="D1290" s="332" t="s">
        <v>3683</v>
      </c>
      <c r="E1290" s="333"/>
      <c r="F1290" s="524" t="s">
        <v>3684</v>
      </c>
      <c r="G1290" s="372" t="s">
        <v>2725</v>
      </c>
      <c r="H1290" s="333">
        <v>245</v>
      </c>
      <c r="I1290" s="333"/>
      <c r="J1290" s="332" t="s">
        <v>46</v>
      </c>
      <c r="K1290" s="333" t="s">
        <v>32</v>
      </c>
      <c r="L1290" s="396"/>
      <c r="M1290" s="333"/>
      <c r="N1290" s="417"/>
      <c r="O1290" s="417"/>
      <c r="P1290" s="343"/>
      <c r="Q1290" s="333"/>
      <c r="R1290" s="333"/>
      <c r="S1290" s="373"/>
      <c r="T1290" s="373"/>
      <c r="U1290" s="373"/>
      <c r="V1290" s="373"/>
      <c r="W1290" s="346">
        <v>45426</v>
      </c>
      <c r="X1290" s="373"/>
      <c r="Y1290" s="336" t="str">
        <f t="shared" ca="1" si="25"/>
        <v/>
      </c>
      <c r="Z1290" s="373"/>
      <c r="AA1290" s="373"/>
      <c r="AB1290" s="373"/>
      <c r="AC1290" s="338" t="str">
        <f>VLOOKUP(F1290,'[1]CPO DATA'!$D:$I,4,FALSE)</f>
        <v>JE1/JG1/JD1/HT1/HW1/HV1/HW2</v>
      </c>
      <c r="AD1290" s="338"/>
    </row>
    <row r="1291" spans="1:30" ht="12.75" customHeight="1" x14ac:dyDescent="0.25">
      <c r="A1291" s="347" t="s">
        <v>3685</v>
      </c>
      <c r="B1291" s="376">
        <v>45411</v>
      </c>
      <c r="C1291" s="396" t="s">
        <v>35</v>
      </c>
      <c r="D1291" s="332" t="s">
        <v>36</v>
      </c>
      <c r="E1291" s="333"/>
      <c r="F1291" s="524" t="s">
        <v>3686</v>
      </c>
      <c r="G1291" s="372" t="s">
        <v>3687</v>
      </c>
      <c r="H1291" s="333">
        <v>70</v>
      </c>
      <c r="I1291" s="333"/>
      <c r="J1291" s="332" t="s">
        <v>46</v>
      </c>
      <c r="K1291" s="333" t="s">
        <v>32</v>
      </c>
      <c r="L1291" s="396"/>
      <c r="M1291" s="333"/>
      <c r="N1291" s="417"/>
      <c r="O1291" s="417"/>
      <c r="P1291" s="343"/>
      <c r="Q1291" s="333"/>
      <c r="R1291" s="333"/>
      <c r="S1291" s="373"/>
      <c r="T1291" s="373"/>
      <c r="U1291" s="373"/>
      <c r="V1291" s="373"/>
      <c r="W1291" s="346">
        <v>45426</v>
      </c>
      <c r="X1291" s="373"/>
      <c r="Y1291" s="336" t="str">
        <f t="shared" ca="1" si="25"/>
        <v/>
      </c>
      <c r="Z1291" s="373"/>
      <c r="AA1291" s="373"/>
      <c r="AB1291" s="373"/>
      <c r="AC1291" s="338" t="e">
        <f>VLOOKUP(F1291,'[1]CPO DATA'!$D:$I,4,FALSE)</f>
        <v>#N/A</v>
      </c>
      <c r="AD1291" s="418" t="str">
        <f>VLOOKUP(F1291,'STORE ITEMS'!C:F,2,FALSE)</f>
        <v>CLIP</v>
      </c>
    </row>
    <row r="1292" spans="1:30" ht="12.75" customHeight="1" x14ac:dyDescent="0.25">
      <c r="A1292" s="347" t="s">
        <v>3688</v>
      </c>
      <c r="B1292" s="376">
        <v>45411</v>
      </c>
      <c r="C1292" s="396" t="s">
        <v>35</v>
      </c>
      <c r="D1292" s="332" t="s">
        <v>36</v>
      </c>
      <c r="E1292" s="333"/>
      <c r="F1292" s="524" t="s">
        <v>53</v>
      </c>
      <c r="G1292" s="372" t="s">
        <v>3689</v>
      </c>
      <c r="H1292" s="333">
        <v>30</v>
      </c>
      <c r="I1292" s="333" t="s">
        <v>3681</v>
      </c>
      <c r="J1292" s="332" t="s">
        <v>46</v>
      </c>
      <c r="K1292" s="333" t="s">
        <v>32</v>
      </c>
      <c r="L1292" s="396"/>
      <c r="M1292" s="333"/>
      <c r="N1292" s="417"/>
      <c r="O1292" s="417"/>
      <c r="P1292" s="343"/>
      <c r="Q1292" s="333"/>
      <c r="R1292" s="333"/>
      <c r="S1292" s="373"/>
      <c r="T1292" s="373"/>
      <c r="U1292" s="373"/>
      <c r="V1292" s="373"/>
      <c r="W1292" s="346">
        <v>45420</v>
      </c>
      <c r="X1292" s="373">
        <v>50</v>
      </c>
      <c r="Y1292" s="336" t="str">
        <f t="shared" ca="1" si="25"/>
        <v/>
      </c>
      <c r="Z1292" s="373"/>
      <c r="AA1292" s="373"/>
      <c r="AB1292" s="373"/>
      <c r="AC1292" s="338" t="str">
        <f>VLOOKUP(F1292,'[1]CPO DATA'!$D:$I,4,FALSE)</f>
        <v>JD01/JE01/JG01</v>
      </c>
      <c r="AD1292" s="338"/>
    </row>
    <row r="1293" spans="1:30" ht="12.75" customHeight="1" x14ac:dyDescent="0.25">
      <c r="A1293" s="347" t="s">
        <v>3690</v>
      </c>
      <c r="B1293" s="376">
        <v>45401</v>
      </c>
      <c r="C1293" s="396" t="s">
        <v>35</v>
      </c>
      <c r="D1293" s="332" t="s">
        <v>71</v>
      </c>
      <c r="E1293" s="333"/>
      <c r="F1293" s="524" t="s">
        <v>3691</v>
      </c>
      <c r="G1293" s="372" t="s">
        <v>3692</v>
      </c>
      <c r="H1293" s="333">
        <v>2</v>
      </c>
      <c r="I1293" s="333" t="s">
        <v>3693</v>
      </c>
      <c r="J1293" s="332" t="s">
        <v>46</v>
      </c>
      <c r="K1293" s="333" t="s">
        <v>32</v>
      </c>
      <c r="L1293" s="396"/>
      <c r="M1293" s="333"/>
      <c r="N1293" s="417"/>
      <c r="O1293" s="417"/>
      <c r="P1293" s="343"/>
      <c r="Q1293" s="333"/>
      <c r="R1293" s="333"/>
      <c r="S1293" s="373"/>
      <c r="T1293" s="373"/>
      <c r="U1293" s="373"/>
      <c r="V1293" s="373"/>
      <c r="W1293" s="346">
        <v>45509</v>
      </c>
      <c r="X1293" s="373"/>
      <c r="Y1293" s="336" t="str">
        <f t="shared" ca="1" si="25"/>
        <v/>
      </c>
      <c r="Z1293" s="373"/>
      <c r="AA1293" s="373"/>
      <c r="AB1293" s="373"/>
      <c r="AC1293" s="338" t="e">
        <f>VLOOKUP(F1293,'[1]CPO DATA'!$D:$I,4,FALSE)</f>
        <v>#N/A</v>
      </c>
      <c r="AD1293" s="418" t="e">
        <f>VLOOKUP(F1293,'STORE ITEMS'!C:F,2,FALSE)</f>
        <v>#N/A</v>
      </c>
    </row>
    <row r="1294" spans="1:30" ht="12.75" customHeight="1" x14ac:dyDescent="0.25">
      <c r="A1294" s="347" t="s">
        <v>3694</v>
      </c>
      <c r="B1294" s="376">
        <v>45404</v>
      </c>
      <c r="C1294" s="396" t="s">
        <v>35</v>
      </c>
      <c r="D1294" s="332" t="s">
        <v>71</v>
      </c>
      <c r="E1294" s="333"/>
      <c r="F1294" s="524" t="s">
        <v>1114</v>
      </c>
      <c r="G1294" s="372" t="s">
        <v>1543</v>
      </c>
      <c r="H1294" s="333">
        <v>5</v>
      </c>
      <c r="I1294" s="333" t="s">
        <v>3695</v>
      </c>
      <c r="J1294" s="332" t="s">
        <v>68</v>
      </c>
      <c r="K1294" s="333" t="s">
        <v>69</v>
      </c>
      <c r="L1294" s="396"/>
      <c r="M1294" s="333"/>
      <c r="N1294" s="417"/>
      <c r="O1294" s="417"/>
      <c r="P1294" s="343"/>
      <c r="Q1294" s="333"/>
      <c r="R1294" s="333"/>
      <c r="S1294" s="373"/>
      <c r="T1294" s="373"/>
      <c r="U1294" s="373"/>
      <c r="V1294" s="373"/>
      <c r="W1294" s="346">
        <v>45036</v>
      </c>
      <c r="X1294" s="373"/>
      <c r="Y1294" s="336" t="str">
        <f t="shared" ca="1" si="25"/>
        <v/>
      </c>
      <c r="Z1294" s="373"/>
      <c r="AA1294" s="373"/>
      <c r="AB1294" s="373"/>
      <c r="AC1294" s="338" t="e">
        <f>VLOOKUP(F1294,'[1]CPO DATA'!$D:$I,4,FALSE)</f>
        <v>#N/A</v>
      </c>
      <c r="AD1294" s="418" t="str">
        <f>VLOOKUP(F1294,'STORE ITEMS'!C:F,2,FALSE)</f>
        <v>PLATE NAME</v>
      </c>
    </row>
    <row r="1295" spans="1:30" ht="12.75" customHeight="1" x14ac:dyDescent="0.25">
      <c r="A1295" s="347" t="s">
        <v>3696</v>
      </c>
      <c r="B1295" s="376">
        <v>45412</v>
      </c>
      <c r="C1295" s="396" t="s">
        <v>35</v>
      </c>
      <c r="D1295" s="332" t="s">
        <v>71</v>
      </c>
      <c r="E1295" s="333"/>
      <c r="F1295" s="524" t="s">
        <v>3697</v>
      </c>
      <c r="G1295" s="372" t="s">
        <v>3698</v>
      </c>
      <c r="H1295" s="333">
        <v>90</v>
      </c>
      <c r="I1295" s="333"/>
      <c r="J1295" s="332" t="s">
        <v>265</v>
      </c>
      <c r="K1295" s="333" t="s">
        <v>32</v>
      </c>
      <c r="L1295" s="396"/>
      <c r="M1295" s="333"/>
      <c r="N1295" s="417"/>
      <c r="O1295" s="417"/>
      <c r="P1295" s="343"/>
      <c r="Q1295" s="333"/>
      <c r="R1295" s="333"/>
      <c r="S1295" s="373"/>
      <c r="T1295" s="373"/>
      <c r="U1295" s="373"/>
      <c r="V1295" s="373"/>
      <c r="W1295" s="346"/>
      <c r="X1295" s="373"/>
      <c r="Y1295" s="336" t="str">
        <f t="shared" ca="1" si="25"/>
        <v/>
      </c>
      <c r="Z1295" s="373"/>
      <c r="AA1295" s="373"/>
      <c r="AB1295" s="373"/>
      <c r="AC1295" s="338" t="e">
        <f>VLOOKUP(F1295,'[1]CPO DATA'!$D:$I,4,FALSE)</f>
        <v>#N/A</v>
      </c>
      <c r="AD1295" s="418" t="e">
        <f>VLOOKUP(F1295,'STORE ITEMS'!C:F,2,FALSE)</f>
        <v>#N/A</v>
      </c>
    </row>
    <row r="1296" spans="1:30" ht="12.75" customHeight="1" x14ac:dyDescent="0.25">
      <c r="A1296" s="347" t="s">
        <v>3699</v>
      </c>
      <c r="B1296" s="376">
        <v>45401</v>
      </c>
      <c r="C1296" s="396" t="s">
        <v>219</v>
      </c>
      <c r="D1296" s="332" t="s">
        <v>3700</v>
      </c>
      <c r="E1296" s="333"/>
      <c r="F1296" s="524">
        <v>289832808207</v>
      </c>
      <c r="G1296" s="372" t="s">
        <v>3701</v>
      </c>
      <c r="H1296" s="333">
        <v>4</v>
      </c>
      <c r="I1296" s="333" t="s">
        <v>277</v>
      </c>
      <c r="J1296" s="332" t="s">
        <v>541</v>
      </c>
      <c r="K1296" s="333" t="s">
        <v>32</v>
      </c>
      <c r="P1296" s="462">
        <v>45401</v>
      </c>
      <c r="Q1296" s="333"/>
      <c r="R1296" s="333"/>
      <c r="S1296" s="373"/>
      <c r="T1296" s="373"/>
      <c r="U1296" s="373"/>
      <c r="V1296" s="373"/>
      <c r="W1296" s="527">
        <v>45443</v>
      </c>
      <c r="X1296" s="333">
        <v>4</v>
      </c>
      <c r="Y1296" s="336">
        <f t="shared" ca="1" si="25"/>
        <v>42</v>
      </c>
      <c r="Z1296" s="373"/>
      <c r="AA1296" s="373"/>
      <c r="AB1296" s="373"/>
      <c r="AD1296" s="338"/>
    </row>
    <row r="1297" spans="1:28" s="338" customFormat="1" ht="12.75" customHeight="1" x14ac:dyDescent="0.25">
      <c r="A1297" s="347" t="s">
        <v>3702</v>
      </c>
      <c r="B1297" s="376">
        <v>45401</v>
      </c>
      <c r="C1297" s="396" t="s">
        <v>219</v>
      </c>
      <c r="D1297" s="332" t="s">
        <v>3700</v>
      </c>
      <c r="E1297" s="333"/>
      <c r="F1297" s="524">
        <v>265132807702</v>
      </c>
      <c r="G1297" s="372" t="s">
        <v>3703</v>
      </c>
      <c r="H1297" s="333">
        <v>8</v>
      </c>
      <c r="I1297" s="333" t="s">
        <v>277</v>
      </c>
      <c r="J1297" s="332" t="s">
        <v>541</v>
      </c>
      <c r="K1297" s="333" t="s">
        <v>32</v>
      </c>
      <c r="L1297" s="429"/>
      <c r="M1297" s="429"/>
      <c r="N1297" s="539"/>
      <c r="O1297" s="539"/>
      <c r="P1297" s="462">
        <v>45401</v>
      </c>
      <c r="Q1297" s="333"/>
      <c r="R1297" s="333"/>
      <c r="S1297" s="373"/>
      <c r="T1297" s="373"/>
      <c r="U1297" s="373"/>
      <c r="V1297" s="373"/>
      <c r="W1297" s="527">
        <v>45443</v>
      </c>
      <c r="X1297" s="333">
        <v>8</v>
      </c>
      <c r="Y1297" s="336">
        <f t="shared" ca="1" si="25"/>
        <v>42</v>
      </c>
      <c r="Z1297" s="373"/>
      <c r="AA1297" s="373"/>
      <c r="AB1297" s="373"/>
    </row>
    <row r="1298" spans="1:28" s="338" customFormat="1" ht="12.75" customHeight="1" x14ac:dyDescent="0.25">
      <c r="A1298" s="347" t="s">
        <v>3704</v>
      </c>
      <c r="B1298" s="376">
        <v>45401</v>
      </c>
      <c r="C1298" s="396" t="s">
        <v>219</v>
      </c>
      <c r="D1298" s="332" t="s">
        <v>3700</v>
      </c>
      <c r="E1298" s="333"/>
      <c r="F1298" s="524">
        <v>289881106303</v>
      </c>
      <c r="G1298" s="372" t="s">
        <v>3705</v>
      </c>
      <c r="H1298" s="333">
        <v>2</v>
      </c>
      <c r="I1298" s="333" t="s">
        <v>277</v>
      </c>
      <c r="J1298" s="332" t="s">
        <v>541</v>
      </c>
      <c r="K1298" s="333" t="s">
        <v>32</v>
      </c>
      <c r="L1298" s="429"/>
      <c r="M1298" s="429"/>
      <c r="N1298" s="539"/>
      <c r="O1298" s="539"/>
      <c r="P1298" s="462">
        <v>45401</v>
      </c>
      <c r="Q1298" s="333"/>
      <c r="R1298" s="333"/>
      <c r="S1298" s="373"/>
      <c r="T1298" s="373"/>
      <c r="U1298" s="373"/>
      <c r="V1298" s="373"/>
      <c r="W1298" s="527">
        <v>45443</v>
      </c>
      <c r="X1298" s="333">
        <v>2</v>
      </c>
      <c r="Y1298" s="336">
        <f t="shared" ca="1" si="25"/>
        <v>42</v>
      </c>
      <c r="Z1298" s="373"/>
      <c r="AA1298" s="373"/>
      <c r="AB1298" s="373"/>
    </row>
    <row r="1299" spans="1:28" s="338" customFormat="1" ht="12.75" customHeight="1" x14ac:dyDescent="0.25">
      <c r="A1299" s="347" t="s">
        <v>3706</v>
      </c>
      <c r="B1299" s="376">
        <v>45401</v>
      </c>
      <c r="C1299" s="396" t="s">
        <v>219</v>
      </c>
      <c r="D1299" s="332" t="s">
        <v>3700</v>
      </c>
      <c r="E1299" s="333"/>
      <c r="F1299" s="524">
        <v>289881106304</v>
      </c>
      <c r="G1299" s="372" t="s">
        <v>3707</v>
      </c>
      <c r="H1299" s="333">
        <v>2</v>
      </c>
      <c r="I1299" s="333" t="s">
        <v>277</v>
      </c>
      <c r="J1299" s="332" t="s">
        <v>541</v>
      </c>
      <c r="K1299" s="333" t="s">
        <v>32</v>
      </c>
      <c r="L1299" s="429"/>
      <c r="M1299" s="429"/>
      <c r="N1299" s="539"/>
      <c r="O1299" s="539"/>
      <c r="P1299" s="462">
        <v>45401</v>
      </c>
      <c r="Q1299" s="333"/>
      <c r="R1299" s="333"/>
      <c r="S1299" s="373"/>
      <c r="T1299" s="373"/>
      <c r="U1299" s="373"/>
      <c r="V1299" s="373"/>
      <c r="W1299" s="527">
        <v>45443</v>
      </c>
      <c r="X1299" s="333">
        <v>2</v>
      </c>
      <c r="Y1299" s="336">
        <f t="shared" ca="1" si="25"/>
        <v>42</v>
      </c>
      <c r="Z1299" s="373"/>
      <c r="AA1299" s="373"/>
      <c r="AB1299" s="373"/>
    </row>
    <row r="1300" spans="1:28" s="338" customFormat="1" ht="12.75" customHeight="1" x14ac:dyDescent="0.25">
      <c r="A1300" s="347" t="s">
        <v>3708</v>
      </c>
      <c r="B1300" s="376">
        <v>45401</v>
      </c>
      <c r="C1300" s="396" t="s">
        <v>219</v>
      </c>
      <c r="D1300" s="332" t="s">
        <v>3700</v>
      </c>
      <c r="E1300" s="333"/>
      <c r="F1300" s="524">
        <v>289472300183</v>
      </c>
      <c r="G1300" s="372" t="s">
        <v>3709</v>
      </c>
      <c r="H1300" s="333">
        <v>2</v>
      </c>
      <c r="I1300" s="333" t="s">
        <v>277</v>
      </c>
      <c r="J1300" s="332" t="s">
        <v>541</v>
      </c>
      <c r="K1300" s="333" t="s">
        <v>32</v>
      </c>
      <c r="L1300" s="429"/>
      <c r="M1300" s="429"/>
      <c r="N1300" s="539"/>
      <c r="O1300" s="539"/>
      <c r="P1300" s="462">
        <v>45401</v>
      </c>
      <c r="Q1300" s="333"/>
      <c r="R1300" s="333"/>
      <c r="S1300" s="373"/>
      <c r="T1300" s="373"/>
      <c r="U1300" s="373"/>
      <c r="V1300" s="373"/>
      <c r="W1300" s="346">
        <v>45446</v>
      </c>
      <c r="X1300" s="333">
        <v>2</v>
      </c>
      <c r="Y1300" s="336">
        <f t="shared" ca="1" si="25"/>
        <v>45</v>
      </c>
      <c r="Z1300" s="373"/>
      <c r="AA1300" s="373"/>
      <c r="AB1300" s="373"/>
    </row>
    <row r="1301" spans="1:28" s="338" customFormat="1" ht="12.75" customHeight="1" x14ac:dyDescent="0.25">
      <c r="A1301" s="347" t="s">
        <v>3710</v>
      </c>
      <c r="B1301" s="376">
        <v>45401</v>
      </c>
      <c r="C1301" s="396" t="s">
        <v>219</v>
      </c>
      <c r="D1301" s="332" t="s">
        <v>3700</v>
      </c>
      <c r="E1301" s="333"/>
      <c r="F1301" s="524" t="s">
        <v>3711</v>
      </c>
      <c r="G1301" s="372" t="s">
        <v>3712</v>
      </c>
      <c r="H1301" s="333">
        <v>2</v>
      </c>
      <c r="I1301" s="333" t="s">
        <v>277</v>
      </c>
      <c r="J1301" s="332" t="s">
        <v>31</v>
      </c>
      <c r="K1301" s="333" t="s">
        <v>32</v>
      </c>
      <c r="L1301" s="429"/>
      <c r="M1301" s="429"/>
      <c r="N1301" s="539"/>
      <c r="O1301" s="539"/>
      <c r="P1301" s="462">
        <v>45401</v>
      </c>
      <c r="Q1301" s="333"/>
      <c r="R1301" s="333"/>
      <c r="S1301" s="373"/>
      <c r="T1301" s="373"/>
      <c r="U1301" s="373"/>
      <c r="V1301" s="373"/>
      <c r="W1301" s="346"/>
      <c r="X1301" s="333">
        <v>2</v>
      </c>
      <c r="Y1301" s="336">
        <f t="shared" ca="1" si="25"/>
        <v>185</v>
      </c>
      <c r="Z1301" s="373"/>
      <c r="AA1301" s="373"/>
      <c r="AB1301" s="373"/>
    </row>
    <row r="1302" spans="1:28" s="338" customFormat="1" ht="12.75" customHeight="1" x14ac:dyDescent="0.25">
      <c r="A1302" s="347" t="s">
        <v>3713</v>
      </c>
      <c r="B1302" s="376">
        <v>45401</v>
      </c>
      <c r="C1302" s="396" t="s">
        <v>219</v>
      </c>
      <c r="D1302" s="332" t="s">
        <v>3700</v>
      </c>
      <c r="E1302" s="333"/>
      <c r="F1302" s="524" t="s">
        <v>3714</v>
      </c>
      <c r="G1302" s="372" t="s">
        <v>3715</v>
      </c>
      <c r="H1302" s="333">
        <v>2</v>
      </c>
      <c r="I1302" s="333" t="s">
        <v>277</v>
      </c>
      <c r="J1302" s="332" t="s">
        <v>31</v>
      </c>
      <c r="K1302" s="333" t="s">
        <v>32</v>
      </c>
      <c r="L1302" s="429"/>
      <c r="M1302" s="429"/>
      <c r="N1302" s="539"/>
      <c r="O1302" s="539"/>
      <c r="P1302" s="462">
        <v>45401</v>
      </c>
      <c r="Q1302" s="333"/>
      <c r="R1302" s="333"/>
      <c r="S1302" s="373"/>
      <c r="T1302" s="373"/>
      <c r="U1302" s="373"/>
      <c r="V1302" s="373"/>
      <c r="W1302" s="527">
        <v>45443</v>
      </c>
      <c r="X1302" s="333">
        <v>2</v>
      </c>
      <c r="Y1302" s="336">
        <f t="shared" ca="1" si="25"/>
        <v>42</v>
      </c>
      <c r="Z1302" s="373"/>
      <c r="AA1302" s="373"/>
      <c r="AB1302" s="373"/>
    </row>
    <row r="1303" spans="1:28" s="338" customFormat="1" ht="12.75" customHeight="1" x14ac:dyDescent="0.25">
      <c r="A1303" s="347" t="s">
        <v>3716</v>
      </c>
      <c r="B1303" s="376">
        <v>45401</v>
      </c>
      <c r="C1303" s="396" t="s">
        <v>219</v>
      </c>
      <c r="D1303" s="332" t="s">
        <v>3700</v>
      </c>
      <c r="E1303" s="333"/>
      <c r="F1303" s="524">
        <v>268426817701</v>
      </c>
      <c r="G1303" s="372" t="s">
        <v>3717</v>
      </c>
      <c r="H1303" s="333">
        <v>1</v>
      </c>
      <c r="I1303" s="333" t="s">
        <v>277</v>
      </c>
      <c r="J1303" s="332" t="s">
        <v>46</v>
      </c>
      <c r="K1303" s="333" t="s">
        <v>32</v>
      </c>
      <c r="L1303" s="429"/>
      <c r="M1303" s="429"/>
      <c r="N1303" s="539"/>
      <c r="O1303" s="539"/>
      <c r="P1303" s="462">
        <v>45401</v>
      </c>
      <c r="Q1303" s="333"/>
      <c r="R1303" s="333"/>
      <c r="S1303" s="373"/>
      <c r="T1303" s="373"/>
      <c r="U1303" s="373"/>
      <c r="V1303" s="373"/>
      <c r="W1303" s="346">
        <v>45448</v>
      </c>
      <c r="X1303" s="333">
        <v>1</v>
      </c>
      <c r="Y1303" s="336">
        <f t="shared" ca="1" si="25"/>
        <v>47</v>
      </c>
      <c r="Z1303" s="373"/>
      <c r="AA1303" s="373"/>
      <c r="AB1303" s="373"/>
    </row>
    <row r="1304" spans="1:28" s="338" customFormat="1" ht="12.75" customHeight="1" x14ac:dyDescent="0.25">
      <c r="A1304" s="347" t="s">
        <v>3718</v>
      </c>
      <c r="B1304" s="376">
        <v>45401</v>
      </c>
      <c r="C1304" s="396" t="s">
        <v>219</v>
      </c>
      <c r="D1304" s="332" t="s">
        <v>3700</v>
      </c>
      <c r="E1304" s="333"/>
      <c r="F1304" s="524">
        <v>289843804201</v>
      </c>
      <c r="G1304" s="372" t="s">
        <v>2314</v>
      </c>
      <c r="H1304" s="333">
        <v>2</v>
      </c>
      <c r="I1304" s="333" t="s">
        <v>277</v>
      </c>
      <c r="J1304" s="332" t="s">
        <v>43</v>
      </c>
      <c r="K1304" s="333" t="s">
        <v>32</v>
      </c>
      <c r="L1304" s="429"/>
      <c r="M1304" s="429"/>
      <c r="N1304" s="539"/>
      <c r="O1304" s="539"/>
      <c r="P1304" s="462">
        <v>45401</v>
      </c>
      <c r="Q1304" s="333"/>
      <c r="R1304" s="333"/>
      <c r="S1304" s="373"/>
      <c r="T1304" s="373"/>
      <c r="U1304" s="373"/>
      <c r="V1304" s="373"/>
      <c r="W1304" s="527">
        <v>45443</v>
      </c>
      <c r="X1304" s="333">
        <v>2</v>
      </c>
      <c r="Y1304" s="336">
        <f t="shared" ca="1" si="25"/>
        <v>42</v>
      </c>
      <c r="Z1304" s="373"/>
      <c r="AA1304" s="373"/>
      <c r="AB1304" s="373"/>
    </row>
    <row r="1305" spans="1:28" s="338" customFormat="1" ht="12.75" customHeight="1" x14ac:dyDescent="0.25">
      <c r="A1305" s="347" t="s">
        <v>3719</v>
      </c>
      <c r="B1305" s="376">
        <v>45401</v>
      </c>
      <c r="C1305" s="396" t="s">
        <v>219</v>
      </c>
      <c r="D1305" s="332" t="s">
        <v>3700</v>
      </c>
      <c r="E1305" s="333"/>
      <c r="F1305" s="524">
        <v>289872990101</v>
      </c>
      <c r="G1305" s="372" t="s">
        <v>3720</v>
      </c>
      <c r="H1305" s="333">
        <v>2</v>
      </c>
      <c r="I1305" s="333" t="s">
        <v>277</v>
      </c>
      <c r="J1305" s="332" t="s">
        <v>46</v>
      </c>
      <c r="K1305" s="333" t="s">
        <v>32</v>
      </c>
      <c r="L1305" s="429"/>
      <c r="M1305" s="429"/>
      <c r="N1305" s="539"/>
      <c r="O1305" s="539"/>
      <c r="P1305" s="462">
        <v>45401</v>
      </c>
      <c r="Q1305" s="333"/>
      <c r="R1305" s="333"/>
      <c r="S1305" s="373"/>
      <c r="T1305" s="373"/>
      <c r="U1305" s="373"/>
      <c r="V1305" s="373"/>
      <c r="W1305" s="346"/>
      <c r="X1305" s="333">
        <v>2</v>
      </c>
      <c r="Y1305" s="336">
        <f t="shared" ca="1" si="25"/>
        <v>185</v>
      </c>
      <c r="Z1305" s="373"/>
      <c r="AA1305" s="373"/>
      <c r="AB1305" s="373" t="s">
        <v>3246</v>
      </c>
    </row>
    <row r="1306" spans="1:28" s="338" customFormat="1" ht="12.75" customHeight="1" x14ac:dyDescent="0.25">
      <c r="A1306" s="347" t="s">
        <v>3721</v>
      </c>
      <c r="B1306" s="376">
        <v>45401</v>
      </c>
      <c r="C1306" s="396" t="s">
        <v>219</v>
      </c>
      <c r="D1306" s="332" t="s">
        <v>3700</v>
      </c>
      <c r="E1306" s="333"/>
      <c r="F1306" s="524">
        <v>11497404136</v>
      </c>
      <c r="G1306" s="372" t="s">
        <v>3722</v>
      </c>
      <c r="H1306" s="333">
        <v>8</v>
      </c>
      <c r="I1306" s="333" t="s">
        <v>277</v>
      </c>
      <c r="J1306" s="332" t="s">
        <v>541</v>
      </c>
      <c r="K1306" s="333" t="s">
        <v>32</v>
      </c>
      <c r="L1306" s="429"/>
      <c r="M1306" s="429"/>
      <c r="N1306" s="539"/>
      <c r="O1306" s="539"/>
      <c r="P1306" s="462">
        <v>45401</v>
      </c>
      <c r="Q1306" s="333"/>
      <c r="R1306" s="333"/>
      <c r="S1306" s="373"/>
      <c r="T1306" s="373"/>
      <c r="U1306" s="373"/>
      <c r="V1306" s="373"/>
      <c r="W1306" s="527">
        <v>45443</v>
      </c>
      <c r="X1306" s="333">
        <v>8</v>
      </c>
      <c r="Y1306" s="336">
        <f t="shared" ca="1" si="25"/>
        <v>42</v>
      </c>
      <c r="Z1306" s="373"/>
      <c r="AA1306" s="373"/>
      <c r="AB1306" s="373"/>
    </row>
    <row r="1307" spans="1:28" s="338" customFormat="1" ht="12.75" customHeight="1" x14ac:dyDescent="0.25">
      <c r="A1307" s="347" t="s">
        <v>3723</v>
      </c>
      <c r="B1307" s="376">
        <v>45401</v>
      </c>
      <c r="C1307" s="396" t="s">
        <v>219</v>
      </c>
      <c r="D1307" s="332" t="s">
        <v>3700</v>
      </c>
      <c r="E1307" s="333"/>
      <c r="F1307" s="524" t="s">
        <v>3724</v>
      </c>
      <c r="G1307" s="372" t="s">
        <v>3725</v>
      </c>
      <c r="H1307" s="333">
        <v>2</v>
      </c>
      <c r="I1307" s="333" t="s">
        <v>277</v>
      </c>
      <c r="J1307" s="332" t="s">
        <v>541</v>
      </c>
      <c r="K1307" s="333" t="s">
        <v>32</v>
      </c>
      <c r="L1307" s="429"/>
      <c r="M1307" s="429"/>
      <c r="N1307" s="539"/>
      <c r="O1307" s="539"/>
      <c r="P1307" s="462">
        <v>45401</v>
      </c>
      <c r="Q1307" s="333"/>
      <c r="R1307" s="333"/>
      <c r="S1307" s="373"/>
      <c r="T1307" s="373"/>
      <c r="U1307" s="373"/>
      <c r="V1307" s="373"/>
      <c r="W1307" s="527">
        <v>45443</v>
      </c>
      <c r="X1307" s="333">
        <v>2</v>
      </c>
      <c r="Y1307" s="336">
        <f t="shared" ca="1" si="25"/>
        <v>42</v>
      </c>
      <c r="Z1307" s="373"/>
      <c r="AA1307" s="373"/>
      <c r="AB1307" s="373"/>
    </row>
    <row r="1308" spans="1:28" s="338" customFormat="1" ht="12.75" customHeight="1" x14ac:dyDescent="0.25">
      <c r="A1308" s="347" t="s">
        <v>3726</v>
      </c>
      <c r="B1308" s="376">
        <v>45401</v>
      </c>
      <c r="C1308" s="396" t="s">
        <v>219</v>
      </c>
      <c r="D1308" s="332" t="s">
        <v>3700</v>
      </c>
      <c r="E1308" s="333"/>
      <c r="F1308" s="524">
        <v>289842700128</v>
      </c>
      <c r="G1308" s="372" t="s">
        <v>3727</v>
      </c>
      <c r="H1308" s="333">
        <v>4</v>
      </c>
      <c r="I1308" s="333" t="s">
        <v>277</v>
      </c>
      <c r="J1308" s="332" t="s">
        <v>541</v>
      </c>
      <c r="K1308" s="333" t="s">
        <v>32</v>
      </c>
      <c r="L1308" s="429"/>
      <c r="M1308" s="429"/>
      <c r="N1308" s="539"/>
      <c r="O1308" s="539"/>
      <c r="P1308" s="462">
        <v>45401</v>
      </c>
      <c r="Q1308" s="333"/>
      <c r="R1308" s="333"/>
      <c r="S1308" s="373"/>
      <c r="T1308" s="373"/>
      <c r="U1308" s="373"/>
      <c r="V1308" s="373"/>
      <c r="W1308" s="402">
        <v>45448</v>
      </c>
      <c r="X1308" s="333">
        <v>4</v>
      </c>
      <c r="Y1308" s="336">
        <f t="shared" ca="1" si="25"/>
        <v>47</v>
      </c>
      <c r="Z1308" s="373"/>
      <c r="AA1308" s="373"/>
      <c r="AB1308" s="373" t="s">
        <v>3246</v>
      </c>
    </row>
    <row r="1309" spans="1:28" s="338" customFormat="1" ht="12.75" customHeight="1" x14ac:dyDescent="0.25">
      <c r="A1309" s="347" t="s">
        <v>3728</v>
      </c>
      <c r="B1309" s="376">
        <v>45401</v>
      </c>
      <c r="C1309" s="396" t="s">
        <v>219</v>
      </c>
      <c r="D1309" s="332" t="s">
        <v>3700</v>
      </c>
      <c r="E1309" s="333"/>
      <c r="F1309" s="524">
        <v>551754200102</v>
      </c>
      <c r="G1309" s="372" t="s">
        <v>3729</v>
      </c>
      <c r="H1309" s="333">
        <v>2</v>
      </c>
      <c r="I1309" s="333" t="s">
        <v>277</v>
      </c>
      <c r="J1309" s="332" t="s">
        <v>46</v>
      </c>
      <c r="K1309" s="333" t="s">
        <v>32</v>
      </c>
      <c r="L1309" s="429"/>
      <c r="M1309" s="429"/>
      <c r="N1309" s="539"/>
      <c r="O1309" s="539"/>
      <c r="P1309" s="462">
        <v>45401</v>
      </c>
      <c r="Q1309" s="333"/>
      <c r="R1309" s="333"/>
      <c r="S1309" s="373"/>
      <c r="T1309" s="373"/>
      <c r="U1309" s="373"/>
      <c r="V1309" s="373"/>
      <c r="W1309" s="527">
        <v>45443</v>
      </c>
      <c r="X1309" s="333">
        <v>2</v>
      </c>
      <c r="Y1309" s="336">
        <f t="shared" ca="1" si="25"/>
        <v>42</v>
      </c>
      <c r="Z1309" s="373"/>
      <c r="AA1309" s="373"/>
      <c r="AB1309" s="373"/>
    </row>
    <row r="1310" spans="1:28" s="338" customFormat="1" ht="12.75" customHeight="1" x14ac:dyDescent="0.25">
      <c r="A1310" s="347" t="s">
        <v>3730</v>
      </c>
      <c r="B1310" s="376">
        <v>45401</v>
      </c>
      <c r="C1310" s="396" t="s">
        <v>219</v>
      </c>
      <c r="D1310" s="332" t="s">
        <v>3700</v>
      </c>
      <c r="E1310" s="333"/>
      <c r="F1310" s="524">
        <v>289472500110</v>
      </c>
      <c r="G1310" s="372" t="s">
        <v>3731</v>
      </c>
      <c r="H1310" s="333">
        <v>1</v>
      </c>
      <c r="I1310" s="333" t="s">
        <v>277</v>
      </c>
      <c r="J1310" s="332" t="s">
        <v>31</v>
      </c>
      <c r="K1310" s="333" t="s">
        <v>32</v>
      </c>
      <c r="L1310" s="429"/>
      <c r="M1310" s="429"/>
      <c r="N1310" s="539"/>
      <c r="O1310" s="539"/>
      <c r="P1310" s="462">
        <v>45401</v>
      </c>
      <c r="Q1310" s="333"/>
      <c r="R1310" s="333"/>
      <c r="S1310" s="373"/>
      <c r="T1310" s="373"/>
      <c r="U1310" s="373"/>
      <c r="V1310" s="373"/>
      <c r="W1310" s="402">
        <v>45448</v>
      </c>
      <c r="X1310" s="333">
        <v>1</v>
      </c>
      <c r="Y1310" s="336">
        <f t="shared" ca="1" si="25"/>
        <v>47</v>
      </c>
      <c r="Z1310" s="373"/>
      <c r="AA1310" s="373"/>
      <c r="AB1310" s="373" t="s">
        <v>3246</v>
      </c>
    </row>
    <row r="1311" spans="1:28" s="338" customFormat="1" ht="12.75" customHeight="1" x14ac:dyDescent="0.25">
      <c r="A1311" s="347" t="s">
        <v>3732</v>
      </c>
      <c r="B1311" s="376">
        <v>45401</v>
      </c>
      <c r="C1311" s="396" t="s">
        <v>219</v>
      </c>
      <c r="D1311" s="332" t="s">
        <v>3700</v>
      </c>
      <c r="E1311" s="333"/>
      <c r="F1311" s="524">
        <v>551129100129</v>
      </c>
      <c r="G1311" s="372" t="s">
        <v>3733</v>
      </c>
      <c r="H1311" s="333">
        <v>2</v>
      </c>
      <c r="I1311" s="333" t="s">
        <v>277</v>
      </c>
      <c r="J1311" s="332" t="s">
        <v>541</v>
      </c>
      <c r="K1311" s="333" t="s">
        <v>32</v>
      </c>
      <c r="L1311" s="429"/>
      <c r="M1311" s="429"/>
      <c r="N1311" s="539"/>
      <c r="O1311" s="539"/>
      <c r="P1311" s="462">
        <v>45401</v>
      </c>
      <c r="Q1311" s="333"/>
      <c r="R1311" s="333"/>
      <c r="S1311" s="373"/>
      <c r="T1311" s="373"/>
      <c r="U1311" s="373"/>
      <c r="V1311" s="373"/>
      <c r="W1311" s="527">
        <v>45443</v>
      </c>
      <c r="X1311" s="333">
        <v>2</v>
      </c>
      <c r="Y1311" s="336">
        <f t="shared" ca="1" si="25"/>
        <v>42</v>
      </c>
      <c r="Z1311" s="373"/>
      <c r="AA1311" s="373"/>
      <c r="AB1311" s="373"/>
    </row>
    <row r="1312" spans="1:28" s="338" customFormat="1" ht="12.75" customHeight="1" x14ac:dyDescent="0.25">
      <c r="A1312" s="347" t="s">
        <v>3734</v>
      </c>
      <c r="B1312" s="376">
        <v>45401</v>
      </c>
      <c r="C1312" s="396" t="s">
        <v>219</v>
      </c>
      <c r="D1312" s="332" t="s">
        <v>3700</v>
      </c>
      <c r="E1312" s="333"/>
      <c r="F1312" s="524">
        <v>289842800142</v>
      </c>
      <c r="G1312" s="372" t="s">
        <v>3735</v>
      </c>
      <c r="H1312" s="333">
        <v>4</v>
      </c>
      <c r="I1312" s="333" t="s">
        <v>277</v>
      </c>
      <c r="J1312" s="332" t="s">
        <v>541</v>
      </c>
      <c r="K1312" s="333" t="s">
        <v>32</v>
      </c>
      <c r="L1312" s="429"/>
      <c r="M1312" s="429"/>
      <c r="N1312" s="539"/>
      <c r="O1312" s="539"/>
      <c r="P1312" s="462">
        <v>45401</v>
      </c>
      <c r="Q1312" s="333"/>
      <c r="R1312" s="333"/>
      <c r="S1312" s="373"/>
      <c r="T1312" s="373"/>
      <c r="U1312" s="373"/>
      <c r="V1312" s="373"/>
      <c r="W1312" s="527">
        <v>45443</v>
      </c>
      <c r="X1312" s="333">
        <v>4</v>
      </c>
      <c r="Y1312" s="336">
        <f t="shared" ca="1" si="25"/>
        <v>42</v>
      </c>
      <c r="Z1312" s="373"/>
      <c r="AA1312" s="373"/>
      <c r="AB1312" s="373"/>
    </row>
    <row r="1313" spans="1:30" ht="12.75" customHeight="1" x14ac:dyDescent="0.25">
      <c r="A1313" s="347" t="s">
        <v>3736</v>
      </c>
      <c r="B1313" s="376">
        <v>45401</v>
      </c>
      <c r="C1313" s="396" t="s">
        <v>219</v>
      </c>
      <c r="D1313" s="332" t="s">
        <v>3700</v>
      </c>
      <c r="E1313" s="333"/>
      <c r="F1313" s="524">
        <v>289467807701</v>
      </c>
      <c r="G1313" s="372" t="s">
        <v>3737</v>
      </c>
      <c r="H1313" s="333">
        <v>2</v>
      </c>
      <c r="I1313" s="333" t="s">
        <v>277</v>
      </c>
      <c r="J1313" s="332" t="s">
        <v>541</v>
      </c>
      <c r="K1313" s="333" t="s">
        <v>32</v>
      </c>
      <c r="P1313" s="462">
        <v>45401</v>
      </c>
      <c r="Q1313" s="333"/>
      <c r="R1313" s="333"/>
      <c r="S1313" s="373"/>
      <c r="T1313" s="373"/>
      <c r="U1313" s="373"/>
      <c r="V1313" s="373"/>
      <c r="W1313" s="527">
        <v>45443</v>
      </c>
      <c r="X1313" s="333">
        <v>2</v>
      </c>
      <c r="Y1313" s="336">
        <f t="shared" ca="1" si="25"/>
        <v>42</v>
      </c>
      <c r="Z1313" s="373"/>
      <c r="AA1313" s="373"/>
      <c r="AB1313" s="373"/>
      <c r="AD1313" s="338"/>
    </row>
    <row r="1314" spans="1:30" ht="12.75" customHeight="1" x14ac:dyDescent="0.25">
      <c r="A1314" s="347" t="s">
        <v>3738</v>
      </c>
      <c r="B1314" s="376">
        <v>45401</v>
      </c>
      <c r="C1314" s="396" t="s">
        <v>219</v>
      </c>
      <c r="D1314" s="332" t="s">
        <v>3700</v>
      </c>
      <c r="E1314" s="333"/>
      <c r="F1314" s="524">
        <v>269881900102</v>
      </c>
      <c r="G1314" s="372" t="s">
        <v>3739</v>
      </c>
      <c r="H1314" s="333">
        <v>4</v>
      </c>
      <c r="I1314" s="333" t="s">
        <v>277</v>
      </c>
      <c r="J1314" s="332" t="s">
        <v>541</v>
      </c>
      <c r="K1314" s="333" t="s">
        <v>32</v>
      </c>
      <c r="P1314" s="462">
        <v>45401</v>
      </c>
      <c r="Q1314" s="333"/>
      <c r="R1314" s="333"/>
      <c r="S1314" s="373"/>
      <c r="T1314" s="373"/>
      <c r="U1314" s="373"/>
      <c r="V1314" s="373"/>
      <c r="W1314" s="402">
        <v>45446</v>
      </c>
      <c r="X1314" s="333">
        <v>4</v>
      </c>
      <c r="Y1314" s="336">
        <f t="shared" ca="1" si="25"/>
        <v>45</v>
      </c>
      <c r="Z1314" s="373"/>
      <c r="AA1314" s="373"/>
      <c r="AB1314" s="373"/>
      <c r="AD1314" s="338"/>
    </row>
    <row r="1315" spans="1:30" ht="12.75" customHeight="1" x14ac:dyDescent="0.25">
      <c r="A1315" s="347" t="s">
        <v>3740</v>
      </c>
      <c r="B1315" s="376">
        <v>45401</v>
      </c>
      <c r="C1315" s="396" t="s">
        <v>219</v>
      </c>
      <c r="D1315" s="332" t="s">
        <v>3700</v>
      </c>
      <c r="E1315" s="333"/>
      <c r="F1315" s="524">
        <v>289481106501</v>
      </c>
      <c r="G1315" s="372" t="s">
        <v>3741</v>
      </c>
      <c r="H1315" s="333">
        <v>14</v>
      </c>
      <c r="I1315" s="333" t="s">
        <v>277</v>
      </c>
      <c r="J1315" s="332" t="s">
        <v>541</v>
      </c>
      <c r="K1315" s="333" t="s">
        <v>32</v>
      </c>
      <c r="P1315" s="462">
        <v>45401</v>
      </c>
      <c r="Q1315" s="333"/>
      <c r="R1315" s="333"/>
      <c r="S1315" s="373"/>
      <c r="T1315" s="373"/>
      <c r="U1315" s="373"/>
      <c r="V1315" s="373"/>
      <c r="W1315" s="527">
        <v>45443</v>
      </c>
      <c r="X1315" s="333">
        <v>14</v>
      </c>
      <c r="Y1315" s="336">
        <f t="shared" ca="1" si="25"/>
        <v>42</v>
      </c>
      <c r="Z1315" s="373"/>
      <c r="AA1315" s="373"/>
      <c r="AB1315" s="373"/>
      <c r="AD1315" s="338"/>
    </row>
    <row r="1316" spans="1:30" ht="12.75" customHeight="1" x14ac:dyDescent="0.25">
      <c r="A1316" s="347" t="s">
        <v>3742</v>
      </c>
      <c r="B1316" s="376">
        <v>45401</v>
      </c>
      <c r="C1316" s="396" t="s">
        <v>219</v>
      </c>
      <c r="D1316" s="332" t="s">
        <v>3700</v>
      </c>
      <c r="E1316" s="333"/>
      <c r="F1316" s="524">
        <v>289472306310</v>
      </c>
      <c r="G1316" s="372" t="s">
        <v>3743</v>
      </c>
      <c r="H1316" s="333">
        <v>1</v>
      </c>
      <c r="I1316" s="333" t="s">
        <v>277</v>
      </c>
      <c r="J1316" s="332"/>
      <c r="K1316" s="333" t="s">
        <v>32</v>
      </c>
      <c r="P1316" s="462">
        <v>45401</v>
      </c>
      <c r="Q1316" s="333"/>
      <c r="R1316" s="333"/>
      <c r="S1316" s="373"/>
      <c r="T1316" s="373"/>
      <c r="U1316" s="373"/>
      <c r="V1316" s="373"/>
      <c r="W1316" s="346"/>
      <c r="X1316" s="333">
        <v>1</v>
      </c>
      <c r="Y1316" s="336">
        <f t="shared" ca="1" si="25"/>
        <v>185</v>
      </c>
      <c r="Z1316" s="373"/>
      <c r="AA1316" s="373"/>
      <c r="AB1316" s="373" t="s">
        <v>3246</v>
      </c>
      <c r="AD1316" s="338"/>
    </row>
    <row r="1317" spans="1:30" ht="12.75" customHeight="1" x14ac:dyDescent="0.25">
      <c r="A1317" s="347" t="s">
        <v>3744</v>
      </c>
      <c r="B1317" s="376">
        <v>45401</v>
      </c>
      <c r="C1317" s="396" t="s">
        <v>219</v>
      </c>
      <c r="D1317" s="332" t="s">
        <v>3700</v>
      </c>
      <c r="E1317" s="333"/>
      <c r="F1317" s="524" t="s">
        <v>3745</v>
      </c>
      <c r="G1317" s="372" t="s">
        <v>3746</v>
      </c>
      <c r="H1317" s="333">
        <v>2</v>
      </c>
      <c r="I1317" s="333" t="s">
        <v>277</v>
      </c>
      <c r="J1317" s="332"/>
      <c r="K1317" s="333" t="s">
        <v>32</v>
      </c>
      <c r="P1317" s="462">
        <v>45401</v>
      </c>
      <c r="Q1317" s="333"/>
      <c r="R1317" s="333"/>
      <c r="S1317" s="373"/>
      <c r="T1317" s="373"/>
      <c r="U1317" s="373"/>
      <c r="V1317" s="373"/>
      <c r="W1317" s="346"/>
      <c r="X1317" s="333">
        <v>2</v>
      </c>
      <c r="Y1317" s="336">
        <f t="shared" ca="1" si="25"/>
        <v>185</v>
      </c>
      <c r="Z1317" s="373"/>
      <c r="AA1317" s="373"/>
      <c r="AB1317" s="373" t="s">
        <v>3246</v>
      </c>
      <c r="AD1317" s="338"/>
    </row>
    <row r="1318" spans="1:30" ht="12.75" customHeight="1" x14ac:dyDescent="0.25">
      <c r="A1318" s="347" t="s">
        <v>3747</v>
      </c>
      <c r="B1318" s="376">
        <v>45414</v>
      </c>
      <c r="C1318" s="396" t="s">
        <v>60</v>
      </c>
      <c r="D1318" s="332" t="s">
        <v>1555</v>
      </c>
      <c r="E1318" s="333"/>
      <c r="F1318" s="524" t="s">
        <v>3748</v>
      </c>
      <c r="G1318" s="372" t="s">
        <v>1543</v>
      </c>
      <c r="H1318" s="333">
        <v>3</v>
      </c>
      <c r="I1318" s="333">
        <v>340</v>
      </c>
      <c r="J1318" s="332" t="s">
        <v>2627</v>
      </c>
      <c r="K1318" s="333" t="s">
        <v>69</v>
      </c>
      <c r="P1318" s="462"/>
      <c r="Q1318" s="333"/>
      <c r="R1318" s="333"/>
      <c r="S1318" s="373"/>
      <c r="T1318" s="373"/>
      <c r="U1318" s="373"/>
      <c r="V1318" s="373"/>
      <c r="W1318" s="346"/>
      <c r="X1318" s="373"/>
      <c r="Y1318" s="336" t="str">
        <f t="shared" ca="1" si="25"/>
        <v/>
      </c>
      <c r="Z1318" s="373"/>
      <c r="AA1318" s="373"/>
      <c r="AB1318" s="373"/>
      <c r="AD1318" s="338"/>
    </row>
    <row r="1319" spans="1:30" ht="12.75" customHeight="1" x14ac:dyDescent="0.25">
      <c r="A1319" s="347" t="s">
        <v>3749</v>
      </c>
      <c r="B1319" s="376">
        <v>45415</v>
      </c>
      <c r="C1319" s="396" t="s">
        <v>3603</v>
      </c>
      <c r="D1319" s="332" t="s">
        <v>1623</v>
      </c>
      <c r="E1319" s="333"/>
      <c r="F1319" s="524" t="s">
        <v>1637</v>
      </c>
      <c r="G1319" s="372" t="s">
        <v>3750</v>
      </c>
      <c r="H1319" s="333">
        <v>1</v>
      </c>
      <c r="I1319" s="333" t="s">
        <v>3751</v>
      </c>
      <c r="J1319" s="332" t="s">
        <v>46</v>
      </c>
      <c r="K1319" s="333" t="s">
        <v>32</v>
      </c>
      <c r="P1319" s="462"/>
      <c r="Q1319" s="333"/>
      <c r="R1319" s="333"/>
      <c r="S1319" s="373"/>
      <c r="T1319" s="373"/>
      <c r="U1319" s="373"/>
      <c r="V1319" s="373"/>
      <c r="W1319" s="346"/>
      <c r="X1319" s="373"/>
      <c r="Y1319" s="336" t="str">
        <f t="shared" ca="1" si="25"/>
        <v/>
      </c>
      <c r="Z1319" s="373"/>
      <c r="AA1319" s="373"/>
      <c r="AB1319" s="373"/>
      <c r="AD1319" s="338"/>
    </row>
    <row r="1320" spans="1:30" ht="12.75" customHeight="1" x14ac:dyDescent="0.25">
      <c r="A1320" s="347" t="s">
        <v>3752</v>
      </c>
      <c r="B1320" s="376">
        <v>45415</v>
      </c>
      <c r="C1320" s="396" t="s">
        <v>3603</v>
      </c>
      <c r="D1320" s="332" t="s">
        <v>1623</v>
      </c>
      <c r="E1320" s="333"/>
      <c r="F1320" s="524" t="s">
        <v>3753</v>
      </c>
      <c r="G1320" s="372" t="s">
        <v>3754</v>
      </c>
      <c r="H1320" s="333">
        <v>80</v>
      </c>
      <c r="I1320" s="333" t="s">
        <v>3751</v>
      </c>
      <c r="J1320" s="332" t="s">
        <v>46</v>
      </c>
      <c r="K1320" s="333" t="s">
        <v>32</v>
      </c>
      <c r="P1320" s="462"/>
      <c r="Q1320" s="333"/>
      <c r="R1320" s="333"/>
      <c r="S1320" s="373"/>
      <c r="T1320" s="373"/>
      <c r="U1320" s="373"/>
      <c r="V1320" s="373"/>
      <c r="W1320" s="346"/>
      <c r="X1320" s="373"/>
      <c r="Y1320" s="336" t="str">
        <f t="shared" ca="1" si="25"/>
        <v/>
      </c>
      <c r="Z1320" s="373"/>
      <c r="AA1320" s="373"/>
      <c r="AB1320" s="373"/>
      <c r="AD1320" s="338"/>
    </row>
    <row r="1321" spans="1:30" ht="12.75" customHeight="1" x14ac:dyDescent="0.25">
      <c r="A1321" s="347" t="s">
        <v>3755</v>
      </c>
      <c r="B1321" s="376">
        <v>45414</v>
      </c>
      <c r="C1321" s="396" t="s">
        <v>3603</v>
      </c>
      <c r="D1321" s="332" t="s">
        <v>1623</v>
      </c>
      <c r="E1321" s="333"/>
      <c r="F1321" s="524" t="s">
        <v>3756</v>
      </c>
      <c r="G1321" s="372" t="s">
        <v>3757</v>
      </c>
      <c r="H1321" s="333">
        <v>2</v>
      </c>
      <c r="I1321" s="333" t="s">
        <v>3751</v>
      </c>
      <c r="J1321" s="332" t="s">
        <v>43</v>
      </c>
      <c r="K1321" s="333" t="s">
        <v>32</v>
      </c>
      <c r="P1321" s="462"/>
      <c r="Q1321" s="333"/>
      <c r="R1321" s="333"/>
      <c r="S1321" s="373"/>
      <c r="T1321" s="373"/>
      <c r="U1321" s="373"/>
      <c r="V1321" s="373"/>
      <c r="W1321" s="346"/>
      <c r="X1321" s="373"/>
      <c r="Y1321" s="336" t="str">
        <f t="shared" ca="1" si="25"/>
        <v/>
      </c>
      <c r="Z1321" s="373"/>
      <c r="AA1321" s="373"/>
      <c r="AB1321" s="373"/>
      <c r="AD1321" s="338"/>
    </row>
    <row r="1322" spans="1:30" ht="12.75" customHeight="1" x14ac:dyDescent="0.25">
      <c r="A1322" s="347" t="s">
        <v>3758</v>
      </c>
      <c r="B1322" s="376">
        <v>45414</v>
      </c>
      <c r="C1322" s="396" t="s">
        <v>3603</v>
      </c>
      <c r="D1322" s="332" t="s">
        <v>1623</v>
      </c>
      <c r="E1322" s="333"/>
      <c r="F1322" s="524" t="s">
        <v>3759</v>
      </c>
      <c r="G1322" s="514" t="s">
        <v>3760</v>
      </c>
      <c r="H1322" s="333">
        <v>1</v>
      </c>
      <c r="I1322" s="333" t="s">
        <v>3751</v>
      </c>
      <c r="J1322" s="332" t="s">
        <v>43</v>
      </c>
      <c r="K1322" s="333" t="s">
        <v>32</v>
      </c>
      <c r="P1322" s="462"/>
      <c r="Q1322" s="333"/>
      <c r="R1322" s="333"/>
      <c r="S1322" s="373"/>
      <c r="T1322" s="373"/>
      <c r="U1322" s="373"/>
      <c r="V1322" s="373"/>
      <c r="W1322" s="346"/>
      <c r="X1322" s="373"/>
      <c r="Y1322" s="336" t="str">
        <f t="shared" ca="1" si="25"/>
        <v/>
      </c>
      <c r="Z1322" s="373"/>
      <c r="AA1322" s="373"/>
      <c r="AB1322" s="373"/>
      <c r="AD1322" s="338"/>
    </row>
    <row r="1323" spans="1:30" ht="12.75" customHeight="1" x14ac:dyDescent="0.25">
      <c r="A1323" s="347" t="s">
        <v>3761</v>
      </c>
      <c r="B1323" s="376">
        <v>45415</v>
      </c>
      <c r="C1323" s="396" t="s">
        <v>26</v>
      </c>
      <c r="D1323" s="332" t="s">
        <v>988</v>
      </c>
      <c r="E1323" s="333"/>
      <c r="F1323" s="524">
        <v>2116023</v>
      </c>
      <c r="G1323" s="372" t="s">
        <v>3762</v>
      </c>
      <c r="H1323" s="333">
        <v>1</v>
      </c>
      <c r="I1323" s="333" t="s">
        <v>2651</v>
      </c>
      <c r="J1323" s="332" t="s">
        <v>2627</v>
      </c>
      <c r="K1323" s="333" t="s">
        <v>69</v>
      </c>
      <c r="P1323" s="462">
        <v>45415</v>
      </c>
      <c r="Q1323" s="333"/>
      <c r="R1323" s="333"/>
      <c r="S1323" s="373"/>
      <c r="T1323" s="373"/>
      <c r="U1323" s="373"/>
      <c r="V1323" s="373"/>
      <c r="W1323" s="346">
        <v>45058</v>
      </c>
      <c r="X1323" s="373"/>
      <c r="Y1323" s="336">
        <f t="shared" ca="1" si="25"/>
        <v>-357</v>
      </c>
      <c r="Z1323" s="373"/>
      <c r="AA1323" s="373"/>
      <c r="AB1323" s="373"/>
      <c r="AD1323" s="338"/>
    </row>
    <row r="1324" spans="1:30" ht="12.75" customHeight="1" x14ac:dyDescent="0.25">
      <c r="A1324" s="347" t="s">
        <v>3763</v>
      </c>
      <c r="B1324" s="376">
        <v>45415</v>
      </c>
      <c r="C1324" s="396" t="s">
        <v>26</v>
      </c>
      <c r="D1324" s="332" t="s">
        <v>1259</v>
      </c>
      <c r="E1324" s="333"/>
      <c r="F1324" s="524">
        <v>2568460</v>
      </c>
      <c r="G1324" s="372" t="s">
        <v>3764</v>
      </c>
      <c r="H1324" s="333">
        <v>2</v>
      </c>
      <c r="I1324" s="333" t="s">
        <v>2852</v>
      </c>
      <c r="J1324" s="332" t="s">
        <v>2627</v>
      </c>
      <c r="K1324" s="333" t="s">
        <v>69</v>
      </c>
      <c r="P1324" s="462">
        <v>45415</v>
      </c>
      <c r="Q1324" s="333"/>
      <c r="R1324" s="333"/>
      <c r="S1324" s="373"/>
      <c r="T1324" s="373"/>
      <c r="U1324" s="373"/>
      <c r="V1324" s="373"/>
      <c r="W1324" s="346"/>
      <c r="X1324" s="373"/>
      <c r="Y1324" s="336">
        <f t="shared" ca="1" si="25"/>
        <v>171</v>
      </c>
      <c r="Z1324" s="373"/>
      <c r="AA1324" s="373"/>
      <c r="AB1324" s="373"/>
      <c r="AD1324" s="338"/>
    </row>
    <row r="1325" spans="1:30" ht="12.75" customHeight="1" x14ac:dyDescent="0.25">
      <c r="A1325" s="347" t="s">
        <v>3765</v>
      </c>
      <c r="B1325" s="376">
        <v>45415</v>
      </c>
      <c r="C1325" s="396" t="s">
        <v>26</v>
      </c>
      <c r="D1325" s="332" t="s">
        <v>1259</v>
      </c>
      <c r="E1325" s="333"/>
      <c r="F1325" s="524">
        <v>2294241</v>
      </c>
      <c r="G1325" s="390" t="s">
        <v>1322</v>
      </c>
      <c r="H1325" s="333">
        <v>2</v>
      </c>
      <c r="I1325" s="333" t="s">
        <v>2852</v>
      </c>
      <c r="J1325" s="332" t="s">
        <v>2627</v>
      </c>
      <c r="K1325" s="333" t="s">
        <v>69</v>
      </c>
      <c r="P1325" s="462">
        <v>45415</v>
      </c>
      <c r="Q1325" s="333"/>
      <c r="R1325" s="333"/>
      <c r="S1325" s="373"/>
      <c r="T1325" s="373"/>
      <c r="U1325" s="373"/>
      <c r="V1325" s="373"/>
      <c r="W1325" s="346"/>
      <c r="X1325" s="373"/>
      <c r="Y1325" s="336">
        <f t="shared" ca="1" si="25"/>
        <v>171</v>
      </c>
      <c r="Z1325" s="373"/>
      <c r="AA1325" s="373"/>
      <c r="AB1325" s="373"/>
      <c r="AD1325" s="338"/>
    </row>
    <row r="1326" spans="1:30" ht="12.75" customHeight="1" x14ac:dyDescent="0.25">
      <c r="A1326" s="347" t="s">
        <v>3766</v>
      </c>
      <c r="B1326" s="376">
        <v>45414</v>
      </c>
      <c r="C1326" s="396" t="s">
        <v>35</v>
      </c>
      <c r="D1326" s="332" t="s">
        <v>71</v>
      </c>
      <c r="E1326" s="333"/>
      <c r="F1326" s="524" t="s">
        <v>3767</v>
      </c>
      <c r="G1326" s="372" t="s">
        <v>3768</v>
      </c>
      <c r="H1326" s="333">
        <v>1</v>
      </c>
      <c r="I1326" s="333" t="s">
        <v>3769</v>
      </c>
      <c r="J1326" s="332" t="s">
        <v>102</v>
      </c>
      <c r="K1326" s="333" t="s">
        <v>69</v>
      </c>
      <c r="L1326" s="396"/>
      <c r="M1326" s="333"/>
      <c r="N1326" s="417"/>
      <c r="O1326" s="417"/>
      <c r="P1326" s="343"/>
      <c r="Q1326" s="333"/>
      <c r="R1326" s="333"/>
      <c r="S1326" s="373"/>
      <c r="T1326" s="373"/>
      <c r="U1326" s="373"/>
      <c r="V1326" s="373"/>
      <c r="W1326" s="346"/>
      <c r="X1326" s="373"/>
      <c r="Y1326" s="336" t="str">
        <f t="shared" ca="1" si="25"/>
        <v/>
      </c>
      <c r="Z1326" s="373"/>
      <c r="AA1326" s="373"/>
      <c r="AB1326" s="373"/>
      <c r="AC1326" s="338" t="e">
        <f>VLOOKUP(F1326,'[1]CPO DATA'!$D:$I,4,FALSE)</f>
        <v>#N/A</v>
      </c>
      <c r="AD1326" s="418" t="e">
        <f>VLOOKUP(F1326,'STORE ITEMS'!C:F,2,FALSE)</f>
        <v>#N/A</v>
      </c>
    </row>
    <row r="1327" spans="1:30" ht="12.75" customHeight="1" x14ac:dyDescent="0.25">
      <c r="A1327" s="347" t="s">
        <v>3770</v>
      </c>
      <c r="B1327" s="376">
        <v>45411</v>
      </c>
      <c r="C1327" s="396" t="s">
        <v>35</v>
      </c>
      <c r="D1327" s="332" t="s">
        <v>71</v>
      </c>
      <c r="E1327" s="333"/>
      <c r="F1327" s="524" t="s">
        <v>3771</v>
      </c>
      <c r="G1327" s="372" t="s">
        <v>2830</v>
      </c>
      <c r="H1327" s="333">
        <v>1</v>
      </c>
      <c r="I1327" s="333" t="s">
        <v>3772</v>
      </c>
      <c r="J1327" s="332" t="s">
        <v>68</v>
      </c>
      <c r="K1327" s="333" t="s">
        <v>69</v>
      </c>
      <c r="L1327" s="396"/>
      <c r="M1327" s="333"/>
      <c r="N1327" s="417"/>
      <c r="O1327" s="417"/>
      <c r="P1327" s="343"/>
      <c r="Q1327" s="333"/>
      <c r="R1327" s="333"/>
      <c r="S1327" s="373"/>
      <c r="T1327" s="373"/>
      <c r="U1327" s="373"/>
      <c r="V1327" s="373"/>
      <c r="W1327" s="346"/>
      <c r="X1327" s="373"/>
      <c r="Y1327" s="336" t="str">
        <f t="shared" ca="1" si="25"/>
        <v/>
      </c>
      <c r="Z1327" s="373"/>
      <c r="AA1327" s="373"/>
      <c r="AB1327" s="373"/>
      <c r="AC1327" s="338" t="e">
        <f>VLOOKUP(F1327,'[1]CPO DATA'!$D:$I,4,FALSE)</f>
        <v>#N/A</v>
      </c>
      <c r="AD1327" s="418" t="e">
        <f>VLOOKUP(F1327,'STORE ITEMS'!C:F,2,FALSE)</f>
        <v>#N/A</v>
      </c>
    </row>
    <row r="1328" spans="1:30" ht="12.75" customHeight="1" x14ac:dyDescent="0.25">
      <c r="A1328" s="347" t="s">
        <v>3773</v>
      </c>
      <c r="B1328" s="376">
        <v>45412</v>
      </c>
      <c r="C1328" s="396" t="s">
        <v>3540</v>
      </c>
      <c r="D1328" s="332" t="s">
        <v>526</v>
      </c>
      <c r="E1328" s="333"/>
      <c r="F1328" s="524" t="s">
        <v>3774</v>
      </c>
      <c r="G1328" s="372" t="s">
        <v>3775</v>
      </c>
      <c r="H1328" s="333">
        <v>2</v>
      </c>
      <c r="I1328" s="333">
        <v>5</v>
      </c>
      <c r="J1328" s="332" t="s">
        <v>68</v>
      </c>
      <c r="K1328" s="333" t="s">
        <v>69</v>
      </c>
      <c r="L1328" s="540"/>
      <c r="M1328" s="415" t="s">
        <v>3776</v>
      </c>
      <c r="N1328" s="541"/>
      <c r="O1328" s="541"/>
      <c r="P1328" s="343">
        <v>45419</v>
      </c>
      <c r="Q1328" s="333"/>
      <c r="R1328" s="333"/>
      <c r="S1328" s="373"/>
      <c r="T1328" s="373"/>
      <c r="U1328" s="373"/>
      <c r="V1328" s="373"/>
      <c r="W1328" s="346"/>
      <c r="X1328" s="373"/>
      <c r="Y1328" s="336">
        <f t="shared" ca="1" si="25"/>
        <v>167</v>
      </c>
      <c r="Z1328" s="373"/>
      <c r="AA1328" s="373"/>
      <c r="AB1328" s="373"/>
    </row>
    <row r="1329" spans="1:30" ht="12.75" customHeight="1" x14ac:dyDescent="0.25">
      <c r="A1329" s="347" t="s">
        <v>3777</v>
      </c>
      <c r="B1329" s="376">
        <v>45412</v>
      </c>
      <c r="C1329" s="396" t="s">
        <v>3540</v>
      </c>
      <c r="D1329" s="332" t="s">
        <v>526</v>
      </c>
      <c r="E1329" s="333"/>
      <c r="F1329" s="524" t="s">
        <v>3778</v>
      </c>
      <c r="G1329" s="372" t="s">
        <v>3779</v>
      </c>
      <c r="H1329" s="333">
        <v>1</v>
      </c>
      <c r="I1329" s="333">
        <v>5</v>
      </c>
      <c r="J1329" s="332" t="s">
        <v>68</v>
      </c>
      <c r="K1329" s="333" t="s">
        <v>69</v>
      </c>
      <c r="L1329" s="396"/>
      <c r="M1329" s="333" t="s">
        <v>3776</v>
      </c>
      <c r="N1329" s="417"/>
      <c r="O1329" s="417"/>
      <c r="P1329" s="343">
        <v>45419</v>
      </c>
      <c r="Q1329" s="333"/>
      <c r="R1329" s="333"/>
      <c r="S1329" s="373"/>
      <c r="T1329" s="373"/>
      <c r="U1329" s="373"/>
      <c r="V1329" s="373"/>
      <c r="W1329" s="346"/>
      <c r="X1329" s="373"/>
      <c r="Y1329" s="336">
        <f t="shared" ca="1" si="25"/>
        <v>167</v>
      </c>
      <c r="Z1329" s="373"/>
      <c r="AA1329" s="373"/>
      <c r="AB1329" s="373"/>
    </row>
    <row r="1330" spans="1:30" ht="12.75" customHeight="1" x14ac:dyDescent="0.25">
      <c r="A1330" s="347" t="s">
        <v>3780</v>
      </c>
      <c r="B1330" s="376">
        <v>45412</v>
      </c>
      <c r="C1330" s="396" t="s">
        <v>3540</v>
      </c>
      <c r="D1330" s="332" t="s">
        <v>526</v>
      </c>
      <c r="E1330" s="333"/>
      <c r="F1330" s="524" t="s">
        <v>3781</v>
      </c>
      <c r="G1330" s="372" t="s">
        <v>1057</v>
      </c>
      <c r="H1330" s="333">
        <v>3</v>
      </c>
      <c r="I1330" s="333">
        <v>5</v>
      </c>
      <c r="J1330" s="332" t="s">
        <v>68</v>
      </c>
      <c r="K1330" s="333" t="s">
        <v>69</v>
      </c>
      <c r="L1330" s="542"/>
      <c r="M1330" s="364" t="s">
        <v>3776</v>
      </c>
      <c r="N1330" s="485"/>
      <c r="O1330" s="485"/>
      <c r="P1330" s="343">
        <v>45419</v>
      </c>
      <c r="Q1330" s="333"/>
      <c r="R1330" s="333"/>
      <c r="S1330" s="373"/>
      <c r="T1330" s="373"/>
      <c r="U1330" s="373"/>
      <c r="V1330" s="373"/>
      <c r="W1330" s="346"/>
      <c r="X1330" s="373"/>
      <c r="Y1330" s="336">
        <f t="shared" ca="1" si="25"/>
        <v>167</v>
      </c>
      <c r="Z1330" s="373"/>
      <c r="AA1330" s="373"/>
      <c r="AB1330" s="373"/>
    </row>
    <row r="1331" spans="1:30" ht="12.75" customHeight="1" x14ac:dyDescent="0.25">
      <c r="A1331" s="347" t="s">
        <v>3782</v>
      </c>
      <c r="B1331" s="376">
        <v>45407</v>
      </c>
      <c r="C1331" s="396" t="s">
        <v>35</v>
      </c>
      <c r="D1331" s="332" t="s">
        <v>71</v>
      </c>
      <c r="E1331" s="333"/>
      <c r="F1331" s="524" t="s">
        <v>3783</v>
      </c>
      <c r="G1331" s="372" t="s">
        <v>3784</v>
      </c>
      <c r="H1331" s="333">
        <v>1</v>
      </c>
      <c r="I1331" s="333" t="s">
        <v>3785</v>
      </c>
      <c r="J1331" s="332" t="s">
        <v>31</v>
      </c>
      <c r="K1331" s="333" t="s">
        <v>32</v>
      </c>
      <c r="L1331" s="396"/>
      <c r="M1331" s="333"/>
      <c r="N1331" s="417"/>
      <c r="O1331" s="417"/>
      <c r="P1331" s="343"/>
      <c r="Q1331" s="333"/>
      <c r="R1331" s="333"/>
      <c r="S1331" s="373"/>
      <c r="T1331" s="373"/>
      <c r="U1331" s="373"/>
      <c r="V1331" s="373"/>
      <c r="W1331" s="346">
        <v>45509</v>
      </c>
      <c r="X1331" s="373"/>
      <c r="Y1331" s="336" t="str">
        <f t="shared" ca="1" si="25"/>
        <v/>
      </c>
      <c r="Z1331" s="373"/>
      <c r="AA1331" s="373"/>
      <c r="AB1331" s="373"/>
      <c r="AC1331" s="338" t="str">
        <f>VLOOKUP(F1331,'[1]CPO DATA'!$D:$I,4,FALSE)</f>
        <v>BZ0042</v>
      </c>
      <c r="AD1331" s="338"/>
    </row>
    <row r="1332" spans="1:30" ht="12.75" customHeight="1" x14ac:dyDescent="0.25">
      <c r="A1332" s="347" t="s">
        <v>3786</v>
      </c>
      <c r="B1332" s="376"/>
      <c r="C1332" s="396" t="s">
        <v>35</v>
      </c>
      <c r="D1332" s="332" t="s">
        <v>71</v>
      </c>
      <c r="E1332" s="333"/>
      <c r="F1332" s="524" t="s">
        <v>2724</v>
      </c>
      <c r="G1332" s="372" t="s">
        <v>2725</v>
      </c>
      <c r="H1332" s="333">
        <v>2</v>
      </c>
      <c r="I1332" s="333" t="s">
        <v>3787</v>
      </c>
      <c r="J1332" s="332" t="s">
        <v>102</v>
      </c>
      <c r="K1332" s="333" t="s">
        <v>69</v>
      </c>
      <c r="L1332" s="396"/>
      <c r="M1332" s="333"/>
      <c r="N1332" s="417"/>
      <c r="O1332" s="417"/>
      <c r="P1332" s="343"/>
      <c r="Q1332" s="333"/>
      <c r="R1332" s="333"/>
      <c r="S1332" s="373"/>
      <c r="T1332" s="373"/>
      <c r="U1332" s="373"/>
      <c r="V1332" s="373"/>
      <c r="W1332" s="346"/>
      <c r="X1332" s="373"/>
      <c r="Y1332" s="336" t="str">
        <f t="shared" ca="1" si="25"/>
        <v/>
      </c>
      <c r="Z1332" s="373"/>
      <c r="AA1332" s="373"/>
      <c r="AB1332" s="373"/>
      <c r="AD1332" s="338"/>
    </row>
    <row r="1333" spans="1:30" ht="12.75" customHeight="1" x14ac:dyDescent="0.25">
      <c r="A1333" s="347" t="s">
        <v>3788</v>
      </c>
      <c r="B1333" s="376"/>
      <c r="C1333" s="396" t="s">
        <v>35</v>
      </c>
      <c r="D1333" s="332" t="s">
        <v>71</v>
      </c>
      <c r="E1333" s="333"/>
      <c r="F1333" s="524" t="s">
        <v>3789</v>
      </c>
      <c r="G1333" s="372" t="s">
        <v>3790</v>
      </c>
      <c r="H1333" s="333">
        <v>1</v>
      </c>
      <c r="I1333" s="333" t="s">
        <v>3787</v>
      </c>
      <c r="J1333" s="332" t="s">
        <v>102</v>
      </c>
      <c r="K1333" s="333" t="s">
        <v>69</v>
      </c>
      <c r="L1333" s="396"/>
      <c r="M1333" s="333"/>
      <c r="N1333" s="417"/>
      <c r="O1333" s="417"/>
      <c r="P1333" s="343"/>
      <c r="Q1333" s="333"/>
      <c r="R1333" s="333"/>
      <c r="S1333" s="373"/>
      <c r="T1333" s="373"/>
      <c r="U1333" s="373"/>
      <c r="V1333" s="373"/>
      <c r="W1333" s="346"/>
      <c r="X1333" s="373"/>
      <c r="Y1333" s="336" t="str">
        <f t="shared" ca="1" si="25"/>
        <v/>
      </c>
      <c r="Z1333" s="373"/>
      <c r="AA1333" s="373"/>
      <c r="AB1333" s="373"/>
      <c r="AD1333" s="338"/>
    </row>
    <row r="1334" spans="1:30" ht="12.75" customHeight="1" x14ac:dyDescent="0.25">
      <c r="A1334" s="347" t="s">
        <v>3791</v>
      </c>
      <c r="B1334" s="376"/>
      <c r="C1334" s="396" t="s">
        <v>35</v>
      </c>
      <c r="D1334" s="332" t="s">
        <v>71</v>
      </c>
      <c r="E1334" s="333"/>
      <c r="F1334" s="524" t="s">
        <v>3792</v>
      </c>
      <c r="G1334" s="372" t="s">
        <v>3793</v>
      </c>
      <c r="H1334" s="333">
        <v>1</v>
      </c>
      <c r="I1334" s="333" t="s">
        <v>3787</v>
      </c>
      <c r="J1334" s="332" t="s">
        <v>102</v>
      </c>
      <c r="K1334" s="333" t="s">
        <v>69</v>
      </c>
      <c r="L1334" s="396"/>
      <c r="M1334" s="333"/>
      <c r="N1334" s="417"/>
      <c r="O1334" s="417"/>
      <c r="P1334" s="343"/>
      <c r="Q1334" s="333"/>
      <c r="R1334" s="333"/>
      <c r="S1334" s="373"/>
      <c r="T1334" s="373"/>
      <c r="U1334" s="373"/>
      <c r="V1334" s="373"/>
      <c r="W1334" s="346"/>
      <c r="X1334" s="373"/>
      <c r="Y1334" s="336" t="str">
        <f t="shared" ca="1" si="25"/>
        <v/>
      </c>
      <c r="Z1334" s="373"/>
      <c r="AA1334" s="373"/>
      <c r="AB1334" s="373"/>
      <c r="AD1334" s="338"/>
    </row>
    <row r="1335" spans="1:30" ht="12.75" customHeight="1" x14ac:dyDescent="0.25">
      <c r="A1335" s="347" t="s">
        <v>3794</v>
      </c>
      <c r="B1335" s="376"/>
      <c r="C1335" s="396" t="s">
        <v>35</v>
      </c>
      <c r="D1335" s="332" t="s">
        <v>71</v>
      </c>
      <c r="E1335" s="333"/>
      <c r="F1335" s="524" t="s">
        <v>2087</v>
      </c>
      <c r="G1335" s="372" t="s">
        <v>3795</v>
      </c>
      <c r="H1335" s="333">
        <v>2</v>
      </c>
      <c r="I1335" s="333" t="s">
        <v>3787</v>
      </c>
      <c r="J1335" s="332" t="s">
        <v>102</v>
      </c>
      <c r="K1335" s="333" t="s">
        <v>69</v>
      </c>
      <c r="L1335" s="396"/>
      <c r="M1335" s="333"/>
      <c r="N1335" s="417"/>
      <c r="O1335" s="417"/>
      <c r="P1335" s="343"/>
      <c r="Q1335" s="333"/>
      <c r="R1335" s="333"/>
      <c r="S1335" s="373"/>
      <c r="T1335" s="373"/>
      <c r="U1335" s="373"/>
      <c r="V1335" s="373"/>
      <c r="W1335" s="346">
        <v>45335</v>
      </c>
      <c r="X1335" s="373"/>
      <c r="Y1335" s="336" t="str">
        <f t="shared" ca="1" si="25"/>
        <v/>
      </c>
      <c r="Z1335" s="373"/>
      <c r="AA1335" s="373"/>
      <c r="AB1335" s="373"/>
      <c r="AD1335" s="338"/>
    </row>
    <row r="1336" spans="1:30" ht="12.75" customHeight="1" x14ac:dyDescent="0.25">
      <c r="A1336" s="347" t="s">
        <v>3796</v>
      </c>
      <c r="B1336" s="376"/>
      <c r="C1336" s="396" t="s">
        <v>3603</v>
      </c>
      <c r="D1336" s="332" t="s">
        <v>598</v>
      </c>
      <c r="E1336" s="333"/>
      <c r="F1336" s="524" t="s">
        <v>3797</v>
      </c>
      <c r="G1336" s="372" t="s">
        <v>3798</v>
      </c>
      <c r="H1336" s="333">
        <v>16</v>
      </c>
      <c r="I1336" s="333" t="s">
        <v>3799</v>
      </c>
      <c r="J1336" s="332" t="s">
        <v>43</v>
      </c>
      <c r="K1336" s="333" t="s">
        <v>32</v>
      </c>
      <c r="P1336" s="462"/>
      <c r="Q1336" s="333"/>
      <c r="R1336" s="333"/>
      <c r="S1336" s="373"/>
      <c r="T1336" s="373"/>
      <c r="U1336" s="373"/>
      <c r="V1336" s="373"/>
      <c r="W1336" s="346"/>
      <c r="X1336" s="373"/>
      <c r="Y1336" s="336" t="str">
        <f t="shared" ca="1" si="25"/>
        <v/>
      </c>
      <c r="Z1336" s="373"/>
      <c r="AA1336" s="373"/>
      <c r="AB1336" s="373"/>
      <c r="AD1336" s="338"/>
    </row>
    <row r="1337" spans="1:30" ht="12.75" customHeight="1" x14ac:dyDescent="0.25">
      <c r="A1337" s="347" t="s">
        <v>3800</v>
      </c>
      <c r="B1337" s="376"/>
      <c r="C1337" s="396" t="s">
        <v>3603</v>
      </c>
      <c r="D1337" s="332" t="s">
        <v>598</v>
      </c>
      <c r="E1337" s="333"/>
      <c r="F1337" s="524" t="s">
        <v>3801</v>
      </c>
      <c r="G1337" s="372" t="s">
        <v>3802</v>
      </c>
      <c r="H1337" s="333">
        <v>16</v>
      </c>
      <c r="I1337" s="333" t="s">
        <v>3799</v>
      </c>
      <c r="J1337" s="332" t="s">
        <v>43</v>
      </c>
      <c r="K1337" s="333" t="s">
        <v>32</v>
      </c>
      <c r="P1337" s="462"/>
      <c r="Q1337" s="333"/>
      <c r="R1337" s="333"/>
      <c r="S1337" s="373"/>
      <c r="T1337" s="373"/>
      <c r="U1337" s="373"/>
      <c r="V1337" s="373"/>
      <c r="W1337" s="346"/>
      <c r="X1337" s="373"/>
      <c r="Y1337" s="336" t="str">
        <f t="shared" ca="1" si="25"/>
        <v/>
      </c>
      <c r="Z1337" s="373"/>
      <c r="AA1337" s="373"/>
      <c r="AB1337" s="373"/>
      <c r="AD1337" s="338"/>
    </row>
    <row r="1338" spans="1:30" ht="12.75" customHeight="1" x14ac:dyDescent="0.25">
      <c r="A1338" s="347" t="s">
        <v>3803</v>
      </c>
      <c r="B1338" s="376"/>
      <c r="C1338" s="396" t="s">
        <v>3603</v>
      </c>
      <c r="D1338" s="332" t="s">
        <v>598</v>
      </c>
      <c r="E1338" s="333"/>
      <c r="F1338" s="524" t="s">
        <v>3804</v>
      </c>
      <c r="G1338" s="372" t="s">
        <v>3805</v>
      </c>
      <c r="H1338" s="333">
        <v>16</v>
      </c>
      <c r="I1338" s="333" t="s">
        <v>3799</v>
      </c>
      <c r="J1338" s="332" t="s">
        <v>46</v>
      </c>
      <c r="K1338" s="333" t="s">
        <v>32</v>
      </c>
      <c r="P1338" s="462"/>
      <c r="Q1338" s="333"/>
      <c r="R1338" s="333"/>
      <c r="S1338" s="373"/>
      <c r="T1338" s="373"/>
      <c r="U1338" s="373"/>
      <c r="V1338" s="373"/>
      <c r="W1338" s="346"/>
      <c r="X1338" s="373"/>
      <c r="Y1338" s="336" t="str">
        <f t="shared" ca="1" si="25"/>
        <v/>
      </c>
      <c r="Z1338" s="373"/>
      <c r="AA1338" s="373"/>
      <c r="AB1338" s="373"/>
      <c r="AD1338" s="338"/>
    </row>
    <row r="1339" spans="1:30" ht="12.75" customHeight="1" x14ac:dyDescent="0.25">
      <c r="A1339" s="347" t="s">
        <v>3806</v>
      </c>
      <c r="B1339" s="376"/>
      <c r="C1339" s="396" t="s">
        <v>3603</v>
      </c>
      <c r="D1339" s="332" t="s">
        <v>598</v>
      </c>
      <c r="E1339" s="333"/>
      <c r="F1339" s="524" t="s">
        <v>3807</v>
      </c>
      <c r="G1339" s="372" t="s">
        <v>3808</v>
      </c>
      <c r="H1339" s="333">
        <v>32</v>
      </c>
      <c r="I1339" s="333" t="s">
        <v>3799</v>
      </c>
      <c r="J1339" s="332" t="s">
        <v>46</v>
      </c>
      <c r="K1339" s="333" t="s">
        <v>32</v>
      </c>
      <c r="P1339" s="462"/>
      <c r="Q1339" s="333"/>
      <c r="R1339" s="333"/>
      <c r="S1339" s="373"/>
      <c r="T1339" s="373"/>
      <c r="U1339" s="373"/>
      <c r="V1339" s="373"/>
      <c r="W1339" s="346"/>
      <c r="X1339" s="373"/>
      <c r="Y1339" s="336" t="str">
        <f t="shared" ca="1" si="25"/>
        <v/>
      </c>
      <c r="Z1339" s="373"/>
      <c r="AA1339" s="373"/>
      <c r="AB1339" s="373"/>
      <c r="AD1339" s="338"/>
    </row>
    <row r="1340" spans="1:30" ht="12.75" customHeight="1" x14ac:dyDescent="0.25">
      <c r="A1340" s="347" t="s">
        <v>3809</v>
      </c>
      <c r="B1340" s="376"/>
      <c r="C1340" s="396" t="s">
        <v>3540</v>
      </c>
      <c r="D1340" s="332" t="s">
        <v>3544</v>
      </c>
      <c r="E1340" s="333"/>
      <c r="F1340" s="524" t="s">
        <v>3810</v>
      </c>
      <c r="G1340" s="372" t="s">
        <v>3811</v>
      </c>
      <c r="H1340" s="333">
        <v>1</v>
      </c>
      <c r="I1340" s="333">
        <v>41</v>
      </c>
      <c r="J1340" s="332" t="s">
        <v>31</v>
      </c>
      <c r="K1340" s="333" t="s">
        <v>32</v>
      </c>
      <c r="P1340" s="462"/>
      <c r="Q1340" s="333"/>
      <c r="R1340" s="333"/>
      <c r="S1340" s="373"/>
      <c r="T1340" s="373"/>
      <c r="U1340" s="373"/>
      <c r="V1340" s="373"/>
      <c r="W1340" s="346"/>
      <c r="X1340" s="373"/>
      <c r="Y1340" s="336" t="str">
        <f t="shared" ca="1" si="25"/>
        <v/>
      </c>
      <c r="Z1340" s="373"/>
      <c r="AA1340" s="373"/>
      <c r="AB1340" s="373"/>
      <c r="AD1340" s="338"/>
    </row>
    <row r="1341" spans="1:30" ht="12.75" customHeight="1" x14ac:dyDescent="0.25">
      <c r="A1341" s="347" t="s">
        <v>3812</v>
      </c>
      <c r="B1341" s="376">
        <v>45436</v>
      </c>
      <c r="C1341" s="396" t="s">
        <v>26</v>
      </c>
      <c r="D1341" s="332" t="s">
        <v>1007</v>
      </c>
      <c r="E1341" s="333"/>
      <c r="F1341" s="524" t="s">
        <v>33</v>
      </c>
      <c r="G1341" s="372" t="s">
        <v>3813</v>
      </c>
      <c r="H1341" s="333">
        <v>16</v>
      </c>
      <c r="I1341" s="333" t="s">
        <v>3814</v>
      </c>
      <c r="J1341" s="332" t="s">
        <v>541</v>
      </c>
      <c r="K1341" s="333" t="s">
        <v>32</v>
      </c>
      <c r="P1341" s="462">
        <v>45427</v>
      </c>
      <c r="Q1341" s="333"/>
      <c r="R1341" s="333"/>
      <c r="S1341" s="373"/>
      <c r="T1341" s="373"/>
      <c r="U1341" s="373"/>
      <c r="V1341" s="373"/>
      <c r="W1341" s="346"/>
      <c r="X1341" s="373"/>
      <c r="Y1341" s="336">
        <f t="shared" ca="1" si="25"/>
        <v>159</v>
      </c>
      <c r="Z1341" s="373"/>
      <c r="AA1341" s="373"/>
      <c r="AB1341" s="373"/>
      <c r="AD1341" s="338"/>
    </row>
    <row r="1342" spans="1:30" ht="12.75" customHeight="1" x14ac:dyDescent="0.25">
      <c r="A1342" s="347" t="s">
        <v>3815</v>
      </c>
      <c r="B1342" s="376">
        <v>45436</v>
      </c>
      <c r="C1342" s="396" t="s">
        <v>26</v>
      </c>
      <c r="D1342" s="332" t="s">
        <v>1007</v>
      </c>
      <c r="E1342" s="333"/>
      <c r="F1342" s="524">
        <v>10129695</v>
      </c>
      <c r="G1342" s="372" t="s">
        <v>3816</v>
      </c>
      <c r="H1342" s="333">
        <v>32</v>
      </c>
      <c r="I1342" s="333" t="s">
        <v>3814</v>
      </c>
      <c r="J1342" s="332" t="s">
        <v>541</v>
      </c>
      <c r="K1342" s="333" t="s">
        <v>32</v>
      </c>
      <c r="P1342" s="462">
        <v>45436</v>
      </c>
      <c r="Q1342" s="333"/>
      <c r="R1342" s="333"/>
      <c r="S1342" s="373"/>
      <c r="T1342" s="373"/>
      <c r="U1342" s="373"/>
      <c r="V1342" s="373"/>
      <c r="W1342" s="346"/>
      <c r="X1342" s="373"/>
      <c r="Y1342" s="336">
        <f t="shared" ca="1" si="25"/>
        <v>150</v>
      </c>
      <c r="Z1342" s="373"/>
      <c r="AA1342" s="373"/>
      <c r="AB1342" s="373"/>
      <c r="AD1342" s="338"/>
    </row>
    <row r="1343" spans="1:30" ht="12.75" customHeight="1" x14ac:dyDescent="0.25">
      <c r="A1343" s="347" t="s">
        <v>3817</v>
      </c>
      <c r="B1343" s="376">
        <v>45436</v>
      </c>
      <c r="C1343" s="396" t="s">
        <v>26</v>
      </c>
      <c r="D1343" s="332" t="s">
        <v>1007</v>
      </c>
      <c r="E1343" s="333"/>
      <c r="F1343" s="524" t="s">
        <v>33</v>
      </c>
      <c r="G1343" s="372" t="s">
        <v>3818</v>
      </c>
      <c r="H1343" s="333">
        <v>1</v>
      </c>
      <c r="I1343" s="333" t="s">
        <v>3814</v>
      </c>
      <c r="J1343" s="332" t="s">
        <v>541</v>
      </c>
      <c r="K1343" s="333" t="s">
        <v>32</v>
      </c>
      <c r="P1343" s="462">
        <v>45436</v>
      </c>
      <c r="Q1343" s="333"/>
      <c r="R1343" s="333"/>
      <c r="S1343" s="373"/>
      <c r="T1343" s="373"/>
      <c r="U1343" s="373"/>
      <c r="V1343" s="373"/>
      <c r="W1343" s="346"/>
      <c r="X1343" s="373"/>
      <c r="Y1343" s="336">
        <f t="shared" ca="1" si="25"/>
        <v>150</v>
      </c>
      <c r="Z1343" s="373"/>
      <c r="AA1343" s="373"/>
      <c r="AB1343" s="373"/>
      <c r="AD1343" s="338"/>
    </row>
    <row r="1344" spans="1:30" ht="12.75" customHeight="1" x14ac:dyDescent="0.25">
      <c r="A1344" s="347" t="s">
        <v>3819</v>
      </c>
      <c r="B1344" s="376">
        <v>45436</v>
      </c>
      <c r="C1344" s="396" t="s">
        <v>26</v>
      </c>
      <c r="D1344" s="332" t="s">
        <v>1007</v>
      </c>
      <c r="E1344" s="333"/>
      <c r="F1344" s="524" t="s">
        <v>3820</v>
      </c>
      <c r="G1344" s="372" t="s">
        <v>3821</v>
      </c>
      <c r="H1344" s="333">
        <v>1</v>
      </c>
      <c r="I1344" s="333" t="s">
        <v>3814</v>
      </c>
      <c r="J1344" s="332" t="s">
        <v>541</v>
      </c>
      <c r="K1344" s="333" t="s">
        <v>32</v>
      </c>
      <c r="P1344" s="462">
        <v>45436</v>
      </c>
      <c r="Q1344" s="333"/>
      <c r="R1344" s="333"/>
      <c r="S1344" s="373"/>
      <c r="T1344" s="373"/>
      <c r="U1344" s="373"/>
      <c r="V1344" s="373"/>
      <c r="W1344" s="346"/>
      <c r="X1344" s="373"/>
      <c r="Y1344" s="336">
        <f t="shared" ca="1" si="25"/>
        <v>150</v>
      </c>
      <c r="Z1344" s="373"/>
      <c r="AA1344" s="373"/>
      <c r="AB1344" s="373"/>
      <c r="AD1344" s="338"/>
    </row>
    <row r="1345" spans="1:30" ht="12.75" customHeight="1" x14ac:dyDescent="0.25">
      <c r="A1345" s="347" t="s">
        <v>3822</v>
      </c>
      <c r="B1345" s="376">
        <v>45436</v>
      </c>
      <c r="C1345" s="396" t="s">
        <v>26</v>
      </c>
      <c r="D1345" s="332" t="s">
        <v>1007</v>
      </c>
      <c r="E1345" s="333"/>
      <c r="F1345" s="524" t="s">
        <v>3823</v>
      </c>
      <c r="G1345" s="372" t="s">
        <v>3824</v>
      </c>
      <c r="H1345" s="333">
        <v>1</v>
      </c>
      <c r="I1345" s="333" t="s">
        <v>3814</v>
      </c>
      <c r="J1345" s="332" t="s">
        <v>541</v>
      </c>
      <c r="K1345" s="333" t="s">
        <v>32</v>
      </c>
      <c r="P1345" s="462">
        <v>45436</v>
      </c>
      <c r="Q1345" s="333"/>
      <c r="R1345" s="333"/>
      <c r="S1345" s="373"/>
      <c r="T1345" s="373"/>
      <c r="U1345" s="373"/>
      <c r="V1345" s="373"/>
      <c r="W1345" s="346"/>
      <c r="X1345" s="373"/>
      <c r="Y1345" s="336">
        <f t="shared" ca="1" si="25"/>
        <v>150</v>
      </c>
      <c r="Z1345" s="373"/>
      <c r="AA1345" s="373"/>
      <c r="AB1345" s="373"/>
      <c r="AD1345" s="338"/>
    </row>
    <row r="1346" spans="1:30" ht="12.75" customHeight="1" x14ac:dyDescent="0.25">
      <c r="A1346" s="347" t="s">
        <v>3825</v>
      </c>
      <c r="B1346" s="376">
        <v>45436</v>
      </c>
      <c r="C1346" s="396" t="s">
        <v>26</v>
      </c>
      <c r="D1346" s="332" t="s">
        <v>1007</v>
      </c>
      <c r="E1346" s="333"/>
      <c r="F1346" s="524">
        <v>12330293</v>
      </c>
      <c r="G1346" s="372" t="s">
        <v>3826</v>
      </c>
      <c r="H1346" s="333">
        <v>2</v>
      </c>
      <c r="I1346" s="333" t="s">
        <v>3814</v>
      </c>
      <c r="J1346" s="332" t="s">
        <v>541</v>
      </c>
      <c r="K1346" s="333" t="s">
        <v>32</v>
      </c>
      <c r="P1346" s="462">
        <v>45436</v>
      </c>
      <c r="Q1346" s="333"/>
      <c r="R1346" s="333"/>
      <c r="S1346" s="373"/>
      <c r="T1346" s="373"/>
      <c r="U1346" s="373"/>
      <c r="V1346" s="373"/>
      <c r="W1346" s="346"/>
      <c r="X1346" s="373"/>
      <c r="Y1346" s="336">
        <f t="shared" ca="1" si="25"/>
        <v>150</v>
      </c>
      <c r="Z1346" s="373"/>
      <c r="AA1346" s="373"/>
      <c r="AB1346" s="373"/>
      <c r="AD1346" s="338"/>
    </row>
    <row r="1347" spans="1:30" ht="12.75" customHeight="1" x14ac:dyDescent="0.25">
      <c r="A1347" s="347" t="s">
        <v>3827</v>
      </c>
      <c r="B1347" s="376">
        <v>45439</v>
      </c>
      <c r="C1347" s="396" t="s">
        <v>26</v>
      </c>
      <c r="D1347" s="332" t="s">
        <v>1259</v>
      </c>
      <c r="E1347" s="333"/>
      <c r="F1347" s="524">
        <v>2020421</v>
      </c>
      <c r="G1347" s="372" t="s">
        <v>3828</v>
      </c>
      <c r="H1347" s="333">
        <v>1</v>
      </c>
      <c r="I1347" s="333" t="s">
        <v>3829</v>
      </c>
      <c r="J1347" s="332" t="s">
        <v>2627</v>
      </c>
      <c r="K1347" s="333" t="s">
        <v>69</v>
      </c>
      <c r="P1347" s="462">
        <v>45439</v>
      </c>
      <c r="Q1347" s="333"/>
      <c r="R1347" s="333"/>
      <c r="S1347" s="373"/>
      <c r="T1347" s="373"/>
      <c r="U1347" s="373"/>
      <c r="V1347" s="373"/>
      <c r="W1347" s="346"/>
      <c r="X1347" s="373"/>
      <c r="Y1347" s="336">
        <f t="shared" ca="1" si="25"/>
        <v>147</v>
      </c>
      <c r="Z1347" s="373"/>
      <c r="AA1347" s="373"/>
      <c r="AB1347" s="373"/>
      <c r="AD1347" s="338"/>
    </row>
    <row r="1348" spans="1:30" ht="12.75" customHeight="1" x14ac:dyDescent="0.25">
      <c r="A1348" s="347" t="s">
        <v>3830</v>
      </c>
      <c r="B1348" s="376">
        <v>45415</v>
      </c>
      <c r="C1348" s="396" t="s">
        <v>26</v>
      </c>
      <c r="D1348" s="332" t="s">
        <v>1259</v>
      </c>
      <c r="E1348" s="333"/>
      <c r="F1348" s="524">
        <v>2294241</v>
      </c>
      <c r="G1348" s="372" t="s">
        <v>3831</v>
      </c>
      <c r="H1348" s="333">
        <v>2</v>
      </c>
      <c r="I1348" s="333" t="s">
        <v>2852</v>
      </c>
      <c r="J1348" s="332" t="s">
        <v>2627</v>
      </c>
      <c r="K1348" s="333" t="s">
        <v>69</v>
      </c>
      <c r="P1348" s="462">
        <v>45415</v>
      </c>
      <c r="Q1348" s="333"/>
      <c r="R1348" s="333"/>
      <c r="S1348" s="373"/>
      <c r="T1348" s="373"/>
      <c r="U1348" s="373"/>
      <c r="V1348" s="373"/>
      <c r="W1348" s="346"/>
      <c r="X1348" s="373"/>
      <c r="Y1348" s="336">
        <f t="shared" ca="1" si="25"/>
        <v>171</v>
      </c>
      <c r="Z1348" s="373"/>
      <c r="AA1348" s="373"/>
      <c r="AB1348" s="373"/>
      <c r="AD1348" s="338"/>
    </row>
    <row r="1349" spans="1:30" ht="12.75" customHeight="1" x14ac:dyDescent="0.25">
      <c r="A1349" s="347" t="s">
        <v>3832</v>
      </c>
      <c r="B1349" s="376">
        <v>45415</v>
      </c>
      <c r="C1349" s="396" t="s">
        <v>26</v>
      </c>
      <c r="D1349" s="332" t="s">
        <v>1259</v>
      </c>
      <c r="E1349" s="333"/>
      <c r="F1349" s="524">
        <v>256460</v>
      </c>
      <c r="G1349" s="372" t="s">
        <v>3833</v>
      </c>
      <c r="H1349" s="333">
        <v>2</v>
      </c>
      <c r="I1349" s="333" t="s">
        <v>2852</v>
      </c>
      <c r="J1349" s="332" t="s">
        <v>2627</v>
      </c>
      <c r="K1349" s="333" t="s">
        <v>69</v>
      </c>
      <c r="P1349" s="462">
        <v>45415</v>
      </c>
      <c r="Q1349" s="333"/>
      <c r="R1349" s="333"/>
      <c r="S1349" s="373"/>
      <c r="T1349" s="373"/>
      <c r="U1349" s="373"/>
      <c r="V1349" s="373"/>
      <c r="W1349" s="346"/>
      <c r="X1349" s="373"/>
      <c r="Y1349" s="336">
        <f t="shared" ca="1" si="25"/>
        <v>171</v>
      </c>
      <c r="Z1349" s="373"/>
      <c r="AA1349" s="373"/>
      <c r="AB1349" s="373"/>
      <c r="AD1349" s="338"/>
    </row>
    <row r="1350" spans="1:30" ht="12.75" customHeight="1" x14ac:dyDescent="0.25">
      <c r="A1350" s="347" t="s">
        <v>3834</v>
      </c>
      <c r="B1350" s="376">
        <v>45401</v>
      </c>
      <c r="C1350" s="396" t="s">
        <v>26</v>
      </c>
      <c r="D1350" s="332" t="s">
        <v>2631</v>
      </c>
      <c r="E1350" s="333"/>
      <c r="F1350" s="524">
        <v>2532014</v>
      </c>
      <c r="G1350" s="372" t="s">
        <v>3835</v>
      </c>
      <c r="H1350" s="333">
        <v>12</v>
      </c>
      <c r="I1350" s="333" t="s">
        <v>2640</v>
      </c>
      <c r="J1350" s="332" t="s">
        <v>2627</v>
      </c>
      <c r="K1350" s="333" t="s">
        <v>69</v>
      </c>
      <c r="P1350" s="462">
        <v>45401</v>
      </c>
      <c r="Q1350" s="333"/>
      <c r="R1350" s="333"/>
      <c r="S1350" s="373"/>
      <c r="T1350" s="373"/>
      <c r="U1350" s="373"/>
      <c r="V1350" s="373"/>
      <c r="W1350" s="346"/>
      <c r="X1350" s="373"/>
      <c r="Y1350" s="336">
        <f t="shared" ca="1" si="25"/>
        <v>185</v>
      </c>
      <c r="Z1350" s="373"/>
      <c r="AA1350" s="373"/>
      <c r="AB1350" s="373"/>
      <c r="AD1350" s="338"/>
    </row>
    <row r="1351" spans="1:30" ht="12.75" customHeight="1" x14ac:dyDescent="0.25">
      <c r="A1351" s="347" t="s">
        <v>3836</v>
      </c>
      <c r="B1351" s="376">
        <v>45372</v>
      </c>
      <c r="C1351" s="396" t="s">
        <v>219</v>
      </c>
      <c r="D1351" s="332" t="s">
        <v>2977</v>
      </c>
      <c r="E1351" s="333"/>
      <c r="F1351" s="524">
        <v>5712114003</v>
      </c>
      <c r="G1351" s="372" t="s">
        <v>3837</v>
      </c>
      <c r="H1351" s="333">
        <v>12</v>
      </c>
      <c r="I1351" s="333" t="s">
        <v>2979</v>
      </c>
      <c r="J1351" s="332" t="s">
        <v>3838</v>
      </c>
      <c r="K1351" s="333" t="s">
        <v>32</v>
      </c>
      <c r="P1351" s="462">
        <v>45393</v>
      </c>
      <c r="Q1351" s="333"/>
      <c r="R1351" s="333"/>
      <c r="S1351" s="373"/>
      <c r="T1351" s="373"/>
      <c r="U1351" s="373"/>
      <c r="V1351" s="373"/>
      <c r="W1351" s="346">
        <v>45446</v>
      </c>
      <c r="X1351" s="401"/>
      <c r="Y1351" s="336">
        <f t="shared" ca="1" si="25"/>
        <v>53</v>
      </c>
      <c r="Z1351" s="373"/>
      <c r="AA1351" s="373"/>
      <c r="AB1351" s="373" t="s">
        <v>3839</v>
      </c>
      <c r="AD1351" s="338"/>
    </row>
    <row r="1352" spans="1:30" ht="12.75" customHeight="1" x14ac:dyDescent="0.25">
      <c r="A1352" s="347" t="s">
        <v>3840</v>
      </c>
      <c r="B1352" s="376">
        <v>45372</v>
      </c>
      <c r="C1352" s="396" t="s">
        <v>219</v>
      </c>
      <c r="D1352" s="332" t="s">
        <v>2977</v>
      </c>
      <c r="E1352" s="333"/>
      <c r="F1352" s="524">
        <v>5712117100</v>
      </c>
      <c r="G1352" s="372" t="s">
        <v>3841</v>
      </c>
      <c r="H1352" s="333">
        <v>6</v>
      </c>
      <c r="I1352" s="333" t="s">
        <v>2979</v>
      </c>
      <c r="J1352" s="332" t="s">
        <v>31</v>
      </c>
      <c r="K1352" s="333" t="s">
        <v>32</v>
      </c>
      <c r="P1352" s="462">
        <v>45393</v>
      </c>
      <c r="Q1352" s="333"/>
      <c r="R1352" s="333"/>
      <c r="S1352" s="373"/>
      <c r="T1352" s="373"/>
      <c r="U1352" s="373"/>
      <c r="V1352" s="373"/>
      <c r="W1352" s="346">
        <v>45446</v>
      </c>
      <c r="X1352" s="401"/>
      <c r="Y1352" s="336">
        <f t="shared" ref="Y1352:Y1415" ca="1" si="26">IF(P1352="","",IF(W1352="",TODAY()-P1352,W1352-P1352))</f>
        <v>53</v>
      </c>
      <c r="Z1352" s="373"/>
      <c r="AA1352" s="373"/>
      <c r="AB1352" s="373" t="s">
        <v>3839</v>
      </c>
      <c r="AD1352" s="338"/>
    </row>
    <row r="1353" spans="1:30" ht="12.75" customHeight="1" x14ac:dyDescent="0.25">
      <c r="A1353" s="347" t="s">
        <v>3842</v>
      </c>
      <c r="B1353" s="376">
        <v>45372</v>
      </c>
      <c r="C1353" s="396" t="s">
        <v>219</v>
      </c>
      <c r="D1353" s="332" t="s">
        <v>2977</v>
      </c>
      <c r="E1353" s="333"/>
      <c r="F1353" s="524">
        <v>5730850043</v>
      </c>
      <c r="G1353" s="372" t="s">
        <v>3843</v>
      </c>
      <c r="H1353" s="333">
        <v>384</v>
      </c>
      <c r="I1353" s="333" t="s">
        <v>2979</v>
      </c>
      <c r="J1353" s="332" t="s">
        <v>3838</v>
      </c>
      <c r="K1353" s="333" t="s">
        <v>32</v>
      </c>
      <c r="P1353" s="462">
        <v>45393</v>
      </c>
      <c r="Q1353" s="333"/>
      <c r="R1353" s="333"/>
      <c r="S1353" s="373"/>
      <c r="T1353" s="373"/>
      <c r="U1353" s="373"/>
      <c r="V1353" s="373"/>
      <c r="W1353" s="346">
        <v>45446</v>
      </c>
      <c r="X1353" s="401"/>
      <c r="Y1353" s="336">
        <f t="shared" ca="1" si="26"/>
        <v>53</v>
      </c>
      <c r="Z1353" s="373"/>
      <c r="AA1353" s="373"/>
      <c r="AB1353" s="373" t="s">
        <v>3839</v>
      </c>
      <c r="AD1353" s="338"/>
    </row>
    <row r="1354" spans="1:30" ht="12.75" customHeight="1" x14ac:dyDescent="0.25">
      <c r="A1354" s="347" t="s">
        <v>3844</v>
      </c>
      <c r="B1354" s="376">
        <v>45372</v>
      </c>
      <c r="C1354" s="396" t="s">
        <v>219</v>
      </c>
      <c r="D1354" s="332" t="s">
        <v>2977</v>
      </c>
      <c r="E1354" s="333"/>
      <c r="F1354" s="524">
        <v>5731030020</v>
      </c>
      <c r="G1354" s="372" t="s">
        <v>3845</v>
      </c>
      <c r="H1354" s="333">
        <v>768</v>
      </c>
      <c r="I1354" s="333" t="s">
        <v>2979</v>
      </c>
      <c r="J1354" s="332" t="s">
        <v>3838</v>
      </c>
      <c r="K1354" s="333" t="s">
        <v>32</v>
      </c>
      <c r="P1354" s="462">
        <v>45393</v>
      </c>
      <c r="Q1354" s="333"/>
      <c r="R1354" s="333"/>
      <c r="S1354" s="373"/>
      <c r="T1354" s="373"/>
      <c r="U1354" s="373"/>
      <c r="V1354" s="373"/>
      <c r="W1354" s="346">
        <v>45446</v>
      </c>
      <c r="X1354" s="401"/>
      <c r="Y1354" s="336">
        <f t="shared" ca="1" si="26"/>
        <v>53</v>
      </c>
      <c r="Z1354" s="373"/>
      <c r="AA1354" s="373"/>
      <c r="AB1354" s="373" t="s">
        <v>3839</v>
      </c>
      <c r="AD1354" s="338"/>
    </row>
    <row r="1355" spans="1:30" ht="12.75" customHeight="1" x14ac:dyDescent="0.25">
      <c r="A1355" s="347" t="s">
        <v>3846</v>
      </c>
      <c r="B1355" s="376">
        <v>45372</v>
      </c>
      <c r="C1355" s="396" t="s">
        <v>219</v>
      </c>
      <c r="D1355" s="332" t="s">
        <v>2977</v>
      </c>
      <c r="E1355" s="333"/>
      <c r="F1355" s="524">
        <v>5730950182</v>
      </c>
      <c r="G1355" s="372" t="s">
        <v>3847</v>
      </c>
      <c r="H1355" s="333">
        <v>384</v>
      </c>
      <c r="I1355" s="333" t="s">
        <v>2979</v>
      </c>
      <c r="J1355" s="332" t="s">
        <v>3838</v>
      </c>
      <c r="K1355" s="333" t="s">
        <v>32</v>
      </c>
      <c r="P1355" s="462">
        <v>45393</v>
      </c>
      <c r="Q1355" s="333"/>
      <c r="R1355" s="333"/>
      <c r="S1355" s="373"/>
      <c r="T1355" s="373"/>
      <c r="U1355" s="373"/>
      <c r="V1355" s="373"/>
      <c r="W1355" s="346">
        <v>45446</v>
      </c>
      <c r="X1355" s="401"/>
      <c r="Y1355" s="336">
        <f t="shared" ca="1" si="26"/>
        <v>53</v>
      </c>
      <c r="Z1355" s="373"/>
      <c r="AA1355" s="373"/>
      <c r="AB1355" s="373" t="s">
        <v>3839</v>
      </c>
      <c r="AD1355" s="338"/>
    </row>
    <row r="1356" spans="1:30" ht="12.75" customHeight="1" x14ac:dyDescent="0.25">
      <c r="A1356" s="347" t="s">
        <v>3848</v>
      </c>
      <c r="B1356" s="376">
        <v>45372</v>
      </c>
      <c r="C1356" s="396" t="s">
        <v>219</v>
      </c>
      <c r="D1356" s="332" t="s">
        <v>2977</v>
      </c>
      <c r="E1356" s="333"/>
      <c r="F1356" s="524" t="s">
        <v>3849</v>
      </c>
      <c r="G1356" s="372" t="s">
        <v>3850</v>
      </c>
      <c r="H1356" s="333">
        <v>12</v>
      </c>
      <c r="I1356" s="333" t="s">
        <v>2979</v>
      </c>
      <c r="J1356" s="332" t="s">
        <v>3838</v>
      </c>
      <c r="K1356" s="333" t="s">
        <v>32</v>
      </c>
      <c r="P1356" s="462">
        <v>45393</v>
      </c>
      <c r="Q1356" s="333"/>
      <c r="R1356" s="333"/>
      <c r="S1356" s="373"/>
      <c r="T1356" s="373"/>
      <c r="U1356" s="373"/>
      <c r="V1356" s="373"/>
      <c r="W1356" s="346">
        <v>45446</v>
      </c>
      <c r="X1356" s="401"/>
      <c r="Y1356" s="336">
        <f t="shared" ca="1" si="26"/>
        <v>53</v>
      </c>
      <c r="Z1356" s="373"/>
      <c r="AA1356" s="373"/>
      <c r="AB1356" s="373" t="s">
        <v>3839</v>
      </c>
      <c r="AD1356" s="338"/>
    </row>
    <row r="1357" spans="1:30" ht="12.75" customHeight="1" x14ac:dyDescent="0.25">
      <c r="A1357" s="347" t="s">
        <v>3851</v>
      </c>
      <c r="B1357" s="376">
        <v>45372</v>
      </c>
      <c r="C1357" s="396" t="s">
        <v>219</v>
      </c>
      <c r="D1357" s="332" t="s">
        <v>2977</v>
      </c>
      <c r="E1357" s="333"/>
      <c r="F1357" s="524">
        <v>5730890079</v>
      </c>
      <c r="G1357" s="372" t="s">
        <v>3852</v>
      </c>
      <c r="H1357" s="333">
        <v>48</v>
      </c>
      <c r="I1357" s="333" t="s">
        <v>2979</v>
      </c>
      <c r="J1357" s="332" t="s">
        <v>3853</v>
      </c>
      <c r="K1357" s="333" t="s">
        <v>32</v>
      </c>
      <c r="P1357" s="462">
        <v>45393</v>
      </c>
      <c r="Q1357" s="333"/>
      <c r="R1357" s="333"/>
      <c r="S1357" s="373"/>
      <c r="T1357" s="373"/>
      <c r="U1357" s="373"/>
      <c r="V1357" s="373"/>
      <c r="W1357" s="346">
        <v>45446</v>
      </c>
      <c r="X1357" s="401"/>
      <c r="Y1357" s="336">
        <f t="shared" ca="1" si="26"/>
        <v>53</v>
      </c>
      <c r="Z1357" s="373"/>
      <c r="AA1357" s="373"/>
      <c r="AB1357" s="373" t="s">
        <v>3839</v>
      </c>
      <c r="AD1357" s="338"/>
    </row>
    <row r="1358" spans="1:30" ht="12.75" customHeight="1" x14ac:dyDescent="0.25">
      <c r="A1358" s="347" t="s">
        <v>3854</v>
      </c>
      <c r="B1358" s="376">
        <v>45439</v>
      </c>
      <c r="C1358" s="396" t="s">
        <v>26</v>
      </c>
      <c r="D1358" s="332" t="s">
        <v>1259</v>
      </c>
      <c r="E1358" s="333"/>
      <c r="F1358" s="524">
        <v>2546342</v>
      </c>
      <c r="G1358" s="372" t="s">
        <v>3855</v>
      </c>
      <c r="H1358" s="333">
        <v>1</v>
      </c>
      <c r="I1358" s="333" t="s">
        <v>3829</v>
      </c>
      <c r="J1358" s="332" t="s">
        <v>31</v>
      </c>
      <c r="K1358" s="333" t="s">
        <v>32</v>
      </c>
      <c r="P1358" s="462">
        <v>45439</v>
      </c>
      <c r="Q1358" s="333"/>
      <c r="R1358" s="333"/>
      <c r="S1358" s="373"/>
      <c r="T1358" s="373"/>
      <c r="U1358" s="373"/>
      <c r="V1358" s="373"/>
      <c r="W1358" s="346">
        <v>45179</v>
      </c>
      <c r="X1358" s="373"/>
      <c r="Y1358" s="336">
        <f t="shared" ca="1" si="26"/>
        <v>-260</v>
      </c>
      <c r="Z1358" s="373"/>
      <c r="AA1358" s="373"/>
      <c r="AB1358" s="373"/>
      <c r="AD1358" s="338"/>
    </row>
    <row r="1359" spans="1:30" ht="12.75" customHeight="1" x14ac:dyDescent="0.25">
      <c r="A1359" s="347" t="s">
        <v>3856</v>
      </c>
      <c r="B1359" s="376">
        <v>45432</v>
      </c>
      <c r="C1359" s="396" t="s">
        <v>35</v>
      </c>
      <c r="D1359" s="332" t="s">
        <v>83</v>
      </c>
      <c r="E1359" s="333"/>
      <c r="F1359" s="524" t="s">
        <v>3857</v>
      </c>
      <c r="G1359" s="372" t="s">
        <v>3858</v>
      </c>
      <c r="H1359" s="333">
        <v>2</v>
      </c>
      <c r="I1359" s="333" t="s">
        <v>3859</v>
      </c>
      <c r="J1359" s="332" t="s">
        <v>102</v>
      </c>
      <c r="K1359" s="333" t="s">
        <v>69</v>
      </c>
      <c r="L1359" s="396"/>
      <c r="M1359" s="333"/>
      <c r="N1359" s="417"/>
      <c r="O1359" s="417"/>
      <c r="P1359" s="343">
        <v>45456</v>
      </c>
      <c r="Q1359" s="333"/>
      <c r="R1359" s="333"/>
      <c r="S1359" s="373"/>
      <c r="T1359" s="373"/>
      <c r="U1359" s="373"/>
      <c r="V1359" s="373"/>
      <c r="W1359" s="346"/>
      <c r="X1359" s="373"/>
      <c r="Y1359" s="336">
        <f t="shared" ca="1" si="26"/>
        <v>130</v>
      </c>
      <c r="Z1359" s="373"/>
      <c r="AA1359" s="373"/>
      <c r="AB1359" s="373"/>
      <c r="AC1359" s="338" t="str">
        <f>VLOOKUP(F1359,'[1]CPO DATA'!$D:$I,4,FALSE)</f>
        <v>GH644</v>
      </c>
      <c r="AD1359" s="338"/>
    </row>
    <row r="1360" spans="1:30" ht="12.75" customHeight="1" x14ac:dyDescent="0.25">
      <c r="A1360" s="347" t="s">
        <v>3860</v>
      </c>
      <c r="B1360" s="376">
        <v>45414</v>
      </c>
      <c r="C1360" s="396" t="s">
        <v>35</v>
      </c>
      <c r="D1360" s="332" t="s">
        <v>36</v>
      </c>
      <c r="E1360" s="333"/>
      <c r="F1360" s="524" t="s">
        <v>3861</v>
      </c>
      <c r="G1360" s="372" t="s">
        <v>3862</v>
      </c>
      <c r="H1360" s="333">
        <v>1</v>
      </c>
      <c r="I1360" s="333" t="s">
        <v>3863</v>
      </c>
      <c r="J1360" s="332" t="s">
        <v>68</v>
      </c>
      <c r="K1360" s="333" t="s">
        <v>69</v>
      </c>
      <c r="L1360" s="396"/>
      <c r="M1360" s="333"/>
      <c r="N1360" s="417"/>
      <c r="O1360" s="417"/>
      <c r="P1360" s="343">
        <v>45456</v>
      </c>
      <c r="Q1360" s="333"/>
      <c r="R1360" s="333"/>
      <c r="S1360" s="373"/>
      <c r="T1360" s="373"/>
      <c r="U1360" s="373"/>
      <c r="V1360" s="373"/>
      <c r="W1360" s="346"/>
      <c r="X1360" s="373"/>
      <c r="Y1360" s="336">
        <f t="shared" ca="1" si="26"/>
        <v>130</v>
      </c>
      <c r="Z1360" s="373"/>
      <c r="AA1360" s="373"/>
      <c r="AB1360" s="373"/>
      <c r="AC1360" s="338" t="e">
        <f>VLOOKUP(F1360,'[1]CPO DATA'!$D:$I,4,FALSE)</f>
        <v>#N/A</v>
      </c>
      <c r="AD1360" s="418" t="e">
        <f>VLOOKUP(F1360,'STORE ITEMS'!C:F,2,FALSE)</f>
        <v>#N/A</v>
      </c>
    </row>
    <row r="1361" spans="1:30" ht="12.75" customHeight="1" x14ac:dyDescent="0.25">
      <c r="A1361" s="347" t="s">
        <v>3864</v>
      </c>
      <c r="B1361" s="376">
        <v>45400</v>
      </c>
      <c r="C1361" s="396" t="s">
        <v>35</v>
      </c>
      <c r="D1361" s="332" t="s">
        <v>71</v>
      </c>
      <c r="E1361" s="333"/>
      <c r="F1361" s="524" t="s">
        <v>3865</v>
      </c>
      <c r="G1361" s="372" t="s">
        <v>3866</v>
      </c>
      <c r="H1361" s="333">
        <v>1</v>
      </c>
      <c r="I1361" s="333" t="s">
        <v>3867</v>
      </c>
      <c r="J1361" s="332" t="s">
        <v>102</v>
      </c>
      <c r="K1361" s="333" t="s">
        <v>69</v>
      </c>
      <c r="L1361" s="396"/>
      <c r="M1361" s="333"/>
      <c r="N1361" s="417"/>
      <c r="O1361" s="417"/>
      <c r="P1361" s="343">
        <v>45456</v>
      </c>
      <c r="Q1361" s="333"/>
      <c r="R1361" s="333"/>
      <c r="S1361" s="373"/>
      <c r="T1361" s="373"/>
      <c r="U1361" s="373"/>
      <c r="V1361" s="373"/>
      <c r="W1361" s="346"/>
      <c r="X1361" s="373"/>
      <c r="Y1361" s="336">
        <f t="shared" ca="1" si="26"/>
        <v>130</v>
      </c>
      <c r="Z1361" s="373"/>
      <c r="AA1361" s="373"/>
      <c r="AB1361" s="373"/>
      <c r="AC1361" s="338" t="e">
        <f>VLOOKUP(F1361,'[1]CPO DATA'!$D:$I,4,FALSE)</f>
        <v>#N/A</v>
      </c>
      <c r="AD1361" s="418" t="str">
        <f>VLOOKUP(F1361,'STORE ITEMS'!C:F,2,FALSE)</f>
        <v>TUBE, LIQUID, NO.1</v>
      </c>
    </row>
    <row r="1362" spans="1:30" ht="12.75" customHeight="1" x14ac:dyDescent="0.25">
      <c r="A1362" s="347" t="s">
        <v>3868</v>
      </c>
      <c r="B1362" s="376">
        <v>45420</v>
      </c>
      <c r="C1362" s="396" t="s">
        <v>35</v>
      </c>
      <c r="D1362" s="332" t="s">
        <v>71</v>
      </c>
      <c r="E1362" s="333"/>
      <c r="F1362" s="524" t="s">
        <v>3869</v>
      </c>
      <c r="G1362" s="372" t="s">
        <v>3870</v>
      </c>
      <c r="H1362" s="333">
        <v>1</v>
      </c>
      <c r="I1362" s="333" t="s">
        <v>3871</v>
      </c>
      <c r="J1362" s="332" t="s">
        <v>68</v>
      </c>
      <c r="K1362" s="333" t="s">
        <v>69</v>
      </c>
      <c r="L1362" s="396"/>
      <c r="M1362" s="333"/>
      <c r="N1362" s="417"/>
      <c r="O1362" s="417"/>
      <c r="P1362" s="343">
        <v>45456</v>
      </c>
      <c r="Q1362" s="333"/>
      <c r="R1362" s="333"/>
      <c r="S1362" s="373"/>
      <c r="T1362" s="373"/>
      <c r="U1362" s="373"/>
      <c r="V1362" s="373"/>
      <c r="W1362" s="346"/>
      <c r="X1362" s="373"/>
      <c r="Y1362" s="336">
        <f t="shared" ca="1" si="26"/>
        <v>130</v>
      </c>
      <c r="Z1362" s="373"/>
      <c r="AA1362" s="373"/>
      <c r="AB1362" s="373"/>
      <c r="AC1362" s="338" t="e">
        <f>VLOOKUP(F1362,'[1]CPO DATA'!$D:$I,4,FALSE)</f>
        <v>#N/A</v>
      </c>
      <c r="AD1362" s="418" t="str">
        <f>VLOOKUP(F1362,'STORE ITEMS'!C:F,2,FALSE)</f>
        <v>INTERCOOLER ASSY, W/SENSOR</v>
      </c>
    </row>
    <row r="1363" spans="1:30" ht="12.75" customHeight="1" x14ac:dyDescent="0.25">
      <c r="A1363" s="347" t="s">
        <v>3872</v>
      </c>
      <c r="B1363" s="376">
        <v>45434</v>
      </c>
      <c r="C1363" s="396" t="s">
        <v>35</v>
      </c>
      <c r="D1363" s="332" t="s">
        <v>71</v>
      </c>
      <c r="E1363" s="333"/>
      <c r="F1363" s="524" t="s">
        <v>3873</v>
      </c>
      <c r="G1363" s="372" t="s">
        <v>3874</v>
      </c>
      <c r="H1363" s="333">
        <v>1</v>
      </c>
      <c r="I1363" s="333" t="s">
        <v>3875</v>
      </c>
      <c r="J1363" s="332" t="s">
        <v>31</v>
      </c>
      <c r="K1363" s="333" t="s">
        <v>32</v>
      </c>
      <c r="L1363" s="396"/>
      <c r="M1363" s="333"/>
      <c r="N1363" s="417"/>
      <c r="O1363" s="417"/>
      <c r="P1363" s="343">
        <v>45456</v>
      </c>
      <c r="Q1363" s="364"/>
      <c r="R1363" s="364"/>
      <c r="S1363" s="369"/>
      <c r="T1363" s="369"/>
      <c r="U1363" s="369"/>
      <c r="V1363" s="369"/>
      <c r="W1363" s="370"/>
      <c r="X1363" s="369"/>
      <c r="Y1363" s="336">
        <f t="shared" ca="1" si="26"/>
        <v>130</v>
      </c>
      <c r="Z1363" s="369"/>
      <c r="AA1363" s="369"/>
      <c r="AB1363" s="369"/>
      <c r="AC1363" s="338" t="e">
        <f>VLOOKUP(F1363,'[1]CPO DATA'!$D:$I,4,FALSE)</f>
        <v>#N/A</v>
      </c>
      <c r="AD1363" s="418" t="str">
        <f>VLOOKUP(F1363,'STORE ITEMS'!C:F,2,FALSE)</f>
        <v>COMPUTER ASSY, ENGINE CONTROL</v>
      </c>
    </row>
    <row r="1364" spans="1:30" ht="12.75" customHeight="1" x14ac:dyDescent="0.25">
      <c r="A1364" s="347" t="s">
        <v>3876</v>
      </c>
      <c r="B1364" s="376">
        <v>45434</v>
      </c>
      <c r="C1364" s="396" t="s">
        <v>35</v>
      </c>
      <c r="D1364" s="332" t="s">
        <v>71</v>
      </c>
      <c r="E1364" s="333"/>
      <c r="F1364" s="524" t="s">
        <v>2084</v>
      </c>
      <c r="G1364" s="372" t="s">
        <v>3877</v>
      </c>
      <c r="H1364" s="333">
        <v>1</v>
      </c>
      <c r="I1364" s="333" t="s">
        <v>3878</v>
      </c>
      <c r="J1364" s="332" t="s">
        <v>68</v>
      </c>
      <c r="K1364" s="333" t="s">
        <v>69</v>
      </c>
      <c r="L1364" s="396"/>
      <c r="M1364" s="333"/>
      <c r="N1364" s="417"/>
      <c r="O1364" s="417"/>
      <c r="P1364" s="343">
        <v>45456</v>
      </c>
      <c r="Q1364" s="333"/>
      <c r="R1364" s="333"/>
      <c r="S1364" s="373"/>
      <c r="T1364" s="373"/>
      <c r="U1364" s="373"/>
      <c r="V1364" s="373"/>
      <c r="W1364" s="346">
        <v>45335</v>
      </c>
      <c r="X1364" s="373"/>
      <c r="Y1364" s="336">
        <f t="shared" ca="1" si="26"/>
        <v>-121</v>
      </c>
      <c r="Z1364" s="373"/>
      <c r="AA1364" s="373"/>
      <c r="AB1364" s="373"/>
      <c r="AC1364" s="338" t="e">
        <f>VLOOKUP(F1364,'[1]CPO DATA'!$D:$I,4,FALSE)</f>
        <v>#N/A</v>
      </c>
      <c r="AD1364" s="418" t="str">
        <f>VLOOKUP(F1364,'STORE ITEMS'!C:F,2,FALSE)</f>
        <v>MOULDING SUB ASSY FR LH</v>
      </c>
    </row>
    <row r="1365" spans="1:30" ht="12.75" customHeight="1" x14ac:dyDescent="0.25">
      <c r="A1365" s="347" t="s">
        <v>3879</v>
      </c>
      <c r="B1365" s="376">
        <v>45436</v>
      </c>
      <c r="C1365" s="396" t="s">
        <v>35</v>
      </c>
      <c r="D1365" s="332" t="s">
        <v>83</v>
      </c>
      <c r="E1365" s="333"/>
      <c r="F1365" s="524" t="s">
        <v>3880</v>
      </c>
      <c r="G1365" s="372" t="s">
        <v>3881</v>
      </c>
      <c r="H1365" s="333">
        <v>1</v>
      </c>
      <c r="I1365" s="333" t="s">
        <v>3882</v>
      </c>
      <c r="J1365" s="332" t="s">
        <v>102</v>
      </c>
      <c r="K1365" s="333" t="s">
        <v>69</v>
      </c>
      <c r="L1365" s="396"/>
      <c r="M1365" s="333"/>
      <c r="N1365" s="417"/>
      <c r="O1365" s="417"/>
      <c r="P1365" s="343">
        <v>45456</v>
      </c>
      <c r="Q1365" s="333"/>
      <c r="R1365" s="333"/>
      <c r="S1365" s="373"/>
      <c r="T1365" s="373"/>
      <c r="U1365" s="373"/>
      <c r="V1365" s="373"/>
      <c r="W1365" s="346"/>
      <c r="X1365" s="373"/>
      <c r="Y1365" s="336">
        <f t="shared" ca="1" si="26"/>
        <v>130</v>
      </c>
      <c r="Z1365" s="373"/>
      <c r="AA1365" s="373"/>
      <c r="AB1365" s="373"/>
      <c r="AC1365" s="338" t="e">
        <f>VLOOKUP(F1365,'[1]CPO DATA'!$D:$I,4,FALSE)</f>
        <v>#N/A</v>
      </c>
      <c r="AD1365" s="418" t="e">
        <f>VLOOKUP(F1365,'STORE ITEMS'!C:F,2,FALSE)</f>
        <v>#N/A</v>
      </c>
    </row>
    <row r="1366" spans="1:30" ht="12.75" customHeight="1" x14ac:dyDescent="0.25">
      <c r="A1366" s="347" t="s">
        <v>3883</v>
      </c>
      <c r="B1366" s="376">
        <v>45435</v>
      </c>
      <c r="C1366" s="396" t="s">
        <v>35</v>
      </c>
      <c r="D1366" s="332" t="s">
        <v>83</v>
      </c>
      <c r="E1366" s="333"/>
      <c r="F1366" s="524" t="s">
        <v>3884</v>
      </c>
      <c r="G1366" s="372" t="s">
        <v>3885</v>
      </c>
      <c r="H1366" s="333">
        <v>1</v>
      </c>
      <c r="I1366" s="333" t="s">
        <v>3882</v>
      </c>
      <c r="J1366" s="332" t="s">
        <v>102</v>
      </c>
      <c r="K1366" s="333" t="s">
        <v>69</v>
      </c>
      <c r="L1366" s="396"/>
      <c r="M1366" s="333"/>
      <c r="N1366" s="417"/>
      <c r="O1366" s="417"/>
      <c r="P1366" s="343">
        <v>45456</v>
      </c>
      <c r="Q1366" s="333"/>
      <c r="R1366" s="333"/>
      <c r="S1366" s="373"/>
      <c r="T1366" s="373"/>
      <c r="U1366" s="373"/>
      <c r="V1366" s="373"/>
      <c r="W1366" s="346"/>
      <c r="X1366" s="373"/>
      <c r="Y1366" s="336">
        <f t="shared" ca="1" si="26"/>
        <v>130</v>
      </c>
      <c r="Z1366" s="373"/>
      <c r="AA1366" s="373"/>
      <c r="AB1366" s="373"/>
      <c r="AC1366" s="338" t="str">
        <f>VLOOKUP(F1366,'[1]CPO DATA'!$D:$I,4,FALSE)</f>
        <v>GH528</v>
      </c>
      <c r="AD1366" s="338"/>
    </row>
    <row r="1367" spans="1:30" ht="12.75" customHeight="1" x14ac:dyDescent="0.25">
      <c r="A1367" s="347" t="s">
        <v>3886</v>
      </c>
      <c r="B1367" s="376">
        <v>45435</v>
      </c>
      <c r="C1367" s="396" t="s">
        <v>35</v>
      </c>
      <c r="D1367" s="332" t="s">
        <v>83</v>
      </c>
      <c r="E1367" s="333"/>
      <c r="F1367" s="524" t="s">
        <v>3887</v>
      </c>
      <c r="G1367" s="372" t="s">
        <v>3548</v>
      </c>
      <c r="H1367" s="333">
        <v>1</v>
      </c>
      <c r="I1367" s="333" t="s">
        <v>3888</v>
      </c>
      <c r="J1367" s="332" t="s">
        <v>68</v>
      </c>
      <c r="K1367" s="333" t="s">
        <v>69</v>
      </c>
      <c r="L1367" s="396"/>
      <c r="M1367" s="333"/>
      <c r="N1367" s="417"/>
      <c r="O1367" s="417"/>
      <c r="P1367" s="343">
        <v>45456</v>
      </c>
      <c r="Q1367" s="333"/>
      <c r="R1367" s="333"/>
      <c r="S1367" s="373"/>
      <c r="T1367" s="373"/>
      <c r="U1367" s="373"/>
      <c r="V1367" s="373"/>
      <c r="W1367" s="346"/>
      <c r="X1367" s="373"/>
      <c r="Y1367" s="336">
        <f t="shared" ca="1" si="26"/>
        <v>130</v>
      </c>
      <c r="Z1367" s="373"/>
      <c r="AA1367" s="373"/>
      <c r="AB1367" s="373"/>
      <c r="AC1367" s="338" t="str">
        <f>VLOOKUP(F1367,'[1]CPO DATA'!$D:$I,4,FALSE)</f>
        <v>GH644</v>
      </c>
      <c r="AD1367" s="338"/>
    </row>
    <row r="1368" spans="1:30" ht="12.75" customHeight="1" x14ac:dyDescent="0.25">
      <c r="A1368" s="347" t="s">
        <v>3889</v>
      </c>
      <c r="B1368" s="376">
        <v>45434</v>
      </c>
      <c r="C1368" s="396" t="s">
        <v>35</v>
      </c>
      <c r="D1368" s="332" t="s">
        <v>83</v>
      </c>
      <c r="E1368" s="333"/>
      <c r="F1368" s="524" t="s">
        <v>3890</v>
      </c>
      <c r="G1368" s="372" t="s">
        <v>3891</v>
      </c>
      <c r="H1368" s="333">
        <v>1</v>
      </c>
      <c r="I1368" s="333" t="s">
        <v>3888</v>
      </c>
      <c r="J1368" s="332" t="s">
        <v>102</v>
      </c>
      <c r="K1368" s="333" t="s">
        <v>69</v>
      </c>
      <c r="L1368" s="396"/>
      <c r="M1368" s="333"/>
      <c r="N1368" s="417"/>
      <c r="O1368" s="417"/>
      <c r="P1368" s="343">
        <v>45456</v>
      </c>
      <c r="Q1368" s="333"/>
      <c r="R1368" s="333"/>
      <c r="S1368" s="373"/>
      <c r="T1368" s="373"/>
      <c r="U1368" s="373"/>
      <c r="V1368" s="373"/>
      <c r="W1368" s="346"/>
      <c r="X1368" s="373"/>
      <c r="Y1368" s="336">
        <f t="shared" ca="1" si="26"/>
        <v>130</v>
      </c>
      <c r="Z1368" s="373"/>
      <c r="AA1368" s="373"/>
      <c r="AB1368" s="373"/>
      <c r="AC1368" s="338" t="str">
        <f>VLOOKUP(F1368,'[1]CPO DATA'!$D:$I,4,FALSE)</f>
        <v>GH644</v>
      </c>
      <c r="AD1368" s="338"/>
    </row>
    <row r="1369" spans="1:30" ht="12.75" customHeight="1" x14ac:dyDescent="0.25">
      <c r="A1369" s="347" t="s">
        <v>3892</v>
      </c>
      <c r="B1369" s="376">
        <v>45426</v>
      </c>
      <c r="C1369" s="396" t="s">
        <v>35</v>
      </c>
      <c r="D1369" s="332" t="s">
        <v>83</v>
      </c>
      <c r="E1369" s="333"/>
      <c r="F1369" s="524" t="s">
        <v>3893</v>
      </c>
      <c r="G1369" s="372" t="s">
        <v>3894</v>
      </c>
      <c r="H1369" s="333">
        <v>1</v>
      </c>
      <c r="I1369" s="333" t="s">
        <v>3895</v>
      </c>
      <c r="J1369" s="332" t="s">
        <v>68</v>
      </c>
      <c r="K1369" s="333" t="s">
        <v>69</v>
      </c>
      <c r="L1369" s="396"/>
      <c r="M1369" s="333"/>
      <c r="N1369" s="417"/>
      <c r="O1369" s="417"/>
      <c r="P1369" s="343">
        <v>45456</v>
      </c>
      <c r="Q1369" s="333"/>
      <c r="R1369" s="333"/>
      <c r="S1369" s="373"/>
      <c r="T1369" s="373"/>
      <c r="U1369" s="373"/>
      <c r="V1369" s="373"/>
      <c r="W1369" s="346"/>
      <c r="X1369" s="373"/>
      <c r="Y1369" s="336">
        <f t="shared" ca="1" si="26"/>
        <v>130</v>
      </c>
      <c r="Z1369" s="373"/>
      <c r="AA1369" s="373"/>
      <c r="AB1369" s="373"/>
      <c r="AC1369" s="338" t="str">
        <f>VLOOKUP(F1369,'[1]CPO DATA'!$D:$I,4,FALSE)</f>
        <v>GH628</v>
      </c>
      <c r="AD1369" s="338"/>
    </row>
    <row r="1370" spans="1:30" ht="12.75" customHeight="1" x14ac:dyDescent="0.25">
      <c r="A1370" s="347" t="s">
        <v>3896</v>
      </c>
      <c r="B1370" s="376">
        <v>45429</v>
      </c>
      <c r="C1370" s="396" t="s">
        <v>35</v>
      </c>
      <c r="D1370" s="332" t="s">
        <v>83</v>
      </c>
      <c r="E1370" s="333"/>
      <c r="F1370" s="524" t="s">
        <v>2766</v>
      </c>
      <c r="G1370" s="372" t="s">
        <v>3897</v>
      </c>
      <c r="H1370" s="333">
        <v>1</v>
      </c>
      <c r="I1370" s="333" t="s">
        <v>3898</v>
      </c>
      <c r="J1370" s="332" t="s">
        <v>68</v>
      </c>
      <c r="K1370" s="333" t="s">
        <v>69</v>
      </c>
      <c r="L1370" s="396"/>
      <c r="M1370" s="333"/>
      <c r="N1370" s="417"/>
      <c r="O1370" s="417"/>
      <c r="P1370" s="343">
        <v>45456</v>
      </c>
      <c r="Q1370" s="333"/>
      <c r="R1370" s="333"/>
      <c r="S1370" s="373"/>
      <c r="T1370" s="373"/>
      <c r="U1370" s="373"/>
      <c r="V1370" s="373"/>
      <c r="W1370" s="346"/>
      <c r="X1370" s="373"/>
      <c r="Y1370" s="336">
        <f t="shared" ca="1" si="26"/>
        <v>130</v>
      </c>
      <c r="Z1370" s="373"/>
      <c r="AA1370" s="373"/>
      <c r="AB1370" s="373"/>
      <c r="AC1370" s="338" t="e">
        <f>VLOOKUP(F1370,'[1]CPO DATA'!$D:$I,4,FALSE)</f>
        <v>#N/A</v>
      </c>
      <c r="AD1370" s="418" t="e">
        <f>VLOOKUP(F1370,'STORE ITEMS'!C:F,2,FALSE)</f>
        <v>#N/A</v>
      </c>
    </row>
    <row r="1371" spans="1:30" ht="12.75" customHeight="1" x14ac:dyDescent="0.25">
      <c r="A1371" s="347" t="s">
        <v>3899</v>
      </c>
      <c r="B1371" s="376">
        <v>45440</v>
      </c>
      <c r="C1371" s="396" t="s">
        <v>26</v>
      </c>
      <c r="D1371" s="332" t="s">
        <v>1007</v>
      </c>
      <c r="E1371" s="333"/>
      <c r="F1371" s="524">
        <v>1127320</v>
      </c>
      <c r="G1371" s="372" t="s">
        <v>3900</v>
      </c>
      <c r="H1371" s="333">
        <v>3</v>
      </c>
      <c r="I1371" s="333" t="s">
        <v>3901</v>
      </c>
      <c r="J1371" s="332" t="s">
        <v>46</v>
      </c>
      <c r="K1371" s="333" t="s">
        <v>32</v>
      </c>
      <c r="P1371" s="462">
        <v>45440</v>
      </c>
      <c r="Q1371" s="333"/>
      <c r="R1371" s="333"/>
      <c r="S1371" s="373"/>
      <c r="T1371" s="373"/>
      <c r="U1371" s="373"/>
      <c r="V1371" s="373"/>
      <c r="W1371" s="346"/>
      <c r="X1371" s="373"/>
      <c r="Y1371" s="336">
        <f t="shared" ca="1" si="26"/>
        <v>146</v>
      </c>
      <c r="Z1371" s="373"/>
      <c r="AA1371" s="373"/>
      <c r="AB1371" s="373"/>
      <c r="AD1371" s="338"/>
    </row>
    <row r="1372" spans="1:30" ht="12.75" customHeight="1" x14ac:dyDescent="0.25">
      <c r="A1372" s="347" t="s">
        <v>3902</v>
      </c>
      <c r="B1372" s="376">
        <v>45440</v>
      </c>
      <c r="C1372" s="396" t="s">
        <v>26</v>
      </c>
      <c r="D1372" s="332" t="s">
        <v>1007</v>
      </c>
      <c r="E1372" s="333"/>
      <c r="F1372" s="524">
        <v>20210813</v>
      </c>
      <c r="G1372" s="372" t="s">
        <v>3903</v>
      </c>
      <c r="H1372" s="333">
        <v>8</v>
      </c>
      <c r="I1372" s="333" t="s">
        <v>3901</v>
      </c>
      <c r="J1372" s="332" t="s">
        <v>46</v>
      </c>
      <c r="K1372" s="333" t="s">
        <v>32</v>
      </c>
      <c r="P1372" s="462">
        <v>45440</v>
      </c>
      <c r="Q1372" s="333"/>
      <c r="R1372" s="333"/>
      <c r="S1372" s="373"/>
      <c r="T1372" s="373"/>
      <c r="U1372" s="373"/>
      <c r="V1372" s="373"/>
      <c r="W1372" s="346"/>
      <c r="X1372" s="373"/>
      <c r="Y1372" s="336">
        <f t="shared" ca="1" si="26"/>
        <v>146</v>
      </c>
      <c r="Z1372" s="373"/>
      <c r="AA1372" s="373"/>
      <c r="AB1372" s="373"/>
      <c r="AD1372" s="338"/>
    </row>
    <row r="1373" spans="1:30" ht="12.75" customHeight="1" x14ac:dyDescent="0.25">
      <c r="A1373" s="347" t="s">
        <v>3904</v>
      </c>
      <c r="B1373" s="376">
        <v>45440</v>
      </c>
      <c r="C1373" s="396" t="s">
        <v>26</v>
      </c>
      <c r="D1373" s="332" t="s">
        <v>1007</v>
      </c>
      <c r="E1373" s="333"/>
      <c r="F1373" s="524">
        <v>2674573</v>
      </c>
      <c r="G1373" s="372" t="s">
        <v>3905</v>
      </c>
      <c r="H1373" s="333">
        <v>1</v>
      </c>
      <c r="I1373" s="333" t="s">
        <v>3906</v>
      </c>
      <c r="J1373" s="332" t="s">
        <v>31</v>
      </c>
      <c r="K1373" s="333" t="s">
        <v>32</v>
      </c>
      <c r="P1373" s="462">
        <v>45440</v>
      </c>
      <c r="Q1373" s="333"/>
      <c r="R1373" s="333"/>
      <c r="S1373" s="373"/>
      <c r="T1373" s="373"/>
      <c r="U1373" s="373"/>
      <c r="V1373" s="373"/>
      <c r="W1373" s="346"/>
      <c r="X1373" s="373"/>
      <c r="Y1373" s="336">
        <f t="shared" ca="1" si="26"/>
        <v>146</v>
      </c>
      <c r="Z1373" s="373"/>
      <c r="AA1373" s="373"/>
      <c r="AB1373" s="373"/>
      <c r="AD1373" s="338"/>
    </row>
    <row r="1374" spans="1:30" ht="12.75" customHeight="1" x14ac:dyDescent="0.25">
      <c r="A1374" s="347" t="s">
        <v>3907</v>
      </c>
      <c r="B1374" s="376">
        <v>45440</v>
      </c>
      <c r="C1374" s="396" t="s">
        <v>26</v>
      </c>
      <c r="D1374" s="332" t="s">
        <v>2631</v>
      </c>
      <c r="E1374" s="333"/>
      <c r="F1374" s="524">
        <v>2166792</v>
      </c>
      <c r="G1374" s="372" t="s">
        <v>3908</v>
      </c>
      <c r="H1374" s="333">
        <v>1</v>
      </c>
      <c r="I1374" s="333" t="s">
        <v>2640</v>
      </c>
      <c r="J1374" s="332" t="s">
        <v>2627</v>
      </c>
      <c r="K1374" s="333" t="s">
        <v>69</v>
      </c>
      <c r="P1374" s="462">
        <v>45440</v>
      </c>
      <c r="Q1374" s="333"/>
      <c r="R1374" s="333"/>
      <c r="S1374" s="373"/>
      <c r="T1374" s="373"/>
      <c r="U1374" s="373"/>
      <c r="V1374" s="373"/>
      <c r="W1374" s="543">
        <v>45544</v>
      </c>
      <c r="X1374" s="373"/>
      <c r="Y1374" s="336">
        <f t="shared" ca="1" si="26"/>
        <v>104</v>
      </c>
      <c r="Z1374" s="373"/>
      <c r="AA1374" s="373"/>
      <c r="AB1374" s="373"/>
      <c r="AD1374" s="338"/>
    </row>
    <row r="1375" spans="1:30" ht="12.75" customHeight="1" x14ac:dyDescent="0.25">
      <c r="A1375" s="347" t="s">
        <v>3909</v>
      </c>
      <c r="B1375" s="376">
        <v>45440</v>
      </c>
      <c r="C1375" s="396" t="s">
        <v>35</v>
      </c>
      <c r="D1375" s="332" t="s">
        <v>71</v>
      </c>
      <c r="E1375" s="333"/>
      <c r="F1375" s="524" t="s">
        <v>2119</v>
      </c>
      <c r="G1375" s="372" t="s">
        <v>3910</v>
      </c>
      <c r="H1375" s="333">
        <v>1</v>
      </c>
      <c r="I1375" s="333" t="s">
        <v>3911</v>
      </c>
      <c r="J1375" s="332" t="s">
        <v>68</v>
      </c>
      <c r="K1375" s="333" t="s">
        <v>69</v>
      </c>
      <c r="L1375" s="396"/>
      <c r="M1375" s="333"/>
      <c r="N1375" s="417"/>
      <c r="O1375" s="417"/>
      <c r="P1375" s="343">
        <v>45456</v>
      </c>
      <c r="Q1375" s="333"/>
      <c r="R1375" s="333"/>
      <c r="S1375" s="373"/>
      <c r="T1375" s="373"/>
      <c r="U1375" s="373"/>
      <c r="V1375" s="373"/>
      <c r="W1375" s="346">
        <v>45335</v>
      </c>
      <c r="X1375" s="373"/>
      <c r="Y1375" s="336">
        <f t="shared" ca="1" si="26"/>
        <v>-121</v>
      </c>
      <c r="Z1375" s="373"/>
      <c r="AA1375" s="373"/>
      <c r="AB1375" s="373"/>
      <c r="AC1375" s="338" t="e">
        <f>VLOOKUP(F1375,'[1]CPO DATA'!$D:$I,4,FALSE)</f>
        <v>#N/A</v>
      </c>
      <c r="AD1375" s="418" t="str">
        <f>VLOOKUP(F1375,'STORE ITEMS'!C:F,2,FALSE)</f>
        <v>PLATE E.C.E APPROVED NUMBER</v>
      </c>
    </row>
    <row r="1376" spans="1:30" ht="12.75" customHeight="1" x14ac:dyDescent="0.25">
      <c r="A1376" s="347" t="s">
        <v>3912</v>
      </c>
      <c r="B1376" s="376">
        <v>45421</v>
      </c>
      <c r="C1376" s="396" t="s">
        <v>35</v>
      </c>
      <c r="D1376" s="332" t="s">
        <v>36</v>
      </c>
      <c r="E1376" s="333"/>
      <c r="F1376" s="524" t="s">
        <v>2021</v>
      </c>
      <c r="G1376" s="372" t="s">
        <v>3913</v>
      </c>
      <c r="H1376" s="333">
        <v>1</v>
      </c>
      <c r="I1376" s="333"/>
      <c r="J1376" s="332"/>
      <c r="K1376" s="333"/>
      <c r="L1376" s="396"/>
      <c r="M1376" s="333"/>
      <c r="N1376" s="417"/>
      <c r="O1376" s="417"/>
      <c r="P1376" s="343">
        <v>45456</v>
      </c>
      <c r="Q1376" s="333"/>
      <c r="R1376" s="333"/>
      <c r="S1376" s="373"/>
      <c r="T1376" s="373"/>
      <c r="U1376" s="373"/>
      <c r="V1376" s="373"/>
      <c r="W1376" s="346">
        <v>45306</v>
      </c>
      <c r="X1376" s="373"/>
      <c r="Y1376" s="336">
        <f t="shared" ca="1" si="26"/>
        <v>-150</v>
      </c>
      <c r="Z1376" s="373"/>
      <c r="AA1376" s="373"/>
      <c r="AB1376" s="373"/>
      <c r="AC1376" s="338" t="str">
        <f>VLOOKUP(F1376,'[1]CPO DATA'!$D:$I,4,FALSE)</f>
        <v>HT01</v>
      </c>
      <c r="AD1376" s="338"/>
    </row>
    <row r="1377" spans="1:30" ht="12.75" customHeight="1" x14ac:dyDescent="0.25">
      <c r="A1377" s="347" t="s">
        <v>3914</v>
      </c>
      <c r="B1377" s="376">
        <v>45427</v>
      </c>
      <c r="C1377" s="396" t="s">
        <v>35</v>
      </c>
      <c r="D1377" s="332" t="s">
        <v>36</v>
      </c>
      <c r="E1377" s="333"/>
      <c r="F1377" s="524" t="s">
        <v>3915</v>
      </c>
      <c r="G1377" s="372" t="s">
        <v>3916</v>
      </c>
      <c r="H1377" s="333">
        <v>1</v>
      </c>
      <c r="I1377" s="333" t="s">
        <v>2846</v>
      </c>
      <c r="J1377" s="332" t="s">
        <v>43</v>
      </c>
      <c r="K1377" s="333" t="s">
        <v>32</v>
      </c>
      <c r="L1377" s="396"/>
      <c r="M1377" s="333"/>
      <c r="N1377" s="417"/>
      <c r="O1377" s="417"/>
      <c r="P1377" s="343">
        <v>45456</v>
      </c>
      <c r="Q1377" s="333"/>
      <c r="R1377" s="333"/>
      <c r="S1377" s="373"/>
      <c r="T1377" s="373"/>
      <c r="U1377" s="373"/>
      <c r="V1377" s="373"/>
      <c r="W1377" s="346"/>
      <c r="X1377" s="373"/>
      <c r="Y1377" s="336">
        <f t="shared" ca="1" si="26"/>
        <v>130</v>
      </c>
      <c r="Z1377" s="373"/>
      <c r="AA1377" s="373"/>
      <c r="AB1377" s="373"/>
      <c r="AC1377" s="338" t="e">
        <f>VLOOKUP(F1377,'[1]CPO DATA'!$D:$I,4,FALSE)</f>
        <v>#N/A</v>
      </c>
      <c r="AD1377" s="418" t="e">
        <f>VLOOKUP(F1377,'STORE ITEMS'!C:F,2,FALSE)</f>
        <v>#N/A</v>
      </c>
    </row>
    <row r="1378" spans="1:30" ht="12.75" customHeight="1" x14ac:dyDescent="0.25">
      <c r="A1378" s="347" t="s">
        <v>3917</v>
      </c>
      <c r="B1378" s="376">
        <v>45427</v>
      </c>
      <c r="C1378" s="396" t="s">
        <v>35</v>
      </c>
      <c r="D1378" s="332" t="s">
        <v>36</v>
      </c>
      <c r="E1378" s="333"/>
      <c r="F1378" s="524" t="s">
        <v>329</v>
      </c>
      <c r="G1378" s="372" t="s">
        <v>3918</v>
      </c>
      <c r="H1378" s="333">
        <v>1</v>
      </c>
      <c r="I1378" s="333" t="s">
        <v>2846</v>
      </c>
      <c r="J1378" s="332" t="s">
        <v>43</v>
      </c>
      <c r="K1378" s="333" t="s">
        <v>32</v>
      </c>
      <c r="L1378" s="396"/>
      <c r="M1378" s="333"/>
      <c r="N1378" s="417"/>
      <c r="O1378" s="417"/>
      <c r="P1378" s="343">
        <v>45456</v>
      </c>
      <c r="Q1378" s="333"/>
      <c r="R1378" s="333"/>
      <c r="S1378" s="373"/>
      <c r="T1378" s="373"/>
      <c r="U1378" s="373"/>
      <c r="V1378" s="373"/>
      <c r="W1378" s="346">
        <v>45306</v>
      </c>
      <c r="X1378" s="373"/>
      <c r="Y1378" s="336">
        <f t="shared" ca="1" si="26"/>
        <v>-150</v>
      </c>
      <c r="Z1378" s="373"/>
      <c r="AA1378" s="373"/>
      <c r="AB1378" s="373"/>
      <c r="AC1378" s="338" t="e">
        <f>VLOOKUP(F1378,'[1]CPO DATA'!$D:$I,4,FALSE)</f>
        <v>#N/A</v>
      </c>
      <c r="AD1378" s="418" t="str">
        <f>VLOOKUP(F1378,'STORE ITEMS'!C:F,2,FALSE)</f>
        <v>TRAY, INSTRUMENT PANEL CUP HOLDER</v>
      </c>
    </row>
    <row r="1379" spans="1:30" ht="12.75" customHeight="1" x14ac:dyDescent="0.25">
      <c r="A1379" s="347" t="s">
        <v>3919</v>
      </c>
      <c r="B1379" s="376">
        <v>45397</v>
      </c>
      <c r="C1379" s="396" t="s">
        <v>35</v>
      </c>
      <c r="D1379" s="332" t="s">
        <v>36</v>
      </c>
      <c r="E1379" s="333"/>
      <c r="F1379" s="524" t="s">
        <v>325</v>
      </c>
      <c r="G1379" s="372" t="s">
        <v>3920</v>
      </c>
      <c r="H1379" s="333">
        <v>1</v>
      </c>
      <c r="I1379" s="333" t="s">
        <v>2846</v>
      </c>
      <c r="J1379" s="332" t="s">
        <v>43</v>
      </c>
      <c r="K1379" s="333" t="s">
        <v>32</v>
      </c>
      <c r="L1379" s="396"/>
      <c r="M1379" s="333"/>
      <c r="N1379" s="417"/>
      <c r="O1379" s="417"/>
      <c r="P1379" s="343">
        <v>45456</v>
      </c>
      <c r="Q1379" s="333"/>
      <c r="R1379" s="333"/>
      <c r="S1379" s="373"/>
      <c r="T1379" s="373"/>
      <c r="U1379" s="373"/>
      <c r="V1379" s="373"/>
      <c r="W1379" s="346"/>
      <c r="X1379" s="373"/>
      <c r="Y1379" s="336">
        <f t="shared" ca="1" si="26"/>
        <v>130</v>
      </c>
      <c r="Z1379" s="373"/>
      <c r="AA1379" s="373"/>
      <c r="AB1379" s="373"/>
      <c r="AC1379" s="338" t="e">
        <f>VLOOKUP(F1379,'[1]CPO DATA'!$D:$I,4,FALSE)</f>
        <v>#N/A</v>
      </c>
      <c r="AD1379" s="418" t="str">
        <f>VLOOKUP(F1379,'STORE ITEMS'!C:F,2,FALSE)</f>
        <v>HOLDER ASSY INSTRUMENT PANEL CUP</v>
      </c>
    </row>
    <row r="1380" spans="1:30" ht="12.75" customHeight="1" x14ac:dyDescent="0.25">
      <c r="A1380" s="347" t="s">
        <v>3921</v>
      </c>
      <c r="B1380" s="376">
        <v>45408</v>
      </c>
      <c r="C1380" s="396" t="s">
        <v>35</v>
      </c>
      <c r="D1380" s="332" t="s">
        <v>36</v>
      </c>
      <c r="E1380" s="333"/>
      <c r="F1380" s="524" t="s">
        <v>3922</v>
      </c>
      <c r="G1380" s="372" t="s">
        <v>3923</v>
      </c>
      <c r="H1380" s="333">
        <v>1</v>
      </c>
      <c r="I1380" s="333" t="s">
        <v>2846</v>
      </c>
      <c r="J1380" s="332"/>
      <c r="K1380" s="333"/>
      <c r="L1380" s="396"/>
      <c r="M1380" s="333"/>
      <c r="N1380" s="417"/>
      <c r="O1380" s="417"/>
      <c r="P1380" s="343">
        <v>45456</v>
      </c>
      <c r="Q1380" s="333"/>
      <c r="R1380" s="333"/>
      <c r="S1380" s="373"/>
      <c r="T1380" s="373"/>
      <c r="U1380" s="373"/>
      <c r="V1380" s="373"/>
      <c r="W1380" s="346"/>
      <c r="X1380" s="373"/>
      <c r="Y1380" s="336">
        <f t="shared" ca="1" si="26"/>
        <v>130</v>
      </c>
      <c r="Z1380" s="373"/>
      <c r="AA1380" s="373"/>
      <c r="AB1380" s="373"/>
      <c r="AC1380" s="338" t="e">
        <f>VLOOKUP(F1380,'[1]CPO DATA'!$D:$I,4,FALSE)</f>
        <v>#N/A</v>
      </c>
      <c r="AD1380" s="418" t="e">
        <f>VLOOKUP(F1380,'STORE ITEMS'!C:F,2,FALSE)</f>
        <v>#N/A</v>
      </c>
    </row>
    <row r="1381" spans="1:30" ht="12.75" customHeight="1" x14ac:dyDescent="0.25">
      <c r="A1381" s="347" t="s">
        <v>3924</v>
      </c>
      <c r="B1381" s="376">
        <v>45428</v>
      </c>
      <c r="C1381" s="396" t="s">
        <v>35</v>
      </c>
      <c r="D1381" s="332" t="s">
        <v>36</v>
      </c>
      <c r="E1381" s="333"/>
      <c r="F1381" s="524" t="s">
        <v>3925</v>
      </c>
      <c r="G1381" s="372" t="s">
        <v>3926</v>
      </c>
      <c r="H1381" s="333">
        <v>1</v>
      </c>
      <c r="I1381" s="333" t="s">
        <v>3045</v>
      </c>
      <c r="J1381" s="332" t="s">
        <v>43</v>
      </c>
      <c r="K1381" s="333" t="s">
        <v>32</v>
      </c>
      <c r="L1381" s="396"/>
      <c r="M1381" s="333"/>
      <c r="N1381" s="417"/>
      <c r="O1381" s="417"/>
      <c r="P1381" s="343">
        <v>45456</v>
      </c>
      <c r="Q1381" s="333"/>
      <c r="R1381" s="333"/>
      <c r="S1381" s="373"/>
      <c r="T1381" s="373"/>
      <c r="U1381" s="373"/>
      <c r="V1381" s="373"/>
      <c r="W1381" s="346"/>
      <c r="X1381" s="373"/>
      <c r="Y1381" s="336">
        <f t="shared" ca="1" si="26"/>
        <v>130</v>
      </c>
      <c r="Z1381" s="373"/>
      <c r="AA1381" s="373"/>
      <c r="AB1381" s="373"/>
      <c r="AC1381" s="338" t="e">
        <f>VLOOKUP(F1381,'[1]CPO DATA'!$D:$I,4,FALSE)</f>
        <v>#N/A</v>
      </c>
      <c r="AD1381" s="418" t="e">
        <f>VLOOKUP(F1381,'STORE ITEMS'!C:F,2,FALSE)</f>
        <v>#N/A</v>
      </c>
    </row>
    <row r="1382" spans="1:30" ht="12.75" customHeight="1" x14ac:dyDescent="0.25">
      <c r="A1382" s="347" t="s">
        <v>3927</v>
      </c>
      <c r="B1382" s="376">
        <v>45442</v>
      </c>
      <c r="C1382" s="396" t="s">
        <v>35</v>
      </c>
      <c r="D1382" s="332" t="s">
        <v>71</v>
      </c>
      <c r="E1382" s="333"/>
      <c r="F1382" s="524" t="s">
        <v>1114</v>
      </c>
      <c r="G1382" s="372" t="s">
        <v>1057</v>
      </c>
      <c r="H1382" s="333">
        <v>1</v>
      </c>
      <c r="I1382" s="333" t="s">
        <v>3928</v>
      </c>
      <c r="J1382" s="332" t="s">
        <v>68</v>
      </c>
      <c r="K1382" s="333" t="s">
        <v>69</v>
      </c>
      <c r="L1382" s="396"/>
      <c r="M1382" s="333"/>
      <c r="N1382" s="417"/>
      <c r="O1382" s="417"/>
      <c r="P1382" s="343">
        <v>45456</v>
      </c>
      <c r="Q1382" s="333"/>
      <c r="R1382" s="333"/>
      <c r="S1382" s="373"/>
      <c r="T1382" s="373"/>
      <c r="U1382" s="373"/>
      <c r="V1382" s="373"/>
      <c r="W1382" s="346">
        <v>45036</v>
      </c>
      <c r="X1382" s="373"/>
      <c r="Y1382" s="336">
        <f t="shared" ca="1" si="26"/>
        <v>-420</v>
      </c>
      <c r="Z1382" s="373"/>
      <c r="AA1382" s="373"/>
      <c r="AB1382" s="373"/>
      <c r="AC1382" s="338" t="e">
        <f>VLOOKUP(F1382,'[1]CPO DATA'!$D:$I,4,FALSE)</f>
        <v>#N/A</v>
      </c>
      <c r="AD1382" s="418" t="str">
        <f>VLOOKUP(F1382,'STORE ITEMS'!C:F,2,FALSE)</f>
        <v>PLATE NAME</v>
      </c>
    </row>
    <row r="1383" spans="1:30" ht="12.75" customHeight="1" x14ac:dyDescent="0.25">
      <c r="A1383" s="347" t="s">
        <v>3929</v>
      </c>
      <c r="B1383" s="376">
        <v>45443</v>
      </c>
      <c r="C1383" s="396" t="s">
        <v>219</v>
      </c>
      <c r="D1383" s="332" t="s">
        <v>2541</v>
      </c>
      <c r="E1383" s="333"/>
      <c r="F1383" s="524">
        <v>554683600110</v>
      </c>
      <c r="G1383" s="372" t="s">
        <v>3930</v>
      </c>
      <c r="H1383" s="333">
        <v>1</v>
      </c>
      <c r="I1383" s="333" t="s">
        <v>3931</v>
      </c>
      <c r="J1383" s="332" t="s">
        <v>68</v>
      </c>
      <c r="K1383" s="333" t="s">
        <v>69</v>
      </c>
      <c r="P1383" s="462">
        <v>45461</v>
      </c>
      <c r="Q1383" s="333"/>
      <c r="R1383" s="333"/>
      <c r="S1383" s="373"/>
      <c r="T1383" s="373"/>
      <c r="U1383" s="373"/>
      <c r="V1383" s="373"/>
      <c r="W1383" s="346">
        <v>45519</v>
      </c>
      <c r="X1383" s="544"/>
      <c r="Y1383" s="336">
        <f t="shared" ca="1" si="26"/>
        <v>58</v>
      </c>
      <c r="Z1383" s="373"/>
      <c r="AA1383" s="373"/>
      <c r="AB1383" s="373"/>
      <c r="AD1383" s="338"/>
    </row>
    <row r="1384" spans="1:30" ht="12.75" customHeight="1" x14ac:dyDescent="0.25">
      <c r="A1384" s="347" t="s">
        <v>3932</v>
      </c>
      <c r="B1384" s="376">
        <v>45443</v>
      </c>
      <c r="C1384" s="396" t="s">
        <v>35</v>
      </c>
      <c r="D1384" s="332" t="s">
        <v>83</v>
      </c>
      <c r="E1384" s="333"/>
      <c r="F1384" s="524" t="s">
        <v>831</v>
      </c>
      <c r="G1384" s="372" t="s">
        <v>3933</v>
      </c>
      <c r="H1384" s="333">
        <v>1</v>
      </c>
      <c r="I1384" s="333" t="s">
        <v>3934</v>
      </c>
      <c r="J1384" s="332" t="s">
        <v>265</v>
      </c>
      <c r="K1384" s="333" t="s">
        <v>32</v>
      </c>
      <c r="L1384" s="396"/>
      <c r="M1384" s="333"/>
      <c r="N1384" s="417"/>
      <c r="O1384" s="417"/>
      <c r="P1384" s="343">
        <v>45456</v>
      </c>
      <c r="Q1384" s="333"/>
      <c r="R1384" s="333"/>
      <c r="S1384" s="373"/>
      <c r="T1384" s="373"/>
      <c r="U1384" s="373"/>
      <c r="V1384" s="373"/>
      <c r="W1384" s="346">
        <v>45257</v>
      </c>
      <c r="X1384" s="373"/>
      <c r="Y1384" s="336">
        <f t="shared" ca="1" si="26"/>
        <v>-199</v>
      </c>
      <c r="Z1384" s="373"/>
      <c r="AA1384" s="373"/>
      <c r="AB1384" s="373"/>
      <c r="AC1384" s="338" t="str">
        <f>VLOOKUP(F1384,'[1]CPO DATA'!$D:$I,4,FALSE)</f>
        <v>GH710</v>
      </c>
      <c r="AD1384" s="338"/>
    </row>
    <row r="1385" spans="1:30" ht="12.75" customHeight="1" x14ac:dyDescent="0.25">
      <c r="A1385" s="347" t="s">
        <v>3935</v>
      </c>
      <c r="B1385" s="376">
        <v>45446</v>
      </c>
      <c r="C1385" s="396" t="s">
        <v>35</v>
      </c>
      <c r="D1385" s="332" t="s">
        <v>71</v>
      </c>
      <c r="E1385" s="333"/>
      <c r="F1385" s="524" t="s">
        <v>3936</v>
      </c>
      <c r="G1385" s="372" t="s">
        <v>3937</v>
      </c>
      <c r="H1385" s="333">
        <v>1</v>
      </c>
      <c r="I1385" s="333"/>
      <c r="J1385" s="332" t="s">
        <v>68</v>
      </c>
      <c r="K1385" s="333" t="s">
        <v>69</v>
      </c>
      <c r="L1385" s="396"/>
      <c r="M1385" s="333"/>
      <c r="N1385" s="417"/>
      <c r="O1385" s="417"/>
      <c r="P1385" s="343">
        <v>45456</v>
      </c>
      <c r="Q1385" s="333"/>
      <c r="R1385" s="333"/>
      <c r="S1385" s="373"/>
      <c r="T1385" s="373"/>
      <c r="U1385" s="373"/>
      <c r="V1385" s="373"/>
      <c r="W1385" s="346"/>
      <c r="X1385" s="373"/>
      <c r="Y1385" s="336">
        <f t="shared" ca="1" si="26"/>
        <v>130</v>
      </c>
      <c r="Z1385" s="373"/>
      <c r="AA1385" s="373"/>
      <c r="AB1385" s="373"/>
      <c r="AC1385" s="338" t="e">
        <f>VLOOKUP(F1385,'[1]CPO DATA'!$D:$I,4,FALSE)</f>
        <v>#N/A</v>
      </c>
      <c r="AD1385" s="418" t="e">
        <f>VLOOKUP(F1385,'STORE ITEMS'!C:F,2,FALSE)</f>
        <v>#N/A</v>
      </c>
    </row>
    <row r="1386" spans="1:30" ht="12.75" customHeight="1" x14ac:dyDescent="0.25">
      <c r="A1386" s="347" t="s">
        <v>3938</v>
      </c>
      <c r="B1386" s="376">
        <v>45442</v>
      </c>
      <c r="C1386" s="396" t="s">
        <v>35</v>
      </c>
      <c r="D1386" s="332" t="s">
        <v>83</v>
      </c>
      <c r="E1386" s="333"/>
      <c r="F1386" s="524" t="s">
        <v>3939</v>
      </c>
      <c r="G1386" s="372" t="s">
        <v>3940</v>
      </c>
      <c r="H1386" s="333">
        <v>1</v>
      </c>
      <c r="I1386" s="333" t="s">
        <v>3941</v>
      </c>
      <c r="J1386" s="332" t="s">
        <v>43</v>
      </c>
      <c r="K1386" s="333" t="s">
        <v>32</v>
      </c>
      <c r="L1386" s="396"/>
      <c r="M1386" s="333"/>
      <c r="N1386" s="417"/>
      <c r="O1386" s="417"/>
      <c r="P1386" s="343">
        <v>45456</v>
      </c>
      <c r="Q1386" s="333"/>
      <c r="R1386" s="333"/>
      <c r="S1386" s="373"/>
      <c r="T1386" s="373"/>
      <c r="U1386" s="373"/>
      <c r="V1386" s="373"/>
      <c r="W1386" s="346"/>
      <c r="X1386" s="373"/>
      <c r="Y1386" s="336">
        <f t="shared" ca="1" si="26"/>
        <v>130</v>
      </c>
      <c r="Z1386" s="373"/>
      <c r="AA1386" s="373"/>
      <c r="AB1386" s="373"/>
      <c r="AC1386" s="338" t="str">
        <f>VLOOKUP(F1386,'[1]CPO DATA'!$D:$I,4,FALSE)</f>
        <v>GH682</v>
      </c>
      <c r="AD1386" s="338"/>
    </row>
    <row r="1387" spans="1:30" ht="12.75" customHeight="1" x14ac:dyDescent="0.25">
      <c r="A1387" s="347" t="s">
        <v>3942</v>
      </c>
      <c r="B1387" s="376">
        <v>45442</v>
      </c>
      <c r="C1387" s="396" t="s">
        <v>35</v>
      </c>
      <c r="D1387" s="332" t="s">
        <v>71</v>
      </c>
      <c r="E1387" s="333"/>
      <c r="F1387" s="524" t="s">
        <v>3943</v>
      </c>
      <c r="G1387" s="372" t="s">
        <v>3944</v>
      </c>
      <c r="H1387" s="333">
        <v>5</v>
      </c>
      <c r="I1387" s="333" t="s">
        <v>3945</v>
      </c>
      <c r="J1387" s="332" t="s">
        <v>43</v>
      </c>
      <c r="K1387" s="333" t="s">
        <v>32</v>
      </c>
      <c r="L1387" s="396"/>
      <c r="M1387" s="333"/>
      <c r="N1387" s="417"/>
      <c r="O1387" s="417"/>
      <c r="P1387" s="343">
        <v>45456</v>
      </c>
      <c r="Q1387" s="333"/>
      <c r="R1387" s="333"/>
      <c r="S1387" s="373"/>
      <c r="T1387" s="373"/>
      <c r="U1387" s="373"/>
      <c r="V1387" s="373"/>
      <c r="W1387" s="346"/>
      <c r="X1387" s="373"/>
      <c r="Y1387" s="336">
        <f t="shared" ca="1" si="26"/>
        <v>130</v>
      </c>
      <c r="Z1387" s="373"/>
      <c r="AA1387" s="373"/>
      <c r="AB1387" s="373"/>
      <c r="AC1387" s="338" t="e">
        <f>VLOOKUP(F1387,'[1]CPO DATA'!$D:$I,4,FALSE)</f>
        <v>#N/A</v>
      </c>
      <c r="AD1387" s="418" t="str">
        <f>VLOOKUP(F1387,'STORE ITEMS'!C:F,2,FALSE)</f>
        <v>SCREW, PAN TAPPING</v>
      </c>
    </row>
    <row r="1388" spans="1:30" ht="12.75" customHeight="1" x14ac:dyDescent="0.25">
      <c r="A1388" s="347" t="s">
        <v>3946</v>
      </c>
      <c r="B1388" s="376">
        <v>45441</v>
      </c>
      <c r="C1388" s="396" t="s">
        <v>35</v>
      </c>
      <c r="D1388" s="332" t="s">
        <v>71</v>
      </c>
      <c r="E1388" s="333"/>
      <c r="F1388" s="524" t="s">
        <v>2110</v>
      </c>
      <c r="G1388" s="372" t="s">
        <v>3947</v>
      </c>
      <c r="H1388" s="333">
        <v>1</v>
      </c>
      <c r="I1388" s="333" t="s">
        <v>3948</v>
      </c>
      <c r="J1388" s="332" t="s">
        <v>68</v>
      </c>
      <c r="K1388" s="333" t="s">
        <v>69</v>
      </c>
      <c r="L1388" s="396"/>
      <c r="M1388" s="333"/>
      <c r="N1388" s="417"/>
      <c r="O1388" s="417"/>
      <c r="P1388" s="343">
        <v>45456</v>
      </c>
      <c r="Q1388" s="333"/>
      <c r="R1388" s="333"/>
      <c r="S1388" s="373"/>
      <c r="T1388" s="373"/>
      <c r="U1388" s="373"/>
      <c r="V1388" s="373"/>
      <c r="W1388" s="346"/>
      <c r="X1388" s="373"/>
      <c r="Y1388" s="336">
        <f t="shared" ca="1" si="26"/>
        <v>130</v>
      </c>
      <c r="Z1388" s="373"/>
      <c r="AA1388" s="373"/>
      <c r="AB1388" s="373"/>
      <c r="AC1388" s="338" t="e">
        <f>VLOOKUP(F1388,'[1]CPO DATA'!$D:$I,4,FALSE)</f>
        <v>#N/A</v>
      </c>
      <c r="AD1388" s="418" t="str">
        <f>VLOOKUP(F1388,'STORE ITEMS'!C:F,2,FALSE)</f>
        <v>LABEL PASSENGER AIRBAG CAUTION</v>
      </c>
    </row>
    <row r="1389" spans="1:30" ht="12.75" customHeight="1" x14ac:dyDescent="0.25">
      <c r="A1389" s="347" t="s">
        <v>3949</v>
      </c>
      <c r="B1389" s="376">
        <v>45398</v>
      </c>
      <c r="C1389" s="396" t="s">
        <v>35</v>
      </c>
      <c r="D1389" s="332" t="s">
        <v>83</v>
      </c>
      <c r="E1389" s="333"/>
      <c r="F1389" s="524" t="s">
        <v>3950</v>
      </c>
      <c r="G1389" s="372" t="s">
        <v>3951</v>
      </c>
      <c r="H1389" s="333">
        <v>1</v>
      </c>
      <c r="I1389" s="333" t="s">
        <v>3952</v>
      </c>
      <c r="J1389" s="332" t="s">
        <v>31</v>
      </c>
      <c r="K1389" s="333" t="s">
        <v>32</v>
      </c>
      <c r="L1389" s="396"/>
      <c r="M1389" s="364"/>
      <c r="N1389" s="485"/>
      <c r="O1389" s="485"/>
      <c r="P1389" s="343">
        <v>45456</v>
      </c>
      <c r="Q1389" s="333"/>
      <c r="R1389" s="333"/>
      <c r="S1389" s="373"/>
      <c r="T1389" s="373"/>
      <c r="U1389" s="373"/>
      <c r="V1389" s="373"/>
      <c r="W1389" s="346"/>
      <c r="X1389" s="373"/>
      <c r="Y1389" s="336">
        <f t="shared" ca="1" si="26"/>
        <v>130</v>
      </c>
      <c r="Z1389" s="373"/>
      <c r="AA1389" s="373"/>
      <c r="AB1389" s="373"/>
      <c r="AC1389" s="338" t="str">
        <f>VLOOKUP(F1389,'[1]CPO DATA'!$D:$I,4,FALSE)</f>
        <v>GH710</v>
      </c>
      <c r="AD1389" s="338"/>
    </row>
    <row r="1390" spans="1:30" ht="12.75" customHeight="1" x14ac:dyDescent="0.25">
      <c r="A1390" s="347" t="s">
        <v>3953</v>
      </c>
      <c r="B1390" s="376">
        <v>45456</v>
      </c>
      <c r="C1390" s="396" t="s">
        <v>35</v>
      </c>
      <c r="D1390" s="332" t="s">
        <v>36</v>
      </c>
      <c r="E1390" s="333"/>
      <c r="F1390" s="524" t="s">
        <v>3954</v>
      </c>
      <c r="G1390" s="372" t="s">
        <v>2162</v>
      </c>
      <c r="H1390" s="333">
        <v>10</v>
      </c>
      <c r="I1390" s="333" t="s">
        <v>3955</v>
      </c>
      <c r="J1390" s="332" t="s">
        <v>46</v>
      </c>
      <c r="K1390" s="333" t="s">
        <v>32</v>
      </c>
      <c r="M1390" s="333"/>
      <c r="N1390" s="417"/>
      <c r="O1390" s="417"/>
      <c r="P1390" s="343">
        <v>45461</v>
      </c>
      <c r="Q1390" s="333"/>
      <c r="R1390" s="333"/>
      <c r="S1390" s="373"/>
      <c r="T1390" s="373"/>
      <c r="U1390" s="373"/>
      <c r="V1390" s="373"/>
      <c r="W1390" s="346"/>
      <c r="X1390" s="373"/>
      <c r="Y1390" s="336">
        <f t="shared" ca="1" si="26"/>
        <v>125</v>
      </c>
      <c r="Z1390" s="373"/>
      <c r="AA1390" s="373"/>
      <c r="AB1390" s="373"/>
      <c r="AC1390" s="338" t="e">
        <f>VLOOKUP(F1390,'[1]CPO DATA'!$D:$I,4,FALSE)</f>
        <v>#N/A</v>
      </c>
      <c r="AD1390" s="418" t="str">
        <f>VLOOKUP(F1390,'STORE ITEMS'!C:F,2,FALSE)</f>
        <v>NUT</v>
      </c>
    </row>
    <row r="1391" spans="1:30" ht="12.75" customHeight="1" x14ac:dyDescent="0.25">
      <c r="A1391" s="347" t="s">
        <v>3956</v>
      </c>
      <c r="B1391" s="376">
        <v>45446</v>
      </c>
      <c r="C1391" s="396" t="s">
        <v>35</v>
      </c>
      <c r="D1391" s="332" t="s">
        <v>71</v>
      </c>
      <c r="E1391" s="333"/>
      <c r="F1391" s="524" t="s">
        <v>663</v>
      </c>
      <c r="G1391" s="372" t="s">
        <v>3957</v>
      </c>
      <c r="H1391" s="333">
        <v>1</v>
      </c>
      <c r="I1391" s="333" t="s">
        <v>3948</v>
      </c>
      <c r="J1391" s="332" t="s">
        <v>68</v>
      </c>
      <c r="K1391" s="333" t="s">
        <v>69</v>
      </c>
      <c r="M1391" s="333"/>
      <c r="N1391" s="417"/>
      <c r="O1391" s="417"/>
      <c r="P1391" s="343">
        <v>45461</v>
      </c>
      <c r="Q1391" s="333"/>
      <c r="R1391" s="333"/>
      <c r="S1391" s="373"/>
      <c r="T1391" s="373"/>
      <c r="U1391" s="373"/>
      <c r="V1391" s="373"/>
      <c r="W1391" s="346">
        <v>44996</v>
      </c>
      <c r="X1391" s="373"/>
      <c r="Y1391" s="336">
        <f t="shared" ca="1" si="26"/>
        <v>-465</v>
      </c>
      <c r="Z1391" s="373"/>
      <c r="AA1391" s="373"/>
      <c r="AB1391" s="373"/>
      <c r="AC1391" s="338" t="e">
        <f>VLOOKUP(F1391,'[1]CPO DATA'!$D:$I,4,FALSE)</f>
        <v>#N/A</v>
      </c>
      <c r="AD1391" s="418" t="str">
        <f>VLOOKUP(F1391,'STORE ITEMS'!C:F,2,FALSE)</f>
        <v>PLATE RR BODY NAME NO.1</v>
      </c>
    </row>
    <row r="1392" spans="1:30" ht="12.75" customHeight="1" x14ac:dyDescent="0.25">
      <c r="A1392" s="347" t="s">
        <v>3958</v>
      </c>
      <c r="B1392" s="376">
        <v>45455</v>
      </c>
      <c r="C1392" s="396" t="s">
        <v>35</v>
      </c>
      <c r="D1392" s="332" t="s">
        <v>3959</v>
      </c>
      <c r="E1392" s="333"/>
      <c r="F1392" s="524" t="s">
        <v>3960</v>
      </c>
      <c r="G1392" s="372" t="s">
        <v>307</v>
      </c>
      <c r="H1392" s="333">
        <v>4</v>
      </c>
      <c r="I1392" s="333">
        <v>3</v>
      </c>
      <c r="J1392" s="332" t="s">
        <v>541</v>
      </c>
      <c r="K1392" s="333" t="s">
        <v>32</v>
      </c>
      <c r="M1392" s="333"/>
      <c r="N1392" s="417"/>
      <c r="O1392" s="417"/>
      <c r="P1392" s="343">
        <v>45461</v>
      </c>
      <c r="Q1392" s="333"/>
      <c r="R1392" s="333"/>
      <c r="S1392" s="373"/>
      <c r="T1392" s="373"/>
      <c r="U1392" s="373"/>
      <c r="V1392" s="373"/>
      <c r="W1392" s="346"/>
      <c r="X1392" s="373"/>
      <c r="Y1392" s="336">
        <f t="shared" ca="1" si="26"/>
        <v>125</v>
      </c>
      <c r="Z1392" s="373"/>
      <c r="AA1392" s="373"/>
      <c r="AB1392" s="373"/>
      <c r="AC1392" s="338" t="e">
        <f>VLOOKUP(F1392,'[1]CPO DATA'!$D:$I,4,FALSE)</f>
        <v>#N/A</v>
      </c>
      <c r="AD1392" s="418" t="e">
        <f>VLOOKUP(F1392,'STORE ITEMS'!C:F,2,FALSE)</f>
        <v>#N/A</v>
      </c>
    </row>
    <row r="1393" spans="1:30" ht="12.75" customHeight="1" x14ac:dyDescent="0.25">
      <c r="A1393" s="347" t="s">
        <v>3961</v>
      </c>
      <c r="B1393" s="376">
        <v>45456</v>
      </c>
      <c r="C1393" s="396" t="s">
        <v>35</v>
      </c>
      <c r="D1393" s="332" t="s">
        <v>36</v>
      </c>
      <c r="E1393" s="333"/>
      <c r="F1393" s="524" t="s">
        <v>3962</v>
      </c>
      <c r="G1393" s="372" t="s">
        <v>3963</v>
      </c>
      <c r="H1393" s="333">
        <v>10</v>
      </c>
      <c r="I1393" s="333" t="s">
        <v>3964</v>
      </c>
      <c r="J1393" s="332" t="s">
        <v>46</v>
      </c>
      <c r="K1393" s="333" t="s">
        <v>32</v>
      </c>
      <c r="M1393" s="333"/>
      <c r="N1393" s="417"/>
      <c r="O1393" s="417"/>
      <c r="P1393" s="343">
        <v>45461</v>
      </c>
      <c r="Q1393" s="333"/>
      <c r="R1393" s="333"/>
      <c r="S1393" s="373"/>
      <c r="T1393" s="373"/>
      <c r="U1393" s="373"/>
      <c r="V1393" s="373"/>
      <c r="W1393" s="346"/>
      <c r="X1393" s="373"/>
      <c r="Y1393" s="336">
        <f t="shared" ca="1" si="26"/>
        <v>125</v>
      </c>
      <c r="Z1393" s="373"/>
      <c r="AA1393" s="373"/>
      <c r="AB1393" s="373"/>
      <c r="AC1393" s="338" t="e">
        <f>VLOOKUP(F1393,'[1]CPO DATA'!$D:$I,4,FALSE)</f>
        <v>#N/A</v>
      </c>
      <c r="AD1393" s="418" t="e">
        <f>VLOOKUP(F1393,'STORE ITEMS'!C:F,2,FALSE)</f>
        <v>#N/A</v>
      </c>
    </row>
    <row r="1394" spans="1:30" ht="12.75" customHeight="1" x14ac:dyDescent="0.25">
      <c r="A1394" s="347" t="s">
        <v>3965</v>
      </c>
      <c r="B1394" s="376">
        <v>45456</v>
      </c>
      <c r="C1394" s="396" t="s">
        <v>35</v>
      </c>
      <c r="D1394" s="332" t="s">
        <v>36</v>
      </c>
      <c r="E1394" s="333"/>
      <c r="F1394" s="524" t="s">
        <v>3966</v>
      </c>
      <c r="G1394" s="372" t="s">
        <v>3967</v>
      </c>
      <c r="H1394" s="333">
        <v>5</v>
      </c>
      <c r="I1394" s="333" t="s">
        <v>3968</v>
      </c>
      <c r="J1394" s="332" t="s">
        <v>46</v>
      </c>
      <c r="K1394" s="333" t="s">
        <v>32</v>
      </c>
      <c r="M1394" s="333"/>
      <c r="N1394" s="417"/>
      <c r="O1394" s="417"/>
      <c r="P1394" s="343">
        <v>45461</v>
      </c>
      <c r="Q1394" s="333"/>
      <c r="R1394" s="333"/>
      <c r="S1394" s="373"/>
      <c r="T1394" s="373"/>
      <c r="U1394" s="373"/>
      <c r="V1394" s="373"/>
      <c r="W1394" s="346"/>
      <c r="X1394" s="373"/>
      <c r="Y1394" s="336">
        <f t="shared" ca="1" si="26"/>
        <v>125</v>
      </c>
      <c r="Z1394" s="373"/>
      <c r="AA1394" s="373"/>
      <c r="AB1394" s="373"/>
      <c r="AC1394" s="338" t="e">
        <f>VLOOKUP(F1394,'[1]CPO DATA'!$D:$I,4,FALSE)</f>
        <v>#N/A</v>
      </c>
      <c r="AD1394" s="418" t="e">
        <f>VLOOKUP(F1394,'STORE ITEMS'!C:F,2,FALSE)</f>
        <v>#N/A</v>
      </c>
    </row>
    <row r="1395" spans="1:30" ht="12.75" customHeight="1" x14ac:dyDescent="0.25">
      <c r="A1395" s="347" t="s">
        <v>3969</v>
      </c>
      <c r="B1395" s="376">
        <v>45456</v>
      </c>
      <c r="C1395" s="396" t="s">
        <v>35</v>
      </c>
      <c r="D1395" s="332" t="s">
        <v>36</v>
      </c>
      <c r="E1395" s="333"/>
      <c r="F1395" s="524" t="s">
        <v>3970</v>
      </c>
      <c r="G1395" s="372" t="s">
        <v>3971</v>
      </c>
      <c r="H1395" s="333">
        <v>5</v>
      </c>
      <c r="I1395" s="333" t="s">
        <v>3968</v>
      </c>
      <c r="J1395" s="332" t="s">
        <v>46</v>
      </c>
      <c r="K1395" s="333" t="s">
        <v>32</v>
      </c>
      <c r="M1395" s="333"/>
      <c r="N1395" s="417"/>
      <c r="O1395" s="417"/>
      <c r="P1395" s="343">
        <v>45461</v>
      </c>
      <c r="Q1395" s="333"/>
      <c r="R1395" s="333"/>
      <c r="S1395" s="373"/>
      <c r="T1395" s="373"/>
      <c r="U1395" s="373"/>
      <c r="V1395" s="373"/>
      <c r="W1395" s="346"/>
      <c r="X1395" s="373"/>
      <c r="Y1395" s="336">
        <f t="shared" ca="1" si="26"/>
        <v>125</v>
      </c>
      <c r="Z1395" s="373"/>
      <c r="AA1395" s="373"/>
      <c r="AB1395" s="373"/>
      <c r="AC1395" s="338" t="e">
        <f>VLOOKUP(F1395,'[1]CPO DATA'!$D:$I,4,FALSE)</f>
        <v>#N/A</v>
      </c>
      <c r="AD1395" s="418" t="e">
        <f>VLOOKUP(F1395,'STORE ITEMS'!C:F,2,FALSE)</f>
        <v>#N/A</v>
      </c>
    </row>
    <row r="1396" spans="1:30" ht="12.75" customHeight="1" x14ac:dyDescent="0.25">
      <c r="A1396" s="347" t="s">
        <v>3972</v>
      </c>
      <c r="B1396" s="376">
        <v>45461</v>
      </c>
      <c r="C1396" s="396" t="s">
        <v>3540</v>
      </c>
      <c r="D1396" s="332" t="s">
        <v>3544</v>
      </c>
      <c r="E1396" s="333"/>
      <c r="F1396" s="524" t="s">
        <v>3973</v>
      </c>
      <c r="G1396" s="545" t="s">
        <v>3974</v>
      </c>
      <c r="H1396" s="372">
        <v>1</v>
      </c>
      <c r="I1396" s="372">
        <v>43</v>
      </c>
      <c r="J1396" s="332" t="s">
        <v>31</v>
      </c>
      <c r="K1396" s="333" t="s">
        <v>32</v>
      </c>
      <c r="M1396" s="333"/>
      <c r="N1396" s="417"/>
      <c r="O1396" s="417"/>
      <c r="P1396" s="343">
        <v>45461</v>
      </c>
      <c r="Q1396" s="333"/>
      <c r="R1396" s="333"/>
      <c r="S1396" s="373"/>
      <c r="T1396" s="373"/>
      <c r="U1396" s="373"/>
      <c r="V1396" s="373"/>
      <c r="W1396" s="346"/>
      <c r="X1396" s="373"/>
      <c r="Y1396" s="336">
        <f t="shared" ca="1" si="26"/>
        <v>125</v>
      </c>
      <c r="Z1396" s="373"/>
      <c r="AA1396" s="373"/>
      <c r="AB1396" s="373"/>
    </row>
    <row r="1397" spans="1:30" ht="12.75" customHeight="1" x14ac:dyDescent="0.25">
      <c r="A1397" s="347" t="s">
        <v>3975</v>
      </c>
      <c r="B1397" s="376">
        <v>45461</v>
      </c>
      <c r="C1397" s="396" t="s">
        <v>3540</v>
      </c>
      <c r="D1397" s="332" t="s">
        <v>3544</v>
      </c>
      <c r="E1397" s="333"/>
      <c r="F1397" s="524" t="s">
        <v>3976</v>
      </c>
      <c r="G1397" s="372" t="s">
        <v>3977</v>
      </c>
      <c r="H1397" s="372">
        <v>1</v>
      </c>
      <c r="I1397" s="372">
        <v>43</v>
      </c>
      <c r="J1397" s="332" t="s">
        <v>31</v>
      </c>
      <c r="K1397" s="333" t="s">
        <v>32</v>
      </c>
      <c r="M1397" s="333"/>
      <c r="N1397" s="417"/>
      <c r="O1397" s="417"/>
      <c r="P1397" s="343">
        <v>45461</v>
      </c>
      <c r="Q1397" s="461">
        <v>45518</v>
      </c>
      <c r="R1397" s="333"/>
      <c r="S1397" s="373"/>
      <c r="T1397" s="373"/>
      <c r="U1397" s="373"/>
      <c r="V1397" s="373"/>
      <c r="W1397" s="346" t="s">
        <v>1164</v>
      </c>
      <c r="X1397" s="373"/>
      <c r="Y1397" s="336">
        <f t="shared" ca="1" si="26"/>
        <v>125</v>
      </c>
      <c r="Z1397" s="373"/>
      <c r="AA1397" s="373"/>
      <c r="AB1397" s="373"/>
    </row>
    <row r="1398" spans="1:30" ht="12.75" customHeight="1" x14ac:dyDescent="0.25">
      <c r="A1398" s="347" t="s">
        <v>3978</v>
      </c>
      <c r="B1398" s="376">
        <v>45461</v>
      </c>
      <c r="C1398" s="396" t="s">
        <v>3540</v>
      </c>
      <c r="D1398" s="332" t="s">
        <v>1843</v>
      </c>
      <c r="E1398" s="333"/>
      <c r="F1398" s="524" t="s">
        <v>3979</v>
      </c>
      <c r="G1398" s="372" t="s">
        <v>3980</v>
      </c>
      <c r="H1398" s="372">
        <v>1</v>
      </c>
      <c r="I1398" s="372">
        <v>43</v>
      </c>
      <c r="J1398" s="332" t="s">
        <v>68</v>
      </c>
      <c r="K1398" s="333" t="s">
        <v>69</v>
      </c>
      <c r="M1398" s="333"/>
      <c r="N1398" s="417"/>
      <c r="O1398" s="417"/>
      <c r="P1398" s="343">
        <v>45461</v>
      </c>
      <c r="Q1398" s="333"/>
      <c r="R1398" s="333"/>
      <c r="S1398" s="373"/>
      <c r="T1398" s="373"/>
      <c r="U1398" s="373"/>
      <c r="V1398" s="373"/>
      <c r="W1398" s="346" t="s">
        <v>1164</v>
      </c>
      <c r="X1398" s="373"/>
      <c r="Y1398" s="336">
        <f t="shared" ca="1" si="26"/>
        <v>125</v>
      </c>
      <c r="Z1398" s="373"/>
      <c r="AA1398" s="373"/>
      <c r="AB1398" s="373"/>
    </row>
    <row r="1399" spans="1:30" ht="12.75" customHeight="1" x14ac:dyDescent="0.25">
      <c r="A1399" s="347" t="s">
        <v>3981</v>
      </c>
      <c r="B1399" s="376">
        <v>45461</v>
      </c>
      <c r="C1399" s="396" t="s">
        <v>3540</v>
      </c>
      <c r="D1399" s="332" t="s">
        <v>3544</v>
      </c>
      <c r="E1399" s="333"/>
      <c r="F1399" s="524" t="s">
        <v>3982</v>
      </c>
      <c r="G1399" s="372" t="s">
        <v>3983</v>
      </c>
      <c r="H1399" s="372">
        <v>1</v>
      </c>
      <c r="I1399" s="372">
        <v>43</v>
      </c>
      <c r="J1399" s="332" t="s">
        <v>31</v>
      </c>
      <c r="K1399" s="333" t="s">
        <v>32</v>
      </c>
      <c r="M1399" s="333"/>
      <c r="N1399" s="417"/>
      <c r="O1399" s="417"/>
      <c r="P1399" s="343">
        <v>45461</v>
      </c>
      <c r="Q1399" s="333"/>
      <c r="R1399" s="333"/>
      <c r="S1399" s="373"/>
      <c r="T1399" s="373"/>
      <c r="U1399" s="373"/>
      <c r="V1399" s="373"/>
      <c r="W1399" s="498">
        <v>45518</v>
      </c>
      <c r="X1399" s="373"/>
      <c r="Y1399" s="336">
        <f t="shared" ca="1" si="26"/>
        <v>57</v>
      </c>
      <c r="Z1399" s="373"/>
      <c r="AA1399" s="373"/>
      <c r="AB1399" s="373"/>
    </row>
    <row r="1400" spans="1:30" ht="12.75" customHeight="1" x14ac:dyDescent="0.25">
      <c r="A1400" s="347" t="s">
        <v>3984</v>
      </c>
      <c r="B1400" s="376">
        <v>45461</v>
      </c>
      <c r="C1400" s="396" t="s">
        <v>3540</v>
      </c>
      <c r="D1400" s="332" t="s">
        <v>3544</v>
      </c>
      <c r="E1400" s="333"/>
      <c r="F1400" s="524" t="s">
        <v>3985</v>
      </c>
      <c r="G1400" s="372" t="s">
        <v>3986</v>
      </c>
      <c r="H1400" s="372">
        <v>1</v>
      </c>
      <c r="I1400" s="372">
        <v>42</v>
      </c>
      <c r="J1400" s="332" t="s">
        <v>31</v>
      </c>
      <c r="K1400" s="333" t="s">
        <v>32</v>
      </c>
      <c r="M1400" s="333"/>
      <c r="N1400" s="417"/>
      <c r="O1400" s="417"/>
      <c r="P1400" s="343">
        <v>45461</v>
      </c>
      <c r="Q1400" s="333"/>
      <c r="R1400" s="333"/>
      <c r="S1400" s="373"/>
      <c r="T1400" s="373"/>
      <c r="U1400" s="373"/>
      <c r="V1400" s="373"/>
      <c r="W1400" s="346" t="s">
        <v>1164</v>
      </c>
      <c r="X1400" s="373"/>
      <c r="Y1400" s="336">
        <f t="shared" ca="1" si="26"/>
        <v>125</v>
      </c>
      <c r="Z1400" s="373"/>
      <c r="AA1400" s="373"/>
      <c r="AB1400" s="373"/>
    </row>
    <row r="1401" spans="1:30" ht="12.75" customHeight="1" x14ac:dyDescent="0.25">
      <c r="A1401" s="347" t="s">
        <v>3987</v>
      </c>
      <c r="B1401" s="376">
        <v>45461</v>
      </c>
      <c r="C1401" s="396" t="s">
        <v>3540</v>
      </c>
      <c r="D1401" s="332" t="s">
        <v>1843</v>
      </c>
      <c r="E1401" s="333"/>
      <c r="F1401" s="524" t="s">
        <v>3988</v>
      </c>
      <c r="G1401" s="372" t="s">
        <v>3989</v>
      </c>
      <c r="H1401" s="372">
        <v>1</v>
      </c>
      <c r="I1401" s="372">
        <v>43</v>
      </c>
      <c r="J1401" s="332" t="s">
        <v>68</v>
      </c>
      <c r="K1401" s="333" t="s">
        <v>69</v>
      </c>
      <c r="M1401" s="333"/>
      <c r="N1401" s="417"/>
      <c r="O1401" s="417"/>
      <c r="P1401" s="343">
        <v>45461</v>
      </c>
      <c r="Q1401" s="333"/>
      <c r="R1401" s="333"/>
      <c r="S1401" s="373"/>
      <c r="T1401" s="373"/>
      <c r="U1401" s="373"/>
      <c r="V1401" s="373"/>
      <c r="W1401" s="346" t="s">
        <v>1164</v>
      </c>
      <c r="X1401" s="373"/>
      <c r="Y1401" s="336">
        <f t="shared" ca="1" si="26"/>
        <v>125</v>
      </c>
      <c r="Z1401" s="373"/>
      <c r="AA1401" s="373"/>
      <c r="AB1401" s="373"/>
    </row>
    <row r="1402" spans="1:30" ht="12.75" customHeight="1" x14ac:dyDescent="0.25">
      <c r="A1402" s="347" t="s">
        <v>3990</v>
      </c>
      <c r="B1402" s="376">
        <v>45461</v>
      </c>
      <c r="C1402" s="396" t="s">
        <v>3540</v>
      </c>
      <c r="D1402" s="332" t="s">
        <v>3544</v>
      </c>
      <c r="E1402" s="333"/>
      <c r="F1402" s="524" t="s">
        <v>3991</v>
      </c>
      <c r="G1402" s="372" t="s">
        <v>3992</v>
      </c>
      <c r="H1402" s="372">
        <v>2</v>
      </c>
      <c r="I1402" s="372">
        <v>43</v>
      </c>
      <c r="J1402" s="332" t="s">
        <v>31</v>
      </c>
      <c r="K1402" s="333" t="s">
        <v>32</v>
      </c>
      <c r="M1402" s="333"/>
      <c r="N1402" s="417"/>
      <c r="O1402" s="417"/>
      <c r="P1402" s="343">
        <v>45461</v>
      </c>
      <c r="Q1402" s="333"/>
      <c r="R1402" s="333"/>
      <c r="S1402" s="373"/>
      <c r="T1402" s="373"/>
      <c r="U1402" s="373"/>
      <c r="V1402" s="373"/>
      <c r="W1402" s="498">
        <v>45518</v>
      </c>
      <c r="X1402" s="373"/>
      <c r="Y1402" s="336">
        <f t="shared" ca="1" si="26"/>
        <v>57</v>
      </c>
      <c r="Z1402" s="373"/>
      <c r="AA1402" s="373"/>
      <c r="AB1402" s="373"/>
    </row>
    <row r="1403" spans="1:30" ht="12.75" customHeight="1" x14ac:dyDescent="0.25">
      <c r="A1403" s="347" t="s">
        <v>3993</v>
      </c>
      <c r="B1403" s="376">
        <v>45461</v>
      </c>
      <c r="C1403" s="396" t="s">
        <v>3540</v>
      </c>
      <c r="D1403" s="332" t="s">
        <v>3544</v>
      </c>
      <c r="E1403" s="333"/>
      <c r="F1403" s="524" t="s">
        <v>3994</v>
      </c>
      <c r="G1403" s="546" t="s">
        <v>3995</v>
      </c>
      <c r="H1403" s="372">
        <v>24</v>
      </c>
      <c r="I1403" s="372" t="s">
        <v>3996</v>
      </c>
      <c r="J1403" s="332" t="s">
        <v>46</v>
      </c>
      <c r="K1403" s="333" t="s">
        <v>32</v>
      </c>
      <c r="M1403" s="333"/>
      <c r="N1403" s="417"/>
      <c r="O1403" s="417"/>
      <c r="P1403" s="343">
        <v>45461</v>
      </c>
      <c r="Q1403" s="333"/>
      <c r="R1403" s="333"/>
      <c r="S1403" s="373"/>
      <c r="T1403" s="373"/>
      <c r="U1403" s="373"/>
      <c r="V1403" s="373"/>
      <c r="W1403" s="346"/>
      <c r="X1403" s="373"/>
      <c r="Y1403" s="336">
        <f t="shared" ca="1" si="26"/>
        <v>125</v>
      </c>
      <c r="Z1403" s="373"/>
      <c r="AA1403" s="373"/>
      <c r="AB1403" s="373"/>
    </row>
    <row r="1404" spans="1:30" ht="12.75" customHeight="1" x14ac:dyDescent="0.25">
      <c r="A1404" s="347" t="s">
        <v>3997</v>
      </c>
      <c r="B1404" s="376">
        <v>45461</v>
      </c>
      <c r="C1404" s="396" t="s">
        <v>3540</v>
      </c>
      <c r="D1404" s="332" t="s">
        <v>3544</v>
      </c>
      <c r="E1404" s="333"/>
      <c r="F1404" s="524" t="s">
        <v>3998</v>
      </c>
      <c r="G1404" s="372" t="s">
        <v>3999</v>
      </c>
      <c r="H1404" s="372">
        <v>1</v>
      </c>
      <c r="I1404" s="372">
        <v>43</v>
      </c>
      <c r="J1404" s="332" t="s">
        <v>43</v>
      </c>
      <c r="K1404" s="333" t="s">
        <v>32</v>
      </c>
      <c r="M1404" s="333"/>
      <c r="N1404" s="417"/>
      <c r="O1404" s="417"/>
      <c r="P1404" s="343">
        <v>45461</v>
      </c>
      <c r="Q1404" s="333"/>
      <c r="R1404" s="333"/>
      <c r="S1404" s="373"/>
      <c r="T1404" s="373"/>
      <c r="U1404" s="373"/>
      <c r="V1404" s="373"/>
      <c r="W1404" s="498">
        <v>45518</v>
      </c>
      <c r="X1404" s="373"/>
      <c r="Y1404" s="336">
        <f t="shared" ca="1" si="26"/>
        <v>57</v>
      </c>
      <c r="Z1404" s="373"/>
      <c r="AA1404" s="373"/>
      <c r="AB1404" s="373"/>
    </row>
    <row r="1405" spans="1:30" ht="12.75" customHeight="1" x14ac:dyDescent="0.25">
      <c r="A1405" s="347" t="s">
        <v>4000</v>
      </c>
      <c r="B1405" s="376">
        <v>45461</v>
      </c>
      <c r="C1405" s="396" t="s">
        <v>219</v>
      </c>
      <c r="D1405" s="332" t="s">
        <v>1589</v>
      </c>
      <c r="E1405" s="333"/>
      <c r="F1405" s="524">
        <v>585891000102</v>
      </c>
      <c r="G1405" s="546" t="s">
        <v>4001</v>
      </c>
      <c r="H1405" s="372">
        <v>2</v>
      </c>
      <c r="I1405" s="372" t="s">
        <v>4002</v>
      </c>
      <c r="J1405" s="332" t="s">
        <v>265</v>
      </c>
      <c r="K1405" s="333" t="s">
        <v>32</v>
      </c>
      <c r="M1405" s="333"/>
      <c r="N1405" s="417"/>
      <c r="O1405" s="417"/>
      <c r="P1405" s="343">
        <v>45461</v>
      </c>
      <c r="Q1405" s="333"/>
      <c r="R1405" s="333"/>
      <c r="S1405" s="373"/>
      <c r="T1405" s="373"/>
      <c r="U1405" s="373"/>
      <c r="V1405" s="373"/>
      <c r="W1405" s="346"/>
      <c r="X1405" s="373"/>
      <c r="Y1405" s="336">
        <f t="shared" ca="1" si="26"/>
        <v>125</v>
      </c>
      <c r="Z1405" s="373"/>
      <c r="AA1405" s="373"/>
      <c r="AB1405" s="373"/>
      <c r="AD1405" s="338"/>
    </row>
    <row r="1406" spans="1:30" ht="12.75" customHeight="1" x14ac:dyDescent="0.25">
      <c r="A1406" s="347" t="s">
        <v>4003</v>
      </c>
      <c r="B1406" s="376">
        <v>45449</v>
      </c>
      <c r="C1406" s="396" t="s">
        <v>60</v>
      </c>
      <c r="D1406" s="332" t="s">
        <v>880</v>
      </c>
      <c r="E1406" s="333"/>
      <c r="F1406" s="524" t="s">
        <v>4004</v>
      </c>
      <c r="G1406" s="372" t="s">
        <v>4005</v>
      </c>
      <c r="H1406" s="372">
        <v>1</v>
      </c>
      <c r="I1406" s="372">
        <v>378</v>
      </c>
      <c r="J1406" s="332" t="s">
        <v>31</v>
      </c>
      <c r="K1406" s="333" t="s">
        <v>32</v>
      </c>
      <c r="M1406" s="333"/>
      <c r="N1406" s="417"/>
      <c r="O1406" s="417"/>
      <c r="P1406" s="343">
        <v>45461</v>
      </c>
      <c r="Q1406" s="333"/>
      <c r="R1406" s="333"/>
      <c r="S1406" s="373"/>
      <c r="T1406" s="373"/>
      <c r="U1406" s="373"/>
      <c r="V1406" s="373"/>
      <c r="W1406" s="346">
        <v>45303</v>
      </c>
      <c r="X1406" s="373"/>
      <c r="Y1406" s="336">
        <f t="shared" ca="1" si="26"/>
        <v>-158</v>
      </c>
      <c r="Z1406" s="373"/>
      <c r="AA1406" s="373"/>
      <c r="AB1406" s="373"/>
      <c r="AD1406" s="338"/>
    </row>
    <row r="1407" spans="1:30" ht="12.75" customHeight="1" x14ac:dyDescent="0.25">
      <c r="A1407" s="347" t="s">
        <v>4006</v>
      </c>
      <c r="B1407" s="376">
        <v>45449</v>
      </c>
      <c r="C1407" s="333" t="s">
        <v>219</v>
      </c>
      <c r="D1407" s="332">
        <v>1216</v>
      </c>
      <c r="E1407" s="333"/>
      <c r="F1407" s="524">
        <v>217929100119</v>
      </c>
      <c r="G1407" s="372" t="s">
        <v>4007</v>
      </c>
      <c r="H1407" s="372">
        <v>1</v>
      </c>
      <c r="I1407" s="372" t="s">
        <v>4008</v>
      </c>
      <c r="J1407" s="332" t="s">
        <v>68</v>
      </c>
      <c r="K1407" s="333" t="s">
        <v>69</v>
      </c>
      <c r="M1407" s="333"/>
      <c r="N1407" s="417"/>
      <c r="O1407" s="417"/>
      <c r="P1407" s="343">
        <v>45461</v>
      </c>
      <c r="Q1407" s="333"/>
      <c r="R1407" s="333"/>
      <c r="S1407" s="373"/>
      <c r="T1407" s="373"/>
      <c r="U1407" s="373"/>
      <c r="V1407" s="373"/>
      <c r="W1407" s="346"/>
      <c r="X1407" s="373"/>
      <c r="Y1407" s="336">
        <f t="shared" ca="1" si="26"/>
        <v>125</v>
      </c>
      <c r="Z1407" s="373"/>
      <c r="AA1407" s="373"/>
      <c r="AB1407" s="373"/>
      <c r="AD1407" s="338"/>
    </row>
    <row r="1408" spans="1:30" ht="12.75" customHeight="1" x14ac:dyDescent="0.25">
      <c r="A1408" s="347" t="s">
        <v>4009</v>
      </c>
      <c r="B1408" s="376">
        <v>45453</v>
      </c>
      <c r="C1408" s="333" t="s">
        <v>26</v>
      </c>
      <c r="D1408" s="332" t="s">
        <v>1007</v>
      </c>
      <c r="E1408" s="333"/>
      <c r="F1408" s="524">
        <v>10569513</v>
      </c>
      <c r="G1408" s="372" t="s">
        <v>4010</v>
      </c>
      <c r="H1408" s="372">
        <v>1024</v>
      </c>
      <c r="I1408" s="372" t="s">
        <v>4011</v>
      </c>
      <c r="J1408" s="332" t="s">
        <v>46</v>
      </c>
      <c r="K1408" s="333" t="s">
        <v>32</v>
      </c>
      <c r="M1408" s="333"/>
      <c r="N1408" s="417"/>
      <c r="O1408" s="417"/>
      <c r="P1408" s="343">
        <v>45453</v>
      </c>
      <c r="Q1408" s="333"/>
      <c r="R1408" s="333"/>
      <c r="S1408" s="373"/>
      <c r="T1408" s="373"/>
      <c r="U1408" s="373"/>
      <c r="V1408" s="373"/>
      <c r="W1408" s="346"/>
      <c r="X1408" s="373"/>
      <c r="Y1408" s="336">
        <f t="shared" ca="1" si="26"/>
        <v>133</v>
      </c>
      <c r="Z1408" s="373"/>
      <c r="AA1408" s="373"/>
      <c r="AB1408" s="373"/>
      <c r="AD1408" s="338"/>
    </row>
    <row r="1409" spans="1:30" ht="12.75" customHeight="1" x14ac:dyDescent="0.25">
      <c r="A1409" s="347" t="s">
        <v>4012</v>
      </c>
      <c r="B1409" s="376">
        <v>45453</v>
      </c>
      <c r="C1409" s="333" t="s">
        <v>26</v>
      </c>
      <c r="D1409" s="332" t="s">
        <v>1007</v>
      </c>
      <c r="E1409" s="333"/>
      <c r="F1409" s="524">
        <v>2021942001</v>
      </c>
      <c r="G1409" s="372" t="s">
        <v>4013</v>
      </c>
      <c r="H1409" s="372">
        <v>7</v>
      </c>
      <c r="I1409" s="619" t="s">
        <v>4011</v>
      </c>
      <c r="J1409" s="332" t="s">
        <v>31</v>
      </c>
      <c r="K1409" s="333" t="s">
        <v>32</v>
      </c>
      <c r="M1409" s="333"/>
      <c r="N1409" s="417"/>
      <c r="O1409" s="417"/>
      <c r="P1409" s="343">
        <v>45453</v>
      </c>
      <c r="Q1409" s="333"/>
      <c r="R1409" s="333"/>
      <c r="S1409" s="373"/>
      <c r="T1409" s="373"/>
      <c r="U1409" s="373"/>
      <c r="V1409" s="373"/>
      <c r="W1409" s="346"/>
      <c r="X1409" s="373"/>
      <c r="Y1409" s="336">
        <f t="shared" ca="1" si="26"/>
        <v>133</v>
      </c>
      <c r="Z1409" s="373"/>
      <c r="AA1409" s="373"/>
      <c r="AB1409" s="373"/>
      <c r="AD1409" s="338"/>
    </row>
    <row r="1410" spans="1:30" ht="12.75" customHeight="1" x14ac:dyDescent="0.25">
      <c r="A1410" s="347" t="s">
        <v>4014</v>
      </c>
      <c r="B1410" s="376">
        <v>45447</v>
      </c>
      <c r="C1410" s="333" t="s">
        <v>219</v>
      </c>
      <c r="D1410" s="332">
        <v>1216</v>
      </c>
      <c r="E1410" s="333"/>
      <c r="F1410" s="524" t="s">
        <v>33</v>
      </c>
      <c r="G1410" s="372" t="s">
        <v>1057</v>
      </c>
      <c r="H1410" s="372">
        <v>2</v>
      </c>
      <c r="I1410" s="372" t="s">
        <v>4008</v>
      </c>
      <c r="J1410" s="332" t="s">
        <v>68</v>
      </c>
      <c r="K1410" s="333" t="s">
        <v>69</v>
      </c>
      <c r="M1410" s="333"/>
      <c r="N1410" s="417"/>
      <c r="O1410" s="417"/>
      <c r="P1410" s="343">
        <v>45461</v>
      </c>
      <c r="Q1410" s="333"/>
      <c r="R1410" s="333"/>
      <c r="S1410" s="373"/>
      <c r="T1410" s="373"/>
      <c r="U1410" s="373"/>
      <c r="V1410" s="373"/>
      <c r="W1410" s="346"/>
      <c r="X1410" s="373"/>
      <c r="Y1410" s="336">
        <f t="shared" ca="1" si="26"/>
        <v>125</v>
      </c>
      <c r="Z1410" s="373"/>
      <c r="AA1410" s="373"/>
      <c r="AB1410" s="373"/>
      <c r="AD1410" s="338"/>
    </row>
    <row r="1411" spans="1:30" ht="12.75" customHeight="1" x14ac:dyDescent="0.25">
      <c r="A1411" s="347" t="s">
        <v>4015</v>
      </c>
      <c r="B1411" s="376">
        <v>45461</v>
      </c>
      <c r="C1411" s="396" t="s">
        <v>219</v>
      </c>
      <c r="D1411" s="332" t="s">
        <v>1589</v>
      </c>
      <c r="E1411" s="333"/>
      <c r="F1411" s="524">
        <v>550731540102</v>
      </c>
      <c r="G1411" s="547" t="s">
        <v>4016</v>
      </c>
      <c r="H1411" s="372">
        <v>4</v>
      </c>
      <c r="I1411" s="372" t="s">
        <v>4002</v>
      </c>
      <c r="J1411" s="332" t="s">
        <v>46</v>
      </c>
      <c r="K1411" s="333" t="s">
        <v>32</v>
      </c>
      <c r="M1411" s="333"/>
      <c r="N1411" s="417"/>
      <c r="O1411" s="417"/>
      <c r="P1411" s="343">
        <v>45461</v>
      </c>
      <c r="Q1411" s="333"/>
      <c r="R1411" s="333"/>
      <c r="S1411" s="373"/>
      <c r="T1411" s="373"/>
      <c r="U1411" s="373"/>
      <c r="V1411" s="373"/>
      <c r="W1411" s="346"/>
      <c r="X1411" s="373"/>
      <c r="Y1411" s="336">
        <f t="shared" ca="1" si="26"/>
        <v>125</v>
      </c>
      <c r="Z1411" s="373"/>
      <c r="AA1411" s="373"/>
      <c r="AB1411" s="373"/>
      <c r="AD1411" s="338"/>
    </row>
    <row r="1412" spans="1:30" ht="12.75" customHeight="1" x14ac:dyDescent="0.25">
      <c r="A1412" s="347" t="s">
        <v>4017</v>
      </c>
      <c r="B1412" s="376">
        <v>45461</v>
      </c>
      <c r="C1412" s="396" t="s">
        <v>219</v>
      </c>
      <c r="D1412" s="332">
        <v>1216</v>
      </c>
      <c r="E1412" s="333"/>
      <c r="F1412" s="524">
        <v>264172306313</v>
      </c>
      <c r="G1412" s="372" t="s">
        <v>4018</v>
      </c>
      <c r="H1412" s="372">
        <v>16</v>
      </c>
      <c r="I1412" s="372" t="s">
        <v>4008</v>
      </c>
      <c r="J1412" s="332" t="s">
        <v>541</v>
      </c>
      <c r="K1412" s="333" t="s">
        <v>32</v>
      </c>
      <c r="M1412" s="333"/>
      <c r="N1412" s="417"/>
      <c r="O1412" s="417"/>
      <c r="P1412" s="343">
        <v>45461</v>
      </c>
      <c r="Q1412" s="333"/>
      <c r="R1412" s="333"/>
      <c r="S1412" s="373"/>
      <c r="T1412" s="373"/>
      <c r="U1412" s="373"/>
      <c r="V1412" s="373"/>
      <c r="W1412" s="346"/>
      <c r="X1412" s="373"/>
      <c r="Y1412" s="336">
        <f t="shared" ca="1" si="26"/>
        <v>125</v>
      </c>
      <c r="Z1412" s="373"/>
      <c r="AA1412" s="373"/>
      <c r="AB1412" s="373"/>
      <c r="AD1412" s="338"/>
    </row>
    <row r="1413" spans="1:30" ht="12.75" customHeight="1" x14ac:dyDescent="0.25">
      <c r="A1413" s="347" t="s">
        <v>4019</v>
      </c>
      <c r="B1413" s="376">
        <v>45461</v>
      </c>
      <c r="C1413" s="396" t="s">
        <v>219</v>
      </c>
      <c r="D1413" s="332">
        <v>1216</v>
      </c>
      <c r="E1413" s="333"/>
      <c r="F1413" s="524">
        <v>278609139901</v>
      </c>
      <c r="G1413" s="372" t="s">
        <v>4020</v>
      </c>
      <c r="H1413" s="372">
        <v>16</v>
      </c>
      <c r="I1413" s="372" t="s">
        <v>4008</v>
      </c>
      <c r="J1413" s="332" t="s">
        <v>541</v>
      </c>
      <c r="K1413" s="333" t="s">
        <v>32</v>
      </c>
      <c r="M1413" s="333"/>
      <c r="N1413" s="417"/>
      <c r="O1413" s="417"/>
      <c r="P1413" s="343">
        <v>45461</v>
      </c>
      <c r="Q1413" s="333"/>
      <c r="R1413" s="333"/>
      <c r="S1413" s="373"/>
      <c r="T1413" s="373"/>
      <c r="U1413" s="373"/>
      <c r="V1413" s="373"/>
      <c r="W1413" s="346"/>
      <c r="X1413" s="373"/>
      <c r="Y1413" s="336">
        <f t="shared" ca="1" si="26"/>
        <v>125</v>
      </c>
      <c r="Z1413" s="373"/>
      <c r="AA1413" s="373"/>
      <c r="AB1413" s="373"/>
      <c r="AD1413" s="338"/>
    </row>
    <row r="1414" spans="1:30" ht="12.75" customHeight="1" x14ac:dyDescent="0.25">
      <c r="A1414" s="347" t="s">
        <v>4021</v>
      </c>
      <c r="B1414" s="376">
        <v>45461</v>
      </c>
      <c r="C1414" s="396" t="s">
        <v>219</v>
      </c>
      <c r="D1414" s="332">
        <v>1216</v>
      </c>
      <c r="E1414" s="333"/>
      <c r="F1414" s="524">
        <v>264172306301</v>
      </c>
      <c r="G1414" s="372" t="s">
        <v>4022</v>
      </c>
      <c r="H1414" s="372">
        <v>16</v>
      </c>
      <c r="I1414" s="372" t="s">
        <v>4008</v>
      </c>
      <c r="J1414" s="332" t="s">
        <v>541</v>
      </c>
      <c r="K1414" s="333" t="s">
        <v>32</v>
      </c>
      <c r="M1414" s="333"/>
      <c r="N1414" s="417"/>
      <c r="O1414" s="417"/>
      <c r="P1414" s="343">
        <v>45461</v>
      </c>
      <c r="Q1414" s="333"/>
      <c r="R1414" s="333"/>
      <c r="S1414" s="373"/>
      <c r="T1414" s="373"/>
      <c r="U1414" s="373"/>
      <c r="V1414" s="373"/>
      <c r="W1414" s="346"/>
      <c r="X1414" s="373"/>
      <c r="Y1414" s="336">
        <f t="shared" ca="1" si="26"/>
        <v>125</v>
      </c>
      <c r="Z1414" s="373"/>
      <c r="AA1414" s="373"/>
      <c r="AB1414" s="373"/>
      <c r="AD1414" s="338"/>
    </row>
    <row r="1415" spans="1:30" ht="12.75" customHeight="1" x14ac:dyDescent="0.25">
      <c r="A1415" s="347" t="s">
        <v>4023</v>
      </c>
      <c r="B1415" s="376">
        <v>45461</v>
      </c>
      <c r="C1415" s="396" t="s">
        <v>219</v>
      </c>
      <c r="D1415" s="332">
        <v>1216</v>
      </c>
      <c r="E1415" s="333"/>
      <c r="F1415" s="524">
        <v>207746800160</v>
      </c>
      <c r="G1415" s="372" t="s">
        <v>4024</v>
      </c>
      <c r="H1415" s="372">
        <v>2</v>
      </c>
      <c r="I1415" s="372" t="s">
        <v>4008</v>
      </c>
      <c r="J1415" s="332" t="s">
        <v>43</v>
      </c>
      <c r="K1415" s="333" t="s">
        <v>32</v>
      </c>
      <c r="M1415" s="333"/>
      <c r="N1415" s="417"/>
      <c r="O1415" s="417"/>
      <c r="P1415" s="343">
        <v>45461</v>
      </c>
      <c r="Q1415" s="333"/>
      <c r="R1415" s="333"/>
      <c r="S1415" s="373"/>
      <c r="T1415" s="373"/>
      <c r="U1415" s="373"/>
      <c r="V1415" s="373"/>
      <c r="W1415" s="346">
        <v>45523</v>
      </c>
      <c r="X1415" s="373"/>
      <c r="Y1415" s="336">
        <f t="shared" ca="1" si="26"/>
        <v>62</v>
      </c>
      <c r="Z1415" s="373"/>
      <c r="AA1415" s="373"/>
      <c r="AB1415" s="373"/>
      <c r="AD1415" s="338"/>
    </row>
    <row r="1416" spans="1:30" ht="12.75" customHeight="1" x14ac:dyDescent="0.25">
      <c r="A1416" s="347" t="s">
        <v>4025</v>
      </c>
      <c r="B1416" s="376">
        <v>45461</v>
      </c>
      <c r="C1416" s="396" t="s">
        <v>219</v>
      </c>
      <c r="D1416" s="332" t="s">
        <v>2541</v>
      </c>
      <c r="E1416" s="333"/>
      <c r="F1416" s="524">
        <v>55455106305</v>
      </c>
      <c r="G1416" s="372" t="s">
        <v>4026</v>
      </c>
      <c r="H1416" s="372">
        <v>3</v>
      </c>
      <c r="I1416" s="372" t="s">
        <v>3931</v>
      </c>
      <c r="J1416" s="332" t="s">
        <v>102</v>
      </c>
      <c r="K1416" s="333" t="s">
        <v>69</v>
      </c>
      <c r="M1416" s="333"/>
      <c r="N1416" s="417"/>
      <c r="O1416" s="417"/>
      <c r="P1416" s="343">
        <v>45461</v>
      </c>
      <c r="Q1416" s="333"/>
      <c r="R1416" s="333"/>
      <c r="S1416" s="373"/>
      <c r="T1416" s="373"/>
      <c r="U1416" s="373"/>
      <c r="V1416" s="373"/>
      <c r="W1416" s="346">
        <v>45519</v>
      </c>
      <c r="X1416" s="373"/>
      <c r="Y1416" s="336">
        <f t="shared" ref="Y1416:Y1479" ca="1" si="27">IF(P1416="","",IF(W1416="",TODAY()-P1416,W1416-P1416))</f>
        <v>58</v>
      </c>
      <c r="Z1416" s="373"/>
      <c r="AA1416" s="373"/>
      <c r="AB1416" s="373"/>
      <c r="AD1416" s="338"/>
    </row>
    <row r="1417" spans="1:30" ht="12.75" customHeight="1" x14ac:dyDescent="0.25">
      <c r="A1417" s="347" t="s">
        <v>4027</v>
      </c>
      <c r="B1417" s="376">
        <v>45464</v>
      </c>
      <c r="C1417" s="396" t="s">
        <v>219</v>
      </c>
      <c r="D1417" s="332" t="s">
        <v>1273</v>
      </c>
      <c r="E1417" s="333"/>
      <c r="F1417" s="524">
        <v>14280598365</v>
      </c>
      <c r="G1417" s="372" t="s">
        <v>4028</v>
      </c>
      <c r="H1417" s="372">
        <v>36</v>
      </c>
      <c r="I1417" s="372" t="s">
        <v>4029</v>
      </c>
      <c r="J1417" s="332" t="s">
        <v>46</v>
      </c>
      <c r="K1417" s="333" t="s">
        <v>32</v>
      </c>
      <c r="M1417" s="333"/>
      <c r="N1417" s="417"/>
      <c r="O1417" s="417"/>
      <c r="P1417" s="343"/>
      <c r="Q1417" s="333"/>
      <c r="R1417" s="333"/>
      <c r="S1417" s="373"/>
      <c r="T1417" s="373"/>
      <c r="U1417" s="373"/>
      <c r="V1417" s="373"/>
      <c r="W1417" s="346"/>
      <c r="X1417" s="373"/>
      <c r="Y1417" s="336" t="str">
        <f t="shared" ca="1" si="27"/>
        <v/>
      </c>
      <c r="Z1417" s="373"/>
      <c r="AA1417" s="373"/>
      <c r="AB1417" s="373"/>
      <c r="AD1417" s="338"/>
    </row>
    <row r="1418" spans="1:30" ht="12.75" customHeight="1" x14ac:dyDescent="0.25">
      <c r="A1418" s="347" t="s">
        <v>4030</v>
      </c>
      <c r="B1418" s="376">
        <v>45461</v>
      </c>
      <c r="C1418" s="396" t="s">
        <v>35</v>
      </c>
      <c r="D1418" s="332" t="s">
        <v>36</v>
      </c>
      <c r="E1418" s="333"/>
      <c r="F1418" s="524" t="s">
        <v>4031</v>
      </c>
      <c r="G1418" s="372" t="s">
        <v>4032</v>
      </c>
      <c r="H1418" s="372">
        <v>1</v>
      </c>
      <c r="I1418" s="372" t="s">
        <v>4033</v>
      </c>
      <c r="J1418" s="332" t="s">
        <v>31</v>
      </c>
      <c r="K1418" s="333" t="s">
        <v>32</v>
      </c>
      <c r="M1418" s="333"/>
      <c r="N1418" s="417"/>
      <c r="O1418" s="417"/>
      <c r="P1418" s="343">
        <v>45464</v>
      </c>
      <c r="Q1418" s="333"/>
      <c r="R1418" s="333"/>
      <c r="S1418" s="373"/>
      <c r="T1418" s="373"/>
      <c r="U1418" s="373"/>
      <c r="V1418" s="373"/>
      <c r="W1418" s="346"/>
      <c r="X1418" s="373"/>
      <c r="Y1418" s="336">
        <f t="shared" ca="1" si="27"/>
        <v>122</v>
      </c>
      <c r="Z1418" s="373"/>
      <c r="AA1418" s="373"/>
      <c r="AB1418" s="373"/>
      <c r="AC1418" s="338" t="e">
        <f>VLOOKUP(F1418,'[1]CPO DATA'!$D:$I,4,FALSE)</f>
        <v>#N/A</v>
      </c>
      <c r="AD1418" s="418" t="e">
        <f>VLOOKUP(F1418,'STORE ITEMS'!C:F,2,FALSE)</f>
        <v>#N/A</v>
      </c>
    </row>
    <row r="1419" spans="1:30" ht="12.75" customHeight="1" x14ac:dyDescent="0.25">
      <c r="A1419" s="347" t="s">
        <v>4034</v>
      </c>
      <c r="B1419" s="376">
        <v>45463</v>
      </c>
      <c r="C1419" s="396" t="s">
        <v>35</v>
      </c>
      <c r="D1419" s="332" t="s">
        <v>36</v>
      </c>
      <c r="E1419" s="333"/>
      <c r="F1419" s="524" t="s">
        <v>4035</v>
      </c>
      <c r="G1419" s="372" t="s">
        <v>4036</v>
      </c>
      <c r="H1419" s="372">
        <v>10</v>
      </c>
      <c r="I1419" s="372" t="s">
        <v>4037</v>
      </c>
      <c r="J1419" s="332" t="s">
        <v>46</v>
      </c>
      <c r="K1419" s="333" t="s">
        <v>32</v>
      </c>
      <c r="M1419" s="333"/>
      <c r="N1419" s="417"/>
      <c r="O1419" s="417"/>
      <c r="P1419" s="343">
        <v>45464</v>
      </c>
      <c r="Q1419" s="333"/>
      <c r="R1419" s="333"/>
      <c r="S1419" s="373"/>
      <c r="T1419" s="373"/>
      <c r="U1419" s="373"/>
      <c r="V1419" s="373"/>
      <c r="W1419" s="346"/>
      <c r="X1419" s="373"/>
      <c r="Y1419" s="336">
        <f t="shared" ca="1" si="27"/>
        <v>122</v>
      </c>
      <c r="Z1419" s="373"/>
      <c r="AA1419" s="373"/>
      <c r="AB1419" s="373"/>
      <c r="AC1419" s="338" t="e">
        <f>VLOOKUP(F1419,'[1]CPO DATA'!$D:$I,4,FALSE)</f>
        <v>#N/A</v>
      </c>
      <c r="AD1419" s="418" t="e">
        <f>VLOOKUP(F1419,'STORE ITEMS'!C:F,2,FALSE)</f>
        <v>#N/A</v>
      </c>
    </row>
    <row r="1420" spans="1:30" ht="12.75" customHeight="1" x14ac:dyDescent="0.25">
      <c r="A1420" s="347" t="s">
        <v>4038</v>
      </c>
      <c r="B1420" s="376">
        <v>45463</v>
      </c>
      <c r="C1420" s="396" t="s">
        <v>35</v>
      </c>
      <c r="D1420" s="332" t="s">
        <v>36</v>
      </c>
      <c r="E1420" s="333"/>
      <c r="F1420" s="524" t="s">
        <v>3684</v>
      </c>
      <c r="G1420" s="372" t="s">
        <v>2725</v>
      </c>
      <c r="H1420" s="372">
        <v>105</v>
      </c>
      <c r="I1420" s="372" t="s">
        <v>4039</v>
      </c>
      <c r="J1420" s="332" t="s">
        <v>541</v>
      </c>
      <c r="K1420" s="333" t="s">
        <v>32</v>
      </c>
      <c r="M1420" s="333"/>
      <c r="N1420" s="417"/>
      <c r="O1420" s="417"/>
      <c r="P1420" s="343">
        <v>45464</v>
      </c>
      <c r="Q1420" s="333"/>
      <c r="R1420" s="333"/>
      <c r="S1420" s="373"/>
      <c r="T1420" s="373"/>
      <c r="U1420" s="373"/>
      <c r="V1420" s="373"/>
      <c r="W1420" s="346"/>
      <c r="X1420" s="373"/>
      <c r="Y1420" s="336">
        <f t="shared" ca="1" si="27"/>
        <v>122</v>
      </c>
      <c r="Z1420" s="373"/>
      <c r="AA1420" s="373"/>
      <c r="AB1420" s="373"/>
      <c r="AC1420" s="338" t="str">
        <f>VLOOKUP(F1420,'[1]CPO DATA'!$D:$I,4,FALSE)</f>
        <v>JE1/JG1/JD1/HT1/HW1/HV1/HW2</v>
      </c>
      <c r="AD1420" s="338"/>
    </row>
    <row r="1421" spans="1:30" ht="12.75" customHeight="1" x14ac:dyDescent="0.25">
      <c r="A1421" s="347" t="s">
        <v>4040</v>
      </c>
      <c r="B1421" s="376">
        <v>45468</v>
      </c>
      <c r="C1421" s="396" t="s">
        <v>35</v>
      </c>
      <c r="D1421" s="332" t="s">
        <v>36</v>
      </c>
      <c r="E1421" s="333"/>
      <c r="F1421" s="524" t="s">
        <v>4041</v>
      </c>
      <c r="G1421" s="372" t="s">
        <v>4042</v>
      </c>
      <c r="H1421" s="372">
        <v>10</v>
      </c>
      <c r="I1421" s="372" t="s">
        <v>4037</v>
      </c>
      <c r="J1421" s="332" t="s">
        <v>43</v>
      </c>
      <c r="K1421" s="333" t="s">
        <v>32</v>
      </c>
      <c r="M1421" s="333"/>
      <c r="N1421" s="417"/>
      <c r="O1421" s="417"/>
      <c r="P1421" s="343"/>
      <c r="Q1421" s="333"/>
      <c r="R1421" s="333"/>
      <c r="S1421" s="373"/>
      <c r="T1421" s="373"/>
      <c r="U1421" s="373"/>
      <c r="V1421" s="373"/>
      <c r="W1421" s="346"/>
      <c r="X1421" s="373"/>
      <c r="Y1421" s="336" t="str">
        <f t="shared" ca="1" si="27"/>
        <v/>
      </c>
      <c r="Z1421" s="373"/>
      <c r="AA1421" s="373"/>
      <c r="AB1421" s="373"/>
      <c r="AC1421" s="338" t="e">
        <f>VLOOKUP(F1421,'[1]CPO DATA'!$D:$I,4,FALSE)</f>
        <v>#N/A</v>
      </c>
      <c r="AD1421" s="418" t="e">
        <f>VLOOKUP(F1421,'STORE ITEMS'!C:F,2,FALSE)</f>
        <v>#N/A</v>
      </c>
    </row>
    <row r="1422" spans="1:30" ht="12.75" customHeight="1" x14ac:dyDescent="0.25">
      <c r="A1422" s="347" t="s">
        <v>4043</v>
      </c>
      <c r="B1422" s="376">
        <v>45468</v>
      </c>
      <c r="C1422" s="396" t="s">
        <v>35</v>
      </c>
      <c r="D1422" s="332" t="s">
        <v>36</v>
      </c>
      <c r="E1422" s="333"/>
      <c r="F1422" s="524"/>
      <c r="G1422" s="372" t="s">
        <v>4044</v>
      </c>
      <c r="H1422" s="372">
        <v>2</v>
      </c>
      <c r="I1422" s="372" t="s">
        <v>4045</v>
      </c>
      <c r="J1422" s="332" t="s">
        <v>265</v>
      </c>
      <c r="K1422" s="333" t="s">
        <v>32</v>
      </c>
      <c r="M1422" s="333"/>
      <c r="N1422" s="417"/>
      <c r="O1422" s="417"/>
      <c r="P1422" s="343"/>
      <c r="Q1422" s="333"/>
      <c r="R1422" s="333"/>
      <c r="S1422" s="373"/>
      <c r="T1422" s="373"/>
      <c r="U1422" s="373"/>
      <c r="V1422" s="373"/>
      <c r="W1422" s="346"/>
      <c r="X1422" s="373"/>
      <c r="Y1422" s="336" t="str">
        <f t="shared" ca="1" si="27"/>
        <v/>
      </c>
      <c r="Z1422" s="373"/>
      <c r="AA1422" s="373"/>
      <c r="AB1422" s="373"/>
      <c r="AC1422" s="338" t="e">
        <f>VLOOKUP(F1422,'[1]CPO DATA'!$D:$I,4,FALSE)</f>
        <v>#N/A</v>
      </c>
      <c r="AD1422" s="418" t="e">
        <f>VLOOKUP(F1422,'STORE ITEMS'!C:F,2,FALSE)</f>
        <v>#N/A</v>
      </c>
    </row>
    <row r="1423" spans="1:30" ht="12.75" customHeight="1" x14ac:dyDescent="0.25">
      <c r="A1423" s="347" t="s">
        <v>4046</v>
      </c>
      <c r="B1423" s="376">
        <v>45464</v>
      </c>
      <c r="C1423" s="396" t="s">
        <v>35</v>
      </c>
      <c r="D1423" s="332" t="s">
        <v>36</v>
      </c>
      <c r="E1423" s="333"/>
      <c r="F1423" s="524" t="s">
        <v>4047</v>
      </c>
      <c r="G1423" s="372" t="s">
        <v>4048</v>
      </c>
      <c r="H1423" s="372">
        <v>30</v>
      </c>
      <c r="I1423" s="372" t="s">
        <v>4049</v>
      </c>
      <c r="J1423" s="332" t="s">
        <v>541</v>
      </c>
      <c r="K1423" s="333" t="s">
        <v>32</v>
      </c>
      <c r="M1423" s="333"/>
      <c r="N1423" s="417"/>
      <c r="O1423" s="417"/>
      <c r="P1423" s="343"/>
      <c r="Q1423" s="333"/>
      <c r="R1423" s="333"/>
      <c r="S1423" s="373"/>
      <c r="T1423" s="373"/>
      <c r="U1423" s="373"/>
      <c r="V1423" s="373"/>
      <c r="W1423" s="346"/>
      <c r="X1423" s="373"/>
      <c r="Y1423" s="336" t="str">
        <f t="shared" ca="1" si="27"/>
        <v/>
      </c>
      <c r="Z1423" s="373"/>
      <c r="AA1423" s="373"/>
      <c r="AB1423" s="373"/>
      <c r="AC1423" s="338" t="e">
        <f>VLOOKUP(F1423,'[1]CPO DATA'!$D:$I,4,FALSE)</f>
        <v>#N/A</v>
      </c>
      <c r="AD1423" s="418" t="e">
        <f>VLOOKUP(F1423,'STORE ITEMS'!C:F,2,FALSE)</f>
        <v>#N/A</v>
      </c>
    </row>
    <row r="1424" spans="1:30" ht="12.75" customHeight="1" x14ac:dyDescent="0.25">
      <c r="A1424" s="347" t="s">
        <v>4050</v>
      </c>
      <c r="B1424" s="376">
        <v>45464</v>
      </c>
      <c r="C1424" s="396" t="s">
        <v>35</v>
      </c>
      <c r="D1424" s="332" t="s">
        <v>36</v>
      </c>
      <c r="E1424" s="333"/>
      <c r="F1424" s="524" t="s">
        <v>4051</v>
      </c>
      <c r="G1424" s="372" t="s">
        <v>4052</v>
      </c>
      <c r="H1424" s="372">
        <v>1</v>
      </c>
      <c r="I1424" s="372" t="s">
        <v>4053</v>
      </c>
      <c r="J1424" s="332" t="s">
        <v>102</v>
      </c>
      <c r="K1424" s="333" t="s">
        <v>69</v>
      </c>
      <c r="M1424" s="333"/>
      <c r="N1424" s="417"/>
      <c r="O1424" s="417"/>
      <c r="P1424" s="343"/>
      <c r="Q1424" s="333"/>
      <c r="R1424" s="333"/>
      <c r="S1424" s="373"/>
      <c r="T1424" s="373"/>
      <c r="U1424" s="373"/>
      <c r="V1424" s="373"/>
      <c r="W1424" s="346"/>
      <c r="X1424" s="373"/>
      <c r="Y1424" s="336" t="str">
        <f t="shared" ca="1" si="27"/>
        <v/>
      </c>
      <c r="Z1424" s="373"/>
      <c r="AA1424" s="373"/>
      <c r="AB1424" s="373"/>
      <c r="AC1424" s="338" t="e">
        <f>VLOOKUP(F1424,'[1]CPO DATA'!$D:$I,4,FALSE)</f>
        <v>#N/A</v>
      </c>
      <c r="AD1424" s="418" t="e">
        <f>VLOOKUP(F1424,'STORE ITEMS'!C:F,2,FALSE)</f>
        <v>#N/A</v>
      </c>
    </row>
    <row r="1425" spans="1:30" ht="12.75" customHeight="1" x14ac:dyDescent="0.25">
      <c r="A1425" s="347" t="s">
        <v>4054</v>
      </c>
      <c r="B1425" s="376">
        <v>45464</v>
      </c>
      <c r="C1425" s="396" t="s">
        <v>35</v>
      </c>
      <c r="D1425" s="332" t="s">
        <v>1506</v>
      </c>
      <c r="E1425" s="333"/>
      <c r="F1425" s="524" t="s">
        <v>4055</v>
      </c>
      <c r="G1425" s="372" t="s">
        <v>4056</v>
      </c>
      <c r="H1425" s="372">
        <v>1</v>
      </c>
      <c r="I1425" s="372" t="s">
        <v>4057</v>
      </c>
      <c r="J1425" s="332" t="s">
        <v>68</v>
      </c>
      <c r="K1425" s="333" t="s">
        <v>69</v>
      </c>
      <c r="M1425" s="333"/>
      <c r="N1425" s="417"/>
      <c r="O1425" s="417"/>
      <c r="P1425" s="343"/>
      <c r="Q1425" s="333"/>
      <c r="R1425" s="333"/>
      <c r="S1425" s="373"/>
      <c r="T1425" s="373"/>
      <c r="U1425" s="373"/>
      <c r="V1425" s="373"/>
      <c r="W1425" s="346"/>
      <c r="X1425" s="373"/>
      <c r="Y1425" s="336" t="str">
        <f t="shared" ca="1" si="27"/>
        <v/>
      </c>
      <c r="Z1425" s="373"/>
      <c r="AA1425" s="373"/>
      <c r="AB1425" s="373"/>
      <c r="AC1425" s="338" t="e">
        <f>VLOOKUP(F1425,'[1]CPO DATA'!$D:$I,4,FALSE)</f>
        <v>#N/A</v>
      </c>
      <c r="AD1425" s="418" t="e">
        <f>VLOOKUP(F1425,'STORE ITEMS'!C:F,2,FALSE)</f>
        <v>#N/A</v>
      </c>
    </row>
    <row r="1426" spans="1:30" ht="12.75" customHeight="1" x14ac:dyDescent="0.25">
      <c r="A1426" s="347" t="s">
        <v>4058</v>
      </c>
      <c r="B1426" s="363">
        <v>45469</v>
      </c>
      <c r="C1426" s="542" t="s">
        <v>35</v>
      </c>
      <c r="D1426" s="368" t="s">
        <v>1506</v>
      </c>
      <c r="E1426" s="333"/>
      <c r="F1426" s="523" t="s">
        <v>4059</v>
      </c>
      <c r="G1426" s="366" t="s">
        <v>2907</v>
      </c>
      <c r="H1426" s="366">
        <v>1</v>
      </c>
      <c r="I1426" s="366" t="s">
        <v>4057</v>
      </c>
      <c r="J1426" s="332" t="s">
        <v>68</v>
      </c>
      <c r="K1426" s="333" t="s">
        <v>69</v>
      </c>
      <c r="M1426" s="333"/>
      <c r="N1426" s="417"/>
      <c r="O1426" s="417"/>
      <c r="P1426" s="548"/>
      <c r="Q1426" s="364"/>
      <c r="R1426" s="364"/>
      <c r="S1426" s="369"/>
      <c r="T1426" s="369"/>
      <c r="U1426" s="369"/>
      <c r="V1426" s="369"/>
      <c r="W1426" s="370"/>
      <c r="X1426" s="369"/>
      <c r="Y1426" s="336" t="str">
        <f t="shared" ca="1" si="27"/>
        <v/>
      </c>
      <c r="Z1426" s="369"/>
      <c r="AA1426" s="369"/>
      <c r="AB1426" s="369"/>
      <c r="AC1426" s="338" t="e">
        <f>VLOOKUP(F1426,'[1]CPO DATA'!$D:$I,4,FALSE)</f>
        <v>#N/A</v>
      </c>
      <c r="AD1426" s="418" t="e">
        <f>VLOOKUP(F1426,'STORE ITEMS'!C:F,2,FALSE)</f>
        <v>#N/A</v>
      </c>
    </row>
    <row r="1427" spans="1:30" ht="12.75" customHeight="1" x14ac:dyDescent="0.25">
      <c r="A1427" s="347" t="s">
        <v>4060</v>
      </c>
      <c r="B1427" s="376">
        <v>45469</v>
      </c>
      <c r="C1427" s="333" t="s">
        <v>35</v>
      </c>
      <c r="D1427" s="332" t="s">
        <v>1506</v>
      </c>
      <c r="E1427" s="333"/>
      <c r="F1427" s="524" t="s">
        <v>2252</v>
      </c>
      <c r="G1427" s="372" t="s">
        <v>544</v>
      </c>
      <c r="H1427" s="372">
        <v>1</v>
      </c>
      <c r="I1427" s="372" t="s">
        <v>4057</v>
      </c>
      <c r="J1427" s="332" t="s">
        <v>102</v>
      </c>
      <c r="K1427" s="333" t="s">
        <v>69</v>
      </c>
      <c r="L1427" s="396"/>
      <c r="M1427" s="415"/>
      <c r="N1427" s="541"/>
      <c r="O1427" s="541"/>
      <c r="P1427" s="462"/>
      <c r="Q1427" s="333"/>
      <c r="R1427" s="333"/>
      <c r="S1427" s="373"/>
      <c r="T1427" s="373"/>
      <c r="U1427" s="373"/>
      <c r="V1427" s="373"/>
      <c r="W1427" s="346"/>
      <c r="X1427" s="373"/>
      <c r="Y1427" s="336" t="str">
        <f t="shared" ca="1" si="27"/>
        <v/>
      </c>
      <c r="Z1427" s="373"/>
      <c r="AA1427" s="373"/>
      <c r="AB1427" s="373"/>
      <c r="AC1427" s="338" t="e">
        <f>VLOOKUP(F1427,'[1]CPO DATA'!$D:$I,4,FALSE)</f>
        <v>#N/A</v>
      </c>
      <c r="AD1427" s="418" t="str">
        <f>VLOOKUP(F1427,'STORE ITEMS'!C:F,2,FALSE)</f>
        <v>BOLT</v>
      </c>
    </row>
    <row r="1428" spans="1:30" ht="12.75" customHeight="1" x14ac:dyDescent="0.25">
      <c r="A1428" s="347" t="s">
        <v>4061</v>
      </c>
      <c r="B1428" s="376">
        <v>45469</v>
      </c>
      <c r="C1428" s="333" t="s">
        <v>35</v>
      </c>
      <c r="D1428" s="332" t="s">
        <v>4062</v>
      </c>
      <c r="E1428" s="333"/>
      <c r="F1428" s="524" t="s">
        <v>4063</v>
      </c>
      <c r="G1428" s="372" t="s">
        <v>2899</v>
      </c>
      <c r="H1428" s="372">
        <v>2</v>
      </c>
      <c r="I1428" s="372" t="s">
        <v>4064</v>
      </c>
      <c r="J1428" s="332" t="s">
        <v>68</v>
      </c>
      <c r="K1428" s="333" t="s">
        <v>69</v>
      </c>
      <c r="L1428" s="396"/>
      <c r="M1428" s="333"/>
      <c r="N1428" s="417"/>
      <c r="O1428" s="417"/>
      <c r="P1428" s="462"/>
      <c r="Q1428" s="333"/>
      <c r="R1428" s="333"/>
      <c r="S1428" s="373"/>
      <c r="T1428" s="373"/>
      <c r="U1428" s="373"/>
      <c r="V1428" s="373"/>
      <c r="W1428" s="346"/>
      <c r="X1428" s="373"/>
      <c r="Y1428" s="336" t="str">
        <f t="shared" ca="1" si="27"/>
        <v/>
      </c>
      <c r="Z1428" s="373"/>
      <c r="AA1428" s="373"/>
      <c r="AB1428" s="373"/>
      <c r="AC1428" s="338" t="e">
        <f>VLOOKUP(F1428,'[1]CPO DATA'!$D:$I,4,FALSE)</f>
        <v>#N/A</v>
      </c>
      <c r="AD1428" s="418" t="str">
        <f>VLOOKUP(F1428,'STORE ITEMS'!C:F,2,FALSE)</f>
        <v>CONNECTOR SUB A</v>
      </c>
    </row>
    <row r="1429" spans="1:30" ht="12.75" customHeight="1" x14ac:dyDescent="0.25">
      <c r="A1429" s="347" t="s">
        <v>4065</v>
      </c>
      <c r="B1429" s="376">
        <v>45469</v>
      </c>
      <c r="C1429" s="333" t="s">
        <v>35</v>
      </c>
      <c r="D1429" s="332" t="s">
        <v>4062</v>
      </c>
      <c r="E1429" s="333"/>
      <c r="F1429" s="524" t="s">
        <v>4066</v>
      </c>
      <c r="G1429" s="372" t="s">
        <v>4067</v>
      </c>
      <c r="H1429" s="372">
        <v>2</v>
      </c>
      <c r="I1429" s="372" t="s">
        <v>4064</v>
      </c>
      <c r="J1429" s="332" t="s">
        <v>68</v>
      </c>
      <c r="K1429" s="333" t="s">
        <v>69</v>
      </c>
      <c r="L1429" s="396"/>
      <c r="M1429" s="333"/>
      <c r="N1429" s="417"/>
      <c r="O1429" s="417"/>
      <c r="P1429" s="462"/>
      <c r="Q1429" s="333"/>
      <c r="R1429" s="333"/>
      <c r="S1429" s="373"/>
      <c r="T1429" s="373"/>
      <c r="U1429" s="373"/>
      <c r="V1429" s="373"/>
      <c r="W1429" s="346"/>
      <c r="X1429" s="373"/>
      <c r="Y1429" s="336" t="str">
        <f t="shared" ca="1" si="27"/>
        <v/>
      </c>
      <c r="Z1429" s="373"/>
      <c r="AA1429" s="373"/>
      <c r="AB1429" s="373"/>
      <c r="AC1429" s="338" t="e">
        <f>VLOOKUP(F1429,'[1]CPO DATA'!$D:$I,4,FALSE)</f>
        <v>#N/A</v>
      </c>
      <c r="AD1429" s="418" t="str">
        <f>VLOOKUP(F1429,'STORE ITEMS'!C:F,2,FALSE)</f>
        <v>CONNECTOR SUB A</v>
      </c>
    </row>
    <row r="1430" spans="1:30" ht="12.75" customHeight="1" x14ac:dyDescent="0.25">
      <c r="A1430" s="347" t="s">
        <v>4068</v>
      </c>
      <c r="B1430" s="376">
        <v>45469</v>
      </c>
      <c r="C1430" s="333" t="s">
        <v>219</v>
      </c>
      <c r="D1430" s="332" t="s">
        <v>1589</v>
      </c>
      <c r="E1430" s="333"/>
      <c r="F1430" s="524"/>
      <c r="G1430" s="372" t="s">
        <v>4069</v>
      </c>
      <c r="H1430" s="372">
        <v>1</v>
      </c>
      <c r="I1430" s="545" t="s">
        <v>4002</v>
      </c>
      <c r="J1430" s="332" t="s">
        <v>68</v>
      </c>
      <c r="K1430" s="333" t="s">
        <v>69</v>
      </c>
      <c r="L1430" s="396"/>
      <c r="M1430" s="333"/>
      <c r="N1430" s="417"/>
      <c r="O1430" s="417"/>
      <c r="P1430" s="462"/>
      <c r="Q1430" s="333"/>
      <c r="R1430" s="333"/>
      <c r="S1430" s="373"/>
      <c r="T1430" s="373"/>
      <c r="U1430" s="373"/>
      <c r="V1430" s="373"/>
      <c r="W1430" s="346"/>
      <c r="X1430" s="373"/>
      <c r="Y1430" s="336" t="str">
        <f t="shared" ca="1" si="27"/>
        <v/>
      </c>
      <c r="Z1430" s="373"/>
      <c r="AA1430" s="373"/>
      <c r="AB1430" s="373"/>
      <c r="AD1430" s="338"/>
    </row>
    <row r="1431" spans="1:30" ht="12.75" customHeight="1" x14ac:dyDescent="0.25">
      <c r="A1431" s="347" t="s">
        <v>4070</v>
      </c>
      <c r="B1431" s="376">
        <v>45468</v>
      </c>
      <c r="C1431" s="333" t="s">
        <v>219</v>
      </c>
      <c r="D1431" s="332" t="s">
        <v>1589</v>
      </c>
      <c r="E1431" s="333"/>
      <c r="F1431" s="524">
        <v>550754449916</v>
      </c>
      <c r="G1431" s="546" t="s">
        <v>4071</v>
      </c>
      <c r="H1431" s="372">
        <v>1</v>
      </c>
      <c r="I1431" s="545" t="s">
        <v>4002</v>
      </c>
      <c r="J1431" s="332" t="s">
        <v>43</v>
      </c>
      <c r="K1431" s="333" t="s">
        <v>32</v>
      </c>
      <c r="L1431" s="396"/>
      <c r="M1431" s="333"/>
      <c r="N1431" s="417"/>
      <c r="O1431" s="417"/>
      <c r="P1431" s="462">
        <v>45477</v>
      </c>
      <c r="Q1431" s="333"/>
      <c r="R1431" s="333"/>
      <c r="S1431" s="373"/>
      <c r="T1431" s="373"/>
      <c r="U1431" s="373"/>
      <c r="V1431" s="373"/>
      <c r="W1431" s="346">
        <v>45495</v>
      </c>
      <c r="X1431" s="373"/>
      <c r="Y1431" s="336">
        <f t="shared" ca="1" si="27"/>
        <v>18</v>
      </c>
      <c r="Z1431" s="373"/>
      <c r="AA1431" s="373"/>
      <c r="AB1431" s="373"/>
      <c r="AD1431" s="338"/>
    </row>
    <row r="1432" spans="1:30" ht="12.75" customHeight="1" x14ac:dyDescent="0.25">
      <c r="A1432" s="347" t="s">
        <v>4072</v>
      </c>
      <c r="B1432" s="376">
        <v>45468</v>
      </c>
      <c r="C1432" s="333" t="s">
        <v>219</v>
      </c>
      <c r="D1432" s="332" t="s">
        <v>1589</v>
      </c>
      <c r="E1432" s="333"/>
      <c r="F1432" s="524">
        <v>264249109901</v>
      </c>
      <c r="G1432" s="372" t="s">
        <v>4073</v>
      </c>
      <c r="H1432" s="372">
        <v>18</v>
      </c>
      <c r="I1432" s="545" t="s">
        <v>4002</v>
      </c>
      <c r="J1432" s="332" t="s">
        <v>46</v>
      </c>
      <c r="K1432" s="333" t="s">
        <v>32</v>
      </c>
      <c r="L1432" s="396"/>
      <c r="M1432" s="333"/>
      <c r="N1432" s="417"/>
      <c r="O1432" s="417"/>
      <c r="P1432" s="462"/>
      <c r="Q1432" s="333"/>
      <c r="R1432" s="333"/>
      <c r="S1432" s="373"/>
      <c r="T1432" s="373"/>
      <c r="U1432" s="373"/>
      <c r="V1432" s="373"/>
      <c r="W1432" s="346"/>
      <c r="X1432" s="373"/>
      <c r="Y1432" s="336" t="str">
        <f t="shared" ca="1" si="27"/>
        <v/>
      </c>
      <c r="Z1432" s="373"/>
      <c r="AA1432" s="373"/>
      <c r="AB1432" s="373"/>
      <c r="AD1432" s="338"/>
    </row>
    <row r="1433" spans="1:30" ht="12.75" customHeight="1" x14ac:dyDescent="0.25">
      <c r="A1433" s="347" t="s">
        <v>4074</v>
      </c>
      <c r="B1433" s="376">
        <v>45464</v>
      </c>
      <c r="C1433" s="333" t="s">
        <v>219</v>
      </c>
      <c r="D1433" s="332" t="s">
        <v>1589</v>
      </c>
      <c r="E1433" s="333"/>
      <c r="F1433" s="524">
        <v>11405698333</v>
      </c>
      <c r="G1433" s="372" t="s">
        <v>4075</v>
      </c>
      <c r="H1433" s="372">
        <v>20</v>
      </c>
      <c r="I1433" s="545" t="s">
        <v>4002</v>
      </c>
      <c r="J1433" s="332" t="s">
        <v>46</v>
      </c>
      <c r="K1433" s="333" t="s">
        <v>32</v>
      </c>
      <c r="L1433" s="396"/>
      <c r="M1433" s="333"/>
      <c r="N1433" s="417"/>
      <c r="O1433" s="417"/>
      <c r="P1433" s="462"/>
      <c r="Q1433" s="333"/>
      <c r="R1433" s="333"/>
      <c r="S1433" s="373"/>
      <c r="T1433" s="373"/>
      <c r="U1433" s="373"/>
      <c r="V1433" s="373"/>
      <c r="W1433" s="346"/>
      <c r="X1433" s="373"/>
      <c r="Y1433" s="336" t="str">
        <f t="shared" ca="1" si="27"/>
        <v/>
      </c>
      <c r="Z1433" s="373"/>
      <c r="AA1433" s="373"/>
      <c r="AB1433" s="373"/>
      <c r="AD1433" s="338"/>
    </row>
    <row r="1434" spans="1:30" ht="12.75" customHeight="1" x14ac:dyDescent="0.25">
      <c r="A1434" s="347" t="s">
        <v>4076</v>
      </c>
      <c r="B1434" s="376">
        <v>45464</v>
      </c>
      <c r="C1434" s="333" t="s">
        <v>219</v>
      </c>
      <c r="D1434" s="332" t="s">
        <v>1589</v>
      </c>
      <c r="E1434" s="333"/>
      <c r="F1434" s="524">
        <v>12053297062</v>
      </c>
      <c r="G1434" s="372" t="s">
        <v>4077</v>
      </c>
      <c r="H1434" s="372">
        <v>20</v>
      </c>
      <c r="I1434" s="545" t="s">
        <v>4002</v>
      </c>
      <c r="J1434" s="332" t="s">
        <v>46</v>
      </c>
      <c r="K1434" s="333" t="s">
        <v>32</v>
      </c>
      <c r="L1434" s="396"/>
      <c r="M1434" s="333"/>
      <c r="N1434" s="417"/>
      <c r="O1434" s="417"/>
      <c r="P1434" s="462"/>
      <c r="Q1434" s="333"/>
      <c r="R1434" s="333"/>
      <c r="S1434" s="373"/>
      <c r="T1434" s="373"/>
      <c r="U1434" s="373"/>
      <c r="V1434" s="373"/>
      <c r="W1434" s="346"/>
      <c r="X1434" s="373"/>
      <c r="Y1434" s="336" t="str">
        <f t="shared" ca="1" si="27"/>
        <v/>
      </c>
      <c r="Z1434" s="373"/>
      <c r="AA1434" s="373"/>
      <c r="AB1434" s="373"/>
      <c r="AD1434" s="338"/>
    </row>
    <row r="1435" spans="1:30" ht="12.75" customHeight="1" x14ac:dyDescent="0.25">
      <c r="A1435" s="347" t="s">
        <v>4078</v>
      </c>
      <c r="B1435" s="376">
        <v>45471</v>
      </c>
      <c r="C1435" s="333" t="s">
        <v>35</v>
      </c>
      <c r="D1435" s="332" t="s">
        <v>83</v>
      </c>
      <c r="E1435" s="333"/>
      <c r="F1435" s="524" t="s">
        <v>4079</v>
      </c>
      <c r="G1435" s="372" t="s">
        <v>4080</v>
      </c>
      <c r="H1435" s="549">
        <v>2</v>
      </c>
      <c r="I1435" s="372" t="s">
        <v>4081</v>
      </c>
      <c r="J1435" s="332" t="s">
        <v>102</v>
      </c>
      <c r="K1435" s="333" t="s">
        <v>69</v>
      </c>
      <c r="L1435" s="396"/>
      <c r="M1435" s="333"/>
      <c r="N1435" s="417"/>
      <c r="O1435" s="417"/>
      <c r="P1435" s="462">
        <v>45471</v>
      </c>
      <c r="Q1435" s="333"/>
      <c r="R1435" s="333"/>
      <c r="S1435" s="373"/>
      <c r="T1435" s="373"/>
      <c r="U1435" s="373"/>
      <c r="V1435" s="373"/>
      <c r="W1435" s="346"/>
      <c r="X1435" s="373"/>
      <c r="Y1435" s="336">
        <f t="shared" ca="1" si="27"/>
        <v>115</v>
      </c>
      <c r="Z1435" s="373"/>
      <c r="AA1435" s="373"/>
      <c r="AB1435" s="373"/>
      <c r="AC1435" s="338" t="str">
        <f>VLOOKUP(F1435,'[1]CPO DATA'!$D:$I,4,FALSE)</f>
        <v>GH710</v>
      </c>
      <c r="AD1435" s="338"/>
    </row>
    <row r="1436" spans="1:30" ht="12.75" customHeight="1" x14ac:dyDescent="0.25">
      <c r="A1436" s="347" t="s">
        <v>4082</v>
      </c>
      <c r="B1436" s="376">
        <v>45471</v>
      </c>
      <c r="C1436" s="333" t="s">
        <v>35</v>
      </c>
      <c r="D1436" s="332" t="s">
        <v>83</v>
      </c>
      <c r="E1436" s="333"/>
      <c r="F1436" s="524" t="s">
        <v>831</v>
      </c>
      <c r="G1436" s="372" t="s">
        <v>4083</v>
      </c>
      <c r="H1436" s="550">
        <v>1</v>
      </c>
      <c r="I1436" s="372" t="s">
        <v>4081</v>
      </c>
      <c r="J1436" s="332" t="s">
        <v>68</v>
      </c>
      <c r="K1436" s="333" t="s">
        <v>69</v>
      </c>
      <c r="L1436" s="396"/>
      <c r="M1436" s="333"/>
      <c r="N1436" s="417"/>
      <c r="O1436" s="417"/>
      <c r="P1436" s="462">
        <v>45471</v>
      </c>
      <c r="Q1436" s="333"/>
      <c r="R1436" s="333"/>
      <c r="S1436" s="373"/>
      <c r="T1436" s="373"/>
      <c r="U1436" s="373"/>
      <c r="V1436" s="373"/>
      <c r="W1436" s="346"/>
      <c r="X1436" s="373"/>
      <c r="Y1436" s="336">
        <f t="shared" ca="1" si="27"/>
        <v>115</v>
      </c>
      <c r="Z1436" s="373"/>
      <c r="AA1436" s="373"/>
      <c r="AB1436" s="373"/>
      <c r="AC1436" s="338" t="str">
        <f>VLOOKUP(F1436,'[1]CPO DATA'!$D:$I,4,FALSE)</f>
        <v>GH710</v>
      </c>
      <c r="AD1436" s="338"/>
    </row>
    <row r="1437" spans="1:30" ht="12.75" customHeight="1" x14ac:dyDescent="0.25">
      <c r="A1437" s="347" t="s">
        <v>4084</v>
      </c>
      <c r="B1437" s="376">
        <v>45471</v>
      </c>
      <c r="C1437" s="333" t="s">
        <v>35</v>
      </c>
      <c r="D1437" s="332" t="s">
        <v>83</v>
      </c>
      <c r="E1437" s="333"/>
      <c r="F1437" s="524" t="s">
        <v>3884</v>
      </c>
      <c r="G1437" s="372" t="s">
        <v>4085</v>
      </c>
      <c r="H1437" s="551">
        <v>1</v>
      </c>
      <c r="I1437" s="372" t="s">
        <v>4086</v>
      </c>
      <c r="J1437" s="332" t="s">
        <v>68</v>
      </c>
      <c r="K1437" s="333" t="s">
        <v>69</v>
      </c>
      <c r="L1437" s="396"/>
      <c r="M1437" s="333"/>
      <c r="N1437" s="417"/>
      <c r="O1437" s="417"/>
      <c r="P1437" s="462">
        <v>45471</v>
      </c>
      <c r="Q1437" s="333"/>
      <c r="R1437" s="333"/>
      <c r="S1437" s="373"/>
      <c r="T1437" s="373"/>
      <c r="U1437" s="373"/>
      <c r="V1437" s="373"/>
      <c r="W1437" s="346"/>
      <c r="X1437" s="373"/>
      <c r="Y1437" s="336">
        <f t="shared" ca="1" si="27"/>
        <v>115</v>
      </c>
      <c r="Z1437" s="373"/>
      <c r="AA1437" s="373"/>
      <c r="AB1437" s="373"/>
      <c r="AC1437" s="338" t="str">
        <f>VLOOKUP(F1437,'[1]CPO DATA'!$D:$I,4,FALSE)</f>
        <v>GH528</v>
      </c>
      <c r="AD1437" s="338"/>
    </row>
    <row r="1438" spans="1:30" ht="12.75" customHeight="1" x14ac:dyDescent="0.25">
      <c r="A1438" s="347" t="s">
        <v>4087</v>
      </c>
      <c r="B1438" s="376">
        <v>45471</v>
      </c>
      <c r="C1438" s="333" t="s">
        <v>35</v>
      </c>
      <c r="D1438" s="332" t="s">
        <v>83</v>
      </c>
      <c r="E1438" s="333"/>
      <c r="F1438" s="524" t="s">
        <v>3163</v>
      </c>
      <c r="G1438" s="372" t="s">
        <v>4088</v>
      </c>
      <c r="H1438" s="551">
        <v>1</v>
      </c>
      <c r="I1438" s="372" t="s">
        <v>4081</v>
      </c>
      <c r="J1438" s="332" t="s">
        <v>68</v>
      </c>
      <c r="K1438" s="333" t="s">
        <v>69</v>
      </c>
      <c r="L1438" s="396"/>
      <c r="M1438" s="333"/>
      <c r="N1438" s="417"/>
      <c r="O1438" s="417"/>
      <c r="P1438" s="462">
        <v>45471</v>
      </c>
      <c r="Q1438" s="333"/>
      <c r="R1438" s="333"/>
      <c r="S1438" s="373"/>
      <c r="T1438" s="373"/>
      <c r="U1438" s="373"/>
      <c r="V1438" s="373"/>
      <c r="W1438" s="346">
        <v>45509</v>
      </c>
      <c r="X1438" s="373"/>
      <c r="Y1438" s="336">
        <f t="shared" ca="1" si="27"/>
        <v>38</v>
      </c>
      <c r="Z1438" s="373"/>
      <c r="AA1438" s="373"/>
      <c r="AB1438" s="373"/>
      <c r="AC1438" s="338" t="str">
        <f>VLOOKUP(F1438,'[1]CPO DATA'!$D:$I,4,FALSE)</f>
        <v>GH710</v>
      </c>
      <c r="AD1438" s="338"/>
    </row>
    <row r="1439" spans="1:30" ht="12.75" customHeight="1" x14ac:dyDescent="0.25">
      <c r="A1439" s="347" t="s">
        <v>4089</v>
      </c>
      <c r="B1439" s="376">
        <v>45471</v>
      </c>
      <c r="C1439" s="333" t="s">
        <v>35</v>
      </c>
      <c r="D1439" s="332" t="s">
        <v>83</v>
      </c>
      <c r="E1439" s="333"/>
      <c r="F1439" s="524" t="s">
        <v>3890</v>
      </c>
      <c r="G1439" s="372" t="s">
        <v>4090</v>
      </c>
      <c r="H1439" s="551">
        <v>1</v>
      </c>
      <c r="I1439" s="372" t="s">
        <v>3859</v>
      </c>
      <c r="J1439" s="332" t="s">
        <v>102</v>
      </c>
      <c r="K1439" s="333" t="s">
        <v>69</v>
      </c>
      <c r="L1439" s="396"/>
      <c r="M1439" s="333"/>
      <c r="N1439" s="417"/>
      <c r="O1439" s="417"/>
      <c r="P1439" s="462">
        <v>45471</v>
      </c>
      <c r="Q1439" s="333"/>
      <c r="R1439" s="333"/>
      <c r="S1439" s="373"/>
      <c r="T1439" s="373"/>
      <c r="U1439" s="373"/>
      <c r="V1439" s="373"/>
      <c r="W1439" s="346"/>
      <c r="X1439" s="373"/>
      <c r="Y1439" s="336">
        <f t="shared" ca="1" si="27"/>
        <v>115</v>
      </c>
      <c r="Z1439" s="373"/>
      <c r="AA1439" s="373"/>
      <c r="AB1439" s="373"/>
      <c r="AC1439" s="338" t="str">
        <f>VLOOKUP(F1439,'[1]CPO DATA'!$D:$I,4,FALSE)</f>
        <v>GH644</v>
      </c>
      <c r="AD1439" s="338"/>
    </row>
    <row r="1440" spans="1:30" ht="12.75" customHeight="1" x14ac:dyDescent="0.25">
      <c r="A1440" s="347" t="s">
        <v>4091</v>
      </c>
      <c r="B1440" s="376">
        <v>45471</v>
      </c>
      <c r="C1440" s="333" t="s">
        <v>35</v>
      </c>
      <c r="D1440" s="332" t="s">
        <v>83</v>
      </c>
      <c r="E1440" s="333"/>
      <c r="F1440" s="524" t="s">
        <v>3893</v>
      </c>
      <c r="G1440" s="372" t="s">
        <v>4092</v>
      </c>
      <c r="H1440" s="551">
        <v>1</v>
      </c>
      <c r="I1440" s="372" t="s">
        <v>3895</v>
      </c>
      <c r="J1440" s="453" t="s">
        <v>68</v>
      </c>
      <c r="K1440" s="333" t="s">
        <v>69</v>
      </c>
      <c r="L1440" s="396"/>
      <c r="M1440" s="333"/>
      <c r="N1440" s="417"/>
      <c r="O1440" s="417"/>
      <c r="P1440" s="462">
        <v>45471</v>
      </c>
      <c r="Q1440" s="333"/>
      <c r="R1440" s="333"/>
      <c r="S1440" s="373"/>
      <c r="T1440" s="373"/>
      <c r="U1440" s="373"/>
      <c r="V1440" s="373"/>
      <c r="W1440" s="346"/>
      <c r="X1440" s="373"/>
      <c r="Y1440" s="336">
        <f t="shared" ca="1" si="27"/>
        <v>115</v>
      </c>
      <c r="Z1440" s="373"/>
      <c r="AA1440" s="373"/>
      <c r="AB1440" s="373"/>
      <c r="AC1440" s="338" t="str">
        <f>VLOOKUP(F1440,'[1]CPO DATA'!$D:$I,4,FALSE)</f>
        <v>GH628</v>
      </c>
      <c r="AD1440" s="338"/>
    </row>
    <row r="1441" spans="1:29" s="338" customFormat="1" ht="12.75" customHeight="1" x14ac:dyDescent="0.25">
      <c r="A1441" s="347" t="s">
        <v>4093</v>
      </c>
      <c r="B1441" s="376">
        <v>45471</v>
      </c>
      <c r="C1441" s="333" t="s">
        <v>35</v>
      </c>
      <c r="D1441" s="332" t="s">
        <v>83</v>
      </c>
      <c r="E1441" s="333"/>
      <c r="F1441" s="524" t="s">
        <v>3857</v>
      </c>
      <c r="G1441" s="372" t="s">
        <v>4094</v>
      </c>
      <c r="H1441" s="551">
        <v>2</v>
      </c>
      <c r="I1441" s="372" t="s">
        <v>3859</v>
      </c>
      <c r="J1441" s="453" t="s">
        <v>68</v>
      </c>
      <c r="K1441" s="333" t="s">
        <v>69</v>
      </c>
      <c r="L1441" s="396"/>
      <c r="M1441" s="333"/>
      <c r="N1441" s="417"/>
      <c r="O1441" s="417"/>
      <c r="P1441" s="462">
        <v>45471</v>
      </c>
      <c r="Q1441" s="333"/>
      <c r="R1441" s="333"/>
      <c r="S1441" s="373"/>
      <c r="T1441" s="373"/>
      <c r="U1441" s="373"/>
      <c r="V1441" s="373"/>
      <c r="W1441" s="346"/>
      <c r="X1441" s="373"/>
      <c r="Y1441" s="336">
        <f t="shared" ca="1" si="27"/>
        <v>115</v>
      </c>
      <c r="Z1441" s="373"/>
      <c r="AA1441" s="373"/>
      <c r="AB1441" s="373"/>
      <c r="AC1441" s="338" t="str">
        <f>VLOOKUP(F1441,'[1]CPO DATA'!$D:$I,4,FALSE)</f>
        <v>GH644</v>
      </c>
    </row>
    <row r="1442" spans="1:29" s="338" customFormat="1" ht="12.75" customHeight="1" x14ac:dyDescent="0.25">
      <c r="A1442" s="347" t="s">
        <v>4095</v>
      </c>
      <c r="B1442" s="376">
        <v>45471</v>
      </c>
      <c r="C1442" s="333" t="s">
        <v>35</v>
      </c>
      <c r="D1442" s="332" t="s">
        <v>83</v>
      </c>
      <c r="E1442" s="333"/>
      <c r="F1442" s="524" t="s">
        <v>3950</v>
      </c>
      <c r="G1442" s="372" t="s">
        <v>4096</v>
      </c>
      <c r="H1442" s="552">
        <v>1</v>
      </c>
      <c r="I1442" s="372" t="s">
        <v>4081</v>
      </c>
      <c r="J1442" s="453" t="s">
        <v>68</v>
      </c>
      <c r="K1442" s="333" t="s">
        <v>69</v>
      </c>
      <c r="L1442" s="396"/>
      <c r="M1442" s="333"/>
      <c r="N1442" s="417"/>
      <c r="O1442" s="417"/>
      <c r="P1442" s="462">
        <v>45471</v>
      </c>
      <c r="Q1442" s="333"/>
      <c r="R1442" s="333"/>
      <c r="S1442" s="373"/>
      <c r="T1442" s="373"/>
      <c r="U1442" s="373"/>
      <c r="V1442" s="373"/>
      <c r="W1442" s="346"/>
      <c r="X1442" s="373"/>
      <c r="Y1442" s="336">
        <f t="shared" ca="1" si="27"/>
        <v>115</v>
      </c>
      <c r="Z1442" s="373"/>
      <c r="AA1442" s="373"/>
      <c r="AB1442" s="373"/>
      <c r="AC1442" s="338" t="str">
        <f>VLOOKUP(F1442,'[1]CPO DATA'!$D:$I,4,FALSE)</f>
        <v>GH710</v>
      </c>
    </row>
    <row r="1443" spans="1:29" s="338" customFormat="1" ht="12.75" customHeight="1" x14ac:dyDescent="0.25">
      <c r="A1443" s="347" t="s">
        <v>4097</v>
      </c>
      <c r="B1443" s="376">
        <v>45471</v>
      </c>
      <c r="C1443" s="333" t="s">
        <v>35</v>
      </c>
      <c r="D1443" s="332" t="s">
        <v>83</v>
      </c>
      <c r="E1443" s="333"/>
      <c r="F1443" s="524" t="s">
        <v>4098</v>
      </c>
      <c r="G1443" s="372" t="s">
        <v>4099</v>
      </c>
      <c r="H1443" s="553">
        <v>2</v>
      </c>
      <c r="I1443" s="372" t="s">
        <v>4081</v>
      </c>
      <c r="J1443" s="453" t="s">
        <v>68</v>
      </c>
      <c r="K1443" s="333" t="s">
        <v>69</v>
      </c>
      <c r="L1443" s="396"/>
      <c r="M1443" s="333"/>
      <c r="N1443" s="417"/>
      <c r="O1443" s="417"/>
      <c r="P1443" s="462">
        <v>45471</v>
      </c>
      <c r="Q1443" s="333"/>
      <c r="R1443" s="333"/>
      <c r="S1443" s="373"/>
      <c r="T1443" s="373"/>
      <c r="U1443" s="373"/>
      <c r="V1443" s="373"/>
      <c r="W1443" s="346"/>
      <c r="X1443" s="373"/>
      <c r="Y1443" s="336">
        <f t="shared" ca="1" si="27"/>
        <v>115</v>
      </c>
      <c r="Z1443" s="373"/>
      <c r="AA1443" s="373"/>
      <c r="AB1443" s="373"/>
      <c r="AC1443" s="338" t="str">
        <f>VLOOKUP(F1443,'[1]CPO DATA'!$D:$I,4,FALSE)</f>
        <v>GH710</v>
      </c>
    </row>
    <row r="1444" spans="1:29" s="338" customFormat="1" ht="12.75" customHeight="1" x14ac:dyDescent="0.25">
      <c r="A1444" s="347" t="s">
        <v>4100</v>
      </c>
      <c r="B1444" s="376">
        <v>45471</v>
      </c>
      <c r="C1444" s="333" t="s">
        <v>35</v>
      </c>
      <c r="D1444" s="332" t="s">
        <v>83</v>
      </c>
      <c r="E1444" s="333"/>
      <c r="F1444" s="524" t="s">
        <v>4101</v>
      </c>
      <c r="G1444" s="372" t="s">
        <v>4102</v>
      </c>
      <c r="H1444" s="549">
        <v>1</v>
      </c>
      <c r="I1444" s="372" t="s">
        <v>4081</v>
      </c>
      <c r="J1444" s="453" t="s">
        <v>68</v>
      </c>
      <c r="K1444" s="333" t="s">
        <v>69</v>
      </c>
      <c r="L1444" s="396"/>
      <c r="M1444" s="333"/>
      <c r="N1444" s="417"/>
      <c r="O1444" s="417"/>
      <c r="P1444" s="462">
        <v>45471</v>
      </c>
      <c r="Q1444" s="333"/>
      <c r="R1444" s="333"/>
      <c r="S1444" s="373"/>
      <c r="T1444" s="373"/>
      <c r="U1444" s="373"/>
      <c r="V1444" s="373"/>
      <c r="W1444" s="346"/>
      <c r="X1444" s="373"/>
      <c r="Y1444" s="336">
        <f t="shared" ca="1" si="27"/>
        <v>115</v>
      </c>
      <c r="Z1444" s="373"/>
      <c r="AA1444" s="373"/>
      <c r="AB1444" s="373"/>
      <c r="AC1444" s="338" t="str">
        <f>VLOOKUP(F1444,'[1]CPO DATA'!$D:$I,4,FALSE)</f>
        <v>GH710</v>
      </c>
    </row>
    <row r="1445" spans="1:29" s="338" customFormat="1" ht="12.75" customHeight="1" x14ac:dyDescent="0.25">
      <c r="A1445" s="347" t="s">
        <v>4103</v>
      </c>
      <c r="B1445" s="376">
        <v>45471</v>
      </c>
      <c r="C1445" s="333" t="s">
        <v>35</v>
      </c>
      <c r="D1445" s="332" t="s">
        <v>83</v>
      </c>
      <c r="E1445" s="333"/>
      <c r="F1445" s="524" t="s">
        <v>3887</v>
      </c>
      <c r="G1445" s="372" t="s">
        <v>4104</v>
      </c>
      <c r="H1445" s="550">
        <v>1</v>
      </c>
      <c r="I1445" s="372" t="s">
        <v>3859</v>
      </c>
      <c r="J1445" s="453" t="s">
        <v>68</v>
      </c>
      <c r="K1445" s="333" t="s">
        <v>69</v>
      </c>
      <c r="L1445" s="396"/>
      <c r="M1445" s="333"/>
      <c r="N1445" s="417"/>
      <c r="O1445" s="417"/>
      <c r="P1445" s="462">
        <v>45471</v>
      </c>
      <c r="Q1445" s="333"/>
      <c r="R1445" s="333"/>
      <c r="S1445" s="373"/>
      <c r="T1445" s="373"/>
      <c r="U1445" s="373"/>
      <c r="V1445" s="373"/>
      <c r="W1445" s="346"/>
      <c r="X1445" s="373"/>
      <c r="Y1445" s="336">
        <f t="shared" ca="1" si="27"/>
        <v>115</v>
      </c>
      <c r="Z1445" s="373"/>
      <c r="AA1445" s="373"/>
      <c r="AB1445" s="373"/>
      <c r="AC1445" s="338" t="str">
        <f>VLOOKUP(F1445,'[1]CPO DATA'!$D:$I,4,FALSE)</f>
        <v>GH644</v>
      </c>
    </row>
    <row r="1446" spans="1:29" s="338" customFormat="1" ht="12.75" customHeight="1" x14ac:dyDescent="0.25">
      <c r="A1446" s="347" t="s">
        <v>4105</v>
      </c>
      <c r="B1446" s="376">
        <v>45471</v>
      </c>
      <c r="C1446" s="333" t="s">
        <v>35</v>
      </c>
      <c r="D1446" s="332" t="s">
        <v>83</v>
      </c>
      <c r="E1446" s="333"/>
      <c r="F1446" s="524" t="s">
        <v>4106</v>
      </c>
      <c r="G1446" s="372" t="s">
        <v>4107</v>
      </c>
      <c r="H1446" s="554">
        <v>1</v>
      </c>
      <c r="I1446" s="372" t="s">
        <v>3859</v>
      </c>
      <c r="J1446" s="453" t="s">
        <v>68</v>
      </c>
      <c r="K1446" s="333" t="s">
        <v>69</v>
      </c>
      <c r="L1446" s="396"/>
      <c r="M1446" s="333"/>
      <c r="N1446" s="417"/>
      <c r="O1446" s="417"/>
      <c r="P1446" s="462">
        <v>45471</v>
      </c>
      <c r="Q1446" s="333"/>
      <c r="R1446" s="333"/>
      <c r="S1446" s="373"/>
      <c r="T1446" s="373"/>
      <c r="U1446" s="373"/>
      <c r="V1446" s="373"/>
      <c r="W1446" s="346"/>
      <c r="X1446" s="373"/>
      <c r="Y1446" s="336">
        <f t="shared" ca="1" si="27"/>
        <v>115</v>
      </c>
      <c r="Z1446" s="373"/>
      <c r="AA1446" s="373"/>
      <c r="AB1446" s="373"/>
      <c r="AC1446" s="338" t="str">
        <f>VLOOKUP(F1446,'[1]CPO DATA'!$D:$I,4,FALSE)</f>
        <v>GH644</v>
      </c>
    </row>
    <row r="1447" spans="1:29" s="338" customFormat="1" ht="12.75" customHeight="1" x14ac:dyDescent="0.25">
      <c r="A1447" s="347" t="s">
        <v>4108</v>
      </c>
      <c r="B1447" s="376">
        <v>45471</v>
      </c>
      <c r="C1447" s="333" t="s">
        <v>35</v>
      </c>
      <c r="D1447" s="332" t="s">
        <v>83</v>
      </c>
      <c r="E1447" s="333"/>
      <c r="F1447" s="524" t="s">
        <v>4109</v>
      </c>
      <c r="G1447" s="372" t="s">
        <v>2403</v>
      </c>
      <c r="H1447" s="555">
        <v>1</v>
      </c>
      <c r="I1447" s="372" t="s">
        <v>4081</v>
      </c>
      <c r="J1447" s="453" t="s">
        <v>68</v>
      </c>
      <c r="K1447" s="333" t="s">
        <v>69</v>
      </c>
      <c r="L1447" s="396"/>
      <c r="M1447" s="333"/>
      <c r="N1447" s="417"/>
      <c r="O1447" s="417"/>
      <c r="P1447" s="462">
        <v>45471</v>
      </c>
      <c r="Q1447" s="333"/>
      <c r="R1447" s="333"/>
      <c r="S1447" s="373"/>
      <c r="T1447" s="373"/>
      <c r="U1447" s="373"/>
      <c r="V1447" s="373"/>
      <c r="W1447" s="346"/>
      <c r="X1447" s="373"/>
      <c r="Y1447" s="336">
        <f t="shared" ca="1" si="27"/>
        <v>115</v>
      </c>
      <c r="Z1447" s="373"/>
      <c r="AA1447" s="373"/>
      <c r="AB1447" s="373"/>
      <c r="AC1447" s="338" t="str">
        <f>VLOOKUP(F1447,'[1]CPO DATA'!$D:$I,4,FALSE)</f>
        <v>GH710</v>
      </c>
    </row>
    <row r="1448" spans="1:29" s="338" customFormat="1" ht="12.75" customHeight="1" x14ac:dyDescent="0.25">
      <c r="A1448" s="347" t="s">
        <v>4110</v>
      </c>
      <c r="B1448" s="376">
        <v>45471</v>
      </c>
      <c r="C1448" s="333" t="s">
        <v>35</v>
      </c>
      <c r="D1448" s="332" t="s">
        <v>83</v>
      </c>
      <c r="E1448" s="333"/>
      <c r="F1448" s="524" t="s">
        <v>4111</v>
      </c>
      <c r="G1448" s="372" t="s">
        <v>4112</v>
      </c>
      <c r="H1448" s="556">
        <v>1</v>
      </c>
      <c r="I1448" s="372" t="s">
        <v>4081</v>
      </c>
      <c r="J1448" s="453" t="s">
        <v>68</v>
      </c>
      <c r="K1448" s="333" t="s">
        <v>69</v>
      </c>
      <c r="L1448" s="396"/>
      <c r="M1448" s="333"/>
      <c r="N1448" s="417"/>
      <c r="O1448" s="417"/>
      <c r="P1448" s="462">
        <v>45471</v>
      </c>
      <c r="Q1448" s="333"/>
      <c r="R1448" s="333"/>
      <c r="S1448" s="373"/>
      <c r="T1448" s="373"/>
      <c r="U1448" s="373"/>
      <c r="V1448" s="373"/>
      <c r="W1448" s="346"/>
      <c r="X1448" s="373"/>
      <c r="Y1448" s="336">
        <f t="shared" ca="1" si="27"/>
        <v>115</v>
      </c>
      <c r="Z1448" s="373"/>
      <c r="AA1448" s="373"/>
      <c r="AB1448" s="373"/>
      <c r="AC1448" s="338" t="str">
        <f>VLOOKUP(F1448,'[1]CPO DATA'!$D:$I,4,FALSE)</f>
        <v>GH710</v>
      </c>
    </row>
    <row r="1449" spans="1:29" s="338" customFormat="1" ht="12.75" customHeight="1" x14ac:dyDescent="0.25">
      <c r="A1449" s="347" t="s">
        <v>4113</v>
      </c>
      <c r="B1449" s="363">
        <v>45471</v>
      </c>
      <c r="C1449" s="364" t="s">
        <v>35</v>
      </c>
      <c r="D1449" s="368" t="s">
        <v>36</v>
      </c>
      <c r="E1449" s="333"/>
      <c r="F1449" s="523" t="s">
        <v>4114</v>
      </c>
      <c r="G1449" s="366" t="s">
        <v>4115</v>
      </c>
      <c r="H1449" s="366">
        <v>1</v>
      </c>
      <c r="I1449" s="366" t="s">
        <v>4116</v>
      </c>
      <c r="J1449" s="557" t="s">
        <v>68</v>
      </c>
      <c r="K1449" s="364" t="s">
        <v>69</v>
      </c>
      <c r="L1449" s="542"/>
      <c r="M1449" s="364"/>
      <c r="N1449" s="485"/>
      <c r="O1449" s="485"/>
      <c r="P1449" s="491">
        <v>45471</v>
      </c>
      <c r="Q1449" s="333"/>
      <c r="R1449" s="333"/>
      <c r="S1449" s="373"/>
      <c r="T1449" s="373"/>
      <c r="U1449" s="373"/>
      <c r="V1449" s="373"/>
      <c r="W1449" s="481">
        <v>45544</v>
      </c>
      <c r="X1449" s="373"/>
      <c r="Y1449" s="336">
        <f t="shared" ca="1" si="27"/>
        <v>73</v>
      </c>
      <c r="Z1449" s="373"/>
      <c r="AA1449" s="373"/>
      <c r="AB1449" s="373"/>
      <c r="AC1449" s="338" t="str">
        <f>VLOOKUP(F1449,'[1]CPO DATA'!$D:$I,4,FALSE)</f>
        <v>HT01</v>
      </c>
    </row>
    <row r="1450" spans="1:29" s="338" customFormat="1" ht="12.75" customHeight="1" x14ac:dyDescent="0.25">
      <c r="A1450" s="558" t="s">
        <v>4117</v>
      </c>
      <c r="B1450" s="376">
        <v>45471</v>
      </c>
      <c r="C1450" s="333" t="s">
        <v>35</v>
      </c>
      <c r="D1450" s="333" t="s">
        <v>36</v>
      </c>
      <c r="E1450" s="499"/>
      <c r="F1450" s="374" t="s">
        <v>4118</v>
      </c>
      <c r="G1450" s="372" t="s">
        <v>4119</v>
      </c>
      <c r="H1450" s="372">
        <v>1</v>
      </c>
      <c r="I1450" s="372" t="s">
        <v>4116</v>
      </c>
      <c r="J1450" s="452" t="s">
        <v>68</v>
      </c>
      <c r="K1450" s="333" t="s">
        <v>69</v>
      </c>
      <c r="L1450" s="333"/>
      <c r="M1450" s="333"/>
      <c r="N1450" s="417"/>
      <c r="O1450" s="417"/>
      <c r="P1450" s="462">
        <v>45471</v>
      </c>
      <c r="Q1450" s="396"/>
      <c r="R1450" s="333"/>
      <c r="S1450" s="373"/>
      <c r="T1450" s="373"/>
      <c r="U1450" s="373"/>
      <c r="V1450" s="373"/>
      <c r="W1450" s="481">
        <v>45544</v>
      </c>
      <c r="X1450" s="373"/>
      <c r="Y1450" s="336">
        <f t="shared" ca="1" si="27"/>
        <v>73</v>
      </c>
      <c r="Z1450" s="373"/>
      <c r="AA1450" s="373"/>
      <c r="AB1450" s="373"/>
      <c r="AC1450" s="338" t="str">
        <f>VLOOKUP(F1450,'[1]CPO DATA'!$D:$I,4,FALSE)</f>
        <v>HT01</v>
      </c>
    </row>
    <row r="1451" spans="1:29" s="338" customFormat="1" ht="12.75" customHeight="1" x14ac:dyDescent="0.25">
      <c r="A1451" s="558" t="s">
        <v>4120</v>
      </c>
      <c r="B1451" s="376">
        <v>45471</v>
      </c>
      <c r="C1451" s="333" t="s">
        <v>35</v>
      </c>
      <c r="D1451" s="333" t="s">
        <v>36</v>
      </c>
      <c r="E1451" s="499"/>
      <c r="F1451" s="374" t="s">
        <v>2021</v>
      </c>
      <c r="G1451" s="372" t="s">
        <v>2022</v>
      </c>
      <c r="H1451" s="372">
        <v>1</v>
      </c>
      <c r="I1451" s="372" t="s">
        <v>4116</v>
      </c>
      <c r="J1451" s="452" t="s">
        <v>68</v>
      </c>
      <c r="K1451" s="333" t="s">
        <v>69</v>
      </c>
      <c r="L1451" s="333"/>
      <c r="M1451" s="333"/>
      <c r="N1451" s="417"/>
      <c r="O1451" s="417"/>
      <c r="P1451" s="462">
        <v>45471</v>
      </c>
      <c r="Q1451" s="396"/>
      <c r="R1451" s="333"/>
      <c r="S1451" s="373"/>
      <c r="T1451" s="373"/>
      <c r="U1451" s="373"/>
      <c r="V1451" s="373"/>
      <c r="W1451" s="481">
        <v>45544</v>
      </c>
      <c r="X1451" s="373"/>
      <c r="Y1451" s="336">
        <f t="shared" ca="1" si="27"/>
        <v>73</v>
      </c>
      <c r="Z1451" s="373"/>
      <c r="AA1451" s="373"/>
      <c r="AB1451" s="373"/>
      <c r="AC1451" s="338" t="str">
        <f>VLOOKUP(F1451,'[1]CPO DATA'!$D:$I,4,FALSE)</f>
        <v>HT01</v>
      </c>
    </row>
    <row r="1452" spans="1:29" s="338" customFormat="1" ht="12.75" customHeight="1" x14ac:dyDescent="0.25">
      <c r="A1452" s="558" t="s">
        <v>4121</v>
      </c>
      <c r="B1452" s="376">
        <v>45471</v>
      </c>
      <c r="C1452" s="333" t="s">
        <v>35</v>
      </c>
      <c r="D1452" s="333" t="s">
        <v>36</v>
      </c>
      <c r="E1452" s="499"/>
      <c r="F1452" s="374" t="s">
        <v>4122</v>
      </c>
      <c r="G1452" s="372" t="s">
        <v>4123</v>
      </c>
      <c r="H1452" s="372">
        <v>1</v>
      </c>
      <c r="I1452" s="372" t="s">
        <v>3863</v>
      </c>
      <c r="J1452" s="452" t="s">
        <v>68</v>
      </c>
      <c r="K1452" s="333" t="s">
        <v>69</v>
      </c>
      <c r="L1452" s="333"/>
      <c r="M1452" s="333"/>
      <c r="N1452" s="417"/>
      <c r="O1452" s="417"/>
      <c r="P1452" s="462">
        <v>45471</v>
      </c>
      <c r="Q1452" s="396"/>
      <c r="R1452" s="333"/>
      <c r="S1452" s="373"/>
      <c r="T1452" s="373"/>
      <c r="U1452" s="373"/>
      <c r="V1452" s="373"/>
      <c r="W1452" s="481">
        <v>45544</v>
      </c>
      <c r="X1452" s="373"/>
      <c r="Y1452" s="336">
        <f t="shared" ca="1" si="27"/>
        <v>73</v>
      </c>
      <c r="Z1452" s="373"/>
      <c r="AA1452" s="373"/>
      <c r="AB1452" s="373"/>
      <c r="AC1452" s="338" t="str">
        <f>VLOOKUP(F1452,'[1]CPO DATA'!$D:$I,4,FALSE)</f>
        <v>JG001</v>
      </c>
    </row>
    <row r="1453" spans="1:29" s="338" customFormat="1" ht="12.75" customHeight="1" x14ac:dyDescent="0.25">
      <c r="A1453" s="558" t="s">
        <v>4124</v>
      </c>
      <c r="B1453" s="376">
        <v>45471</v>
      </c>
      <c r="C1453" s="333" t="s">
        <v>35</v>
      </c>
      <c r="D1453" s="333" t="s">
        <v>36</v>
      </c>
      <c r="E1453" s="499"/>
      <c r="F1453" s="374" t="s">
        <v>4125</v>
      </c>
      <c r="G1453" s="372" t="s">
        <v>4126</v>
      </c>
      <c r="H1453" s="372">
        <v>1</v>
      </c>
      <c r="I1453" s="372" t="s">
        <v>4127</v>
      </c>
      <c r="J1453" s="452" t="s">
        <v>68</v>
      </c>
      <c r="K1453" s="333" t="s">
        <v>69</v>
      </c>
      <c r="L1453" s="333"/>
      <c r="M1453" s="333"/>
      <c r="N1453" s="417"/>
      <c r="O1453" s="417"/>
      <c r="P1453" s="462">
        <v>45471</v>
      </c>
      <c r="Q1453" s="396"/>
      <c r="R1453" s="333"/>
      <c r="S1453" s="373"/>
      <c r="T1453" s="373"/>
      <c r="U1453" s="373"/>
      <c r="V1453" s="373"/>
      <c r="W1453" s="346"/>
      <c r="X1453" s="373"/>
      <c r="Y1453" s="336">
        <f t="shared" ca="1" si="27"/>
        <v>115</v>
      </c>
      <c r="Z1453" s="373"/>
      <c r="AA1453" s="373"/>
      <c r="AB1453" s="373"/>
      <c r="AC1453" s="338" t="str">
        <f>VLOOKUP(F1453,'[1]CPO DATA'!$D:$I,4,FALSE)</f>
        <v>FW0017</v>
      </c>
    </row>
    <row r="1454" spans="1:29" s="338" customFormat="1" ht="12.75" customHeight="1" x14ac:dyDescent="0.25">
      <c r="A1454" s="347" t="s">
        <v>4128</v>
      </c>
      <c r="B1454" s="501">
        <v>45471</v>
      </c>
      <c r="C1454" s="415" t="s">
        <v>35</v>
      </c>
      <c r="D1454" s="437" t="s">
        <v>71</v>
      </c>
      <c r="E1454" s="333"/>
      <c r="F1454" s="559" t="s">
        <v>4129</v>
      </c>
      <c r="G1454" s="428" t="s">
        <v>4130</v>
      </c>
      <c r="H1454" s="428">
        <v>1</v>
      </c>
      <c r="I1454" s="428" t="s">
        <v>4131</v>
      </c>
      <c r="J1454" s="560" t="s">
        <v>68</v>
      </c>
      <c r="K1454" s="415" t="s">
        <v>69</v>
      </c>
      <c r="L1454" s="540"/>
      <c r="M1454" s="415"/>
      <c r="N1454" s="541"/>
      <c r="O1454" s="541"/>
      <c r="P1454" s="502">
        <v>45471</v>
      </c>
      <c r="Q1454" s="333"/>
      <c r="R1454" s="333"/>
      <c r="S1454" s="373"/>
      <c r="T1454" s="373"/>
      <c r="U1454" s="373"/>
      <c r="V1454" s="373"/>
      <c r="W1454" s="346"/>
      <c r="X1454" s="373"/>
      <c r="Y1454" s="336">
        <f t="shared" ca="1" si="27"/>
        <v>115</v>
      </c>
      <c r="Z1454" s="373"/>
      <c r="AA1454" s="373"/>
      <c r="AB1454" s="373"/>
      <c r="AC1454" s="338" t="str">
        <f>VLOOKUP(F1454,'[1]CPO DATA'!$D:$I,4,FALSE)</f>
        <v>BZ60</v>
      </c>
    </row>
    <row r="1455" spans="1:29" s="338" customFormat="1" ht="12.75" customHeight="1" x14ac:dyDescent="0.25">
      <c r="A1455" s="347" t="s">
        <v>4132</v>
      </c>
      <c r="B1455" s="376">
        <v>45471</v>
      </c>
      <c r="C1455" s="333" t="s">
        <v>35</v>
      </c>
      <c r="D1455" s="332" t="s">
        <v>71</v>
      </c>
      <c r="E1455" s="333"/>
      <c r="F1455" s="524" t="s">
        <v>4133</v>
      </c>
      <c r="G1455" s="372" t="s">
        <v>4134</v>
      </c>
      <c r="H1455" s="372">
        <v>2</v>
      </c>
      <c r="I1455" s="372" t="s">
        <v>4135</v>
      </c>
      <c r="J1455" s="453" t="s">
        <v>68</v>
      </c>
      <c r="K1455" s="333" t="s">
        <v>69</v>
      </c>
      <c r="L1455" s="396"/>
      <c r="M1455" s="333"/>
      <c r="N1455" s="417"/>
      <c r="O1455" s="417"/>
      <c r="P1455" s="462">
        <v>45471</v>
      </c>
      <c r="Q1455" s="333"/>
      <c r="R1455" s="333"/>
      <c r="S1455" s="373"/>
      <c r="T1455" s="373"/>
      <c r="U1455" s="373"/>
      <c r="V1455" s="373"/>
      <c r="W1455" s="346"/>
      <c r="X1455" s="373"/>
      <c r="Y1455" s="336">
        <f t="shared" ca="1" si="27"/>
        <v>115</v>
      </c>
      <c r="Z1455" s="373"/>
      <c r="AA1455" s="373"/>
      <c r="AB1455" s="373"/>
      <c r="AC1455" s="338" t="str">
        <f>VLOOKUP(F1455,'[1]CPO DATA'!$D:$I,4,FALSE)</f>
        <v>BZ60</v>
      </c>
    </row>
    <row r="1456" spans="1:29" s="338" customFormat="1" ht="12.75" customHeight="1" x14ac:dyDescent="0.25">
      <c r="A1456" s="347" t="s">
        <v>4136</v>
      </c>
      <c r="B1456" s="376">
        <v>45471</v>
      </c>
      <c r="C1456" s="333" t="s">
        <v>35</v>
      </c>
      <c r="D1456" s="332" t="s">
        <v>71</v>
      </c>
      <c r="E1456" s="333"/>
      <c r="F1456" s="524" t="s">
        <v>4137</v>
      </c>
      <c r="G1456" s="372" t="s">
        <v>4138</v>
      </c>
      <c r="H1456" s="372">
        <v>1</v>
      </c>
      <c r="I1456" s="372" t="s">
        <v>4135</v>
      </c>
      <c r="J1456" s="453" t="s">
        <v>68</v>
      </c>
      <c r="K1456" s="333" t="s">
        <v>69</v>
      </c>
      <c r="L1456" s="396"/>
      <c r="M1456" s="333"/>
      <c r="N1456" s="417"/>
      <c r="O1456" s="417"/>
      <c r="P1456" s="462">
        <v>45471</v>
      </c>
      <c r="Q1456" s="333"/>
      <c r="R1456" s="333"/>
      <c r="S1456" s="373"/>
      <c r="T1456" s="373"/>
      <c r="U1456" s="373"/>
      <c r="V1456" s="373"/>
      <c r="W1456" s="346"/>
      <c r="X1456" s="373"/>
      <c r="Y1456" s="336">
        <f t="shared" ca="1" si="27"/>
        <v>115</v>
      </c>
      <c r="Z1456" s="373"/>
      <c r="AA1456" s="373"/>
      <c r="AB1456" s="373"/>
      <c r="AC1456" s="338" t="str">
        <f>VLOOKUP(F1456,'[1]CPO DATA'!$D:$I,4,FALSE)</f>
        <v>BZ60</v>
      </c>
    </row>
    <row r="1457" spans="1:30" ht="12.75" customHeight="1" x14ac:dyDescent="0.25">
      <c r="A1457" s="347" t="s">
        <v>4139</v>
      </c>
      <c r="B1457" s="376">
        <v>45471</v>
      </c>
      <c r="C1457" s="333" t="s">
        <v>35</v>
      </c>
      <c r="D1457" s="332" t="s">
        <v>71</v>
      </c>
      <c r="E1457" s="333"/>
      <c r="F1457" s="524" t="s">
        <v>4140</v>
      </c>
      <c r="G1457" s="372" t="s">
        <v>1785</v>
      </c>
      <c r="H1457" s="372">
        <v>1</v>
      </c>
      <c r="I1457" s="372" t="s">
        <v>4135</v>
      </c>
      <c r="J1457" s="453" t="s">
        <v>68</v>
      </c>
      <c r="K1457" s="333" t="s">
        <v>69</v>
      </c>
      <c r="L1457" s="396"/>
      <c r="M1457" s="333"/>
      <c r="N1457" s="417"/>
      <c r="O1457" s="417"/>
      <c r="P1457" s="462">
        <v>45471</v>
      </c>
      <c r="Q1457" s="333"/>
      <c r="R1457" s="333"/>
      <c r="S1457" s="373"/>
      <c r="T1457" s="373"/>
      <c r="U1457" s="373"/>
      <c r="V1457" s="373"/>
      <c r="W1457" s="346"/>
      <c r="X1457" s="373"/>
      <c r="Y1457" s="336">
        <f t="shared" ca="1" si="27"/>
        <v>115</v>
      </c>
      <c r="Z1457" s="373"/>
      <c r="AA1457" s="373"/>
      <c r="AB1457" s="373"/>
      <c r="AC1457" s="338" t="str">
        <f>VLOOKUP(F1457,'[1]CPO DATA'!$D:$I,4,FALSE)</f>
        <v>BZ60</v>
      </c>
      <c r="AD1457" s="338"/>
    </row>
    <row r="1458" spans="1:30" ht="12.75" customHeight="1" x14ac:dyDescent="0.25">
      <c r="A1458" s="347" t="s">
        <v>4141</v>
      </c>
      <c r="B1458" s="376">
        <v>45471</v>
      </c>
      <c r="C1458" s="333" t="s">
        <v>35</v>
      </c>
      <c r="D1458" s="332" t="s">
        <v>71</v>
      </c>
      <c r="E1458" s="333"/>
      <c r="F1458" s="524" t="s">
        <v>4142</v>
      </c>
      <c r="G1458" s="372" t="s">
        <v>4143</v>
      </c>
      <c r="H1458" s="372">
        <v>1</v>
      </c>
      <c r="I1458" s="372" t="s">
        <v>4135</v>
      </c>
      <c r="J1458" s="453" t="s">
        <v>68</v>
      </c>
      <c r="K1458" s="333" t="s">
        <v>69</v>
      </c>
      <c r="L1458" s="396"/>
      <c r="M1458" s="333"/>
      <c r="N1458" s="417"/>
      <c r="O1458" s="417"/>
      <c r="P1458" s="462">
        <v>45471</v>
      </c>
      <c r="Q1458" s="333"/>
      <c r="R1458" s="333"/>
      <c r="S1458" s="373"/>
      <c r="T1458" s="373"/>
      <c r="U1458" s="373"/>
      <c r="V1458" s="373"/>
      <c r="W1458" s="346"/>
      <c r="X1458" s="373"/>
      <c r="Y1458" s="336">
        <f t="shared" ca="1" si="27"/>
        <v>115</v>
      </c>
      <c r="Z1458" s="373"/>
      <c r="AA1458" s="373"/>
      <c r="AB1458" s="373"/>
      <c r="AC1458" s="338" t="str">
        <f>VLOOKUP(F1458,'[1]CPO DATA'!$D:$I,4,FALSE)</f>
        <v>BZ60</v>
      </c>
      <c r="AD1458" s="338"/>
    </row>
    <row r="1459" spans="1:30" ht="12.75" customHeight="1" x14ac:dyDescent="0.25">
      <c r="A1459" s="347" t="s">
        <v>4144</v>
      </c>
      <c r="B1459" s="376">
        <v>45471</v>
      </c>
      <c r="C1459" s="333" t="s">
        <v>35</v>
      </c>
      <c r="D1459" s="332" t="s">
        <v>71</v>
      </c>
      <c r="E1459" s="333"/>
      <c r="F1459" s="524" t="s">
        <v>4145</v>
      </c>
      <c r="G1459" s="372" t="s">
        <v>4146</v>
      </c>
      <c r="H1459" s="372">
        <v>1</v>
      </c>
      <c r="I1459" s="372" t="s">
        <v>4135</v>
      </c>
      <c r="J1459" s="453" t="s">
        <v>68</v>
      </c>
      <c r="K1459" s="333" t="s">
        <v>69</v>
      </c>
      <c r="L1459" s="396"/>
      <c r="M1459" s="333"/>
      <c r="N1459" s="417"/>
      <c r="O1459" s="417"/>
      <c r="P1459" s="462">
        <v>45471</v>
      </c>
      <c r="Q1459" s="333"/>
      <c r="R1459" s="333"/>
      <c r="S1459" s="373"/>
      <c r="T1459" s="373"/>
      <c r="U1459" s="373"/>
      <c r="V1459" s="373"/>
      <c r="W1459" s="346"/>
      <c r="X1459" s="373"/>
      <c r="Y1459" s="336">
        <f t="shared" ca="1" si="27"/>
        <v>115</v>
      </c>
      <c r="Z1459" s="373"/>
      <c r="AA1459" s="373"/>
      <c r="AB1459" s="373"/>
      <c r="AC1459" s="338" t="str">
        <f>VLOOKUP(F1459,'[1]CPO DATA'!$D:$I,4,FALSE)</f>
        <v>BZ60</v>
      </c>
      <c r="AD1459" s="338"/>
    </row>
    <row r="1460" spans="1:30" ht="12.75" customHeight="1" x14ac:dyDescent="0.25">
      <c r="A1460" s="347" t="s">
        <v>4147</v>
      </c>
      <c r="B1460" s="376">
        <v>45471</v>
      </c>
      <c r="C1460" s="333" t="s">
        <v>35</v>
      </c>
      <c r="D1460" s="332" t="s">
        <v>71</v>
      </c>
      <c r="E1460" s="333"/>
      <c r="F1460" s="524" t="s">
        <v>4148</v>
      </c>
      <c r="G1460" s="372" t="s">
        <v>2015</v>
      </c>
      <c r="H1460" s="372">
        <v>1</v>
      </c>
      <c r="I1460" s="372" t="s">
        <v>4135</v>
      </c>
      <c r="J1460" s="453" t="s">
        <v>68</v>
      </c>
      <c r="K1460" s="333" t="s">
        <v>69</v>
      </c>
      <c r="L1460" s="396"/>
      <c r="M1460" s="333"/>
      <c r="N1460" s="417"/>
      <c r="O1460" s="417"/>
      <c r="P1460" s="462">
        <v>45471</v>
      </c>
      <c r="Q1460" s="333"/>
      <c r="R1460" s="333"/>
      <c r="S1460" s="373"/>
      <c r="T1460" s="373"/>
      <c r="U1460" s="373"/>
      <c r="V1460" s="373"/>
      <c r="W1460" s="346"/>
      <c r="X1460" s="373"/>
      <c r="Y1460" s="336">
        <f t="shared" ca="1" si="27"/>
        <v>115</v>
      </c>
      <c r="Z1460" s="373"/>
      <c r="AA1460" s="373"/>
      <c r="AB1460" s="373"/>
      <c r="AC1460" s="338" t="str">
        <f>VLOOKUP(F1460,'[1]CPO DATA'!$D:$I,4,FALSE)</f>
        <v>BZ60</v>
      </c>
      <c r="AD1460" s="338"/>
    </row>
    <row r="1461" spans="1:30" ht="12.75" customHeight="1" x14ac:dyDescent="0.25">
      <c r="A1461" s="347" t="s">
        <v>4149</v>
      </c>
      <c r="B1461" s="376">
        <v>45471</v>
      </c>
      <c r="C1461" s="333" t="s">
        <v>35</v>
      </c>
      <c r="D1461" s="332" t="s">
        <v>71</v>
      </c>
      <c r="E1461" s="333"/>
      <c r="F1461" s="524" t="s">
        <v>4150</v>
      </c>
      <c r="G1461" s="372" t="s">
        <v>3389</v>
      </c>
      <c r="H1461" s="372">
        <v>2</v>
      </c>
      <c r="I1461" s="372" t="s">
        <v>4135</v>
      </c>
      <c r="J1461" s="453" t="s">
        <v>68</v>
      </c>
      <c r="K1461" s="333" t="s">
        <v>69</v>
      </c>
      <c r="L1461" s="396"/>
      <c r="M1461" s="333"/>
      <c r="N1461" s="417"/>
      <c r="O1461" s="417"/>
      <c r="P1461" s="462">
        <v>45471</v>
      </c>
      <c r="Q1461" s="333"/>
      <c r="R1461" s="333"/>
      <c r="S1461" s="373"/>
      <c r="T1461" s="373"/>
      <c r="U1461" s="373"/>
      <c r="V1461" s="373"/>
      <c r="W1461" s="346"/>
      <c r="X1461" s="373"/>
      <c r="Y1461" s="336">
        <f t="shared" ca="1" si="27"/>
        <v>115</v>
      </c>
      <c r="Z1461" s="373"/>
      <c r="AA1461" s="373"/>
      <c r="AB1461" s="373"/>
      <c r="AC1461" s="338" t="str">
        <f>VLOOKUP(F1461,'[1]CPO DATA'!$D:$I,4,FALSE)</f>
        <v>BZ60</v>
      </c>
      <c r="AD1461" s="338"/>
    </row>
    <row r="1462" spans="1:30" ht="12.75" customHeight="1" x14ac:dyDescent="0.25">
      <c r="A1462" s="347" t="s">
        <v>4151</v>
      </c>
      <c r="B1462" s="376">
        <v>45471</v>
      </c>
      <c r="C1462" s="333" t="s">
        <v>35</v>
      </c>
      <c r="D1462" s="332" t="s">
        <v>71</v>
      </c>
      <c r="E1462" s="333"/>
      <c r="F1462" s="524" t="s">
        <v>4152</v>
      </c>
      <c r="G1462" s="372" t="s">
        <v>4153</v>
      </c>
      <c r="H1462" s="372">
        <v>1</v>
      </c>
      <c r="I1462" s="372" t="s">
        <v>4135</v>
      </c>
      <c r="J1462" s="453" t="s">
        <v>68</v>
      </c>
      <c r="K1462" s="333" t="s">
        <v>69</v>
      </c>
      <c r="L1462" s="396"/>
      <c r="M1462" s="333"/>
      <c r="N1462" s="417"/>
      <c r="O1462" s="417"/>
      <c r="P1462" s="462">
        <v>45471</v>
      </c>
      <c r="Q1462" s="333"/>
      <c r="R1462" s="333"/>
      <c r="S1462" s="373"/>
      <c r="T1462" s="373"/>
      <c r="U1462" s="373"/>
      <c r="V1462" s="373"/>
      <c r="W1462" s="346"/>
      <c r="X1462" s="373"/>
      <c r="Y1462" s="336">
        <f t="shared" ca="1" si="27"/>
        <v>115</v>
      </c>
      <c r="Z1462" s="373"/>
      <c r="AA1462" s="373"/>
      <c r="AB1462" s="373"/>
      <c r="AC1462" s="338" t="str">
        <f>VLOOKUP(F1462,'[1]CPO DATA'!$D:$I,4,FALSE)</f>
        <v>BZ60</v>
      </c>
      <c r="AD1462" s="338"/>
    </row>
    <row r="1463" spans="1:30" ht="12.75" customHeight="1" x14ac:dyDescent="0.25">
      <c r="A1463" s="347" t="s">
        <v>4154</v>
      </c>
      <c r="B1463" s="376">
        <v>45471</v>
      </c>
      <c r="C1463" s="333" t="s">
        <v>35</v>
      </c>
      <c r="D1463" s="332" t="s">
        <v>71</v>
      </c>
      <c r="E1463" s="333"/>
      <c r="F1463" s="524" t="s">
        <v>4155</v>
      </c>
      <c r="G1463" s="372" t="s">
        <v>3389</v>
      </c>
      <c r="H1463" s="372">
        <v>1</v>
      </c>
      <c r="I1463" s="372" t="s">
        <v>4135</v>
      </c>
      <c r="J1463" s="453" t="s">
        <v>68</v>
      </c>
      <c r="K1463" s="333" t="s">
        <v>69</v>
      </c>
      <c r="L1463" s="396"/>
      <c r="M1463" s="333"/>
      <c r="N1463" s="417"/>
      <c r="O1463" s="417"/>
      <c r="P1463" s="462">
        <v>45471</v>
      </c>
      <c r="Q1463" s="333"/>
      <c r="R1463" s="333"/>
      <c r="S1463" s="373"/>
      <c r="T1463" s="373"/>
      <c r="U1463" s="373"/>
      <c r="V1463" s="373"/>
      <c r="W1463" s="346"/>
      <c r="X1463" s="373"/>
      <c r="Y1463" s="336">
        <f t="shared" ca="1" si="27"/>
        <v>115</v>
      </c>
      <c r="Z1463" s="373"/>
      <c r="AA1463" s="373"/>
      <c r="AB1463" s="373"/>
      <c r="AC1463" s="338" t="str">
        <f>VLOOKUP(F1463,'[1]CPO DATA'!$D:$I,4,FALSE)</f>
        <v>BZ60</v>
      </c>
      <c r="AD1463" s="338"/>
    </row>
    <row r="1464" spans="1:30" ht="12.75" customHeight="1" x14ac:dyDescent="0.25">
      <c r="A1464" s="347" t="s">
        <v>4156</v>
      </c>
      <c r="B1464" s="376">
        <v>45471</v>
      </c>
      <c r="C1464" s="333" t="s">
        <v>35</v>
      </c>
      <c r="D1464" s="332" t="s">
        <v>71</v>
      </c>
      <c r="E1464" s="333"/>
      <c r="F1464" s="524" t="s">
        <v>4157</v>
      </c>
      <c r="G1464" s="372" t="s">
        <v>4158</v>
      </c>
      <c r="H1464" s="372">
        <v>1</v>
      </c>
      <c r="I1464" s="372" t="s">
        <v>4135</v>
      </c>
      <c r="J1464" s="453" t="s">
        <v>68</v>
      </c>
      <c r="K1464" s="333" t="s">
        <v>69</v>
      </c>
      <c r="L1464" s="396"/>
      <c r="M1464" s="333"/>
      <c r="N1464" s="417"/>
      <c r="O1464" s="417"/>
      <c r="P1464" s="462">
        <v>45471</v>
      </c>
      <c r="Q1464" s="333"/>
      <c r="R1464" s="333"/>
      <c r="S1464" s="373"/>
      <c r="T1464" s="373"/>
      <c r="U1464" s="373"/>
      <c r="V1464" s="373"/>
      <c r="W1464" s="346"/>
      <c r="X1464" s="373"/>
      <c r="Y1464" s="336">
        <f t="shared" ca="1" si="27"/>
        <v>115</v>
      </c>
      <c r="Z1464" s="373"/>
      <c r="AA1464" s="373"/>
      <c r="AB1464" s="373"/>
      <c r="AC1464" s="338" t="str">
        <f>VLOOKUP(F1464,'[1]CPO DATA'!$D:$I,4,FALSE)</f>
        <v>BZ60</v>
      </c>
      <c r="AD1464" s="338"/>
    </row>
    <row r="1465" spans="1:30" ht="12.75" customHeight="1" x14ac:dyDescent="0.25">
      <c r="A1465" s="347" t="s">
        <v>4159</v>
      </c>
      <c r="B1465" s="376">
        <v>45471</v>
      </c>
      <c r="C1465" s="333" t="s">
        <v>35</v>
      </c>
      <c r="D1465" s="332" t="s">
        <v>71</v>
      </c>
      <c r="E1465" s="333"/>
      <c r="F1465" s="524" t="s">
        <v>4160</v>
      </c>
      <c r="G1465" s="372" t="s">
        <v>4161</v>
      </c>
      <c r="H1465" s="372">
        <v>1</v>
      </c>
      <c r="I1465" s="372" t="s">
        <v>4135</v>
      </c>
      <c r="J1465" s="453" t="s">
        <v>68</v>
      </c>
      <c r="K1465" s="333" t="s">
        <v>69</v>
      </c>
      <c r="L1465" s="396"/>
      <c r="M1465" s="333"/>
      <c r="N1465" s="417"/>
      <c r="O1465" s="417"/>
      <c r="P1465" s="462">
        <v>45471</v>
      </c>
      <c r="Q1465" s="333"/>
      <c r="R1465" s="333"/>
      <c r="S1465" s="373"/>
      <c r="T1465" s="373"/>
      <c r="U1465" s="373"/>
      <c r="V1465" s="373"/>
      <c r="W1465" s="346"/>
      <c r="X1465" s="373"/>
      <c r="Y1465" s="336">
        <f t="shared" ca="1" si="27"/>
        <v>115</v>
      </c>
      <c r="Z1465" s="373"/>
      <c r="AA1465" s="373"/>
      <c r="AB1465" s="373"/>
      <c r="AC1465" s="338" t="str">
        <f>VLOOKUP(F1465,'[1]CPO DATA'!$D:$I,4,FALSE)</f>
        <v>BZ60</v>
      </c>
      <c r="AD1465" s="338"/>
    </row>
    <row r="1466" spans="1:30" ht="12.75" customHeight="1" x14ac:dyDescent="0.25">
      <c r="A1466" s="347" t="s">
        <v>4162</v>
      </c>
      <c r="B1466" s="376">
        <v>45471</v>
      </c>
      <c r="C1466" s="333" t="s">
        <v>35</v>
      </c>
      <c r="D1466" s="332" t="s">
        <v>71</v>
      </c>
      <c r="E1466" s="333"/>
      <c r="F1466" s="524" t="s">
        <v>4163</v>
      </c>
      <c r="G1466" s="372" t="s">
        <v>4164</v>
      </c>
      <c r="H1466" s="372">
        <v>1</v>
      </c>
      <c r="I1466" s="619" t="s">
        <v>4135</v>
      </c>
      <c r="J1466" s="453" t="s">
        <v>68</v>
      </c>
      <c r="K1466" s="333" t="s">
        <v>69</v>
      </c>
      <c r="L1466" s="396"/>
      <c r="M1466" s="333"/>
      <c r="N1466" s="417"/>
      <c r="O1466" s="417"/>
      <c r="P1466" s="462">
        <v>45471</v>
      </c>
      <c r="Q1466" s="333"/>
      <c r="R1466" s="333"/>
      <c r="S1466" s="373"/>
      <c r="T1466" s="373"/>
      <c r="U1466" s="373"/>
      <c r="V1466" s="373"/>
      <c r="W1466" s="346"/>
      <c r="X1466" s="373"/>
      <c r="Y1466" s="336">
        <f t="shared" ca="1" si="27"/>
        <v>115</v>
      </c>
      <c r="Z1466" s="373"/>
      <c r="AA1466" s="373"/>
      <c r="AB1466" s="373"/>
      <c r="AC1466" s="338" t="str">
        <f>VLOOKUP(F1466,'[1]CPO DATA'!$D:$I,4,FALSE)</f>
        <v>BZ60</v>
      </c>
      <c r="AD1466" s="338"/>
    </row>
    <row r="1467" spans="1:30" ht="12.75" customHeight="1" x14ac:dyDescent="0.25">
      <c r="A1467" s="347" t="s">
        <v>4165</v>
      </c>
      <c r="B1467" s="376">
        <v>45471</v>
      </c>
      <c r="C1467" s="333" t="s">
        <v>35</v>
      </c>
      <c r="D1467" s="332" t="s">
        <v>71</v>
      </c>
      <c r="E1467" s="333"/>
      <c r="F1467" s="524" t="s">
        <v>4166</v>
      </c>
      <c r="G1467" s="372" t="s">
        <v>4167</v>
      </c>
      <c r="H1467" s="372">
        <v>1</v>
      </c>
      <c r="I1467" s="372" t="s">
        <v>4135</v>
      </c>
      <c r="J1467" s="453" t="s">
        <v>68</v>
      </c>
      <c r="K1467" s="333" t="s">
        <v>69</v>
      </c>
      <c r="L1467" s="396"/>
      <c r="M1467" s="333"/>
      <c r="N1467" s="417"/>
      <c r="O1467" s="417"/>
      <c r="P1467" s="462">
        <v>45471</v>
      </c>
      <c r="Q1467" s="333"/>
      <c r="R1467" s="333"/>
      <c r="S1467" s="373"/>
      <c r="T1467" s="373"/>
      <c r="U1467" s="373"/>
      <c r="V1467" s="373"/>
      <c r="W1467" s="346"/>
      <c r="X1467" s="373"/>
      <c r="Y1467" s="336">
        <f t="shared" ca="1" si="27"/>
        <v>115</v>
      </c>
      <c r="Z1467" s="373"/>
      <c r="AA1467" s="373"/>
      <c r="AB1467" s="373"/>
      <c r="AC1467" s="338" t="str">
        <f>VLOOKUP(F1467,'[1]CPO DATA'!$D:$I,4,FALSE)</f>
        <v>BZ60</v>
      </c>
      <c r="AD1467" s="338"/>
    </row>
    <row r="1468" spans="1:30" ht="12.75" customHeight="1" x14ac:dyDescent="0.25">
      <c r="A1468" s="347" t="s">
        <v>4168</v>
      </c>
      <c r="B1468" s="376">
        <v>45471</v>
      </c>
      <c r="C1468" s="333" t="s">
        <v>35</v>
      </c>
      <c r="D1468" s="332" t="s">
        <v>71</v>
      </c>
      <c r="E1468" s="333"/>
      <c r="F1468" s="524" t="s">
        <v>4169</v>
      </c>
      <c r="G1468" s="372" t="s">
        <v>4170</v>
      </c>
      <c r="H1468" s="372">
        <v>1</v>
      </c>
      <c r="I1468" s="372" t="s">
        <v>4135</v>
      </c>
      <c r="J1468" s="453" t="s">
        <v>68</v>
      </c>
      <c r="K1468" s="333" t="s">
        <v>69</v>
      </c>
      <c r="L1468" s="396"/>
      <c r="M1468" s="333"/>
      <c r="N1468" s="417"/>
      <c r="O1468" s="417"/>
      <c r="P1468" s="462">
        <v>45471</v>
      </c>
      <c r="Q1468" s="333"/>
      <c r="R1468" s="333"/>
      <c r="S1468" s="373"/>
      <c r="T1468" s="373"/>
      <c r="U1468" s="373"/>
      <c r="V1468" s="373"/>
      <c r="W1468" s="346"/>
      <c r="X1468" s="373"/>
      <c r="Y1468" s="336">
        <f t="shared" ca="1" si="27"/>
        <v>115</v>
      </c>
      <c r="Z1468" s="373"/>
      <c r="AA1468" s="373"/>
      <c r="AB1468" s="373"/>
      <c r="AC1468" s="338" t="str">
        <f>VLOOKUP(F1468,'[1]CPO DATA'!$D:$I,4,FALSE)</f>
        <v>BZ60</v>
      </c>
      <c r="AD1468" s="338"/>
    </row>
    <row r="1469" spans="1:30" ht="12.75" customHeight="1" x14ac:dyDescent="0.25">
      <c r="A1469" s="347" t="s">
        <v>4171</v>
      </c>
      <c r="B1469" s="376">
        <v>45471</v>
      </c>
      <c r="C1469" s="333" t="s">
        <v>35</v>
      </c>
      <c r="D1469" s="332" t="s">
        <v>71</v>
      </c>
      <c r="E1469" s="333"/>
      <c r="F1469" s="524" t="s">
        <v>4172</v>
      </c>
      <c r="G1469" s="372" t="s">
        <v>4173</v>
      </c>
      <c r="H1469" s="372">
        <v>2</v>
      </c>
      <c r="I1469" s="372" t="s">
        <v>4135</v>
      </c>
      <c r="J1469" s="453" t="s">
        <v>68</v>
      </c>
      <c r="K1469" s="333" t="s">
        <v>69</v>
      </c>
      <c r="L1469" s="396"/>
      <c r="M1469" s="333"/>
      <c r="N1469" s="417"/>
      <c r="O1469" s="417"/>
      <c r="P1469" s="462">
        <v>45471</v>
      </c>
      <c r="Q1469" s="333"/>
      <c r="R1469" s="333"/>
      <c r="S1469" s="373"/>
      <c r="T1469" s="373"/>
      <c r="U1469" s="373"/>
      <c r="V1469" s="373"/>
      <c r="W1469" s="346">
        <v>45509</v>
      </c>
      <c r="X1469" s="373"/>
      <c r="Y1469" s="336">
        <f t="shared" ca="1" si="27"/>
        <v>38</v>
      </c>
      <c r="Z1469" s="373"/>
      <c r="AA1469" s="373"/>
      <c r="AB1469" s="373"/>
      <c r="AC1469" s="338" t="str">
        <f>VLOOKUP(F1469,'[1]CPO DATA'!$D:$I,4,FALSE)</f>
        <v>BZ60</v>
      </c>
      <c r="AD1469" s="338"/>
    </row>
    <row r="1470" spans="1:30" ht="12.75" customHeight="1" x14ac:dyDescent="0.25">
      <c r="A1470" s="347" t="s">
        <v>4174</v>
      </c>
      <c r="B1470" s="376">
        <v>45471</v>
      </c>
      <c r="C1470" s="333" t="s">
        <v>35</v>
      </c>
      <c r="D1470" s="332" t="s">
        <v>71</v>
      </c>
      <c r="E1470" s="333"/>
      <c r="F1470" s="524" t="s">
        <v>4175</v>
      </c>
      <c r="G1470" s="372" t="s">
        <v>4176</v>
      </c>
      <c r="H1470" s="372">
        <v>5</v>
      </c>
      <c r="I1470" s="372" t="s">
        <v>4135</v>
      </c>
      <c r="J1470" s="453" t="s">
        <v>68</v>
      </c>
      <c r="K1470" s="333" t="s">
        <v>69</v>
      </c>
      <c r="L1470" s="396"/>
      <c r="M1470" s="333"/>
      <c r="N1470" s="417"/>
      <c r="O1470" s="417"/>
      <c r="P1470" s="462">
        <v>45471</v>
      </c>
      <c r="Q1470" s="333"/>
      <c r="R1470" s="333"/>
      <c r="S1470" s="373"/>
      <c r="T1470" s="373"/>
      <c r="U1470" s="373"/>
      <c r="V1470" s="373"/>
      <c r="W1470" s="346"/>
      <c r="X1470" s="373"/>
      <c r="Y1470" s="336">
        <f t="shared" ca="1" si="27"/>
        <v>115</v>
      </c>
      <c r="Z1470" s="373"/>
      <c r="AA1470" s="373"/>
      <c r="AB1470" s="373"/>
      <c r="AC1470" s="338" t="str">
        <f>VLOOKUP(F1470,'[1]CPO DATA'!$D:$I,4,FALSE)</f>
        <v>BZ60</v>
      </c>
      <c r="AD1470" s="338"/>
    </row>
    <row r="1471" spans="1:30" ht="12.75" customHeight="1" x14ac:dyDescent="0.25">
      <c r="A1471" s="347" t="s">
        <v>4177</v>
      </c>
      <c r="B1471" s="376">
        <v>45471</v>
      </c>
      <c r="C1471" s="333" t="s">
        <v>35</v>
      </c>
      <c r="D1471" s="332" t="s">
        <v>71</v>
      </c>
      <c r="E1471" s="333"/>
      <c r="F1471" s="524" t="s">
        <v>4178</v>
      </c>
      <c r="G1471" s="372" t="s">
        <v>4179</v>
      </c>
      <c r="H1471" s="372">
        <v>1</v>
      </c>
      <c r="I1471" s="372" t="s">
        <v>4135</v>
      </c>
      <c r="J1471" s="453" t="s">
        <v>68</v>
      </c>
      <c r="K1471" s="333" t="s">
        <v>69</v>
      </c>
      <c r="L1471" s="396"/>
      <c r="M1471" s="333"/>
      <c r="N1471" s="417"/>
      <c r="O1471" s="417"/>
      <c r="P1471" s="462">
        <v>45471</v>
      </c>
      <c r="Q1471" s="333"/>
      <c r="R1471" s="333"/>
      <c r="S1471" s="373"/>
      <c r="T1471" s="373"/>
      <c r="U1471" s="373"/>
      <c r="V1471" s="373"/>
      <c r="W1471" s="346"/>
      <c r="X1471" s="373"/>
      <c r="Y1471" s="336">
        <f t="shared" ca="1" si="27"/>
        <v>115</v>
      </c>
      <c r="Z1471" s="373"/>
      <c r="AA1471" s="373"/>
      <c r="AB1471" s="373"/>
      <c r="AC1471" s="338" t="str">
        <f>VLOOKUP(F1471,'[1]CPO DATA'!$D:$I,4,FALSE)</f>
        <v>BZ60</v>
      </c>
      <c r="AD1471" s="338"/>
    </row>
    <row r="1472" spans="1:30" ht="12.75" customHeight="1" x14ac:dyDescent="0.25">
      <c r="A1472" s="347" t="s">
        <v>4180</v>
      </c>
      <c r="B1472" s="376">
        <v>45471</v>
      </c>
      <c r="C1472" s="333" t="s">
        <v>35</v>
      </c>
      <c r="D1472" s="332" t="s">
        <v>71</v>
      </c>
      <c r="E1472" s="333"/>
      <c r="F1472" s="524"/>
      <c r="G1472" s="372" t="s">
        <v>499</v>
      </c>
      <c r="H1472" s="372">
        <v>1</v>
      </c>
      <c r="I1472" s="372" t="s">
        <v>4135</v>
      </c>
      <c r="J1472" s="332" t="s">
        <v>68</v>
      </c>
      <c r="K1472" s="333" t="s">
        <v>69</v>
      </c>
      <c r="L1472" s="396"/>
      <c r="M1472" s="333"/>
      <c r="N1472" s="417"/>
      <c r="O1472" s="417"/>
      <c r="P1472" s="462">
        <v>45471</v>
      </c>
      <c r="Q1472" s="333"/>
      <c r="R1472" s="333"/>
      <c r="S1472" s="373"/>
      <c r="T1472" s="373"/>
      <c r="U1472" s="373"/>
      <c r="V1472" s="373"/>
      <c r="W1472" s="346"/>
      <c r="X1472" s="373"/>
      <c r="Y1472" s="336">
        <f t="shared" ca="1" si="27"/>
        <v>115</v>
      </c>
      <c r="Z1472" s="373"/>
      <c r="AA1472" s="373"/>
      <c r="AB1472" s="373"/>
      <c r="AC1472" s="338" t="e">
        <f>VLOOKUP(F1472,'[1]CPO DATA'!$D:$I,4,FALSE)</f>
        <v>#N/A</v>
      </c>
      <c r="AD1472" s="418" t="e">
        <f>VLOOKUP(F1472,'STORE ITEMS'!C:F,2,FALSE)</f>
        <v>#N/A</v>
      </c>
    </row>
    <row r="1473" spans="1:30" ht="12.75" customHeight="1" x14ac:dyDescent="0.25">
      <c r="A1473" s="347" t="s">
        <v>4181</v>
      </c>
      <c r="B1473" s="376">
        <v>45474</v>
      </c>
      <c r="C1473" s="333" t="s">
        <v>35</v>
      </c>
      <c r="D1473" s="332" t="s">
        <v>83</v>
      </c>
      <c r="E1473" s="333"/>
      <c r="F1473" s="524"/>
      <c r="G1473" s="372" t="s">
        <v>499</v>
      </c>
      <c r="H1473" s="372">
        <v>1</v>
      </c>
      <c r="I1473" s="372"/>
      <c r="J1473" s="332" t="s">
        <v>68</v>
      </c>
      <c r="K1473" s="333" t="s">
        <v>69</v>
      </c>
      <c r="L1473" s="396"/>
      <c r="M1473" s="333"/>
      <c r="N1473" s="417"/>
      <c r="O1473" s="417"/>
      <c r="P1473" s="462"/>
      <c r="Q1473" s="333"/>
      <c r="R1473" s="333"/>
      <c r="S1473" s="373"/>
      <c r="T1473" s="373"/>
      <c r="U1473" s="373"/>
      <c r="V1473" s="373"/>
      <c r="W1473" s="346"/>
      <c r="X1473" s="373"/>
      <c r="Y1473" s="336" t="str">
        <f t="shared" ca="1" si="27"/>
        <v/>
      </c>
      <c r="Z1473" s="373"/>
      <c r="AA1473" s="373"/>
      <c r="AB1473" s="373"/>
      <c r="AC1473" s="338" t="e">
        <f>VLOOKUP(F1473,'[1]CPO DATA'!$D:$I,4,FALSE)</f>
        <v>#N/A</v>
      </c>
      <c r="AD1473" s="418" t="e">
        <f>VLOOKUP(F1473,'STORE ITEMS'!C:F,2,FALSE)</f>
        <v>#N/A</v>
      </c>
    </row>
    <row r="1474" spans="1:30" ht="12.75" customHeight="1" x14ac:dyDescent="0.25">
      <c r="A1474" s="347" t="s">
        <v>4182</v>
      </c>
      <c r="B1474" s="376">
        <v>45475</v>
      </c>
      <c r="C1474" s="333" t="s">
        <v>219</v>
      </c>
      <c r="D1474" s="332">
        <v>1216</v>
      </c>
      <c r="E1474" s="333"/>
      <c r="F1474" s="524">
        <v>281654209974</v>
      </c>
      <c r="G1474" s="372" t="s">
        <v>4183</v>
      </c>
      <c r="H1474" s="372">
        <v>2</v>
      </c>
      <c r="I1474" s="372" t="s">
        <v>4184</v>
      </c>
      <c r="J1474" s="332" t="s">
        <v>46</v>
      </c>
      <c r="K1474" s="333" t="s">
        <v>32</v>
      </c>
      <c r="L1474" s="396"/>
      <c r="M1474" s="333"/>
      <c r="N1474" s="417"/>
      <c r="O1474" s="417"/>
      <c r="P1474" s="462">
        <v>45484</v>
      </c>
      <c r="Q1474" s="333"/>
      <c r="R1474" s="333"/>
      <c r="S1474" s="373"/>
      <c r="T1474" s="373"/>
      <c r="U1474" s="373"/>
      <c r="V1474" s="373"/>
      <c r="W1474" s="346"/>
      <c r="X1474" s="373"/>
      <c r="Y1474" s="336">
        <f t="shared" ca="1" si="27"/>
        <v>102</v>
      </c>
      <c r="Z1474" s="373"/>
      <c r="AA1474" s="373"/>
      <c r="AB1474" s="373"/>
      <c r="AD1474" s="338"/>
    </row>
    <row r="1475" spans="1:30" ht="12.75" customHeight="1" x14ac:dyDescent="0.25">
      <c r="A1475" s="347" t="s">
        <v>4185</v>
      </c>
      <c r="B1475" s="376">
        <v>45475</v>
      </c>
      <c r="C1475" s="333" t="s">
        <v>219</v>
      </c>
      <c r="D1475" s="332">
        <v>1216</v>
      </c>
      <c r="E1475" s="333"/>
      <c r="F1475" s="524">
        <v>281654209975</v>
      </c>
      <c r="G1475" s="372" t="s">
        <v>4186</v>
      </c>
      <c r="H1475" s="372">
        <v>2</v>
      </c>
      <c r="I1475" s="372" t="s">
        <v>4184</v>
      </c>
      <c r="J1475" s="332" t="s">
        <v>46</v>
      </c>
      <c r="K1475" s="333" t="s">
        <v>32</v>
      </c>
      <c r="L1475" s="396"/>
      <c r="M1475" s="333"/>
      <c r="N1475" s="417"/>
      <c r="O1475" s="417"/>
      <c r="P1475" s="462">
        <v>45484</v>
      </c>
      <c r="Q1475" s="333"/>
      <c r="R1475" s="333"/>
      <c r="S1475" s="373"/>
      <c r="T1475" s="373"/>
      <c r="U1475" s="373"/>
      <c r="V1475" s="373"/>
      <c r="W1475" s="346"/>
      <c r="X1475" s="373"/>
      <c r="Y1475" s="336">
        <f t="shared" ca="1" si="27"/>
        <v>102</v>
      </c>
      <c r="Z1475" s="373"/>
      <c r="AA1475" s="373"/>
      <c r="AB1475" s="373"/>
      <c r="AD1475" s="338"/>
    </row>
    <row r="1476" spans="1:30" ht="12.75" customHeight="1" x14ac:dyDescent="0.25">
      <c r="A1476" s="347" t="s">
        <v>4187</v>
      </c>
      <c r="B1476" s="376">
        <v>45475</v>
      </c>
      <c r="C1476" s="333" t="s">
        <v>219</v>
      </c>
      <c r="D1476" s="332">
        <v>1216</v>
      </c>
      <c r="E1476" s="333"/>
      <c r="F1476" s="524">
        <v>264189106307</v>
      </c>
      <c r="G1476" s="372" t="s">
        <v>4188</v>
      </c>
      <c r="H1476" s="372">
        <v>16</v>
      </c>
      <c r="I1476" s="372" t="s">
        <v>4184</v>
      </c>
      <c r="J1476" s="332" t="s">
        <v>541</v>
      </c>
      <c r="K1476" s="333" t="s">
        <v>32</v>
      </c>
      <c r="L1476" s="396"/>
      <c r="M1476" s="333"/>
      <c r="N1476" s="417"/>
      <c r="O1476" s="417"/>
      <c r="P1476" s="462">
        <v>45484</v>
      </c>
      <c r="Q1476" s="333"/>
      <c r="R1476" s="333"/>
      <c r="S1476" s="373"/>
      <c r="T1476" s="373"/>
      <c r="U1476" s="373"/>
      <c r="V1476" s="373"/>
      <c r="W1476" s="346"/>
      <c r="X1476" s="373"/>
      <c r="Y1476" s="336">
        <f t="shared" ca="1" si="27"/>
        <v>102</v>
      </c>
      <c r="Z1476" s="373"/>
      <c r="AA1476" s="373"/>
      <c r="AB1476" s="373"/>
      <c r="AD1476" s="338"/>
    </row>
    <row r="1477" spans="1:30" ht="12.75" customHeight="1" x14ac:dyDescent="0.25">
      <c r="A1477" s="347" t="s">
        <v>4189</v>
      </c>
      <c r="B1477" s="376">
        <v>45475</v>
      </c>
      <c r="C1477" s="333" t="s">
        <v>219</v>
      </c>
      <c r="D1477" s="332">
        <v>1216</v>
      </c>
      <c r="E1477" s="333"/>
      <c r="F1477" s="524">
        <v>265483500108</v>
      </c>
      <c r="G1477" s="372" t="s">
        <v>4190</v>
      </c>
      <c r="H1477" s="372">
        <v>1</v>
      </c>
      <c r="I1477" s="372" t="s">
        <v>4184</v>
      </c>
      <c r="J1477" s="332" t="s">
        <v>46</v>
      </c>
      <c r="K1477" s="333" t="s">
        <v>32</v>
      </c>
      <c r="L1477" s="396"/>
      <c r="M1477" s="333"/>
      <c r="N1477" s="417"/>
      <c r="O1477" s="417"/>
      <c r="P1477" s="462">
        <v>45484</v>
      </c>
      <c r="Q1477" s="333"/>
      <c r="R1477" s="333"/>
      <c r="S1477" s="373"/>
      <c r="T1477" s="373"/>
      <c r="U1477" s="373"/>
      <c r="V1477" s="373"/>
      <c r="W1477" s="346"/>
      <c r="X1477" s="373"/>
      <c r="Y1477" s="336">
        <f t="shared" ca="1" si="27"/>
        <v>102</v>
      </c>
      <c r="Z1477" s="373"/>
      <c r="AA1477" s="373"/>
      <c r="AB1477" s="373"/>
      <c r="AD1477" s="338"/>
    </row>
    <row r="1478" spans="1:30" ht="12.75" customHeight="1" x14ac:dyDescent="0.25">
      <c r="A1478" s="347" t="s">
        <v>4191</v>
      </c>
      <c r="B1478" s="376">
        <v>45471</v>
      </c>
      <c r="C1478" s="333" t="s">
        <v>219</v>
      </c>
      <c r="D1478" s="332">
        <v>1216</v>
      </c>
      <c r="E1478" s="333"/>
      <c r="F1478" s="524" t="s">
        <v>4192</v>
      </c>
      <c r="G1478" s="372" t="s">
        <v>4193</v>
      </c>
      <c r="H1478" s="372">
        <v>4</v>
      </c>
      <c r="I1478" s="372" t="s">
        <v>4184</v>
      </c>
      <c r="J1478" s="332" t="s">
        <v>43</v>
      </c>
      <c r="K1478" s="333" t="s">
        <v>32</v>
      </c>
      <c r="L1478" s="396"/>
      <c r="M1478" s="333"/>
      <c r="N1478" s="417"/>
      <c r="O1478" s="417"/>
      <c r="P1478" s="462">
        <v>45481</v>
      </c>
      <c r="Q1478" s="333"/>
      <c r="R1478" s="333"/>
      <c r="S1478" s="373"/>
      <c r="T1478" s="373"/>
      <c r="U1478" s="373"/>
      <c r="V1478" s="373"/>
      <c r="W1478" s="346"/>
      <c r="X1478" s="373"/>
      <c r="Y1478" s="336">
        <f t="shared" ca="1" si="27"/>
        <v>105</v>
      </c>
      <c r="Z1478" s="373"/>
      <c r="AA1478" s="373"/>
      <c r="AB1478" s="373"/>
      <c r="AD1478" s="338"/>
    </row>
    <row r="1479" spans="1:30" ht="12.75" customHeight="1" x14ac:dyDescent="0.25">
      <c r="A1479" s="347" t="s">
        <v>4194</v>
      </c>
      <c r="B1479" s="363">
        <v>45471</v>
      </c>
      <c r="C1479" s="364" t="s">
        <v>219</v>
      </c>
      <c r="D1479" s="368" t="s">
        <v>1589</v>
      </c>
      <c r="E1479" s="333"/>
      <c r="F1479" s="523">
        <v>263258408204</v>
      </c>
      <c r="G1479" s="366" t="s">
        <v>4195</v>
      </c>
      <c r="H1479" s="366">
        <v>1</v>
      </c>
      <c r="I1479" s="366">
        <v>4</v>
      </c>
      <c r="J1479" s="368" t="s">
        <v>68</v>
      </c>
      <c r="K1479" s="364" t="s">
        <v>69</v>
      </c>
      <c r="L1479" s="542"/>
      <c r="M1479" s="364"/>
      <c r="N1479" s="485"/>
      <c r="O1479" s="485"/>
      <c r="P1479" s="491"/>
      <c r="Q1479" s="333"/>
      <c r="R1479" s="333"/>
      <c r="S1479" s="373"/>
      <c r="T1479" s="373"/>
      <c r="U1479" s="373"/>
      <c r="V1479" s="373"/>
      <c r="W1479" s="346"/>
      <c r="X1479" s="373"/>
      <c r="Y1479" s="336" t="str">
        <f t="shared" ca="1" si="27"/>
        <v/>
      </c>
      <c r="Z1479" s="373"/>
      <c r="AA1479" s="373"/>
      <c r="AB1479" s="373"/>
      <c r="AD1479" s="338"/>
    </row>
    <row r="1480" spans="1:30" ht="12.75" customHeight="1" x14ac:dyDescent="0.25">
      <c r="A1480" s="558" t="s">
        <v>4196</v>
      </c>
      <c r="B1480" s="376">
        <v>45475</v>
      </c>
      <c r="C1480" s="333" t="s">
        <v>35</v>
      </c>
      <c r="D1480" s="333" t="s">
        <v>36</v>
      </c>
      <c r="E1480" s="499"/>
      <c r="F1480" s="374" t="s">
        <v>4197</v>
      </c>
      <c r="G1480" s="372" t="s">
        <v>4198</v>
      </c>
      <c r="H1480" s="372">
        <v>1</v>
      </c>
      <c r="I1480" s="372" t="s">
        <v>4199</v>
      </c>
      <c r="J1480" s="333" t="s">
        <v>68</v>
      </c>
      <c r="K1480" s="333" t="s">
        <v>69</v>
      </c>
      <c r="L1480" s="333"/>
      <c r="M1480" s="333"/>
      <c r="N1480" s="417"/>
      <c r="O1480" s="417"/>
      <c r="P1480" s="462">
        <v>45517</v>
      </c>
      <c r="Q1480" s="396"/>
      <c r="R1480" s="333"/>
      <c r="S1480" s="373"/>
      <c r="T1480" s="373"/>
      <c r="U1480" s="373"/>
      <c r="V1480" s="373"/>
      <c r="W1480" s="346"/>
      <c r="X1480" s="373"/>
      <c r="Y1480" s="336">
        <f t="shared" ref="Y1480:Y1543" ca="1" si="28">IF(P1480="","",IF(W1480="",TODAY()-P1480,W1480-P1480))</f>
        <v>69</v>
      </c>
      <c r="Z1480" s="373"/>
      <c r="AA1480" s="373"/>
      <c r="AB1480" s="373"/>
      <c r="AC1480" s="338" t="e">
        <f>VLOOKUP(F1480,'[1]CPO DATA'!$D:$I,4,FALSE)</f>
        <v>#N/A</v>
      </c>
      <c r="AD1480" s="418" t="str">
        <f>VLOOKUP(F1480,'STORE ITEMS'!C:F,2,FALSE)</f>
        <v>GLASS SUB ASSY, RR DOOR, RH</v>
      </c>
    </row>
    <row r="1481" spans="1:30" ht="12.75" customHeight="1" x14ac:dyDescent="0.25">
      <c r="A1481" s="558" t="s">
        <v>4200</v>
      </c>
      <c r="B1481" s="376">
        <v>45474</v>
      </c>
      <c r="C1481" s="333" t="s">
        <v>35</v>
      </c>
      <c r="D1481" s="333" t="s">
        <v>36</v>
      </c>
      <c r="E1481" s="499"/>
      <c r="F1481" s="374" t="s">
        <v>4201</v>
      </c>
      <c r="G1481" s="372" t="s">
        <v>4202</v>
      </c>
      <c r="H1481" s="372">
        <v>1</v>
      </c>
      <c r="I1481" s="372" t="s">
        <v>4203</v>
      </c>
      <c r="J1481" s="333" t="s">
        <v>31</v>
      </c>
      <c r="K1481" s="333" t="s">
        <v>32</v>
      </c>
      <c r="L1481" s="333"/>
      <c r="M1481" s="333"/>
      <c r="N1481" s="417"/>
      <c r="O1481" s="417"/>
      <c r="P1481" s="462">
        <v>45517</v>
      </c>
      <c r="Q1481" s="396"/>
      <c r="R1481" s="333"/>
      <c r="S1481" s="373"/>
      <c r="T1481" s="373"/>
      <c r="U1481" s="373"/>
      <c r="V1481" s="373"/>
      <c r="W1481" s="481">
        <v>45544</v>
      </c>
      <c r="X1481" s="373"/>
      <c r="Y1481" s="336">
        <f t="shared" ca="1" si="28"/>
        <v>27</v>
      </c>
      <c r="Z1481" s="373"/>
      <c r="AA1481" s="373"/>
      <c r="AB1481" s="373"/>
      <c r="AC1481" s="338" t="e">
        <f>VLOOKUP(F1481,'[1]CPO DATA'!$D:$I,4,FALSE)</f>
        <v>#N/A</v>
      </c>
      <c r="AD1481" s="418" t="str">
        <f>VLOOKUP(F1481,'STORE ITEMS'!C:F,2,FALSE)</f>
        <v>MOULDING ASSY, HOOD, FR</v>
      </c>
    </row>
    <row r="1482" spans="1:30" ht="12.75" customHeight="1" x14ac:dyDescent="0.25">
      <c r="A1482" s="558" t="s">
        <v>4204</v>
      </c>
      <c r="B1482" s="376">
        <v>45475</v>
      </c>
      <c r="C1482" s="333" t="s">
        <v>35</v>
      </c>
      <c r="D1482" s="333" t="s">
        <v>36</v>
      </c>
      <c r="E1482" s="499"/>
      <c r="F1482" s="374" t="s">
        <v>4205</v>
      </c>
      <c r="G1482" s="372" t="s">
        <v>4206</v>
      </c>
      <c r="H1482" s="372">
        <v>1</v>
      </c>
      <c r="I1482" s="372" t="s">
        <v>4203</v>
      </c>
      <c r="J1482" s="333" t="s">
        <v>31</v>
      </c>
      <c r="K1482" s="333" t="s">
        <v>32</v>
      </c>
      <c r="L1482" s="333"/>
      <c r="M1482" s="333"/>
      <c r="N1482" s="417"/>
      <c r="O1482" s="417"/>
      <c r="P1482" s="462">
        <v>45517</v>
      </c>
      <c r="Q1482" s="396"/>
      <c r="R1482" s="333"/>
      <c r="S1482" s="373"/>
      <c r="T1482" s="373"/>
      <c r="U1482" s="373"/>
      <c r="V1482" s="373"/>
      <c r="W1482" s="346"/>
      <c r="X1482" s="373"/>
      <c r="Y1482" s="336">
        <f t="shared" ca="1" si="28"/>
        <v>69</v>
      </c>
      <c r="Z1482" s="373"/>
      <c r="AA1482" s="373"/>
      <c r="AB1482" s="373"/>
      <c r="AC1482" s="338" t="e">
        <f>VLOOKUP(F1482,'[1]CPO DATA'!$D:$I,4,FALSE)</f>
        <v>#N/A</v>
      </c>
      <c r="AD1482" s="418" t="e">
        <f>VLOOKUP(F1482,'STORE ITEMS'!C:F,2,FALSE)</f>
        <v>#N/A</v>
      </c>
    </row>
    <row r="1483" spans="1:30" ht="12.75" customHeight="1" x14ac:dyDescent="0.25">
      <c r="A1483" s="347" t="s">
        <v>4207</v>
      </c>
      <c r="B1483" s="501">
        <v>45476</v>
      </c>
      <c r="C1483" s="415" t="s">
        <v>60</v>
      </c>
      <c r="D1483" s="437" t="s">
        <v>598</v>
      </c>
      <c r="E1483" s="333"/>
      <c r="F1483" s="559" t="s">
        <v>4208</v>
      </c>
      <c r="G1483" s="428" t="s">
        <v>4209</v>
      </c>
      <c r="H1483" s="428">
        <v>1</v>
      </c>
      <c r="I1483" s="428">
        <v>72</v>
      </c>
      <c r="J1483" s="437" t="s">
        <v>102</v>
      </c>
      <c r="K1483" s="415" t="s">
        <v>69</v>
      </c>
      <c r="L1483" s="540"/>
      <c r="M1483" s="415"/>
      <c r="N1483" s="541"/>
      <c r="O1483" s="541"/>
      <c r="P1483" s="502"/>
      <c r="Q1483" s="333"/>
      <c r="R1483" s="333"/>
      <c r="S1483" s="373"/>
      <c r="T1483" s="373"/>
      <c r="U1483" s="373"/>
      <c r="V1483" s="373"/>
      <c r="W1483" s="346"/>
      <c r="X1483" s="373"/>
      <c r="Y1483" s="336" t="str">
        <f t="shared" ca="1" si="28"/>
        <v/>
      </c>
      <c r="Z1483" s="373"/>
      <c r="AA1483" s="373"/>
      <c r="AB1483" s="373"/>
      <c r="AD1483" s="338"/>
    </row>
    <row r="1484" spans="1:30" ht="12.75" customHeight="1" x14ac:dyDescent="0.25">
      <c r="A1484" s="347" t="s">
        <v>4210</v>
      </c>
      <c r="B1484" s="363">
        <v>45476</v>
      </c>
      <c r="C1484" s="364" t="s">
        <v>60</v>
      </c>
      <c r="D1484" s="368" t="s">
        <v>598</v>
      </c>
      <c r="E1484" s="333"/>
      <c r="F1484" s="523" t="s">
        <v>4211</v>
      </c>
      <c r="G1484" s="366" t="s">
        <v>4212</v>
      </c>
      <c r="H1484" s="366">
        <v>1</v>
      </c>
      <c r="I1484" s="366">
        <v>72</v>
      </c>
      <c r="J1484" s="368" t="s">
        <v>68</v>
      </c>
      <c r="K1484" s="364" t="s">
        <v>69</v>
      </c>
      <c r="L1484" s="542"/>
      <c r="M1484" s="364"/>
      <c r="N1484" s="485"/>
      <c r="O1484" s="485"/>
      <c r="P1484" s="491"/>
      <c r="Q1484" s="333"/>
      <c r="R1484" s="333"/>
      <c r="S1484" s="373"/>
      <c r="T1484" s="373"/>
      <c r="U1484" s="373"/>
      <c r="V1484" s="373"/>
      <c r="W1484" s="346"/>
      <c r="X1484" s="373"/>
      <c r="Y1484" s="336" t="str">
        <f t="shared" ca="1" si="28"/>
        <v/>
      </c>
      <c r="Z1484" s="373"/>
      <c r="AA1484" s="373"/>
      <c r="AB1484" s="373"/>
      <c r="AD1484" s="338"/>
    </row>
    <row r="1485" spans="1:30" ht="12.75" customHeight="1" x14ac:dyDescent="0.25">
      <c r="A1485" s="558" t="s">
        <v>4213</v>
      </c>
      <c r="B1485" s="376">
        <v>45477</v>
      </c>
      <c r="C1485" s="333" t="s">
        <v>35</v>
      </c>
      <c r="D1485" s="333" t="s">
        <v>36</v>
      </c>
      <c r="E1485" s="499"/>
      <c r="F1485" s="374" t="s">
        <v>4214</v>
      </c>
      <c r="G1485" s="372" t="s">
        <v>4215</v>
      </c>
      <c r="H1485" s="372">
        <v>1</v>
      </c>
      <c r="I1485" s="372" t="s">
        <v>4216</v>
      </c>
      <c r="J1485" s="333" t="s">
        <v>31</v>
      </c>
      <c r="K1485" s="333" t="s">
        <v>32</v>
      </c>
      <c r="L1485" s="333"/>
      <c r="M1485" s="333"/>
      <c r="N1485" s="417"/>
      <c r="O1485" s="417"/>
      <c r="P1485" s="462">
        <v>45517</v>
      </c>
      <c r="Q1485" s="396"/>
      <c r="R1485" s="333"/>
      <c r="S1485" s="373"/>
      <c r="T1485" s="373"/>
      <c r="U1485" s="373"/>
      <c r="V1485" s="373"/>
      <c r="W1485" s="346"/>
      <c r="X1485" s="373"/>
      <c r="Y1485" s="336">
        <f t="shared" ca="1" si="28"/>
        <v>69</v>
      </c>
      <c r="Z1485" s="373"/>
      <c r="AA1485" s="373"/>
      <c r="AB1485" s="373"/>
      <c r="AC1485" s="338" t="e">
        <f>VLOOKUP(F1485,'[1]CPO DATA'!$D:$I,4,FALSE)</f>
        <v>#N/A</v>
      </c>
      <c r="AD1485" s="418" t="e">
        <f>VLOOKUP(F1485,'STORE ITEMS'!C:F,2,FALSE)</f>
        <v>#N/A</v>
      </c>
    </row>
    <row r="1486" spans="1:30" ht="12.75" customHeight="1" x14ac:dyDescent="0.25">
      <c r="A1486" s="347" t="s">
        <v>4217</v>
      </c>
      <c r="B1486" s="501">
        <v>45481</v>
      </c>
      <c r="C1486" s="415" t="s">
        <v>219</v>
      </c>
      <c r="D1486" s="437" t="s">
        <v>2541</v>
      </c>
      <c r="E1486" s="333"/>
      <c r="F1486" s="559" t="s">
        <v>4218</v>
      </c>
      <c r="G1486" s="428" t="s">
        <v>4219</v>
      </c>
      <c r="H1486" s="428">
        <v>5</v>
      </c>
      <c r="I1486" s="428" t="s">
        <v>4220</v>
      </c>
      <c r="J1486" s="437" t="s">
        <v>31</v>
      </c>
      <c r="K1486" s="415" t="s">
        <v>32</v>
      </c>
      <c r="L1486" s="540"/>
      <c r="M1486" s="415"/>
      <c r="N1486" s="541"/>
      <c r="O1486" s="541"/>
      <c r="P1486" s="502">
        <v>45484</v>
      </c>
      <c r="Q1486" s="333"/>
      <c r="R1486" s="333"/>
      <c r="S1486" s="373"/>
      <c r="T1486" s="373"/>
      <c r="U1486" s="373"/>
      <c r="V1486" s="373"/>
      <c r="W1486" s="346"/>
      <c r="X1486" s="373"/>
      <c r="Y1486" s="336">
        <f t="shared" ca="1" si="28"/>
        <v>102</v>
      </c>
      <c r="Z1486" s="373"/>
      <c r="AA1486" s="373"/>
      <c r="AB1486" s="373"/>
      <c r="AD1486" s="338"/>
    </row>
    <row r="1487" spans="1:30" ht="12.75" customHeight="1" x14ac:dyDescent="0.25">
      <c r="A1487" s="347" t="s">
        <v>4221</v>
      </c>
      <c r="B1487" s="376">
        <v>45481</v>
      </c>
      <c r="C1487" s="333" t="s">
        <v>219</v>
      </c>
      <c r="D1487" s="332" t="s">
        <v>2541</v>
      </c>
      <c r="E1487" s="333"/>
      <c r="F1487" s="524" t="s">
        <v>4222</v>
      </c>
      <c r="G1487" s="372" t="s">
        <v>4223</v>
      </c>
      <c r="H1487" s="372">
        <v>5</v>
      </c>
      <c r="I1487" s="372" t="s">
        <v>4220</v>
      </c>
      <c r="J1487" s="332" t="s">
        <v>31</v>
      </c>
      <c r="K1487" s="333" t="s">
        <v>32</v>
      </c>
      <c r="L1487" s="396"/>
      <c r="M1487" s="333"/>
      <c r="N1487" s="417"/>
      <c r="O1487" s="417"/>
      <c r="P1487" s="462">
        <v>45484</v>
      </c>
      <c r="Q1487" s="333"/>
      <c r="R1487" s="333"/>
      <c r="S1487" s="373"/>
      <c r="T1487" s="373"/>
      <c r="U1487" s="373"/>
      <c r="V1487" s="373"/>
      <c r="W1487" s="346"/>
      <c r="X1487" s="373"/>
      <c r="Y1487" s="336">
        <f t="shared" ca="1" si="28"/>
        <v>102</v>
      </c>
      <c r="Z1487" s="373"/>
      <c r="AA1487" s="373"/>
      <c r="AB1487" s="373"/>
      <c r="AD1487" s="338"/>
    </row>
    <row r="1488" spans="1:30" ht="12.75" customHeight="1" x14ac:dyDescent="0.25">
      <c r="A1488" s="347" t="s">
        <v>4224</v>
      </c>
      <c r="B1488" s="376">
        <v>45481</v>
      </c>
      <c r="C1488" s="333" t="s">
        <v>219</v>
      </c>
      <c r="D1488" s="332" t="s">
        <v>2541</v>
      </c>
      <c r="E1488" s="333"/>
      <c r="F1488" s="524">
        <v>554554601645</v>
      </c>
      <c r="G1488" s="372" t="s">
        <v>4225</v>
      </c>
      <c r="H1488" s="372">
        <v>1</v>
      </c>
      <c r="I1488" s="372" t="s">
        <v>4220</v>
      </c>
      <c r="J1488" s="332" t="s">
        <v>31</v>
      </c>
      <c r="K1488" s="333" t="s">
        <v>32</v>
      </c>
      <c r="L1488" s="396"/>
      <c r="M1488" s="333"/>
      <c r="N1488" s="417"/>
      <c r="O1488" s="417"/>
      <c r="P1488" s="462">
        <v>45484</v>
      </c>
      <c r="Q1488" s="333"/>
      <c r="R1488" s="333"/>
      <c r="S1488" s="373"/>
      <c r="T1488" s="373"/>
      <c r="U1488" s="373"/>
      <c r="V1488" s="373"/>
      <c r="W1488" s="346"/>
      <c r="X1488" s="373"/>
      <c r="Y1488" s="336">
        <f t="shared" ca="1" si="28"/>
        <v>102</v>
      </c>
      <c r="Z1488" s="373"/>
      <c r="AA1488" s="373"/>
      <c r="AB1488" s="373"/>
      <c r="AD1488" s="338"/>
    </row>
    <row r="1489" spans="1:30" ht="12.75" customHeight="1" x14ac:dyDescent="0.25">
      <c r="A1489" s="347" t="s">
        <v>4226</v>
      </c>
      <c r="B1489" s="376">
        <v>45481</v>
      </c>
      <c r="C1489" s="333" t="s">
        <v>219</v>
      </c>
      <c r="D1489" s="332" t="s">
        <v>2541</v>
      </c>
      <c r="E1489" s="333"/>
      <c r="F1489" s="524">
        <v>554629100106</v>
      </c>
      <c r="G1489" s="372" t="s">
        <v>4227</v>
      </c>
      <c r="H1489" s="372">
        <v>1</v>
      </c>
      <c r="I1489" s="372" t="s">
        <v>4220</v>
      </c>
      <c r="J1489" s="332" t="s">
        <v>31</v>
      </c>
      <c r="K1489" s="333" t="s">
        <v>32</v>
      </c>
      <c r="L1489" s="396"/>
      <c r="M1489" s="333"/>
      <c r="N1489" s="417"/>
      <c r="O1489" s="417"/>
      <c r="P1489" s="462">
        <v>45484</v>
      </c>
      <c r="Q1489" s="333"/>
      <c r="R1489" s="333"/>
      <c r="S1489" s="373"/>
      <c r="T1489" s="373"/>
      <c r="U1489" s="373"/>
      <c r="V1489" s="373"/>
      <c r="W1489" s="346"/>
      <c r="X1489" s="373"/>
      <c r="Y1489" s="336">
        <f t="shared" ca="1" si="28"/>
        <v>102</v>
      </c>
      <c r="Z1489" s="373"/>
      <c r="AA1489" s="373"/>
      <c r="AB1489" s="373"/>
      <c r="AD1489" s="338"/>
    </row>
    <row r="1490" spans="1:30" ht="12.75" customHeight="1" x14ac:dyDescent="0.25">
      <c r="A1490" s="347" t="s">
        <v>4228</v>
      </c>
      <c r="B1490" s="376">
        <v>45481</v>
      </c>
      <c r="C1490" s="333" t="s">
        <v>219</v>
      </c>
      <c r="D1490" s="332" t="s">
        <v>2541</v>
      </c>
      <c r="E1490" s="333"/>
      <c r="F1490" s="524" t="s">
        <v>4229</v>
      </c>
      <c r="G1490" s="372" t="s">
        <v>4230</v>
      </c>
      <c r="H1490" s="372">
        <v>1</v>
      </c>
      <c r="I1490" s="372" t="s">
        <v>4220</v>
      </c>
      <c r="J1490" s="332" t="s">
        <v>31</v>
      </c>
      <c r="K1490" s="333" t="s">
        <v>32</v>
      </c>
      <c r="L1490" s="396"/>
      <c r="M1490" s="333"/>
      <c r="N1490" s="417"/>
      <c r="O1490" s="417"/>
      <c r="P1490" s="462">
        <v>45484</v>
      </c>
      <c r="Q1490" s="333"/>
      <c r="R1490" s="333"/>
      <c r="S1490" s="373"/>
      <c r="T1490" s="373"/>
      <c r="U1490" s="373"/>
      <c r="V1490" s="373"/>
      <c r="W1490" s="346"/>
      <c r="X1490" s="373"/>
      <c r="Y1490" s="336">
        <f t="shared" ca="1" si="28"/>
        <v>102</v>
      </c>
      <c r="Z1490" s="373"/>
      <c r="AA1490" s="373"/>
      <c r="AB1490" s="373"/>
      <c r="AD1490" s="338"/>
    </row>
    <row r="1491" spans="1:30" ht="12.75" customHeight="1" x14ac:dyDescent="0.25">
      <c r="A1491" s="347" t="s">
        <v>4231</v>
      </c>
      <c r="B1491" s="376">
        <v>45482</v>
      </c>
      <c r="C1491" s="333" t="s">
        <v>219</v>
      </c>
      <c r="D1491" s="332" t="s">
        <v>1589</v>
      </c>
      <c r="E1491" s="333"/>
      <c r="F1491" s="524">
        <v>550643960175</v>
      </c>
      <c r="G1491" s="372" t="s">
        <v>4232</v>
      </c>
      <c r="H1491" s="372">
        <v>1</v>
      </c>
      <c r="I1491" s="372" t="s">
        <v>4233</v>
      </c>
      <c r="J1491" s="332" t="s">
        <v>31</v>
      </c>
      <c r="K1491" s="333" t="s">
        <v>32</v>
      </c>
      <c r="L1491" s="396"/>
      <c r="M1491" s="333"/>
      <c r="N1491" s="417"/>
      <c r="O1491" s="417"/>
      <c r="P1491" s="462">
        <v>45484</v>
      </c>
      <c r="Q1491" s="333"/>
      <c r="R1491" s="333"/>
      <c r="S1491" s="373"/>
      <c r="T1491" s="373"/>
      <c r="U1491" s="373"/>
      <c r="V1491" s="373"/>
      <c r="W1491" s="346"/>
      <c r="X1491" s="373"/>
      <c r="Y1491" s="336">
        <f t="shared" ca="1" si="28"/>
        <v>102</v>
      </c>
      <c r="Z1491" s="373"/>
      <c r="AA1491" s="373"/>
      <c r="AB1491" s="373"/>
      <c r="AD1491" s="338"/>
    </row>
    <row r="1492" spans="1:30" ht="12.75" customHeight="1" x14ac:dyDescent="0.25">
      <c r="A1492" s="347" t="s">
        <v>4234</v>
      </c>
      <c r="B1492" s="376">
        <v>45482</v>
      </c>
      <c r="C1492" s="333" t="s">
        <v>219</v>
      </c>
      <c r="D1492" s="332" t="s">
        <v>1589</v>
      </c>
      <c r="E1492" s="333"/>
      <c r="F1492" s="524">
        <v>585872502301</v>
      </c>
      <c r="G1492" s="372" t="s">
        <v>4235</v>
      </c>
      <c r="H1492" s="372">
        <v>10</v>
      </c>
      <c r="I1492" s="372" t="s">
        <v>4233</v>
      </c>
      <c r="J1492" s="332" t="s">
        <v>43</v>
      </c>
      <c r="K1492" s="333" t="s">
        <v>32</v>
      </c>
      <c r="L1492" s="396"/>
      <c r="M1492" s="333"/>
      <c r="N1492" s="417"/>
      <c r="O1492" s="417"/>
      <c r="P1492" s="462">
        <v>45484</v>
      </c>
      <c r="Q1492" s="333"/>
      <c r="R1492" s="333"/>
      <c r="S1492" s="373"/>
      <c r="T1492" s="373"/>
      <c r="U1492" s="373"/>
      <c r="V1492" s="373"/>
      <c r="W1492" s="346"/>
      <c r="X1492" s="373"/>
      <c r="Y1492" s="336">
        <f t="shared" ca="1" si="28"/>
        <v>102</v>
      </c>
      <c r="Z1492" s="373"/>
      <c r="AA1492" s="373"/>
      <c r="AB1492" s="373"/>
      <c r="AD1492" s="338"/>
    </row>
    <row r="1493" spans="1:30" ht="12.75" customHeight="1" x14ac:dyDescent="0.25">
      <c r="A1493" s="347" t="s">
        <v>4236</v>
      </c>
      <c r="B1493" s="376">
        <v>45482</v>
      </c>
      <c r="C1493" s="333" t="s">
        <v>219</v>
      </c>
      <c r="D1493" s="332" t="s">
        <v>1589</v>
      </c>
      <c r="E1493" s="333"/>
      <c r="F1493" s="524">
        <v>585872502302</v>
      </c>
      <c r="G1493" s="372" t="s">
        <v>4237</v>
      </c>
      <c r="H1493" s="372">
        <v>10</v>
      </c>
      <c r="I1493" s="372" t="s">
        <v>4233</v>
      </c>
      <c r="J1493" s="332" t="s">
        <v>43</v>
      </c>
      <c r="K1493" s="333" t="s">
        <v>32</v>
      </c>
      <c r="L1493" s="396"/>
      <c r="M1493" s="333"/>
      <c r="N1493" s="417"/>
      <c r="O1493" s="417"/>
      <c r="P1493" s="462">
        <v>45484</v>
      </c>
      <c r="Q1493" s="333"/>
      <c r="R1493" s="333"/>
      <c r="S1493" s="373"/>
      <c r="T1493" s="373"/>
      <c r="U1493" s="373"/>
      <c r="V1493" s="373"/>
      <c r="W1493" s="346"/>
      <c r="X1493" s="373"/>
      <c r="Y1493" s="336">
        <f t="shared" ca="1" si="28"/>
        <v>102</v>
      </c>
      <c r="Z1493" s="373"/>
      <c r="AA1493" s="373"/>
      <c r="AB1493" s="373"/>
      <c r="AD1493" s="338"/>
    </row>
    <row r="1494" spans="1:30" ht="12.75" customHeight="1" x14ac:dyDescent="0.25">
      <c r="A1494" s="347" t="s">
        <v>4238</v>
      </c>
      <c r="B1494" s="376">
        <v>45482</v>
      </c>
      <c r="C1494" s="333" t="s">
        <v>219</v>
      </c>
      <c r="D1494" s="332" t="s">
        <v>1589</v>
      </c>
      <c r="E1494" s="333"/>
      <c r="F1494" s="524">
        <v>550732106708</v>
      </c>
      <c r="G1494" s="372" t="s">
        <v>2695</v>
      </c>
      <c r="H1494" s="372">
        <v>40</v>
      </c>
      <c r="I1494" s="372" t="s">
        <v>4233</v>
      </c>
      <c r="J1494" s="332" t="s">
        <v>43</v>
      </c>
      <c r="K1494" s="333" t="s">
        <v>32</v>
      </c>
      <c r="L1494" s="396"/>
      <c r="M1494" s="333"/>
      <c r="N1494" s="417"/>
      <c r="O1494" s="417"/>
      <c r="P1494" s="462">
        <v>45484</v>
      </c>
      <c r="Q1494" s="333"/>
      <c r="R1494" s="333"/>
      <c r="S1494" s="373"/>
      <c r="T1494" s="373"/>
      <c r="U1494" s="373"/>
      <c r="V1494" s="373"/>
      <c r="W1494" s="346"/>
      <c r="X1494" s="373"/>
      <c r="Y1494" s="336">
        <f t="shared" ca="1" si="28"/>
        <v>102</v>
      </c>
      <c r="Z1494" s="373"/>
      <c r="AA1494" s="373"/>
      <c r="AB1494" s="373"/>
      <c r="AD1494" s="338"/>
    </row>
    <row r="1495" spans="1:30" ht="12.75" customHeight="1" x14ac:dyDescent="0.25">
      <c r="A1495" s="347" t="s">
        <v>4239</v>
      </c>
      <c r="B1495" s="376">
        <v>45482</v>
      </c>
      <c r="C1495" s="333" t="s">
        <v>219</v>
      </c>
      <c r="D1495" s="332" t="s">
        <v>1589</v>
      </c>
      <c r="E1495" s="333"/>
      <c r="F1495" s="524">
        <v>263243700169</v>
      </c>
      <c r="G1495" s="372" t="s">
        <v>4240</v>
      </c>
      <c r="H1495" s="372">
        <v>1</v>
      </c>
      <c r="I1495" s="372" t="s">
        <v>4233</v>
      </c>
      <c r="J1495" s="332" t="s">
        <v>31</v>
      </c>
      <c r="K1495" s="333" t="s">
        <v>32</v>
      </c>
      <c r="L1495" s="396"/>
      <c r="M1495" s="333"/>
      <c r="N1495" s="417"/>
      <c r="O1495" s="417"/>
      <c r="P1495" s="462">
        <v>45495</v>
      </c>
      <c r="Q1495" s="333"/>
      <c r="R1495" s="333"/>
      <c r="S1495" s="373"/>
      <c r="T1495" s="373"/>
      <c r="U1495" s="373"/>
      <c r="V1495" s="373"/>
      <c r="W1495" s="498">
        <v>45495</v>
      </c>
      <c r="X1495" s="373"/>
      <c r="Y1495" s="336">
        <f t="shared" ca="1" si="28"/>
        <v>0</v>
      </c>
      <c r="Z1495" s="373"/>
      <c r="AA1495" s="373"/>
      <c r="AB1495" s="373"/>
      <c r="AD1495" s="338"/>
    </row>
    <row r="1496" spans="1:30" ht="12.75" customHeight="1" x14ac:dyDescent="0.25">
      <c r="A1496" s="347" t="s">
        <v>4241</v>
      </c>
      <c r="B1496" s="376">
        <v>45482</v>
      </c>
      <c r="C1496" s="333" t="s">
        <v>219</v>
      </c>
      <c r="D1496" s="332">
        <v>1216</v>
      </c>
      <c r="E1496" s="333"/>
      <c r="F1496" s="524" t="s">
        <v>4242</v>
      </c>
      <c r="G1496" s="372" t="s">
        <v>4243</v>
      </c>
      <c r="H1496" s="372">
        <v>1</v>
      </c>
      <c r="I1496" s="372" t="s">
        <v>4184</v>
      </c>
      <c r="J1496" s="332" t="s">
        <v>102</v>
      </c>
      <c r="K1496" s="333" t="s">
        <v>69</v>
      </c>
      <c r="L1496" s="396"/>
      <c r="M1496" s="333"/>
      <c r="N1496" s="417"/>
      <c r="O1496" s="417"/>
      <c r="P1496" s="462"/>
      <c r="Q1496" s="333"/>
      <c r="R1496" s="333"/>
      <c r="S1496" s="373"/>
      <c r="T1496" s="373"/>
      <c r="U1496" s="373"/>
      <c r="V1496" s="373"/>
      <c r="W1496" s="346"/>
      <c r="X1496" s="373"/>
      <c r="Y1496" s="336" t="str">
        <f t="shared" ca="1" si="28"/>
        <v/>
      </c>
      <c r="Z1496" s="373"/>
      <c r="AA1496" s="373"/>
      <c r="AB1496" s="373"/>
      <c r="AD1496" s="338"/>
    </row>
    <row r="1497" spans="1:30" ht="12.75" customHeight="1" x14ac:dyDescent="0.25">
      <c r="A1497" s="347" t="s">
        <v>4244</v>
      </c>
      <c r="B1497" s="376">
        <v>45482</v>
      </c>
      <c r="C1497" s="333" t="s">
        <v>219</v>
      </c>
      <c r="D1497" s="332">
        <v>1216</v>
      </c>
      <c r="E1497" s="333"/>
      <c r="F1497" s="524">
        <v>278609130355</v>
      </c>
      <c r="G1497" s="372" t="s">
        <v>4245</v>
      </c>
      <c r="H1497" s="372">
        <v>8</v>
      </c>
      <c r="I1497" s="372" t="s">
        <v>4184</v>
      </c>
      <c r="J1497" s="332" t="s">
        <v>31</v>
      </c>
      <c r="K1497" s="333" t="s">
        <v>32</v>
      </c>
      <c r="L1497" s="396"/>
      <c r="M1497" s="333"/>
      <c r="N1497" s="417"/>
      <c r="O1497" s="417"/>
      <c r="P1497" s="462"/>
      <c r="Q1497" s="333"/>
      <c r="R1497" s="333"/>
      <c r="S1497" s="373"/>
      <c r="T1497" s="373"/>
      <c r="U1497" s="373"/>
      <c r="V1497" s="373"/>
      <c r="W1497" s="346"/>
      <c r="X1497" s="373"/>
      <c r="Y1497" s="336" t="str">
        <f t="shared" ca="1" si="28"/>
        <v/>
      </c>
      <c r="Z1497" s="373"/>
      <c r="AA1497" s="373"/>
      <c r="AB1497" s="373"/>
      <c r="AD1497" s="338"/>
    </row>
    <row r="1498" spans="1:30" ht="12.75" customHeight="1" x14ac:dyDescent="0.25">
      <c r="A1498" s="347" t="s">
        <v>4246</v>
      </c>
      <c r="B1498" s="376">
        <v>45482</v>
      </c>
      <c r="C1498" s="333" t="s">
        <v>219</v>
      </c>
      <c r="D1498" s="332">
        <v>1216</v>
      </c>
      <c r="E1498" s="333"/>
      <c r="F1498" s="524">
        <v>216729100105</v>
      </c>
      <c r="G1498" s="372" t="s">
        <v>4247</v>
      </c>
      <c r="H1498" s="372">
        <v>1</v>
      </c>
      <c r="I1498" s="372" t="s">
        <v>4184</v>
      </c>
      <c r="J1498" s="332" t="s">
        <v>31</v>
      </c>
      <c r="K1498" s="333" t="s">
        <v>32</v>
      </c>
      <c r="L1498" s="396"/>
      <c r="M1498" s="333"/>
      <c r="N1498" s="417"/>
      <c r="O1498" s="417"/>
      <c r="P1498" s="462"/>
      <c r="Q1498" s="333"/>
      <c r="R1498" s="333"/>
      <c r="S1498" s="373"/>
      <c r="T1498" s="373"/>
      <c r="U1498" s="373"/>
      <c r="V1498" s="373"/>
      <c r="W1498" s="346"/>
      <c r="X1498" s="373"/>
      <c r="Y1498" s="336" t="str">
        <f t="shared" ca="1" si="28"/>
        <v/>
      </c>
      <c r="Z1498" s="373"/>
      <c r="AA1498" s="373"/>
      <c r="AB1498" s="373"/>
      <c r="AD1498" s="338"/>
    </row>
    <row r="1499" spans="1:30" ht="12.75" customHeight="1" x14ac:dyDescent="0.25">
      <c r="A1499" s="347" t="s">
        <v>4248</v>
      </c>
      <c r="B1499" s="376">
        <v>45482</v>
      </c>
      <c r="C1499" s="333" t="s">
        <v>219</v>
      </c>
      <c r="D1499" s="332">
        <v>1216</v>
      </c>
      <c r="E1499" s="333"/>
      <c r="F1499" s="524">
        <v>264343709901</v>
      </c>
      <c r="G1499" s="372" t="s">
        <v>4249</v>
      </c>
      <c r="H1499" s="372">
        <v>2</v>
      </c>
      <c r="I1499" s="372" t="s">
        <v>4008</v>
      </c>
      <c r="J1499" s="333" t="s">
        <v>46</v>
      </c>
      <c r="K1499" s="437" t="s">
        <v>32</v>
      </c>
      <c r="L1499" s="333"/>
      <c r="M1499" s="333"/>
      <c r="N1499" s="417"/>
      <c r="O1499" s="417"/>
      <c r="P1499" s="462"/>
      <c r="Q1499" s="333"/>
      <c r="R1499" s="333"/>
      <c r="S1499" s="373"/>
      <c r="T1499" s="373"/>
      <c r="U1499" s="373"/>
      <c r="V1499" s="373"/>
      <c r="W1499" s="346"/>
      <c r="X1499" s="373"/>
      <c r="Y1499" s="336" t="str">
        <f t="shared" ca="1" si="28"/>
        <v/>
      </c>
      <c r="Z1499" s="373"/>
      <c r="AA1499" s="373"/>
      <c r="AB1499" s="373"/>
      <c r="AD1499" s="338"/>
    </row>
    <row r="1500" spans="1:30" ht="12.75" customHeight="1" x14ac:dyDescent="0.25">
      <c r="A1500" s="347" t="s">
        <v>4250</v>
      </c>
      <c r="B1500" s="376">
        <v>45484</v>
      </c>
      <c r="C1500" s="333" t="s">
        <v>26</v>
      </c>
      <c r="D1500" s="332" t="s">
        <v>1007</v>
      </c>
      <c r="E1500" s="333"/>
      <c r="F1500" s="524">
        <v>10738771</v>
      </c>
      <c r="G1500" s="372" t="s">
        <v>4251</v>
      </c>
      <c r="H1500" s="372">
        <v>8</v>
      </c>
      <c r="I1500" s="372" t="s">
        <v>3814</v>
      </c>
      <c r="J1500" s="333" t="s">
        <v>46</v>
      </c>
      <c r="K1500" s="332" t="s">
        <v>32</v>
      </c>
      <c r="L1500" s="333"/>
      <c r="M1500" s="333"/>
      <c r="N1500" s="417"/>
      <c r="O1500" s="417"/>
      <c r="P1500" s="462">
        <v>45484</v>
      </c>
      <c r="Q1500" s="333"/>
      <c r="R1500" s="333"/>
      <c r="S1500" s="373"/>
      <c r="T1500" s="373"/>
      <c r="U1500" s="373"/>
      <c r="V1500" s="373"/>
      <c r="W1500" s="346"/>
      <c r="X1500" s="373"/>
      <c r="Y1500" s="336">
        <f t="shared" ca="1" si="28"/>
        <v>102</v>
      </c>
      <c r="Z1500" s="373"/>
      <c r="AA1500" s="373"/>
      <c r="AB1500" s="373"/>
      <c r="AD1500" s="338"/>
    </row>
    <row r="1501" spans="1:30" ht="12.75" customHeight="1" x14ac:dyDescent="0.25">
      <c r="A1501" s="347" t="s">
        <v>4252</v>
      </c>
      <c r="B1501" s="376">
        <v>45484</v>
      </c>
      <c r="C1501" s="333" t="s">
        <v>26</v>
      </c>
      <c r="D1501" s="332" t="s">
        <v>1007</v>
      </c>
      <c r="E1501" s="333"/>
      <c r="F1501" s="524" t="s">
        <v>33</v>
      </c>
      <c r="G1501" s="372" t="s">
        <v>4253</v>
      </c>
      <c r="H1501" s="372">
        <v>24</v>
      </c>
      <c r="I1501" s="372" t="s">
        <v>3814</v>
      </c>
      <c r="J1501" s="333" t="s">
        <v>46</v>
      </c>
      <c r="K1501" s="332" t="s">
        <v>32</v>
      </c>
      <c r="L1501" s="333"/>
      <c r="M1501" s="333"/>
      <c r="N1501" s="417"/>
      <c r="O1501" s="417"/>
      <c r="P1501" s="462">
        <v>45484</v>
      </c>
      <c r="Q1501" s="333"/>
      <c r="R1501" s="333"/>
      <c r="S1501" s="373"/>
      <c r="T1501" s="373"/>
      <c r="U1501" s="373"/>
      <c r="V1501" s="373"/>
      <c r="W1501" s="346"/>
      <c r="X1501" s="373"/>
      <c r="Y1501" s="336">
        <f t="shared" ca="1" si="28"/>
        <v>102</v>
      </c>
      <c r="Z1501" s="373"/>
      <c r="AA1501" s="373"/>
      <c r="AB1501" s="373"/>
      <c r="AD1501" s="338"/>
    </row>
    <row r="1502" spans="1:30" ht="12.75" customHeight="1" x14ac:dyDescent="0.25">
      <c r="A1502" s="347" t="s">
        <v>4254</v>
      </c>
      <c r="B1502" s="376">
        <v>45484</v>
      </c>
      <c r="C1502" s="333" t="s">
        <v>26</v>
      </c>
      <c r="D1502" s="332" t="s">
        <v>1259</v>
      </c>
      <c r="E1502" s="333"/>
      <c r="F1502" s="524">
        <v>3086788</v>
      </c>
      <c r="G1502" s="372" t="s">
        <v>4255</v>
      </c>
      <c r="H1502" s="372">
        <v>1</v>
      </c>
      <c r="I1502" s="372" t="s">
        <v>2852</v>
      </c>
      <c r="J1502" s="333" t="s">
        <v>31</v>
      </c>
      <c r="K1502" s="332" t="s">
        <v>32</v>
      </c>
      <c r="L1502" s="333"/>
      <c r="M1502" s="333"/>
      <c r="N1502" s="417"/>
      <c r="O1502" s="417"/>
      <c r="P1502" s="462">
        <v>45484</v>
      </c>
      <c r="Q1502" s="333"/>
      <c r="R1502" s="333"/>
      <c r="S1502" s="373"/>
      <c r="T1502" s="373"/>
      <c r="U1502" s="373"/>
      <c r="V1502" s="373"/>
      <c r="W1502" s="346"/>
      <c r="X1502" s="373"/>
      <c r="Y1502" s="336">
        <f t="shared" ca="1" si="28"/>
        <v>102</v>
      </c>
      <c r="Z1502" s="373"/>
      <c r="AA1502" s="373"/>
      <c r="AB1502" s="373"/>
      <c r="AD1502" s="338"/>
    </row>
    <row r="1503" spans="1:30" ht="12.75" customHeight="1" x14ac:dyDescent="0.25">
      <c r="A1503" s="347" t="s">
        <v>4256</v>
      </c>
      <c r="B1503" s="363">
        <v>45484</v>
      </c>
      <c r="C1503" s="364" t="s">
        <v>26</v>
      </c>
      <c r="D1503" s="368" t="s">
        <v>1259</v>
      </c>
      <c r="E1503" s="333"/>
      <c r="F1503" s="523">
        <v>3091730</v>
      </c>
      <c r="G1503" s="366" t="s">
        <v>4257</v>
      </c>
      <c r="H1503" s="366">
        <v>1</v>
      </c>
      <c r="I1503" s="366" t="s">
        <v>2852</v>
      </c>
      <c r="J1503" s="364" t="s">
        <v>31</v>
      </c>
      <c r="K1503" s="368" t="s">
        <v>32</v>
      </c>
      <c r="L1503" s="364"/>
      <c r="M1503" s="364"/>
      <c r="N1503" s="485"/>
      <c r="O1503" s="485"/>
      <c r="P1503" s="491">
        <v>45484</v>
      </c>
      <c r="Q1503" s="333"/>
      <c r="R1503" s="333"/>
      <c r="S1503" s="373"/>
      <c r="T1503" s="373"/>
      <c r="U1503" s="373"/>
      <c r="V1503" s="373"/>
      <c r="W1503" s="346"/>
      <c r="X1503" s="373"/>
      <c r="Y1503" s="336">
        <f t="shared" ca="1" si="28"/>
        <v>102</v>
      </c>
      <c r="Z1503" s="373"/>
      <c r="AA1503" s="373"/>
      <c r="AB1503" s="373"/>
      <c r="AD1503" s="338"/>
    </row>
    <row r="1504" spans="1:30" s="571" customFormat="1" ht="12.75" customHeight="1" x14ac:dyDescent="0.25">
      <c r="A1504" s="561" t="s">
        <v>4258</v>
      </c>
      <c r="B1504" s="562">
        <v>45497</v>
      </c>
      <c r="C1504" s="563" t="s">
        <v>35</v>
      </c>
      <c r="D1504" s="563" t="s">
        <v>36</v>
      </c>
      <c r="E1504" s="499"/>
      <c r="F1504" s="564" t="s">
        <v>4259</v>
      </c>
      <c r="G1504" s="563" t="s">
        <v>4260</v>
      </c>
      <c r="H1504" s="563">
        <v>4</v>
      </c>
      <c r="I1504" s="563" t="s">
        <v>4216</v>
      </c>
      <c r="J1504" s="563" t="s">
        <v>68</v>
      </c>
      <c r="K1504" s="563" t="s">
        <v>69</v>
      </c>
      <c r="L1504" s="563"/>
      <c r="M1504" s="563"/>
      <c r="N1504" s="565"/>
      <c r="O1504" s="565"/>
      <c r="P1504" s="566">
        <v>45517</v>
      </c>
      <c r="Q1504" s="567"/>
      <c r="R1504" s="563"/>
      <c r="S1504" s="568"/>
      <c r="T1504" s="568"/>
      <c r="U1504" s="568"/>
      <c r="V1504" s="568"/>
      <c r="W1504" s="569">
        <v>45537</v>
      </c>
      <c r="X1504" s="568"/>
      <c r="Y1504" s="570">
        <f t="shared" ca="1" si="28"/>
        <v>20</v>
      </c>
      <c r="Z1504" s="568"/>
      <c r="AA1504" s="568"/>
      <c r="AB1504" s="568"/>
      <c r="AC1504" s="571" t="e">
        <f>VLOOKUP(F1504,'[1]CPO DATA'!$D:$I,4,FALSE)</f>
        <v>#N/A</v>
      </c>
      <c r="AD1504" s="572" t="str">
        <f>VLOOKUP(F1504,'STORE ITEMS'!C:F,2,FALSE)</f>
        <v>HORN ASSY, LOW PITCHED</v>
      </c>
    </row>
    <row r="1505" spans="1:30" ht="12.75" customHeight="1" x14ac:dyDescent="0.25">
      <c r="A1505" s="558" t="s">
        <v>4261</v>
      </c>
      <c r="B1505" s="376">
        <v>45497</v>
      </c>
      <c r="C1505" s="333" t="s">
        <v>35</v>
      </c>
      <c r="D1505" s="333" t="s">
        <v>36</v>
      </c>
      <c r="E1505" s="499"/>
      <c r="F1505" s="374" t="s">
        <v>2046</v>
      </c>
      <c r="G1505" s="372" t="s">
        <v>4262</v>
      </c>
      <c r="H1505" s="372">
        <v>1</v>
      </c>
      <c r="I1505" s="372" t="s">
        <v>4263</v>
      </c>
      <c r="J1505" s="333" t="s">
        <v>265</v>
      </c>
      <c r="K1505" s="333" t="s">
        <v>32</v>
      </c>
      <c r="L1505" s="333"/>
      <c r="M1505" s="333"/>
      <c r="N1505" s="417"/>
      <c r="O1505" s="417"/>
      <c r="P1505" s="462">
        <v>45517</v>
      </c>
      <c r="Q1505" s="396"/>
      <c r="R1505" s="333"/>
      <c r="S1505" s="373"/>
      <c r="T1505" s="373"/>
      <c r="U1505" s="373"/>
      <c r="V1505" s="373"/>
      <c r="W1505" s="346"/>
      <c r="X1505" s="373"/>
      <c r="Y1505" s="336">
        <f t="shared" ca="1" si="28"/>
        <v>69</v>
      </c>
      <c r="Z1505" s="373"/>
      <c r="AA1505" s="373"/>
      <c r="AB1505" s="373"/>
      <c r="AC1505" s="338" t="e">
        <f>VLOOKUP(F1505,'[1]CPO DATA'!$D:$I,4,FALSE)</f>
        <v>#N/A</v>
      </c>
      <c r="AD1505" s="418" t="str">
        <f>VLOOKUP(F1505,'STORE ITEMS'!C:F,2,FALSE)</f>
        <v>GLASS SUB ASY, WINDSHIELD</v>
      </c>
    </row>
    <row r="1506" spans="1:30" ht="12.75" customHeight="1" x14ac:dyDescent="0.25">
      <c r="A1506" s="573" t="s">
        <v>4264</v>
      </c>
      <c r="B1506" s="376">
        <v>45497</v>
      </c>
      <c r="C1506" s="333" t="s">
        <v>35</v>
      </c>
      <c r="D1506" s="333" t="s">
        <v>36</v>
      </c>
      <c r="E1506" s="499"/>
      <c r="F1506" s="374" t="s">
        <v>2027</v>
      </c>
      <c r="G1506" s="372" t="s">
        <v>1773</v>
      </c>
      <c r="H1506" s="372">
        <v>1</v>
      </c>
      <c r="I1506" s="372" t="s">
        <v>4265</v>
      </c>
      <c r="J1506" s="333" t="s">
        <v>265</v>
      </c>
      <c r="K1506" s="333" t="s">
        <v>32</v>
      </c>
      <c r="L1506" s="333"/>
      <c r="M1506" s="333"/>
      <c r="N1506" s="417"/>
      <c r="O1506" s="417"/>
      <c r="P1506" s="462">
        <v>45517</v>
      </c>
      <c r="Q1506" s="396"/>
      <c r="R1506" s="333"/>
      <c r="S1506" s="373"/>
      <c r="T1506" s="373"/>
      <c r="U1506" s="373"/>
      <c r="V1506" s="373"/>
      <c r="W1506" s="481">
        <v>45544</v>
      </c>
      <c r="X1506" s="373"/>
      <c r="Y1506" s="336">
        <f t="shared" ca="1" si="28"/>
        <v>27</v>
      </c>
      <c r="Z1506" s="373"/>
      <c r="AA1506" s="373"/>
      <c r="AB1506" s="373"/>
      <c r="AC1506" s="338" t="str">
        <f>VLOOKUP(F1506,'[1]CPO DATA'!$D:$I,4,FALSE)</f>
        <v>HN1/HN4</v>
      </c>
      <c r="AD1506" s="338"/>
    </row>
    <row r="1507" spans="1:30" ht="12.75" customHeight="1" x14ac:dyDescent="0.25">
      <c r="A1507" s="425" t="s">
        <v>4266</v>
      </c>
      <c r="B1507" s="501">
        <v>45497</v>
      </c>
      <c r="C1507" s="415" t="s">
        <v>35</v>
      </c>
      <c r="D1507" s="415" t="s">
        <v>177</v>
      </c>
      <c r="E1507" s="499"/>
      <c r="F1507" s="427" t="s">
        <v>4267</v>
      </c>
      <c r="G1507" s="428" t="s">
        <v>3389</v>
      </c>
      <c r="H1507" s="428">
        <v>45</v>
      </c>
      <c r="I1507" s="428" t="s">
        <v>4268</v>
      </c>
      <c r="J1507" s="415" t="s">
        <v>46</v>
      </c>
      <c r="K1507" s="415" t="s">
        <v>32</v>
      </c>
      <c r="L1507" s="415"/>
      <c r="M1507" s="415"/>
      <c r="N1507" s="541"/>
      <c r="O1507" s="541"/>
      <c r="P1507" s="502">
        <v>45528</v>
      </c>
      <c r="Q1507" s="396"/>
      <c r="R1507" s="333"/>
      <c r="S1507" s="373"/>
      <c r="T1507" s="373"/>
      <c r="U1507" s="373"/>
      <c r="V1507" s="373"/>
      <c r="W1507" s="346"/>
      <c r="X1507" s="373"/>
      <c r="Y1507" s="336">
        <f t="shared" ca="1" si="28"/>
        <v>58</v>
      </c>
      <c r="Z1507" s="373"/>
      <c r="AA1507" s="373"/>
      <c r="AB1507" s="373"/>
      <c r="AC1507" s="338" t="e">
        <f>VLOOKUP(F1507,'[1]CPO DATA'!$D:$I,4,FALSE)</f>
        <v>#N/A</v>
      </c>
      <c r="AD1507" s="418" t="str">
        <f>VLOOKUP(F1507,'STORE ITEMS'!C:F,2,FALSE)</f>
        <v>BOLT W/WASHER</v>
      </c>
    </row>
    <row r="1508" spans="1:30" ht="12.75" customHeight="1" x14ac:dyDescent="0.25">
      <c r="A1508" s="425" t="s">
        <v>4269</v>
      </c>
      <c r="B1508" s="376">
        <v>45497</v>
      </c>
      <c r="C1508" s="333" t="s">
        <v>35</v>
      </c>
      <c r="D1508" s="333" t="s">
        <v>177</v>
      </c>
      <c r="E1508" s="499"/>
      <c r="F1508" s="374" t="s">
        <v>50</v>
      </c>
      <c r="G1508" s="372" t="s">
        <v>3389</v>
      </c>
      <c r="H1508" s="372">
        <v>45</v>
      </c>
      <c r="I1508" s="372" t="s">
        <v>4268</v>
      </c>
      <c r="J1508" s="333" t="s">
        <v>46</v>
      </c>
      <c r="K1508" s="333" t="s">
        <v>32</v>
      </c>
      <c r="L1508" s="333"/>
      <c r="M1508" s="333"/>
      <c r="N1508" s="417"/>
      <c r="O1508" s="417"/>
      <c r="P1508" s="462">
        <v>45528</v>
      </c>
      <c r="Q1508" s="396"/>
      <c r="R1508" s="333"/>
      <c r="S1508" s="373"/>
      <c r="T1508" s="373"/>
      <c r="U1508" s="373"/>
      <c r="V1508" s="373"/>
      <c r="W1508" s="346"/>
      <c r="X1508" s="373"/>
      <c r="Y1508" s="336">
        <f t="shared" ca="1" si="28"/>
        <v>58</v>
      </c>
      <c r="Z1508" s="373"/>
      <c r="AA1508" s="373"/>
      <c r="AB1508" s="373"/>
      <c r="AC1508" s="338" t="e">
        <f>VLOOKUP(F1508,'[1]CPO DATA'!$D:$I,4,FALSE)</f>
        <v>#N/A</v>
      </c>
      <c r="AD1508" s="418" t="e">
        <f>VLOOKUP(F1508,'STORE ITEMS'!C:F,2,FALSE)</f>
        <v>#N/A</v>
      </c>
    </row>
    <row r="1509" spans="1:30" ht="12.75" customHeight="1" x14ac:dyDescent="0.25">
      <c r="A1509" s="425" t="s">
        <v>4270</v>
      </c>
      <c r="B1509" s="376">
        <v>45497</v>
      </c>
      <c r="C1509" s="333" t="s">
        <v>35</v>
      </c>
      <c r="D1509" s="333" t="s">
        <v>177</v>
      </c>
      <c r="E1509" s="499"/>
      <c r="F1509" s="374" t="s">
        <v>3954</v>
      </c>
      <c r="G1509" s="372" t="s">
        <v>2162</v>
      </c>
      <c r="H1509" s="372">
        <v>30</v>
      </c>
      <c r="I1509" s="372" t="s">
        <v>4268</v>
      </c>
      <c r="J1509" s="333" t="s">
        <v>46</v>
      </c>
      <c r="K1509" s="333" t="s">
        <v>32</v>
      </c>
      <c r="L1509" s="333"/>
      <c r="M1509" s="333"/>
      <c r="N1509" s="417"/>
      <c r="O1509" s="417"/>
      <c r="P1509" s="462">
        <v>45528</v>
      </c>
      <c r="Q1509" s="396"/>
      <c r="R1509" s="333"/>
      <c r="S1509" s="373"/>
      <c r="T1509" s="373"/>
      <c r="U1509" s="373"/>
      <c r="V1509" s="373"/>
      <c r="W1509" s="346"/>
      <c r="X1509" s="373"/>
      <c r="Y1509" s="336">
        <f t="shared" ca="1" si="28"/>
        <v>58</v>
      </c>
      <c r="Z1509" s="373"/>
      <c r="AA1509" s="373"/>
      <c r="AB1509" s="373"/>
      <c r="AC1509" s="338" t="e">
        <f>VLOOKUP(F1509,'[1]CPO DATA'!$D:$I,4,FALSE)</f>
        <v>#N/A</v>
      </c>
      <c r="AD1509" s="418" t="str">
        <f>VLOOKUP(F1509,'STORE ITEMS'!C:F,2,FALSE)</f>
        <v>NUT</v>
      </c>
    </row>
    <row r="1510" spans="1:30" ht="12.75" customHeight="1" x14ac:dyDescent="0.25">
      <c r="A1510" s="500" t="s">
        <v>4271</v>
      </c>
      <c r="B1510" s="501">
        <v>45497</v>
      </c>
      <c r="C1510" s="415" t="s">
        <v>26</v>
      </c>
      <c r="D1510" s="437" t="s">
        <v>1007</v>
      </c>
      <c r="E1510" s="333"/>
      <c r="F1510" s="559">
        <v>816102</v>
      </c>
      <c r="G1510" s="428" t="s">
        <v>4272</v>
      </c>
      <c r="H1510" s="428">
        <v>6</v>
      </c>
      <c r="I1510" s="428" t="s">
        <v>4273</v>
      </c>
      <c r="J1510" s="415" t="s">
        <v>541</v>
      </c>
      <c r="K1510" s="437" t="s">
        <v>32</v>
      </c>
      <c r="L1510" s="415"/>
      <c r="M1510" s="415"/>
      <c r="N1510" s="541"/>
      <c r="O1510" s="541"/>
      <c r="P1510" s="502">
        <v>45497</v>
      </c>
      <c r="Q1510" s="333"/>
      <c r="R1510" s="333"/>
      <c r="S1510" s="373"/>
      <c r="T1510" s="373"/>
      <c r="U1510" s="373"/>
      <c r="V1510" s="373"/>
      <c r="W1510" s="574">
        <v>45523</v>
      </c>
      <c r="X1510" s="373"/>
      <c r="Y1510" s="336">
        <f t="shared" ca="1" si="28"/>
        <v>26</v>
      </c>
      <c r="Z1510" s="373"/>
      <c r="AA1510" s="373"/>
      <c r="AB1510" s="373"/>
      <c r="AD1510" s="338"/>
    </row>
    <row r="1511" spans="1:30" ht="12.75" customHeight="1" x14ac:dyDescent="0.25">
      <c r="A1511" s="347" t="s">
        <v>4274</v>
      </c>
      <c r="B1511" s="376">
        <v>45497</v>
      </c>
      <c r="C1511" s="333" t="s">
        <v>60</v>
      </c>
      <c r="D1511" s="332" t="s">
        <v>2496</v>
      </c>
      <c r="E1511" s="333"/>
      <c r="F1511" s="524" t="s">
        <v>33</v>
      </c>
      <c r="G1511" s="372" t="s">
        <v>4275</v>
      </c>
      <c r="H1511" s="372">
        <v>1</v>
      </c>
      <c r="I1511" s="372" t="s">
        <v>4276</v>
      </c>
      <c r="J1511" s="333" t="s">
        <v>46</v>
      </c>
      <c r="K1511" s="332" t="s">
        <v>32</v>
      </c>
      <c r="L1511" s="333"/>
      <c r="M1511" s="333"/>
      <c r="N1511" s="417"/>
      <c r="O1511" s="417"/>
      <c r="P1511" s="462">
        <v>45528</v>
      </c>
      <c r="Q1511" s="333"/>
      <c r="R1511" s="333"/>
      <c r="S1511" s="373"/>
      <c r="T1511" s="373"/>
      <c r="U1511" s="373"/>
      <c r="V1511" s="373"/>
      <c r="W1511" s="346"/>
      <c r="X1511" s="373"/>
      <c r="Y1511" s="336">
        <f t="shared" ca="1" si="28"/>
        <v>58</v>
      </c>
      <c r="Z1511" s="373"/>
      <c r="AA1511" s="373"/>
      <c r="AB1511" s="373"/>
      <c r="AD1511" s="338"/>
    </row>
    <row r="1512" spans="1:30" ht="12.75" customHeight="1" x14ac:dyDescent="0.25">
      <c r="A1512" s="347" t="s">
        <v>4277</v>
      </c>
      <c r="B1512" s="376">
        <v>45497</v>
      </c>
      <c r="C1512" s="333" t="s">
        <v>3540</v>
      </c>
      <c r="D1512" s="332" t="s">
        <v>3544</v>
      </c>
      <c r="E1512" s="333"/>
      <c r="F1512" s="524" t="s">
        <v>4278</v>
      </c>
      <c r="G1512" s="372" t="s">
        <v>4279</v>
      </c>
      <c r="H1512" s="372">
        <v>12</v>
      </c>
      <c r="I1512" s="372">
        <v>44</v>
      </c>
      <c r="J1512" s="333" t="s">
        <v>43</v>
      </c>
      <c r="K1512" s="332" t="s">
        <v>32</v>
      </c>
      <c r="L1512" s="333"/>
      <c r="M1512" s="333"/>
      <c r="N1512" s="417"/>
      <c r="O1512" s="417"/>
      <c r="P1512" s="462">
        <v>45528</v>
      </c>
      <c r="Q1512" s="333"/>
      <c r="R1512" s="333"/>
      <c r="S1512" s="373"/>
      <c r="T1512" s="373"/>
      <c r="U1512" s="373"/>
      <c r="V1512" s="373"/>
      <c r="W1512" s="346"/>
      <c r="X1512" s="373"/>
      <c r="Y1512" s="336">
        <f t="shared" ca="1" si="28"/>
        <v>58</v>
      </c>
      <c r="Z1512" s="373"/>
      <c r="AA1512" s="373"/>
      <c r="AB1512" s="373"/>
      <c r="AD1512" s="338"/>
    </row>
    <row r="1513" spans="1:30" ht="12.75" customHeight="1" x14ac:dyDescent="0.25">
      <c r="A1513" s="347" t="s">
        <v>4280</v>
      </c>
      <c r="B1513" s="363">
        <v>45497</v>
      </c>
      <c r="C1513" s="364" t="s">
        <v>3540</v>
      </c>
      <c r="D1513" s="368" t="s">
        <v>3544</v>
      </c>
      <c r="E1513" s="333"/>
      <c r="F1513" s="523" t="s">
        <v>4281</v>
      </c>
      <c r="G1513" s="366" t="s">
        <v>4282</v>
      </c>
      <c r="H1513" s="366">
        <v>1</v>
      </c>
      <c r="I1513" s="366">
        <v>44</v>
      </c>
      <c r="J1513" s="364" t="s">
        <v>68</v>
      </c>
      <c r="K1513" s="368" t="s">
        <v>69</v>
      </c>
      <c r="L1513" s="364"/>
      <c r="M1513" s="364"/>
      <c r="N1513" s="485"/>
      <c r="O1513" s="485"/>
      <c r="P1513" s="491">
        <v>45528</v>
      </c>
      <c r="Q1513" s="364"/>
      <c r="R1513" s="364"/>
      <c r="S1513" s="369"/>
      <c r="T1513" s="369"/>
      <c r="U1513" s="369"/>
      <c r="V1513" s="369"/>
      <c r="W1513" s="370"/>
      <c r="X1513" s="369"/>
      <c r="Y1513" s="336">
        <f t="shared" ca="1" si="28"/>
        <v>58</v>
      </c>
      <c r="Z1513" s="369"/>
      <c r="AA1513" s="369"/>
      <c r="AB1513" s="369"/>
      <c r="AD1513" s="338"/>
    </row>
    <row r="1514" spans="1:30" ht="12.75" customHeight="1" x14ac:dyDescent="0.25">
      <c r="A1514" s="558" t="s">
        <v>4283</v>
      </c>
      <c r="B1514" s="376">
        <v>45498</v>
      </c>
      <c r="C1514" s="333" t="s">
        <v>35</v>
      </c>
      <c r="D1514" s="333" t="s">
        <v>36</v>
      </c>
      <c r="E1514" s="499"/>
      <c r="F1514" s="374" t="s">
        <v>4284</v>
      </c>
      <c r="G1514" s="372" t="s">
        <v>4285</v>
      </c>
      <c r="H1514" s="372">
        <v>1</v>
      </c>
      <c r="I1514" s="372" t="s">
        <v>4053</v>
      </c>
      <c r="J1514" s="333" t="s">
        <v>102</v>
      </c>
      <c r="K1514" s="333" t="s">
        <v>69</v>
      </c>
      <c r="L1514" s="333"/>
      <c r="M1514" s="333"/>
      <c r="N1514" s="417"/>
      <c r="O1514" s="417"/>
      <c r="P1514" s="462">
        <v>45517</v>
      </c>
      <c r="Q1514" s="396"/>
      <c r="R1514" s="333"/>
      <c r="S1514" s="373"/>
      <c r="T1514" s="373"/>
      <c r="U1514" s="373"/>
      <c r="V1514" s="373"/>
      <c r="W1514" s="346"/>
      <c r="X1514" s="373"/>
      <c r="Y1514" s="336">
        <f t="shared" ca="1" si="28"/>
        <v>69</v>
      </c>
      <c r="Z1514" s="373"/>
      <c r="AA1514" s="373"/>
      <c r="AB1514" s="373"/>
      <c r="AC1514" s="338" t="e">
        <f>VLOOKUP(F1514,'[1]CPO DATA'!$D:$I,4,FALSE)</f>
        <v>#N/A</v>
      </c>
      <c r="AD1514" s="418" t="e">
        <f>VLOOKUP(F1514,'STORE ITEMS'!C:F,2,FALSE)</f>
        <v>#N/A</v>
      </c>
    </row>
    <row r="1515" spans="1:30" ht="12.75" customHeight="1" x14ac:dyDescent="0.25">
      <c r="A1515" s="347" t="s">
        <v>4286</v>
      </c>
      <c r="B1515" s="501">
        <v>45498</v>
      </c>
      <c r="C1515" s="415" t="s">
        <v>219</v>
      </c>
      <c r="D1515" s="437">
        <v>1918</v>
      </c>
      <c r="E1515" s="333"/>
      <c r="F1515" s="559" t="s">
        <v>4287</v>
      </c>
      <c r="G1515" s="428" t="s">
        <v>4288</v>
      </c>
      <c r="H1515" s="428">
        <v>10</v>
      </c>
      <c r="I1515" s="428">
        <v>2</v>
      </c>
      <c r="J1515" s="415" t="s">
        <v>46</v>
      </c>
      <c r="K1515" s="415" t="s">
        <v>32</v>
      </c>
      <c r="L1515" s="415"/>
      <c r="M1515" s="415"/>
      <c r="N1515" s="541"/>
      <c r="O1515" s="541"/>
      <c r="P1515" s="502">
        <v>45498</v>
      </c>
      <c r="Q1515" s="333"/>
      <c r="R1515" s="333"/>
      <c r="S1515" s="373"/>
      <c r="T1515" s="373"/>
      <c r="U1515" s="373"/>
      <c r="V1515" s="373"/>
      <c r="W1515" s="346"/>
      <c r="X1515" s="373"/>
      <c r="Y1515" s="336">
        <f t="shared" ca="1" si="28"/>
        <v>88</v>
      </c>
      <c r="Z1515" s="373"/>
      <c r="AA1515" s="373"/>
      <c r="AB1515" s="373"/>
      <c r="AD1515" s="338"/>
    </row>
    <row r="1516" spans="1:30" ht="12.75" customHeight="1" x14ac:dyDescent="0.25">
      <c r="A1516" s="347" t="s">
        <v>4289</v>
      </c>
      <c r="B1516" s="376">
        <v>45498</v>
      </c>
      <c r="C1516" s="333" t="s">
        <v>219</v>
      </c>
      <c r="D1516" s="332">
        <v>1918</v>
      </c>
      <c r="E1516" s="333"/>
      <c r="F1516" s="524">
        <v>12145201207</v>
      </c>
      <c r="G1516" s="372" t="s">
        <v>4290</v>
      </c>
      <c r="H1516" s="372">
        <v>160</v>
      </c>
      <c r="I1516" s="372">
        <v>2</v>
      </c>
      <c r="J1516" s="333" t="s">
        <v>46</v>
      </c>
      <c r="K1516" s="333" t="s">
        <v>32</v>
      </c>
      <c r="L1516" s="333"/>
      <c r="M1516" s="333"/>
      <c r="N1516" s="417"/>
      <c r="O1516" s="417"/>
      <c r="P1516" s="462">
        <v>45498</v>
      </c>
      <c r="Q1516" s="333"/>
      <c r="R1516" s="333"/>
      <c r="S1516" s="373"/>
      <c r="T1516" s="373"/>
      <c r="U1516" s="373"/>
      <c r="V1516" s="373"/>
      <c r="W1516" s="346">
        <v>45513</v>
      </c>
      <c r="X1516" s="373"/>
      <c r="Y1516" s="336">
        <f t="shared" ca="1" si="28"/>
        <v>15</v>
      </c>
      <c r="Z1516" s="373"/>
      <c r="AA1516" s="373"/>
      <c r="AB1516" s="373"/>
      <c r="AD1516" s="338"/>
    </row>
    <row r="1517" spans="1:30" ht="12.75" customHeight="1" x14ac:dyDescent="0.25">
      <c r="A1517" s="347" t="s">
        <v>4291</v>
      </c>
      <c r="B1517" s="376">
        <v>45498</v>
      </c>
      <c r="C1517" s="333" t="s">
        <v>219</v>
      </c>
      <c r="D1517" s="332">
        <v>1918</v>
      </c>
      <c r="E1517" s="333"/>
      <c r="F1517" s="524" t="s">
        <v>4292</v>
      </c>
      <c r="G1517" s="372" t="s">
        <v>4293</v>
      </c>
      <c r="H1517" s="372">
        <v>700</v>
      </c>
      <c r="I1517" s="372">
        <v>2</v>
      </c>
      <c r="J1517" s="333" t="s">
        <v>46</v>
      </c>
      <c r="K1517" s="333" t="s">
        <v>32</v>
      </c>
      <c r="L1517" s="333"/>
      <c r="M1517" s="333"/>
      <c r="N1517" s="417"/>
      <c r="O1517" s="417"/>
      <c r="P1517" s="462">
        <v>45498</v>
      </c>
      <c r="Q1517" s="333"/>
      <c r="R1517" s="333"/>
      <c r="S1517" s="373"/>
      <c r="T1517" s="373"/>
      <c r="U1517" s="373"/>
      <c r="V1517" s="373"/>
      <c r="W1517" s="346"/>
      <c r="X1517" s="373"/>
      <c r="Y1517" s="336">
        <f t="shared" ca="1" si="28"/>
        <v>88</v>
      </c>
      <c r="Z1517" s="373"/>
      <c r="AA1517" s="373"/>
      <c r="AB1517" s="373"/>
      <c r="AD1517" s="338"/>
    </row>
    <row r="1518" spans="1:30" ht="12.75" customHeight="1" x14ac:dyDescent="0.25">
      <c r="A1518" s="347" t="s">
        <v>4294</v>
      </c>
      <c r="B1518" s="376">
        <v>45498</v>
      </c>
      <c r="C1518" s="333" t="s">
        <v>219</v>
      </c>
      <c r="D1518" s="332">
        <v>1918</v>
      </c>
      <c r="E1518" s="333"/>
      <c r="F1518" s="524" t="s">
        <v>4295</v>
      </c>
      <c r="G1518" s="372" t="s">
        <v>4296</v>
      </c>
      <c r="H1518" s="372">
        <v>1</v>
      </c>
      <c r="I1518" s="372">
        <v>2</v>
      </c>
      <c r="J1518" s="333" t="s">
        <v>31</v>
      </c>
      <c r="K1518" s="333" t="s">
        <v>32</v>
      </c>
      <c r="L1518" s="333"/>
      <c r="M1518" s="333"/>
      <c r="N1518" s="417"/>
      <c r="O1518" s="417"/>
      <c r="P1518" s="462">
        <v>45498</v>
      </c>
      <c r="Q1518" s="333"/>
      <c r="R1518" s="333"/>
      <c r="S1518" s="373"/>
      <c r="T1518" s="373"/>
      <c r="U1518" s="373"/>
      <c r="V1518" s="373"/>
      <c r="W1518" s="346"/>
      <c r="X1518" s="373"/>
      <c r="Y1518" s="336">
        <f t="shared" ca="1" si="28"/>
        <v>88</v>
      </c>
      <c r="Z1518" s="373"/>
      <c r="AA1518" s="373"/>
      <c r="AB1518" s="373"/>
      <c r="AD1518" s="338"/>
    </row>
    <row r="1519" spans="1:30" ht="12.75" customHeight="1" x14ac:dyDescent="0.25">
      <c r="A1519" s="347" t="s">
        <v>4297</v>
      </c>
      <c r="B1519" s="376">
        <v>45498</v>
      </c>
      <c r="C1519" s="333" t="s">
        <v>219</v>
      </c>
      <c r="D1519" s="332">
        <v>1918</v>
      </c>
      <c r="E1519" s="333"/>
      <c r="F1519" s="524" t="s">
        <v>4298</v>
      </c>
      <c r="G1519" s="372" t="s">
        <v>4299</v>
      </c>
      <c r="H1519" s="372">
        <v>2</v>
      </c>
      <c r="I1519" s="372">
        <v>2</v>
      </c>
      <c r="J1519" s="333" t="s">
        <v>265</v>
      </c>
      <c r="K1519" s="333" t="s">
        <v>32</v>
      </c>
      <c r="L1519" s="333"/>
      <c r="M1519" s="333"/>
      <c r="N1519" s="417"/>
      <c r="O1519" s="417"/>
      <c r="P1519" s="462">
        <v>45498</v>
      </c>
      <c r="Q1519" s="333"/>
      <c r="R1519" s="333"/>
      <c r="S1519" s="373"/>
      <c r="T1519" s="373"/>
      <c r="U1519" s="373"/>
      <c r="V1519" s="373"/>
      <c r="W1519" s="346"/>
      <c r="X1519" s="373"/>
      <c r="Y1519" s="336">
        <f t="shared" ca="1" si="28"/>
        <v>88</v>
      </c>
      <c r="Z1519" s="373"/>
      <c r="AA1519" s="373"/>
      <c r="AB1519" s="373"/>
      <c r="AD1519" s="338"/>
    </row>
    <row r="1520" spans="1:30" ht="12.75" customHeight="1" x14ac:dyDescent="0.25">
      <c r="A1520" s="347" t="s">
        <v>4300</v>
      </c>
      <c r="B1520" s="376">
        <v>45499</v>
      </c>
      <c r="C1520" s="333" t="s">
        <v>219</v>
      </c>
      <c r="D1520" s="332">
        <v>1918</v>
      </c>
      <c r="E1520" s="333"/>
      <c r="F1520" s="524">
        <v>55075424904</v>
      </c>
      <c r="G1520" s="372" t="s">
        <v>4296</v>
      </c>
      <c r="H1520" s="372">
        <v>1</v>
      </c>
      <c r="I1520" s="372">
        <v>2</v>
      </c>
      <c r="J1520" s="333" t="s">
        <v>31</v>
      </c>
      <c r="K1520" s="333" t="s">
        <v>32</v>
      </c>
      <c r="L1520" s="333"/>
      <c r="M1520" s="333"/>
      <c r="N1520" s="417"/>
      <c r="O1520" s="417"/>
      <c r="P1520" s="462">
        <v>45499</v>
      </c>
      <c r="Q1520" s="333"/>
      <c r="R1520" s="333"/>
      <c r="S1520" s="373"/>
      <c r="T1520" s="373"/>
      <c r="U1520" s="373"/>
      <c r="V1520" s="373"/>
      <c r="W1520" s="346"/>
      <c r="X1520" s="373"/>
      <c r="Y1520" s="336">
        <f t="shared" ca="1" si="28"/>
        <v>87</v>
      </c>
      <c r="Z1520" s="373"/>
      <c r="AA1520" s="373"/>
      <c r="AB1520" s="373"/>
      <c r="AD1520" s="338"/>
    </row>
    <row r="1521" spans="1:30" ht="12.75" customHeight="1" x14ac:dyDescent="0.25">
      <c r="A1521" s="347" t="s">
        <v>4301</v>
      </c>
      <c r="B1521" s="376">
        <v>45499</v>
      </c>
      <c r="C1521" s="333" t="s">
        <v>219</v>
      </c>
      <c r="D1521" s="332">
        <v>1918</v>
      </c>
      <c r="E1521" s="333"/>
      <c r="F1521" s="524" t="s">
        <v>4302</v>
      </c>
      <c r="G1521" s="372" t="s">
        <v>4299</v>
      </c>
      <c r="H1521" s="372">
        <v>2</v>
      </c>
      <c r="I1521" s="372">
        <v>2</v>
      </c>
      <c r="J1521" s="333" t="s">
        <v>31</v>
      </c>
      <c r="K1521" s="333" t="s">
        <v>32</v>
      </c>
      <c r="L1521" s="333"/>
      <c r="M1521" s="333"/>
      <c r="N1521" s="417"/>
      <c r="O1521" s="417"/>
      <c r="P1521" s="462">
        <v>45499</v>
      </c>
      <c r="Q1521" s="333"/>
      <c r="R1521" s="333"/>
      <c r="S1521" s="373"/>
      <c r="T1521" s="373"/>
      <c r="U1521" s="373"/>
      <c r="V1521" s="373"/>
      <c r="W1521" s="346"/>
      <c r="X1521" s="373"/>
      <c r="Y1521" s="336">
        <f t="shared" ca="1" si="28"/>
        <v>87</v>
      </c>
      <c r="Z1521" s="373"/>
      <c r="AA1521" s="373"/>
      <c r="AB1521" s="373"/>
      <c r="AD1521" s="338"/>
    </row>
    <row r="1522" spans="1:30" ht="12.75" customHeight="1" x14ac:dyDescent="0.25">
      <c r="A1522" s="347" t="s">
        <v>4303</v>
      </c>
      <c r="B1522" s="376">
        <v>45499</v>
      </c>
      <c r="C1522" s="333" t="s">
        <v>219</v>
      </c>
      <c r="D1522" s="332">
        <v>1918</v>
      </c>
      <c r="E1522" s="333"/>
      <c r="F1522" s="524">
        <v>553026820103</v>
      </c>
      <c r="G1522" s="372" t="s">
        <v>4288</v>
      </c>
      <c r="H1522" s="372">
        <v>10</v>
      </c>
      <c r="I1522" s="372">
        <v>2</v>
      </c>
      <c r="J1522" s="333" t="s">
        <v>46</v>
      </c>
      <c r="K1522" s="333" t="s">
        <v>32</v>
      </c>
      <c r="L1522" s="333"/>
      <c r="M1522" s="333"/>
      <c r="N1522" s="417"/>
      <c r="O1522" s="417"/>
      <c r="P1522" s="462">
        <v>45499</v>
      </c>
      <c r="Q1522" s="333"/>
      <c r="R1522" s="333"/>
      <c r="S1522" s="373"/>
      <c r="T1522" s="373"/>
      <c r="U1522" s="373"/>
      <c r="V1522" s="373"/>
      <c r="W1522" s="346"/>
      <c r="X1522" s="373"/>
      <c r="Y1522" s="336">
        <f t="shared" ca="1" si="28"/>
        <v>87</v>
      </c>
      <c r="Z1522" s="373"/>
      <c r="AA1522" s="373"/>
      <c r="AB1522" s="373"/>
      <c r="AD1522" s="338"/>
    </row>
    <row r="1523" spans="1:30" ht="12.75" customHeight="1" x14ac:dyDescent="0.25">
      <c r="A1523" s="347" t="s">
        <v>4304</v>
      </c>
      <c r="B1523" s="376">
        <v>45499</v>
      </c>
      <c r="C1523" s="333" t="s">
        <v>219</v>
      </c>
      <c r="D1523" s="332">
        <v>1918</v>
      </c>
      <c r="E1523" s="333"/>
      <c r="F1523" s="524">
        <v>55302400101</v>
      </c>
      <c r="G1523" s="451" t="s">
        <v>4305</v>
      </c>
      <c r="H1523" s="372">
        <v>1</v>
      </c>
      <c r="I1523" s="372">
        <v>2</v>
      </c>
      <c r="J1523" s="333" t="s">
        <v>31</v>
      </c>
      <c r="K1523" s="333" t="s">
        <v>32</v>
      </c>
      <c r="L1523" s="333"/>
      <c r="M1523" s="333"/>
      <c r="N1523" s="417"/>
      <c r="O1523" s="417"/>
      <c r="P1523" s="462">
        <v>45499</v>
      </c>
      <c r="Q1523" s="333"/>
      <c r="R1523" s="333"/>
      <c r="S1523" s="373"/>
      <c r="T1523" s="373"/>
      <c r="U1523" s="373"/>
      <c r="V1523" s="373"/>
      <c r="W1523" s="346"/>
      <c r="X1523" s="373"/>
      <c r="Y1523" s="336">
        <f t="shared" ca="1" si="28"/>
        <v>87</v>
      </c>
      <c r="Z1523" s="373"/>
      <c r="AA1523" s="373"/>
      <c r="AB1523" s="373"/>
      <c r="AD1523" s="338"/>
    </row>
    <row r="1524" spans="1:30" ht="12.75" customHeight="1" x14ac:dyDescent="0.25">
      <c r="A1524" s="347" t="s">
        <v>4306</v>
      </c>
      <c r="B1524" s="376">
        <v>45499</v>
      </c>
      <c r="C1524" s="333" t="s">
        <v>219</v>
      </c>
      <c r="D1524" s="332">
        <v>1918</v>
      </c>
      <c r="E1524" s="333"/>
      <c r="F1524" s="524">
        <v>552931400101</v>
      </c>
      <c r="G1524" s="372" t="s">
        <v>4307</v>
      </c>
      <c r="H1524" s="372">
        <v>1</v>
      </c>
      <c r="I1524" s="372">
        <v>2</v>
      </c>
      <c r="J1524" s="333" t="s">
        <v>43</v>
      </c>
      <c r="K1524" s="333" t="s">
        <v>32</v>
      </c>
      <c r="L1524" s="333"/>
      <c r="M1524" s="333"/>
      <c r="N1524" s="417"/>
      <c r="O1524" s="417"/>
      <c r="P1524" s="462">
        <v>45499</v>
      </c>
      <c r="Q1524" s="333"/>
      <c r="R1524" s="333"/>
      <c r="S1524" s="373"/>
      <c r="T1524" s="373"/>
      <c r="U1524" s="373"/>
      <c r="V1524" s="373"/>
      <c r="W1524" s="346"/>
      <c r="X1524" s="373"/>
      <c r="Y1524" s="336">
        <f t="shared" ca="1" si="28"/>
        <v>87</v>
      </c>
      <c r="Z1524" s="373"/>
      <c r="AA1524" s="373"/>
      <c r="AB1524" s="373"/>
      <c r="AD1524" s="338"/>
    </row>
    <row r="1525" spans="1:30" ht="12.75" customHeight="1" x14ac:dyDescent="0.25">
      <c r="A1525" s="347" t="s">
        <v>4308</v>
      </c>
      <c r="B1525" s="376">
        <v>45499</v>
      </c>
      <c r="C1525" s="333" t="s">
        <v>219</v>
      </c>
      <c r="D1525" s="332">
        <v>1918</v>
      </c>
      <c r="E1525" s="333"/>
      <c r="F1525" s="524">
        <v>553031107168</v>
      </c>
      <c r="G1525" s="372" t="s">
        <v>866</v>
      </c>
      <c r="H1525" s="372">
        <v>1</v>
      </c>
      <c r="I1525" s="372">
        <v>2</v>
      </c>
      <c r="J1525" s="333" t="s">
        <v>43</v>
      </c>
      <c r="K1525" s="333" t="s">
        <v>32</v>
      </c>
      <c r="L1525" s="333"/>
      <c r="M1525" s="333"/>
      <c r="N1525" s="417"/>
      <c r="O1525" s="417"/>
      <c r="P1525" s="462">
        <v>45499</v>
      </c>
      <c r="Q1525" s="333"/>
      <c r="R1525" s="333"/>
      <c r="S1525" s="373"/>
      <c r="T1525" s="373"/>
      <c r="U1525" s="373"/>
      <c r="V1525" s="373"/>
      <c r="W1525" s="346"/>
      <c r="X1525" s="373"/>
      <c r="Y1525" s="336">
        <f t="shared" ca="1" si="28"/>
        <v>87</v>
      </c>
      <c r="Z1525" s="373"/>
      <c r="AA1525" s="373"/>
      <c r="AB1525" s="373"/>
      <c r="AD1525" s="338"/>
    </row>
    <row r="1526" spans="1:30" ht="12.75" customHeight="1" x14ac:dyDescent="0.25">
      <c r="A1526" s="347" t="s">
        <v>4309</v>
      </c>
      <c r="B1526" s="376">
        <v>45499</v>
      </c>
      <c r="C1526" s="333" t="s">
        <v>219</v>
      </c>
      <c r="D1526" s="332" t="s">
        <v>2541</v>
      </c>
      <c r="E1526" s="333"/>
      <c r="F1526" s="575">
        <v>554572706316</v>
      </c>
      <c r="G1526" s="372" t="s">
        <v>4310</v>
      </c>
      <c r="H1526" s="372"/>
      <c r="I1526" s="372">
        <v>3</v>
      </c>
      <c r="J1526" s="333"/>
      <c r="K1526" s="333" t="s">
        <v>32</v>
      </c>
      <c r="L1526" s="333"/>
      <c r="M1526" s="333"/>
      <c r="N1526" s="417"/>
      <c r="O1526" s="417"/>
      <c r="P1526" s="462">
        <v>45502</v>
      </c>
      <c r="Q1526" s="333"/>
      <c r="R1526" s="333"/>
      <c r="S1526" s="373"/>
      <c r="T1526" s="373"/>
      <c r="U1526" s="373"/>
      <c r="V1526" s="373"/>
      <c r="W1526" s="346"/>
      <c r="X1526" s="373"/>
      <c r="Y1526" s="336">
        <f t="shared" ca="1" si="28"/>
        <v>84</v>
      </c>
      <c r="Z1526" s="373"/>
      <c r="AA1526" s="373"/>
      <c r="AB1526" s="373"/>
      <c r="AD1526" s="338"/>
    </row>
    <row r="1527" spans="1:30" ht="12.75" customHeight="1" x14ac:dyDescent="0.25">
      <c r="A1527" s="347" t="s">
        <v>4311</v>
      </c>
      <c r="B1527" s="376">
        <v>45499</v>
      </c>
      <c r="C1527" s="333" t="s">
        <v>219</v>
      </c>
      <c r="D1527" s="332" t="s">
        <v>2541</v>
      </c>
      <c r="E1527" s="333"/>
      <c r="F1527" s="575">
        <v>55457270010224</v>
      </c>
      <c r="G1527" s="372"/>
      <c r="H1527" s="372"/>
      <c r="I1527" s="372">
        <v>3</v>
      </c>
      <c r="J1527" s="333"/>
      <c r="K1527" s="333" t="s">
        <v>32</v>
      </c>
      <c r="L1527" s="333"/>
      <c r="M1527" s="333"/>
      <c r="N1527" s="417"/>
      <c r="O1527" s="417"/>
      <c r="P1527" s="462">
        <v>45502</v>
      </c>
      <c r="Q1527" s="333"/>
      <c r="R1527" s="333"/>
      <c r="S1527" s="373"/>
      <c r="T1527" s="373"/>
      <c r="U1527" s="373"/>
      <c r="V1527" s="373"/>
      <c r="W1527" s="346"/>
      <c r="X1527" s="373"/>
      <c r="Y1527" s="336">
        <f t="shared" ca="1" si="28"/>
        <v>84</v>
      </c>
      <c r="Z1527" s="373"/>
      <c r="AA1527" s="373"/>
      <c r="AB1527" s="373"/>
      <c r="AD1527" s="338"/>
    </row>
    <row r="1528" spans="1:30" ht="12.75" customHeight="1" x14ac:dyDescent="0.25">
      <c r="A1528" s="347" t="s">
        <v>4312</v>
      </c>
      <c r="B1528" s="376">
        <v>45499</v>
      </c>
      <c r="C1528" s="333" t="s">
        <v>219</v>
      </c>
      <c r="D1528" s="332" t="s">
        <v>2541</v>
      </c>
      <c r="E1528" s="333"/>
      <c r="F1528" s="524">
        <v>554629100106</v>
      </c>
      <c r="G1528" s="372" t="s">
        <v>4313</v>
      </c>
      <c r="H1528" s="372">
        <v>1</v>
      </c>
      <c r="I1528" s="372">
        <v>3</v>
      </c>
      <c r="J1528" s="333" t="s">
        <v>31</v>
      </c>
      <c r="K1528" s="333" t="s">
        <v>32</v>
      </c>
      <c r="L1528" s="333"/>
      <c r="M1528" s="333"/>
      <c r="N1528" s="417"/>
      <c r="O1528" s="417"/>
      <c r="P1528" s="462">
        <v>45502</v>
      </c>
      <c r="Q1528" s="333"/>
      <c r="R1528" s="333"/>
      <c r="S1528" s="373"/>
      <c r="T1528" s="373"/>
      <c r="U1528" s="373"/>
      <c r="V1528" s="373"/>
      <c r="W1528" s="346"/>
      <c r="X1528" s="373"/>
      <c r="Y1528" s="336">
        <f t="shared" ca="1" si="28"/>
        <v>84</v>
      </c>
      <c r="Z1528" s="373"/>
      <c r="AA1528" s="373"/>
      <c r="AB1528" s="373"/>
      <c r="AD1528" s="338"/>
    </row>
    <row r="1529" spans="1:30" ht="12.75" customHeight="1" x14ac:dyDescent="0.25">
      <c r="A1529" s="347" t="s">
        <v>4314</v>
      </c>
      <c r="B1529" s="376">
        <v>45499</v>
      </c>
      <c r="C1529" s="333" t="s">
        <v>219</v>
      </c>
      <c r="D1529" s="332" t="s">
        <v>2541</v>
      </c>
      <c r="E1529" s="333"/>
      <c r="F1529" s="524" t="s">
        <v>4222</v>
      </c>
      <c r="G1529" s="372" t="s">
        <v>4315</v>
      </c>
      <c r="H1529" s="372">
        <v>5</v>
      </c>
      <c r="I1529" s="372">
        <v>3</v>
      </c>
      <c r="J1529" s="333" t="s">
        <v>31</v>
      </c>
      <c r="K1529" s="333" t="s">
        <v>32</v>
      </c>
      <c r="L1529" s="333"/>
      <c r="M1529" s="333"/>
      <c r="N1529" s="417"/>
      <c r="O1529" s="417"/>
      <c r="P1529" s="462">
        <v>45502</v>
      </c>
      <c r="Q1529" s="333"/>
      <c r="R1529" s="333"/>
      <c r="S1529" s="373"/>
      <c r="T1529" s="373"/>
      <c r="U1529" s="373"/>
      <c r="V1529" s="373"/>
      <c r="W1529" s="346"/>
      <c r="X1529" s="373"/>
      <c r="Y1529" s="336">
        <f t="shared" ca="1" si="28"/>
        <v>84</v>
      </c>
      <c r="Z1529" s="373"/>
      <c r="AA1529" s="373"/>
      <c r="AB1529" s="373"/>
      <c r="AD1529" s="338"/>
    </row>
    <row r="1530" spans="1:30" ht="12.75" customHeight="1" x14ac:dyDescent="0.25">
      <c r="A1530" s="347" t="s">
        <v>4316</v>
      </c>
      <c r="B1530" s="376">
        <v>45499</v>
      </c>
      <c r="C1530" s="333" t="s">
        <v>219</v>
      </c>
      <c r="D1530" s="332" t="s">
        <v>2541</v>
      </c>
      <c r="E1530" s="333"/>
      <c r="F1530" s="524" t="s">
        <v>4218</v>
      </c>
      <c r="G1530" s="372" t="s">
        <v>4317</v>
      </c>
      <c r="H1530" s="372">
        <v>5</v>
      </c>
      <c r="I1530" s="372">
        <v>3</v>
      </c>
      <c r="J1530" s="333" t="s">
        <v>31</v>
      </c>
      <c r="K1530" s="333" t="s">
        <v>32</v>
      </c>
      <c r="L1530" s="333"/>
      <c r="M1530" s="333"/>
      <c r="N1530" s="417"/>
      <c r="O1530" s="417"/>
      <c r="P1530" s="462">
        <v>45502</v>
      </c>
      <c r="Q1530" s="333"/>
      <c r="R1530" s="333"/>
      <c r="S1530" s="373"/>
      <c r="T1530" s="373"/>
      <c r="U1530" s="373"/>
      <c r="V1530" s="373"/>
      <c r="W1530" s="346"/>
      <c r="X1530" s="373"/>
      <c r="Y1530" s="336">
        <f t="shared" ca="1" si="28"/>
        <v>84</v>
      </c>
      <c r="Z1530" s="373"/>
      <c r="AA1530" s="373"/>
      <c r="AB1530" s="373"/>
      <c r="AD1530" s="338"/>
    </row>
    <row r="1531" spans="1:30" ht="12.75" customHeight="1" x14ac:dyDescent="0.25">
      <c r="A1531" s="347" t="s">
        <v>4318</v>
      </c>
      <c r="B1531" s="376">
        <v>45499</v>
      </c>
      <c r="C1531" s="333" t="s">
        <v>219</v>
      </c>
      <c r="D1531" s="332" t="s">
        <v>2541</v>
      </c>
      <c r="E1531" s="333"/>
      <c r="F1531" s="524">
        <v>554554601645</v>
      </c>
      <c r="G1531" s="372" t="s">
        <v>4319</v>
      </c>
      <c r="H1531" s="372">
        <v>1</v>
      </c>
      <c r="I1531" s="372">
        <v>3</v>
      </c>
      <c r="J1531" s="333" t="s">
        <v>31</v>
      </c>
      <c r="K1531" s="333" t="s">
        <v>32</v>
      </c>
      <c r="L1531" s="333"/>
      <c r="M1531" s="333"/>
      <c r="N1531" s="417"/>
      <c r="O1531" s="417"/>
      <c r="P1531" s="462">
        <v>45502</v>
      </c>
      <c r="Q1531" s="333"/>
      <c r="R1531" s="333"/>
      <c r="S1531" s="373"/>
      <c r="T1531" s="373"/>
      <c r="U1531" s="373"/>
      <c r="V1531" s="373"/>
      <c r="W1531" s="346"/>
      <c r="X1531" s="373"/>
      <c r="Y1531" s="336">
        <f t="shared" ca="1" si="28"/>
        <v>84</v>
      </c>
      <c r="Z1531" s="373"/>
      <c r="AA1531" s="373"/>
      <c r="AB1531" s="373"/>
      <c r="AD1531" s="338"/>
    </row>
    <row r="1532" spans="1:30" ht="12.75" customHeight="1" x14ac:dyDescent="0.25">
      <c r="A1532" s="347" t="s">
        <v>4320</v>
      </c>
      <c r="B1532" s="376">
        <v>45499</v>
      </c>
      <c r="C1532" s="333" t="s">
        <v>219</v>
      </c>
      <c r="D1532" s="332">
        <v>1216</v>
      </c>
      <c r="E1532" s="333"/>
      <c r="F1532" s="524">
        <v>550754249904</v>
      </c>
      <c r="G1532" s="372" t="s">
        <v>2571</v>
      </c>
      <c r="H1532" s="372">
        <v>2</v>
      </c>
      <c r="I1532" s="372">
        <v>9</v>
      </c>
      <c r="J1532" s="333" t="s">
        <v>31</v>
      </c>
      <c r="K1532" s="333" t="s">
        <v>32</v>
      </c>
      <c r="L1532" s="333"/>
      <c r="M1532" s="333"/>
      <c r="N1532" s="417"/>
      <c r="O1532" s="417"/>
      <c r="P1532" s="462">
        <v>45516</v>
      </c>
      <c r="Q1532" s="333"/>
      <c r="R1532" s="333"/>
      <c r="S1532" s="373"/>
      <c r="T1532" s="373"/>
      <c r="U1532" s="373"/>
      <c r="V1532" s="373"/>
      <c r="W1532" s="346">
        <v>45523</v>
      </c>
      <c r="X1532" s="373"/>
      <c r="Y1532" s="336">
        <f t="shared" ca="1" si="28"/>
        <v>7</v>
      </c>
      <c r="Z1532" s="373"/>
      <c r="AA1532" s="373"/>
      <c r="AB1532" s="373" t="s">
        <v>4321</v>
      </c>
      <c r="AD1532" s="338"/>
    </row>
    <row r="1533" spans="1:30" ht="12.75" customHeight="1" x14ac:dyDescent="0.25">
      <c r="A1533" s="347" t="s">
        <v>4322</v>
      </c>
      <c r="B1533" s="376">
        <v>45499</v>
      </c>
      <c r="C1533" s="333" t="s">
        <v>219</v>
      </c>
      <c r="D1533" s="332">
        <v>1216</v>
      </c>
      <c r="E1533" s="333"/>
      <c r="F1533" s="524">
        <v>274781100140</v>
      </c>
      <c r="G1533" s="372" t="s">
        <v>4323</v>
      </c>
      <c r="H1533" s="372">
        <v>2</v>
      </c>
      <c r="I1533" s="372">
        <v>9</v>
      </c>
      <c r="J1533" s="333" t="s">
        <v>31</v>
      </c>
      <c r="K1533" s="333" t="s">
        <v>32</v>
      </c>
      <c r="L1533" s="333"/>
      <c r="M1533" s="333"/>
      <c r="N1533" s="417"/>
      <c r="O1533" s="417"/>
      <c r="P1533" s="462">
        <v>45516</v>
      </c>
      <c r="Q1533" s="333"/>
      <c r="R1533" s="333"/>
      <c r="S1533" s="373"/>
      <c r="T1533" s="373"/>
      <c r="U1533" s="373"/>
      <c r="V1533" s="373"/>
      <c r="W1533" s="346"/>
      <c r="X1533" s="373"/>
      <c r="Y1533" s="336">
        <f t="shared" ca="1" si="28"/>
        <v>70</v>
      </c>
      <c r="Z1533" s="373"/>
      <c r="AA1533" s="373"/>
      <c r="AB1533" s="373"/>
      <c r="AD1533" s="338"/>
    </row>
    <row r="1534" spans="1:30" ht="12.75" customHeight="1" x14ac:dyDescent="0.25">
      <c r="A1534" s="347" t="s">
        <v>4324</v>
      </c>
      <c r="B1534" s="376">
        <v>45499</v>
      </c>
      <c r="C1534" s="333" t="s">
        <v>219</v>
      </c>
      <c r="D1534" s="332">
        <v>1216</v>
      </c>
      <c r="E1534" s="333"/>
      <c r="F1534" s="524">
        <v>540754200126</v>
      </c>
      <c r="G1534" s="372" t="s">
        <v>4325</v>
      </c>
      <c r="H1534" s="372">
        <v>8</v>
      </c>
      <c r="I1534" s="372">
        <v>9</v>
      </c>
      <c r="J1534" s="333" t="s">
        <v>46</v>
      </c>
      <c r="K1534" s="333" t="s">
        <v>32</v>
      </c>
      <c r="L1534" s="333"/>
      <c r="M1534" s="333"/>
      <c r="N1534" s="417"/>
      <c r="O1534" s="417"/>
      <c r="P1534" s="462">
        <v>45516</v>
      </c>
      <c r="Q1534" s="333"/>
      <c r="R1534" s="333"/>
      <c r="S1534" s="373"/>
      <c r="T1534" s="373"/>
      <c r="U1534" s="373"/>
      <c r="V1534" s="373"/>
      <c r="W1534" s="346"/>
      <c r="X1534" s="373"/>
      <c r="Y1534" s="336">
        <f t="shared" ca="1" si="28"/>
        <v>70</v>
      </c>
      <c r="Z1534" s="373"/>
      <c r="AA1534" s="373"/>
      <c r="AB1534" s="373"/>
      <c r="AD1534" s="338"/>
    </row>
    <row r="1535" spans="1:30" ht="12.75" customHeight="1" x14ac:dyDescent="0.25">
      <c r="A1535" s="347" t="s">
        <v>4326</v>
      </c>
      <c r="B1535" s="376">
        <v>45499</v>
      </c>
      <c r="C1535" s="333" t="s">
        <v>219</v>
      </c>
      <c r="D1535" s="332">
        <v>1216</v>
      </c>
      <c r="E1535" s="333"/>
      <c r="F1535" s="524" t="s">
        <v>4327</v>
      </c>
      <c r="G1535" s="372" t="s">
        <v>4328</v>
      </c>
      <c r="H1535" s="372">
        <v>12</v>
      </c>
      <c r="I1535" s="372">
        <v>9</v>
      </c>
      <c r="J1535" s="333" t="s">
        <v>46</v>
      </c>
      <c r="K1535" s="333" t="s">
        <v>32</v>
      </c>
      <c r="L1535" s="333"/>
      <c r="M1535" s="333"/>
      <c r="N1535" s="417"/>
      <c r="O1535" s="417"/>
      <c r="P1535" s="462">
        <v>45516</v>
      </c>
      <c r="Q1535" s="333"/>
      <c r="R1535" s="333"/>
      <c r="S1535" s="373"/>
      <c r="T1535" s="373"/>
      <c r="U1535" s="373"/>
      <c r="V1535" s="373"/>
      <c r="W1535" s="346"/>
      <c r="X1535" s="373"/>
      <c r="Y1535" s="336">
        <f t="shared" ca="1" si="28"/>
        <v>70</v>
      </c>
      <c r="Z1535" s="373"/>
      <c r="AA1535" s="373"/>
      <c r="AB1535" s="373"/>
      <c r="AD1535" s="338"/>
    </row>
    <row r="1536" spans="1:30" ht="12.75" customHeight="1" x14ac:dyDescent="0.25">
      <c r="A1536" s="347" t="s">
        <v>4329</v>
      </c>
      <c r="B1536" s="376">
        <v>45499</v>
      </c>
      <c r="C1536" s="333" t="s">
        <v>219</v>
      </c>
      <c r="D1536" s="332">
        <v>1216</v>
      </c>
      <c r="E1536" s="333"/>
      <c r="F1536" s="524">
        <v>257333403701</v>
      </c>
      <c r="G1536" s="372" t="s">
        <v>4330</v>
      </c>
      <c r="H1536" s="372">
        <v>1</v>
      </c>
      <c r="I1536" s="372">
        <v>9</v>
      </c>
      <c r="J1536" s="333" t="s">
        <v>102</v>
      </c>
      <c r="K1536" s="333" t="s">
        <v>69</v>
      </c>
      <c r="L1536" s="333"/>
      <c r="M1536" s="333"/>
      <c r="N1536" s="417"/>
      <c r="O1536" s="417"/>
      <c r="P1536" s="462">
        <v>45516</v>
      </c>
      <c r="Q1536" s="333"/>
      <c r="R1536" s="333"/>
      <c r="S1536" s="373"/>
      <c r="T1536" s="373"/>
      <c r="U1536" s="373"/>
      <c r="V1536" s="373"/>
      <c r="W1536" s="346"/>
      <c r="X1536" s="373"/>
      <c r="Y1536" s="336">
        <f t="shared" ca="1" si="28"/>
        <v>70</v>
      </c>
      <c r="Z1536" s="373"/>
      <c r="AA1536" s="373"/>
      <c r="AB1536" s="373"/>
      <c r="AD1536" s="338"/>
    </row>
    <row r="1537" spans="1:30" ht="12.75" customHeight="1" x14ac:dyDescent="0.25">
      <c r="A1537" s="347" t="s">
        <v>4331</v>
      </c>
      <c r="B1537" s="376">
        <v>45499</v>
      </c>
      <c r="C1537" s="333" t="s">
        <v>219</v>
      </c>
      <c r="D1537" s="332">
        <v>1216</v>
      </c>
      <c r="E1537" s="333"/>
      <c r="F1537" s="524">
        <v>550654904901</v>
      </c>
      <c r="G1537" s="372" t="s">
        <v>4332</v>
      </c>
      <c r="H1537" s="372">
        <v>2</v>
      </c>
      <c r="I1537" s="372">
        <v>9</v>
      </c>
      <c r="J1537" s="333" t="s">
        <v>31</v>
      </c>
      <c r="K1537" s="333" t="s">
        <v>32</v>
      </c>
      <c r="L1537" s="333"/>
      <c r="M1537" s="333"/>
      <c r="N1537" s="417"/>
      <c r="O1537" s="417"/>
      <c r="P1537" s="462">
        <v>45516</v>
      </c>
      <c r="Q1537" s="333"/>
      <c r="R1537" s="333"/>
      <c r="S1537" s="373"/>
      <c r="T1537" s="373"/>
      <c r="U1537" s="373"/>
      <c r="V1537" s="373"/>
      <c r="W1537" s="346">
        <v>45523</v>
      </c>
      <c r="X1537" s="373"/>
      <c r="Y1537" s="336">
        <f t="shared" ca="1" si="28"/>
        <v>7</v>
      </c>
      <c r="Z1537" s="373"/>
      <c r="AA1537" s="373"/>
      <c r="AB1537" s="373"/>
      <c r="AD1537" s="338"/>
    </row>
    <row r="1538" spans="1:30" ht="12.75" customHeight="1" x14ac:dyDescent="0.25">
      <c r="A1538" s="347" t="s">
        <v>4333</v>
      </c>
      <c r="B1538" s="376">
        <v>45499</v>
      </c>
      <c r="C1538" s="333" t="s">
        <v>219</v>
      </c>
      <c r="D1538" s="332" t="s">
        <v>1589</v>
      </c>
      <c r="E1538" s="333"/>
      <c r="F1538" s="524">
        <v>550643960175</v>
      </c>
      <c r="G1538" s="372" t="s">
        <v>4334</v>
      </c>
      <c r="H1538" s="372">
        <v>1</v>
      </c>
      <c r="I1538" s="372">
        <v>4</v>
      </c>
      <c r="J1538" s="333" t="s">
        <v>31</v>
      </c>
      <c r="K1538" s="333" t="s">
        <v>32</v>
      </c>
      <c r="L1538" s="333"/>
      <c r="M1538" s="333"/>
      <c r="N1538" s="417"/>
      <c r="O1538" s="417"/>
      <c r="P1538" s="462">
        <v>45516</v>
      </c>
      <c r="Q1538" s="333"/>
      <c r="R1538" s="333"/>
      <c r="S1538" s="373"/>
      <c r="T1538" s="373"/>
      <c r="U1538" s="373"/>
      <c r="V1538" s="373"/>
      <c r="W1538" s="346"/>
      <c r="X1538" s="373"/>
      <c r="Y1538" s="336">
        <f t="shared" ca="1" si="28"/>
        <v>70</v>
      </c>
      <c r="Z1538" s="373"/>
      <c r="AA1538" s="373"/>
      <c r="AB1538" s="373"/>
      <c r="AD1538" s="338"/>
    </row>
    <row r="1539" spans="1:30" ht="12.75" customHeight="1" x14ac:dyDescent="0.25">
      <c r="A1539" s="347" t="s">
        <v>4335</v>
      </c>
      <c r="B1539" s="376">
        <v>45499</v>
      </c>
      <c r="C1539" s="333" t="s">
        <v>3540</v>
      </c>
      <c r="D1539" s="332" t="s">
        <v>3544</v>
      </c>
      <c r="E1539" s="333"/>
      <c r="F1539" s="524" t="s">
        <v>4336</v>
      </c>
      <c r="G1539" s="372" t="s">
        <v>4337</v>
      </c>
      <c r="H1539" s="372">
        <v>12</v>
      </c>
      <c r="I1539" s="372">
        <v>44</v>
      </c>
      <c r="J1539" s="333" t="s">
        <v>43</v>
      </c>
      <c r="K1539" s="333" t="s">
        <v>32</v>
      </c>
      <c r="L1539" s="333"/>
      <c r="M1539" s="333"/>
      <c r="N1539" s="417"/>
      <c r="O1539" s="417"/>
      <c r="P1539" s="462">
        <v>45499</v>
      </c>
      <c r="Q1539" s="333"/>
      <c r="R1539" s="333"/>
      <c r="S1539" s="373"/>
      <c r="T1539" s="373"/>
      <c r="U1539" s="373"/>
      <c r="V1539" s="373"/>
      <c r="W1539" s="342">
        <v>45513</v>
      </c>
      <c r="X1539" s="373"/>
      <c r="Y1539" s="336">
        <f t="shared" ca="1" si="28"/>
        <v>14</v>
      </c>
      <c r="Z1539" s="373"/>
      <c r="AA1539" s="373"/>
      <c r="AB1539" s="373"/>
      <c r="AD1539" s="338"/>
    </row>
    <row r="1540" spans="1:30" ht="12.75" customHeight="1" x14ac:dyDescent="0.25">
      <c r="A1540" s="347" t="s">
        <v>4338</v>
      </c>
      <c r="B1540" s="376">
        <v>45499</v>
      </c>
      <c r="C1540" s="333" t="s">
        <v>3540</v>
      </c>
      <c r="D1540" s="332" t="s">
        <v>3544</v>
      </c>
      <c r="E1540" s="333"/>
      <c r="F1540" s="524" t="s">
        <v>4281</v>
      </c>
      <c r="G1540" s="372" t="s">
        <v>4282</v>
      </c>
      <c r="H1540" s="372">
        <v>1</v>
      </c>
      <c r="I1540" s="372">
        <v>44</v>
      </c>
      <c r="J1540" s="333" t="s">
        <v>68</v>
      </c>
      <c r="K1540" s="333" t="s">
        <v>69</v>
      </c>
      <c r="L1540" s="333"/>
      <c r="M1540" s="333"/>
      <c r="N1540" s="417"/>
      <c r="O1540" s="417"/>
      <c r="P1540" s="462">
        <v>45499</v>
      </c>
      <c r="Q1540" s="333"/>
      <c r="R1540" s="333"/>
      <c r="S1540" s="373"/>
      <c r="T1540" s="373"/>
      <c r="U1540" s="373"/>
      <c r="V1540" s="373"/>
      <c r="W1540" s="346"/>
      <c r="X1540" s="373"/>
      <c r="Y1540" s="336">
        <f t="shared" ca="1" si="28"/>
        <v>87</v>
      </c>
      <c r="Z1540" s="373"/>
      <c r="AA1540" s="373"/>
      <c r="AB1540" s="373"/>
      <c r="AD1540" s="338"/>
    </row>
    <row r="1541" spans="1:30" s="395" customFormat="1" ht="12.75" customHeight="1" x14ac:dyDescent="0.25">
      <c r="A1541" s="387" t="s">
        <v>4339</v>
      </c>
      <c r="B1541" s="388">
        <v>45504</v>
      </c>
      <c r="C1541" s="326" t="s">
        <v>35</v>
      </c>
      <c r="D1541" s="441" t="s">
        <v>4340</v>
      </c>
      <c r="E1541" s="390"/>
      <c r="F1541" s="576" t="s">
        <v>4341</v>
      </c>
      <c r="G1541" s="390" t="s">
        <v>4342</v>
      </c>
      <c r="H1541" s="577">
        <v>6</v>
      </c>
      <c r="I1541" s="390"/>
      <c r="J1541" s="326" t="s">
        <v>102</v>
      </c>
      <c r="K1541" s="326" t="s">
        <v>69</v>
      </c>
      <c r="L1541" s="326"/>
      <c r="M1541" s="326"/>
      <c r="N1541" s="578"/>
      <c r="O1541" s="578"/>
      <c r="P1541" s="504">
        <v>45517</v>
      </c>
      <c r="Q1541" s="326"/>
      <c r="R1541" s="326"/>
      <c r="S1541" s="393"/>
      <c r="T1541" s="393"/>
      <c r="U1541" s="393"/>
      <c r="V1541" s="393"/>
      <c r="W1541" s="346"/>
      <c r="X1541" s="393"/>
      <c r="Y1541" s="336">
        <f t="shared" ca="1" si="28"/>
        <v>69</v>
      </c>
      <c r="Z1541" s="393"/>
      <c r="AA1541" s="393"/>
      <c r="AB1541" s="393"/>
      <c r="AC1541" s="395" t="e">
        <f>VLOOKUP(F1541,'[1]CPO DATA'!$D:$I,4,FALSE)</f>
        <v>#N/A</v>
      </c>
      <c r="AD1541" s="579" t="e">
        <f>VLOOKUP(F1541,'STORE ITEMS'!C:F,2,FALSE)</f>
        <v>#N/A</v>
      </c>
    </row>
    <row r="1542" spans="1:30" s="395" customFormat="1" ht="12.75" customHeight="1" x14ac:dyDescent="0.25">
      <c r="A1542" s="387" t="s">
        <v>4343</v>
      </c>
      <c r="B1542" s="388">
        <v>45504</v>
      </c>
      <c r="C1542" s="326" t="s">
        <v>35</v>
      </c>
      <c r="D1542" s="441" t="s">
        <v>4340</v>
      </c>
      <c r="E1542" s="390"/>
      <c r="F1542" s="580" t="s">
        <v>4344</v>
      </c>
      <c r="G1542" s="390" t="s">
        <v>4345</v>
      </c>
      <c r="H1542" s="577">
        <v>1</v>
      </c>
      <c r="I1542" s="390"/>
      <c r="J1542" s="326" t="s">
        <v>102</v>
      </c>
      <c r="K1542" s="326" t="s">
        <v>69</v>
      </c>
      <c r="L1542" s="326"/>
      <c r="M1542" s="326"/>
      <c r="N1542" s="578"/>
      <c r="O1542" s="578"/>
      <c r="P1542" s="504">
        <v>45517</v>
      </c>
      <c r="Q1542" s="326"/>
      <c r="R1542" s="326"/>
      <c r="S1542" s="393"/>
      <c r="T1542" s="393"/>
      <c r="U1542" s="393"/>
      <c r="V1542" s="393"/>
      <c r="W1542" s="346"/>
      <c r="X1542" s="393"/>
      <c r="Y1542" s="336">
        <f t="shared" ca="1" si="28"/>
        <v>69</v>
      </c>
      <c r="Z1542" s="393"/>
      <c r="AA1542" s="393"/>
      <c r="AB1542" s="393"/>
      <c r="AC1542" s="395" t="e">
        <f>VLOOKUP(F1542,'[1]CPO DATA'!$D:$I,4,FALSE)</f>
        <v>#N/A</v>
      </c>
      <c r="AD1542" s="579" t="e">
        <f>VLOOKUP(F1542,'STORE ITEMS'!C:F,2,FALSE)</f>
        <v>#N/A</v>
      </c>
    </row>
    <row r="1543" spans="1:30" s="395" customFormat="1" ht="12.75" customHeight="1" x14ac:dyDescent="0.25">
      <c r="A1543" s="387" t="s">
        <v>4346</v>
      </c>
      <c r="B1543" s="388">
        <v>45504</v>
      </c>
      <c r="C1543" s="326" t="s">
        <v>35</v>
      </c>
      <c r="D1543" s="441" t="s">
        <v>4340</v>
      </c>
      <c r="E1543" s="390"/>
      <c r="F1543" s="576"/>
      <c r="G1543" s="390" t="s">
        <v>4347</v>
      </c>
      <c r="H1543" s="577">
        <v>1</v>
      </c>
      <c r="I1543" s="390"/>
      <c r="J1543" s="326" t="s">
        <v>68</v>
      </c>
      <c r="K1543" s="326" t="s">
        <v>69</v>
      </c>
      <c r="L1543" s="326"/>
      <c r="M1543" s="326"/>
      <c r="N1543" s="578"/>
      <c r="O1543" s="578"/>
      <c r="P1543" s="504">
        <v>45517</v>
      </c>
      <c r="Q1543" s="326"/>
      <c r="R1543" s="326"/>
      <c r="S1543" s="393"/>
      <c r="T1543" s="393"/>
      <c r="U1543" s="393"/>
      <c r="V1543" s="393"/>
      <c r="W1543" s="346"/>
      <c r="X1543" s="393"/>
      <c r="Y1543" s="336">
        <f t="shared" ca="1" si="28"/>
        <v>69</v>
      </c>
      <c r="Z1543" s="393"/>
      <c r="AA1543" s="393"/>
      <c r="AB1543" s="393"/>
      <c r="AC1543" s="395" t="e">
        <f>VLOOKUP(F1543,'[1]CPO DATA'!$D:$I,4,FALSE)</f>
        <v>#N/A</v>
      </c>
      <c r="AD1543" s="579" t="e">
        <f>VLOOKUP(F1543,'STORE ITEMS'!C:F,2,FALSE)</f>
        <v>#N/A</v>
      </c>
    </row>
    <row r="1544" spans="1:30" ht="12.75" customHeight="1" x14ac:dyDescent="0.25">
      <c r="A1544" s="347" t="s">
        <v>4348</v>
      </c>
      <c r="B1544" s="376">
        <v>45505</v>
      </c>
      <c r="C1544" s="333" t="s">
        <v>26</v>
      </c>
      <c r="D1544" s="332" t="s">
        <v>1007</v>
      </c>
      <c r="E1544" s="333"/>
      <c r="F1544" s="524">
        <v>816102</v>
      </c>
      <c r="G1544" s="372" t="s">
        <v>4349</v>
      </c>
      <c r="H1544" s="372">
        <v>6</v>
      </c>
      <c r="I1544" s="372" t="s">
        <v>4350</v>
      </c>
      <c r="J1544" s="333" t="s">
        <v>541</v>
      </c>
      <c r="K1544" s="333" t="s">
        <v>32</v>
      </c>
      <c r="L1544" s="333"/>
      <c r="M1544" s="333"/>
      <c r="N1544" s="417"/>
      <c r="O1544" s="417"/>
      <c r="P1544" s="462">
        <v>45505</v>
      </c>
      <c r="Q1544" s="333"/>
      <c r="R1544" s="333"/>
      <c r="S1544" s="373"/>
      <c r="T1544" s="373"/>
      <c r="U1544" s="373"/>
      <c r="V1544" s="373"/>
      <c r="W1544" s="574">
        <v>45523</v>
      </c>
      <c r="X1544" s="373"/>
      <c r="Y1544" s="336">
        <f t="shared" ref="Y1544:Y1607" ca="1" si="29">IF(P1544="","",IF(W1544="",TODAY()-P1544,W1544-P1544))</f>
        <v>18</v>
      </c>
      <c r="Z1544" s="373"/>
      <c r="AA1544" s="373"/>
      <c r="AB1544" s="373"/>
      <c r="AD1544" s="338"/>
    </row>
    <row r="1545" spans="1:30" ht="12.75" customHeight="1" x14ac:dyDescent="0.25">
      <c r="A1545" s="347" t="s">
        <v>4351</v>
      </c>
      <c r="B1545" s="376">
        <v>45505</v>
      </c>
      <c r="C1545" s="333" t="s">
        <v>26</v>
      </c>
      <c r="D1545" s="332" t="s">
        <v>1007</v>
      </c>
      <c r="E1545" s="333"/>
      <c r="F1545" s="524" t="s">
        <v>33</v>
      </c>
      <c r="G1545" s="372" t="s">
        <v>4352</v>
      </c>
      <c r="H1545" s="372">
        <v>1</v>
      </c>
      <c r="I1545" s="372" t="s">
        <v>4353</v>
      </c>
      <c r="J1545" s="333" t="s">
        <v>46</v>
      </c>
      <c r="K1545" s="333" t="s">
        <v>32</v>
      </c>
      <c r="L1545" s="333"/>
      <c r="M1545" s="333"/>
      <c r="N1545" s="417"/>
      <c r="O1545" s="417"/>
      <c r="P1545" s="462">
        <v>45505</v>
      </c>
      <c r="Q1545" s="333"/>
      <c r="R1545" s="333"/>
      <c r="S1545" s="373"/>
      <c r="T1545" s="373"/>
      <c r="U1545" s="373"/>
      <c r="V1545" s="373"/>
      <c r="W1545" s="346"/>
      <c r="X1545" s="373"/>
      <c r="Y1545" s="336">
        <f t="shared" ca="1" si="29"/>
        <v>81</v>
      </c>
      <c r="Z1545" s="373"/>
      <c r="AA1545" s="373"/>
      <c r="AB1545" s="373"/>
      <c r="AD1545" s="338"/>
    </row>
    <row r="1546" spans="1:30" ht="12.75" customHeight="1" x14ac:dyDescent="0.25">
      <c r="A1546" s="347" t="s">
        <v>4354</v>
      </c>
      <c r="B1546" s="376">
        <v>45505</v>
      </c>
      <c r="C1546" s="333" t="s">
        <v>26</v>
      </c>
      <c r="D1546" s="332" t="s">
        <v>1007</v>
      </c>
      <c r="E1546" s="333"/>
      <c r="F1546" s="524" t="s">
        <v>33</v>
      </c>
      <c r="G1546" s="372" t="s">
        <v>4355</v>
      </c>
      <c r="H1546" s="372">
        <v>1</v>
      </c>
      <c r="I1546" s="372" t="s">
        <v>4356</v>
      </c>
      <c r="J1546" s="333" t="s">
        <v>541</v>
      </c>
      <c r="K1546" s="333" t="s">
        <v>32</v>
      </c>
      <c r="L1546" s="333"/>
      <c r="M1546" s="333"/>
      <c r="N1546" s="417"/>
      <c r="O1546" s="417"/>
      <c r="P1546" s="462">
        <v>45505</v>
      </c>
      <c r="Q1546" s="333"/>
      <c r="R1546" s="333"/>
      <c r="S1546" s="373"/>
      <c r="T1546" s="373"/>
      <c r="U1546" s="373"/>
      <c r="V1546" s="373"/>
      <c r="W1546" s="346"/>
      <c r="X1546" s="373"/>
      <c r="Y1546" s="336">
        <f t="shared" ca="1" si="29"/>
        <v>81</v>
      </c>
      <c r="Z1546" s="373"/>
      <c r="AA1546" s="373"/>
      <c r="AB1546" s="373"/>
      <c r="AD1546" s="338"/>
    </row>
    <row r="1547" spans="1:30" ht="12.75" customHeight="1" x14ac:dyDescent="0.25">
      <c r="A1547" s="347" t="s">
        <v>4357</v>
      </c>
      <c r="B1547" s="376">
        <v>45512</v>
      </c>
      <c r="C1547" s="364" t="s">
        <v>26</v>
      </c>
      <c r="D1547" s="368" t="s">
        <v>1007</v>
      </c>
      <c r="E1547" s="333"/>
      <c r="F1547" s="523" t="s">
        <v>4358</v>
      </c>
      <c r="G1547" s="366" t="s">
        <v>4359</v>
      </c>
      <c r="H1547" s="366">
        <v>1</v>
      </c>
      <c r="I1547" s="366" t="s">
        <v>4356</v>
      </c>
      <c r="J1547" s="364" t="s">
        <v>68</v>
      </c>
      <c r="K1547" s="364" t="s">
        <v>69</v>
      </c>
      <c r="L1547" s="333"/>
      <c r="M1547" s="333"/>
      <c r="N1547" s="417"/>
      <c r="O1547" s="417"/>
      <c r="P1547" s="491">
        <v>45505</v>
      </c>
      <c r="Q1547" s="333"/>
      <c r="R1547" s="333"/>
      <c r="S1547" s="373"/>
      <c r="T1547" s="373"/>
      <c r="U1547" s="373"/>
      <c r="V1547" s="373"/>
      <c r="W1547" s="346"/>
      <c r="X1547" s="373"/>
      <c r="Y1547" s="336">
        <f t="shared" ca="1" si="29"/>
        <v>81</v>
      </c>
      <c r="Z1547" s="373"/>
      <c r="AA1547" s="373"/>
      <c r="AB1547" s="373"/>
      <c r="AD1547" s="338"/>
    </row>
    <row r="1548" spans="1:30" ht="12.75" customHeight="1" x14ac:dyDescent="0.25">
      <c r="A1548" s="411" t="s">
        <v>4360</v>
      </c>
      <c r="B1548" s="581">
        <v>45513</v>
      </c>
      <c r="C1548" s="364" t="s">
        <v>219</v>
      </c>
      <c r="D1548" s="368" t="s">
        <v>1273</v>
      </c>
      <c r="E1548" s="333"/>
      <c r="F1548" s="523" t="s">
        <v>4361</v>
      </c>
      <c r="G1548" s="366" t="s">
        <v>4362</v>
      </c>
      <c r="H1548" s="366">
        <v>5</v>
      </c>
      <c r="I1548" s="366">
        <v>11</v>
      </c>
      <c r="J1548" s="364" t="s">
        <v>43</v>
      </c>
      <c r="K1548" s="364" t="s">
        <v>32</v>
      </c>
      <c r="L1548" s="542"/>
      <c r="M1548" s="364"/>
      <c r="N1548" s="485"/>
      <c r="O1548" s="582"/>
      <c r="P1548" s="491">
        <v>45516</v>
      </c>
      <c r="Q1548" s="542"/>
      <c r="R1548" s="364"/>
      <c r="S1548" s="369"/>
      <c r="T1548" s="369"/>
      <c r="U1548" s="369"/>
      <c r="V1548" s="369"/>
      <c r="W1548" s="370"/>
      <c r="X1548" s="369"/>
      <c r="Y1548" s="336">
        <f t="shared" ca="1" si="29"/>
        <v>70</v>
      </c>
      <c r="Z1548" s="369"/>
      <c r="AA1548" s="369"/>
      <c r="AB1548" s="369"/>
      <c r="AD1548" s="338"/>
    </row>
    <row r="1549" spans="1:30" s="373" customFormat="1" ht="12.75" customHeight="1" x14ac:dyDescent="0.25">
      <c r="A1549" s="583" t="s">
        <v>4363</v>
      </c>
      <c r="B1549" s="376">
        <v>45516</v>
      </c>
      <c r="C1549" s="326" t="s">
        <v>35</v>
      </c>
      <c r="D1549" s="373" t="s">
        <v>36</v>
      </c>
      <c r="E1549" s="499"/>
      <c r="F1549" s="374" t="s">
        <v>4364</v>
      </c>
      <c r="G1549" s="372" t="s">
        <v>4365</v>
      </c>
      <c r="H1549" s="372">
        <v>1</v>
      </c>
      <c r="I1549" s="372" t="s">
        <v>4366</v>
      </c>
      <c r="J1549" s="333" t="s">
        <v>31</v>
      </c>
      <c r="K1549" s="333" t="s">
        <v>32</v>
      </c>
      <c r="L1549" s="333"/>
      <c r="M1549" s="333"/>
      <c r="N1549" s="417"/>
      <c r="O1549" s="417"/>
      <c r="P1549" s="462">
        <v>45517</v>
      </c>
      <c r="Q1549" s="396"/>
      <c r="R1549" s="333"/>
      <c r="W1549" s="346"/>
      <c r="Y1549" s="336">
        <f t="shared" ca="1" si="29"/>
        <v>69</v>
      </c>
    </row>
    <row r="1550" spans="1:30" ht="12.75" customHeight="1" x14ac:dyDescent="0.25">
      <c r="A1550" s="500" t="s">
        <v>4367</v>
      </c>
      <c r="B1550" s="584">
        <v>45516</v>
      </c>
      <c r="C1550" s="415" t="s">
        <v>219</v>
      </c>
      <c r="D1550" s="437" t="s">
        <v>1273</v>
      </c>
      <c r="E1550" s="333"/>
      <c r="F1550" s="559">
        <v>550840109905</v>
      </c>
      <c r="G1550" s="428" t="s">
        <v>4368</v>
      </c>
      <c r="H1550" s="428">
        <v>9</v>
      </c>
      <c r="I1550" s="428">
        <v>11</v>
      </c>
      <c r="J1550" s="415" t="s">
        <v>43</v>
      </c>
      <c r="K1550" s="415" t="s">
        <v>32</v>
      </c>
      <c r="L1550" s="540"/>
      <c r="M1550" s="415"/>
      <c r="N1550" s="541"/>
      <c r="O1550" s="585"/>
      <c r="P1550" s="502">
        <v>45517</v>
      </c>
      <c r="Q1550" s="540"/>
      <c r="R1550" s="415"/>
      <c r="S1550" s="424"/>
      <c r="T1550" s="424"/>
      <c r="U1550" s="424"/>
      <c r="V1550" s="424"/>
      <c r="W1550" s="430"/>
      <c r="X1550" s="424"/>
      <c r="Y1550" s="336">
        <f t="shared" ca="1" si="29"/>
        <v>69</v>
      </c>
      <c r="Z1550" s="424"/>
      <c r="AA1550" s="424"/>
      <c r="AB1550" s="424"/>
      <c r="AD1550" s="338"/>
    </row>
    <row r="1551" spans="1:30" ht="12.75" customHeight="1" x14ac:dyDescent="0.25">
      <c r="A1551" s="347" t="s">
        <v>4369</v>
      </c>
      <c r="B1551" s="363">
        <v>45516</v>
      </c>
      <c r="C1551" s="586" t="s">
        <v>219</v>
      </c>
      <c r="D1551" s="587" t="s">
        <v>1273</v>
      </c>
      <c r="E1551" s="333"/>
      <c r="F1551" s="588">
        <v>550732504216</v>
      </c>
      <c r="G1551" s="589" t="s">
        <v>4370</v>
      </c>
      <c r="H1551" s="589">
        <v>3</v>
      </c>
      <c r="I1551" s="589">
        <v>11</v>
      </c>
      <c r="J1551" s="586" t="s">
        <v>43</v>
      </c>
      <c r="K1551" s="586" t="s">
        <v>32</v>
      </c>
      <c r="L1551" s="364"/>
      <c r="M1551" s="364"/>
      <c r="N1551" s="485"/>
      <c r="O1551" s="485"/>
      <c r="P1551" s="590">
        <v>45516</v>
      </c>
      <c r="Q1551" s="333"/>
      <c r="R1551" s="333"/>
      <c r="S1551" s="373"/>
      <c r="T1551" s="373"/>
      <c r="U1551" s="373"/>
      <c r="V1551" s="373"/>
      <c r="W1551" s="346"/>
      <c r="X1551" s="373"/>
      <c r="Y1551" s="336">
        <f t="shared" ca="1" si="29"/>
        <v>70</v>
      </c>
      <c r="Z1551" s="373"/>
      <c r="AA1551" s="373"/>
      <c r="AB1551" s="373"/>
      <c r="AD1551" s="338"/>
    </row>
    <row r="1552" spans="1:30" ht="12.75" customHeight="1" x14ac:dyDescent="0.25">
      <c r="A1552" s="558" t="s">
        <v>4371</v>
      </c>
      <c r="B1552" s="376">
        <v>45517</v>
      </c>
      <c r="C1552" s="333" t="s">
        <v>35</v>
      </c>
      <c r="D1552" s="333" t="s">
        <v>36</v>
      </c>
      <c r="E1552" s="499"/>
      <c r="F1552" s="374" t="s">
        <v>4205</v>
      </c>
      <c r="G1552" s="372" t="s">
        <v>4372</v>
      </c>
      <c r="H1552" s="372">
        <v>1</v>
      </c>
      <c r="I1552" s="372" t="s">
        <v>4373</v>
      </c>
      <c r="J1552" s="333" t="s">
        <v>31</v>
      </c>
      <c r="K1552" s="333" t="s">
        <v>32</v>
      </c>
      <c r="L1552" s="333"/>
      <c r="M1552" s="333"/>
      <c r="N1552" s="417"/>
      <c r="O1552" s="417"/>
      <c r="P1552" s="462">
        <v>45517</v>
      </c>
      <c r="Q1552" s="396"/>
      <c r="R1552" s="333"/>
      <c r="S1552" s="373"/>
      <c r="T1552" s="373"/>
      <c r="U1552" s="373"/>
      <c r="V1552" s="373"/>
      <c r="W1552" s="346"/>
      <c r="X1552" s="373"/>
      <c r="Y1552" s="336">
        <f t="shared" ca="1" si="29"/>
        <v>69</v>
      </c>
      <c r="Z1552" s="373"/>
      <c r="AA1552" s="373"/>
      <c r="AB1552" s="373"/>
      <c r="AD1552" s="338"/>
    </row>
    <row r="1553" spans="1:30" ht="12.75" customHeight="1" x14ac:dyDescent="0.25">
      <c r="A1553" s="558" t="s">
        <v>4374</v>
      </c>
      <c r="B1553" s="376">
        <v>45512</v>
      </c>
      <c r="C1553" s="333" t="s">
        <v>35</v>
      </c>
      <c r="D1553" s="333" t="s">
        <v>36</v>
      </c>
      <c r="E1553" s="499"/>
      <c r="F1553" s="374" t="s">
        <v>4375</v>
      </c>
      <c r="G1553" s="372" t="s">
        <v>4376</v>
      </c>
      <c r="H1553" s="372">
        <v>1</v>
      </c>
      <c r="I1553" s="372" t="s">
        <v>4377</v>
      </c>
      <c r="J1553" s="333" t="s">
        <v>43</v>
      </c>
      <c r="K1553" s="333" t="s">
        <v>32</v>
      </c>
      <c r="L1553" s="333"/>
      <c r="M1553" s="333"/>
      <c r="N1553" s="417"/>
      <c r="O1553" s="417"/>
      <c r="P1553" s="462">
        <v>45517</v>
      </c>
      <c r="Q1553" s="396"/>
      <c r="R1553" s="333"/>
      <c r="S1553" s="373"/>
      <c r="T1553" s="373"/>
      <c r="U1553" s="373"/>
      <c r="V1553" s="373"/>
      <c r="W1553" s="346"/>
      <c r="X1553" s="373"/>
      <c r="Y1553" s="336">
        <f t="shared" ca="1" si="29"/>
        <v>69</v>
      </c>
      <c r="Z1553" s="373"/>
      <c r="AA1553" s="373"/>
      <c r="AB1553" s="373"/>
      <c r="AD1553" s="338"/>
    </row>
    <row r="1554" spans="1:30" ht="12.75" customHeight="1" x14ac:dyDescent="0.25">
      <c r="A1554" s="558" t="s">
        <v>4378</v>
      </c>
      <c r="B1554" s="376">
        <v>45517</v>
      </c>
      <c r="C1554" s="333" t="s">
        <v>35</v>
      </c>
      <c r="D1554" s="333" t="s">
        <v>36</v>
      </c>
      <c r="E1554" s="499"/>
      <c r="F1554" s="374" t="s">
        <v>4214</v>
      </c>
      <c r="G1554" s="372" t="s">
        <v>4379</v>
      </c>
      <c r="H1554" s="372">
        <v>1</v>
      </c>
      <c r="I1554" s="372" t="s">
        <v>4380</v>
      </c>
      <c r="J1554" s="333" t="s">
        <v>31</v>
      </c>
      <c r="K1554" s="333" t="s">
        <v>32</v>
      </c>
      <c r="L1554" s="333"/>
      <c r="M1554" s="333"/>
      <c r="N1554" s="417"/>
      <c r="O1554" s="417"/>
      <c r="P1554" s="462">
        <v>45517</v>
      </c>
      <c r="Q1554" s="396"/>
      <c r="R1554" s="333"/>
      <c r="S1554" s="373"/>
      <c r="T1554" s="373"/>
      <c r="U1554" s="373"/>
      <c r="V1554" s="373"/>
      <c r="W1554" s="346"/>
      <c r="X1554" s="373"/>
      <c r="Y1554" s="336">
        <f t="shared" ca="1" si="29"/>
        <v>69</v>
      </c>
      <c r="Z1554" s="373"/>
      <c r="AA1554" s="373"/>
      <c r="AB1554" s="373"/>
      <c r="AD1554" s="338"/>
    </row>
    <row r="1555" spans="1:30" ht="12.75" customHeight="1" x14ac:dyDescent="0.25">
      <c r="A1555" s="558" t="s">
        <v>4381</v>
      </c>
      <c r="B1555" s="376">
        <v>45510</v>
      </c>
      <c r="C1555" s="333" t="s">
        <v>35</v>
      </c>
      <c r="D1555" s="333" t="s">
        <v>36</v>
      </c>
      <c r="E1555" s="499"/>
      <c r="F1555" s="374" t="s">
        <v>4201</v>
      </c>
      <c r="G1555" s="372" t="s">
        <v>4382</v>
      </c>
      <c r="H1555" s="372">
        <v>1</v>
      </c>
      <c r="I1555" s="372" t="s">
        <v>4383</v>
      </c>
      <c r="J1555" s="333" t="s">
        <v>31</v>
      </c>
      <c r="K1555" s="333" t="s">
        <v>32</v>
      </c>
      <c r="L1555" s="333"/>
      <c r="M1555" s="333"/>
      <c r="N1555" s="417"/>
      <c r="O1555" s="417"/>
      <c r="P1555" s="462">
        <v>45517</v>
      </c>
      <c r="Q1555" s="396"/>
      <c r="R1555" s="333"/>
      <c r="S1555" s="373"/>
      <c r="T1555" s="373"/>
      <c r="U1555" s="373"/>
      <c r="V1555" s="373"/>
      <c r="W1555" s="481">
        <v>45544</v>
      </c>
      <c r="X1555" s="373"/>
      <c r="Y1555" s="336">
        <f t="shared" ca="1" si="29"/>
        <v>27</v>
      </c>
      <c r="Z1555" s="373"/>
      <c r="AA1555" s="373"/>
      <c r="AB1555" s="373"/>
      <c r="AD1555" s="338"/>
    </row>
    <row r="1556" spans="1:30" ht="12.75" customHeight="1" x14ac:dyDescent="0.25">
      <c r="A1556" s="347" t="s">
        <v>4384</v>
      </c>
      <c r="B1556" s="501">
        <v>45517</v>
      </c>
      <c r="C1556" s="415" t="s">
        <v>26</v>
      </c>
      <c r="D1556" s="437" t="s">
        <v>1259</v>
      </c>
      <c r="E1556" s="333"/>
      <c r="F1556" s="559">
        <v>1526002</v>
      </c>
      <c r="G1556" s="428" t="s">
        <v>4385</v>
      </c>
      <c r="H1556" s="428">
        <v>12</v>
      </c>
      <c r="I1556" s="428" t="s">
        <v>4386</v>
      </c>
      <c r="J1556" s="415" t="s">
        <v>541</v>
      </c>
      <c r="K1556" s="415" t="s">
        <v>32</v>
      </c>
      <c r="L1556" s="415"/>
      <c r="M1556" s="415"/>
      <c r="N1556" s="541"/>
      <c r="O1556" s="541"/>
      <c r="P1556" s="502">
        <v>45517</v>
      </c>
      <c r="Q1556" s="333"/>
      <c r="R1556" s="333"/>
      <c r="S1556" s="373"/>
      <c r="T1556" s="373"/>
      <c r="U1556" s="373"/>
      <c r="V1556" s="373"/>
      <c r="W1556" s="481">
        <v>45540</v>
      </c>
      <c r="X1556" s="373"/>
      <c r="Y1556" s="336">
        <f t="shared" ca="1" si="29"/>
        <v>23</v>
      </c>
      <c r="Z1556" s="373"/>
      <c r="AA1556" s="373"/>
      <c r="AB1556" s="373"/>
      <c r="AD1556" s="338"/>
    </row>
    <row r="1557" spans="1:30" ht="12.75" customHeight="1" x14ac:dyDescent="0.25">
      <c r="A1557" s="347" t="s">
        <v>4387</v>
      </c>
      <c r="B1557" s="376">
        <v>45517</v>
      </c>
      <c r="C1557" s="333" t="s">
        <v>26</v>
      </c>
      <c r="D1557" s="332" t="s">
        <v>1259</v>
      </c>
      <c r="E1557" s="333"/>
      <c r="F1557" s="524">
        <v>814861</v>
      </c>
      <c r="G1557" s="372" t="s">
        <v>4388</v>
      </c>
      <c r="H1557" s="372">
        <v>9</v>
      </c>
      <c r="I1557" s="372" t="s">
        <v>4386</v>
      </c>
      <c r="J1557" s="333" t="s">
        <v>46</v>
      </c>
      <c r="K1557" s="333" t="s">
        <v>32</v>
      </c>
      <c r="L1557" s="333"/>
      <c r="M1557" s="333"/>
      <c r="N1557" s="417"/>
      <c r="O1557" s="417"/>
      <c r="P1557" s="462">
        <v>45517</v>
      </c>
      <c r="Q1557" s="333"/>
      <c r="R1557" s="333"/>
      <c r="S1557" s="373"/>
      <c r="T1557" s="373"/>
      <c r="U1557" s="373"/>
      <c r="V1557" s="373"/>
      <c r="W1557" s="481">
        <v>45544</v>
      </c>
      <c r="X1557" s="373"/>
      <c r="Y1557" s="336">
        <f t="shared" ca="1" si="29"/>
        <v>27</v>
      </c>
      <c r="Z1557" s="373"/>
      <c r="AA1557" s="373"/>
      <c r="AB1557" s="373"/>
      <c r="AD1557" s="338"/>
    </row>
    <row r="1558" spans="1:30" ht="12.75" customHeight="1" x14ac:dyDescent="0.25">
      <c r="A1558" s="347" t="s">
        <v>4389</v>
      </c>
      <c r="B1558" s="376">
        <v>45517</v>
      </c>
      <c r="C1558" s="333" t="s">
        <v>60</v>
      </c>
      <c r="D1558" s="332" t="s">
        <v>880</v>
      </c>
      <c r="E1558" s="333"/>
      <c r="F1558" s="524" t="s">
        <v>3375</v>
      </c>
      <c r="G1558" s="452" t="s">
        <v>4390</v>
      </c>
      <c r="H1558" s="372">
        <v>1</v>
      </c>
      <c r="I1558" s="372">
        <v>368</v>
      </c>
      <c r="J1558" s="333" t="s">
        <v>102</v>
      </c>
      <c r="K1558" s="333" t="s">
        <v>69</v>
      </c>
      <c r="L1558" s="333"/>
      <c r="M1558" s="333"/>
      <c r="N1558" s="417"/>
      <c r="O1558" s="417"/>
      <c r="P1558" s="462"/>
      <c r="Q1558" s="333"/>
      <c r="R1558" s="333"/>
      <c r="S1558" s="373"/>
      <c r="T1558" s="373"/>
      <c r="U1558" s="373"/>
      <c r="V1558" s="373"/>
      <c r="W1558" s="346"/>
      <c r="X1558" s="373"/>
      <c r="Y1558" s="336" t="str">
        <f t="shared" ca="1" si="29"/>
        <v/>
      </c>
      <c r="Z1558" s="373"/>
      <c r="AA1558" s="373"/>
      <c r="AB1558" s="373"/>
      <c r="AD1558" s="338"/>
    </row>
    <row r="1559" spans="1:30" ht="12.75" customHeight="1" x14ac:dyDescent="0.25">
      <c r="A1559" s="347" t="s">
        <v>4391</v>
      </c>
      <c r="B1559" s="376">
        <v>45518</v>
      </c>
      <c r="C1559" s="333" t="s">
        <v>219</v>
      </c>
      <c r="D1559" s="332" t="s">
        <v>1273</v>
      </c>
      <c r="E1559" s="333"/>
      <c r="F1559" s="524">
        <v>274767102301</v>
      </c>
      <c r="G1559" s="372" t="s">
        <v>2702</v>
      </c>
      <c r="H1559" s="372">
        <v>9</v>
      </c>
      <c r="I1559" s="372">
        <v>11</v>
      </c>
      <c r="J1559" s="333" t="s">
        <v>43</v>
      </c>
      <c r="K1559" s="333" t="s">
        <v>32</v>
      </c>
      <c r="L1559" s="333"/>
      <c r="M1559" s="333"/>
      <c r="N1559" s="417"/>
      <c r="O1559" s="417"/>
      <c r="P1559" s="462">
        <v>45516</v>
      </c>
      <c r="Q1559" s="333"/>
      <c r="R1559" s="333"/>
      <c r="S1559" s="373"/>
      <c r="T1559" s="373"/>
      <c r="U1559" s="373"/>
      <c r="V1559" s="373"/>
      <c r="W1559" s="346"/>
      <c r="X1559" s="373"/>
      <c r="Y1559" s="336">
        <f t="shared" ca="1" si="29"/>
        <v>70</v>
      </c>
      <c r="Z1559" s="373"/>
      <c r="AA1559" s="373"/>
      <c r="AB1559" s="373"/>
      <c r="AD1559" s="338"/>
    </row>
    <row r="1560" spans="1:30" ht="12.75" customHeight="1" x14ac:dyDescent="0.25">
      <c r="A1560" s="347" t="s">
        <v>4392</v>
      </c>
      <c r="B1560" s="376">
        <v>45518</v>
      </c>
      <c r="C1560" s="333" t="s">
        <v>219</v>
      </c>
      <c r="D1560" s="332" t="s">
        <v>1273</v>
      </c>
      <c r="E1560" s="333"/>
      <c r="F1560" s="524">
        <v>274772502302</v>
      </c>
      <c r="G1560" s="372" t="s">
        <v>4393</v>
      </c>
      <c r="H1560" s="372">
        <v>18</v>
      </c>
      <c r="I1560" s="372">
        <v>11</v>
      </c>
      <c r="J1560" s="333" t="s">
        <v>43</v>
      </c>
      <c r="K1560" s="333" t="s">
        <v>32</v>
      </c>
      <c r="L1560" s="333"/>
      <c r="M1560" s="333"/>
      <c r="N1560" s="417"/>
      <c r="O1560" s="417"/>
      <c r="P1560" s="462">
        <v>45516</v>
      </c>
      <c r="Q1560" s="333"/>
      <c r="R1560" s="333"/>
      <c r="S1560" s="373"/>
      <c r="T1560" s="373"/>
      <c r="U1560" s="373"/>
      <c r="V1560" s="373"/>
      <c r="W1560" s="346"/>
      <c r="X1560" s="373"/>
      <c r="Y1560" s="336">
        <f t="shared" ca="1" si="29"/>
        <v>70</v>
      </c>
      <c r="Z1560" s="373"/>
      <c r="AA1560" s="373"/>
      <c r="AB1560" s="373"/>
      <c r="AD1560" s="338"/>
    </row>
    <row r="1561" spans="1:30" ht="12.75" customHeight="1" x14ac:dyDescent="0.25">
      <c r="A1561" s="347" t="s">
        <v>4394</v>
      </c>
      <c r="B1561" s="376">
        <v>45518</v>
      </c>
      <c r="C1561" s="333" t="s">
        <v>219</v>
      </c>
      <c r="D1561" s="332">
        <v>1918</v>
      </c>
      <c r="E1561" s="333"/>
      <c r="F1561" s="524" t="s">
        <v>4395</v>
      </c>
      <c r="G1561" s="372" t="s">
        <v>4396</v>
      </c>
      <c r="H1561" s="372">
        <v>1</v>
      </c>
      <c r="I1561" s="372">
        <v>2</v>
      </c>
      <c r="J1561" s="333" t="s">
        <v>68</v>
      </c>
      <c r="K1561" s="333" t="s">
        <v>69</v>
      </c>
      <c r="L1561" s="333"/>
      <c r="M1561" s="333"/>
      <c r="N1561" s="417"/>
      <c r="O1561" s="417"/>
      <c r="P1561" s="462">
        <v>45516</v>
      </c>
      <c r="Q1561" s="333"/>
      <c r="R1561" s="333"/>
      <c r="S1561" s="373"/>
      <c r="T1561" s="373"/>
      <c r="U1561" s="373"/>
      <c r="V1561" s="373"/>
      <c r="W1561" s="346"/>
      <c r="X1561" s="373"/>
      <c r="Y1561" s="336">
        <f t="shared" ca="1" si="29"/>
        <v>70</v>
      </c>
      <c r="Z1561" s="373"/>
      <c r="AA1561" s="373"/>
      <c r="AB1561" s="373"/>
      <c r="AD1561" s="338"/>
    </row>
    <row r="1562" spans="1:30" ht="12.75" customHeight="1" x14ac:dyDescent="0.25">
      <c r="A1562" s="347" t="s">
        <v>4397</v>
      </c>
      <c r="B1562" s="464">
        <v>45518</v>
      </c>
      <c r="C1562" s="452" t="s">
        <v>219</v>
      </c>
      <c r="D1562" s="453" t="s">
        <v>3700</v>
      </c>
      <c r="E1562" s="333"/>
      <c r="F1562" s="575">
        <v>253414110259</v>
      </c>
      <c r="G1562" s="452" t="s">
        <v>4398</v>
      </c>
      <c r="H1562" s="452">
        <v>7</v>
      </c>
      <c r="I1562" s="452">
        <v>2</v>
      </c>
      <c r="J1562" s="452" t="s">
        <v>31</v>
      </c>
      <c r="K1562" s="452" t="s">
        <v>32</v>
      </c>
      <c r="L1562" s="333"/>
      <c r="M1562" s="333"/>
      <c r="N1562" s="417"/>
      <c r="O1562" s="417"/>
      <c r="P1562" s="466">
        <v>45516</v>
      </c>
      <c r="Q1562" s="333"/>
      <c r="R1562" s="333"/>
      <c r="S1562" s="373"/>
      <c r="T1562" s="373"/>
      <c r="U1562" s="373"/>
      <c r="V1562" s="373"/>
      <c r="W1562" s="346">
        <v>45523</v>
      </c>
      <c r="X1562" s="373"/>
      <c r="Y1562" s="336">
        <f t="shared" ca="1" si="29"/>
        <v>7</v>
      </c>
      <c r="Z1562" s="373"/>
      <c r="AA1562" s="373"/>
      <c r="AB1562" s="373"/>
      <c r="AD1562" s="338"/>
    </row>
    <row r="1563" spans="1:30" ht="12.75" customHeight="1" x14ac:dyDescent="0.25">
      <c r="A1563" s="347" t="s">
        <v>4399</v>
      </c>
      <c r="B1563" s="376">
        <v>45518</v>
      </c>
      <c r="C1563" s="333" t="s">
        <v>219</v>
      </c>
      <c r="D1563" s="332" t="s">
        <v>3700</v>
      </c>
      <c r="E1563" s="333"/>
      <c r="F1563" s="524">
        <v>253414115847</v>
      </c>
      <c r="G1563" s="372" t="s">
        <v>4400</v>
      </c>
      <c r="H1563" s="372">
        <v>1</v>
      </c>
      <c r="I1563" s="372">
        <v>2</v>
      </c>
      <c r="J1563" s="333" t="s">
        <v>31</v>
      </c>
      <c r="K1563" s="333" t="s">
        <v>32</v>
      </c>
      <c r="L1563" s="333"/>
      <c r="M1563" s="333"/>
      <c r="N1563" s="417"/>
      <c r="O1563" s="417"/>
      <c r="P1563" s="462">
        <v>45516</v>
      </c>
      <c r="Q1563" s="333"/>
      <c r="R1563" s="333"/>
      <c r="S1563" s="373"/>
      <c r="T1563" s="373"/>
      <c r="U1563" s="373"/>
      <c r="V1563" s="373"/>
      <c r="W1563" s="346">
        <v>45523</v>
      </c>
      <c r="X1563" s="373"/>
      <c r="Y1563" s="336">
        <f t="shared" ca="1" si="29"/>
        <v>7</v>
      </c>
      <c r="Z1563" s="373"/>
      <c r="AA1563" s="373"/>
      <c r="AB1563" s="373"/>
      <c r="AD1563" s="338"/>
    </row>
    <row r="1564" spans="1:30" ht="12.75" customHeight="1" x14ac:dyDescent="0.25">
      <c r="A1564" s="347" t="s">
        <v>4401</v>
      </c>
      <c r="B1564" s="376">
        <v>45518</v>
      </c>
      <c r="C1564" s="333" t="s">
        <v>219</v>
      </c>
      <c r="D1564" s="332" t="s">
        <v>3700</v>
      </c>
      <c r="E1564" s="333"/>
      <c r="F1564" s="524" t="s">
        <v>4402</v>
      </c>
      <c r="G1564" s="372" t="s">
        <v>4403</v>
      </c>
      <c r="H1564" s="372">
        <v>36</v>
      </c>
      <c r="I1564" s="372">
        <v>1</v>
      </c>
      <c r="J1564" s="333" t="s">
        <v>46</v>
      </c>
      <c r="K1564" s="333" t="s">
        <v>32</v>
      </c>
      <c r="L1564" s="333"/>
      <c r="M1564" s="333"/>
      <c r="N1564" s="417"/>
      <c r="O1564" s="417"/>
      <c r="P1564" s="462">
        <v>45516</v>
      </c>
      <c r="Q1564" s="333"/>
      <c r="R1564" s="333"/>
      <c r="S1564" s="373"/>
      <c r="T1564" s="373"/>
      <c r="U1564" s="373"/>
      <c r="V1564" s="373"/>
      <c r="W1564" s="346"/>
      <c r="X1564" s="373"/>
      <c r="Y1564" s="336">
        <f t="shared" ca="1" si="29"/>
        <v>70</v>
      </c>
      <c r="Z1564" s="373"/>
      <c r="AA1564" s="373"/>
      <c r="AB1564" s="373"/>
      <c r="AD1564" s="338"/>
    </row>
    <row r="1565" spans="1:30" ht="12.75" customHeight="1" x14ac:dyDescent="0.25">
      <c r="A1565" s="347" t="s">
        <v>4404</v>
      </c>
      <c r="B1565" s="376">
        <v>45518</v>
      </c>
      <c r="C1565" s="333" t="s">
        <v>219</v>
      </c>
      <c r="D1565" s="332" t="s">
        <v>3700</v>
      </c>
      <c r="E1565" s="333"/>
      <c r="F1565" s="524">
        <v>289854600189</v>
      </c>
      <c r="G1565" s="372" t="s">
        <v>4405</v>
      </c>
      <c r="H1565" s="372">
        <v>18</v>
      </c>
      <c r="I1565" s="372">
        <v>2</v>
      </c>
      <c r="J1565" s="333" t="s">
        <v>541</v>
      </c>
      <c r="K1565" s="333" t="s">
        <v>32</v>
      </c>
      <c r="L1565" s="333"/>
      <c r="M1565" s="333"/>
      <c r="N1565" s="417"/>
      <c r="O1565" s="417"/>
      <c r="P1565" s="462">
        <v>45516</v>
      </c>
      <c r="Q1565" s="333"/>
      <c r="R1565" s="333"/>
      <c r="S1565" s="373"/>
      <c r="T1565" s="373"/>
      <c r="U1565" s="373"/>
      <c r="V1565" s="373"/>
      <c r="W1565" s="346">
        <v>45552</v>
      </c>
      <c r="X1565" s="373"/>
      <c r="Y1565" s="336">
        <f t="shared" ca="1" si="29"/>
        <v>36</v>
      </c>
      <c r="Z1565" s="373"/>
      <c r="AA1565" s="373"/>
      <c r="AB1565" s="373"/>
      <c r="AD1565" s="338"/>
    </row>
    <row r="1566" spans="1:30" ht="12.75" customHeight="1" x14ac:dyDescent="0.25">
      <c r="A1566" s="347" t="s">
        <v>4406</v>
      </c>
      <c r="B1566" s="376">
        <v>45518</v>
      </c>
      <c r="C1566" s="333" t="s">
        <v>219</v>
      </c>
      <c r="D1566" s="332" t="s">
        <v>3700</v>
      </c>
      <c r="E1566" s="333"/>
      <c r="F1566" s="524">
        <v>289491500116</v>
      </c>
      <c r="G1566" s="372" t="s">
        <v>4407</v>
      </c>
      <c r="H1566" s="372">
        <v>18</v>
      </c>
      <c r="I1566" s="372">
        <v>2</v>
      </c>
      <c r="J1566" s="333" t="s">
        <v>31</v>
      </c>
      <c r="K1566" s="333" t="s">
        <v>32</v>
      </c>
      <c r="L1566" s="333"/>
      <c r="M1566" s="333"/>
      <c r="N1566" s="417"/>
      <c r="O1566" s="417"/>
      <c r="P1566" s="462">
        <v>45516</v>
      </c>
      <c r="Q1566" s="333"/>
      <c r="R1566" s="333"/>
      <c r="S1566" s="373"/>
      <c r="T1566" s="373"/>
      <c r="U1566" s="373"/>
      <c r="V1566" s="373"/>
      <c r="W1566" s="346"/>
      <c r="X1566" s="373"/>
      <c r="Y1566" s="336">
        <f t="shared" ca="1" si="29"/>
        <v>70</v>
      </c>
      <c r="Z1566" s="373"/>
      <c r="AA1566" s="373"/>
      <c r="AB1566" s="373"/>
      <c r="AD1566" s="338"/>
    </row>
    <row r="1567" spans="1:30" ht="12.75" customHeight="1" x14ac:dyDescent="0.25">
      <c r="A1567" s="347" t="s">
        <v>4408</v>
      </c>
      <c r="B1567" s="376">
        <v>45518</v>
      </c>
      <c r="C1567" s="333" t="s">
        <v>219</v>
      </c>
      <c r="D1567" s="332" t="s">
        <v>3700</v>
      </c>
      <c r="E1567" s="333"/>
      <c r="F1567" s="524">
        <v>265454204913</v>
      </c>
      <c r="G1567" s="546" t="s">
        <v>4409</v>
      </c>
      <c r="H1567" s="372">
        <v>36</v>
      </c>
      <c r="I1567" s="372">
        <v>2</v>
      </c>
      <c r="J1567" s="333" t="s">
        <v>31</v>
      </c>
      <c r="K1567" s="333" t="s">
        <v>32</v>
      </c>
      <c r="L1567" s="333"/>
      <c r="M1567" s="333"/>
      <c r="N1567" s="417"/>
      <c r="O1567" s="417"/>
      <c r="P1567" s="462">
        <v>45516</v>
      </c>
      <c r="Q1567" s="333"/>
      <c r="R1567" s="333"/>
      <c r="S1567" s="373"/>
      <c r="T1567" s="373"/>
      <c r="U1567" s="373"/>
      <c r="V1567" s="373"/>
      <c r="W1567" s="346">
        <v>45523</v>
      </c>
      <c r="X1567" s="373"/>
      <c r="Y1567" s="336">
        <f t="shared" ca="1" si="29"/>
        <v>7</v>
      </c>
      <c r="Z1567" s="373"/>
      <c r="AA1567" s="373"/>
      <c r="AB1567" s="373"/>
      <c r="AD1567" s="338"/>
    </row>
    <row r="1568" spans="1:30" ht="12.75" customHeight="1" x14ac:dyDescent="0.25">
      <c r="A1568" s="347" t="s">
        <v>4410</v>
      </c>
      <c r="B1568" s="376">
        <v>45518</v>
      </c>
      <c r="C1568" s="333" t="s">
        <v>219</v>
      </c>
      <c r="D1568" s="332" t="s">
        <v>3700</v>
      </c>
      <c r="E1568" s="333"/>
      <c r="F1568" s="524">
        <v>289447306314</v>
      </c>
      <c r="G1568" s="372" t="s">
        <v>4411</v>
      </c>
      <c r="H1568" s="372">
        <v>18</v>
      </c>
      <c r="I1568" s="372">
        <v>2</v>
      </c>
      <c r="J1568" s="333" t="s">
        <v>541</v>
      </c>
      <c r="K1568" s="333" t="s">
        <v>32</v>
      </c>
      <c r="L1568" s="333"/>
      <c r="M1568" s="333"/>
      <c r="N1568" s="417"/>
      <c r="O1568" s="417"/>
      <c r="P1568" s="462">
        <v>45516</v>
      </c>
      <c r="Q1568" s="333"/>
      <c r="R1568" s="333"/>
      <c r="S1568" s="373"/>
      <c r="T1568" s="373"/>
      <c r="U1568" s="373"/>
      <c r="V1568" s="373"/>
      <c r="W1568" s="346"/>
      <c r="X1568" s="373"/>
      <c r="Y1568" s="336">
        <f t="shared" ca="1" si="29"/>
        <v>70</v>
      </c>
      <c r="Z1568" s="373"/>
      <c r="AA1568" s="373"/>
      <c r="AB1568" s="373"/>
      <c r="AD1568" s="338"/>
    </row>
    <row r="1569" spans="1:30" ht="12.75" customHeight="1" x14ac:dyDescent="0.25">
      <c r="A1569" s="347" t="s">
        <v>4412</v>
      </c>
      <c r="B1569" s="376">
        <v>45518</v>
      </c>
      <c r="C1569" s="333" t="s">
        <v>219</v>
      </c>
      <c r="D1569" s="332" t="s">
        <v>3700</v>
      </c>
      <c r="E1569" s="333"/>
      <c r="F1569" s="524">
        <v>289954209928</v>
      </c>
      <c r="G1569" s="372" t="s">
        <v>4413</v>
      </c>
      <c r="H1569" s="372">
        <v>1</v>
      </c>
      <c r="I1569" s="372">
        <v>2</v>
      </c>
      <c r="J1569" s="333" t="s">
        <v>541</v>
      </c>
      <c r="K1569" s="333" t="s">
        <v>32</v>
      </c>
      <c r="L1569" s="333"/>
      <c r="M1569" s="333"/>
      <c r="N1569" s="417"/>
      <c r="O1569" s="417"/>
      <c r="P1569" s="462">
        <v>45516</v>
      </c>
      <c r="Q1569" s="333"/>
      <c r="R1569" s="333"/>
      <c r="S1569" s="373"/>
      <c r="T1569" s="373"/>
      <c r="U1569" s="373"/>
      <c r="V1569" s="373"/>
      <c r="W1569" s="346"/>
      <c r="X1569" s="373"/>
      <c r="Y1569" s="336">
        <f t="shared" ca="1" si="29"/>
        <v>70</v>
      </c>
      <c r="Z1569" s="373"/>
      <c r="AA1569" s="373"/>
      <c r="AB1569" s="373"/>
      <c r="AD1569" s="338"/>
    </row>
    <row r="1570" spans="1:30" ht="12.75" customHeight="1" x14ac:dyDescent="0.25">
      <c r="A1570" s="347" t="s">
        <v>4414</v>
      </c>
      <c r="B1570" s="376">
        <v>45518</v>
      </c>
      <c r="C1570" s="333" t="s">
        <v>219</v>
      </c>
      <c r="D1570" s="332" t="s">
        <v>3700</v>
      </c>
      <c r="E1570" s="333"/>
      <c r="F1570" s="524">
        <v>269949200199</v>
      </c>
      <c r="G1570" s="372" t="s">
        <v>4415</v>
      </c>
      <c r="H1570" s="372">
        <v>18</v>
      </c>
      <c r="I1570" s="372">
        <v>2</v>
      </c>
      <c r="J1570" s="333" t="s">
        <v>43</v>
      </c>
      <c r="K1570" s="333" t="s">
        <v>32</v>
      </c>
      <c r="L1570" s="333"/>
      <c r="M1570" s="333"/>
      <c r="N1570" s="417"/>
      <c r="O1570" s="417"/>
      <c r="P1570" s="462">
        <v>45516</v>
      </c>
      <c r="Q1570" s="333"/>
      <c r="R1570" s="333"/>
      <c r="S1570" s="373"/>
      <c r="T1570" s="373"/>
      <c r="U1570" s="373"/>
      <c r="V1570" s="373"/>
      <c r="W1570" s="346"/>
      <c r="X1570" s="373"/>
      <c r="Y1570" s="336">
        <f t="shared" ca="1" si="29"/>
        <v>70</v>
      </c>
      <c r="Z1570" s="373"/>
      <c r="AA1570" s="373"/>
      <c r="AB1570" s="373"/>
      <c r="AD1570" s="338"/>
    </row>
    <row r="1571" spans="1:30" ht="12.75" customHeight="1" x14ac:dyDescent="0.25">
      <c r="A1571" s="347" t="s">
        <v>4416</v>
      </c>
      <c r="B1571" s="376">
        <v>45519</v>
      </c>
      <c r="C1571" s="333" t="s">
        <v>3603</v>
      </c>
      <c r="D1571" s="332">
        <v>1618</v>
      </c>
      <c r="E1571" s="333"/>
      <c r="F1571" s="524" t="s">
        <v>33</v>
      </c>
      <c r="G1571" s="372" t="s">
        <v>4417</v>
      </c>
      <c r="H1571" s="372">
        <v>2</v>
      </c>
      <c r="I1571" s="372" t="s">
        <v>4418</v>
      </c>
      <c r="J1571" s="333" t="s">
        <v>68</v>
      </c>
      <c r="K1571" s="333" t="s">
        <v>69</v>
      </c>
      <c r="L1571" s="333"/>
      <c r="M1571" s="333"/>
      <c r="N1571" s="417"/>
      <c r="O1571" s="417"/>
      <c r="P1571" s="462">
        <v>45516</v>
      </c>
      <c r="Q1571" s="333"/>
      <c r="R1571" s="333"/>
      <c r="S1571" s="373"/>
      <c r="T1571" s="373"/>
      <c r="U1571" s="373"/>
      <c r="V1571" s="373"/>
      <c r="W1571" s="346"/>
      <c r="X1571" s="373"/>
      <c r="Y1571" s="336">
        <f t="shared" ca="1" si="29"/>
        <v>70</v>
      </c>
      <c r="Z1571" s="373"/>
      <c r="AA1571" s="373"/>
      <c r="AB1571" s="373"/>
      <c r="AD1571" s="338"/>
    </row>
    <row r="1572" spans="1:30" ht="12.75" customHeight="1" x14ac:dyDescent="0.25">
      <c r="A1572" s="347" t="s">
        <v>4419</v>
      </c>
      <c r="B1572" s="376">
        <v>45519</v>
      </c>
      <c r="C1572" s="333" t="s">
        <v>3603</v>
      </c>
      <c r="D1572" s="332">
        <v>1618</v>
      </c>
      <c r="E1572" s="333"/>
      <c r="F1572" s="524" t="s">
        <v>2685</v>
      </c>
      <c r="G1572" s="372" t="s">
        <v>4420</v>
      </c>
      <c r="H1572" s="372">
        <v>20</v>
      </c>
      <c r="I1572" s="372" t="s">
        <v>4418</v>
      </c>
      <c r="J1572" s="333" t="s">
        <v>46</v>
      </c>
      <c r="K1572" s="333" t="s">
        <v>32</v>
      </c>
      <c r="L1572" s="333"/>
      <c r="M1572" s="333"/>
      <c r="N1572" s="417"/>
      <c r="O1572" s="417"/>
      <c r="P1572" s="462">
        <v>45516</v>
      </c>
      <c r="Q1572" s="333"/>
      <c r="R1572" s="333"/>
      <c r="S1572" s="373"/>
      <c r="T1572" s="373"/>
      <c r="U1572" s="373"/>
      <c r="V1572" s="373"/>
      <c r="W1572" s="346"/>
      <c r="X1572" s="373"/>
      <c r="Y1572" s="336">
        <f t="shared" ca="1" si="29"/>
        <v>70</v>
      </c>
      <c r="Z1572" s="373"/>
      <c r="AA1572" s="373"/>
      <c r="AB1572" s="373"/>
      <c r="AD1572" s="338"/>
    </row>
    <row r="1573" spans="1:30" ht="12.75" customHeight="1" x14ac:dyDescent="0.25">
      <c r="A1573" s="347" t="s">
        <v>4421</v>
      </c>
      <c r="B1573" s="376">
        <v>45519</v>
      </c>
      <c r="C1573" s="333" t="s">
        <v>3603</v>
      </c>
      <c r="D1573" s="332">
        <v>1618</v>
      </c>
      <c r="E1573" s="333"/>
      <c r="F1573" s="524" t="s">
        <v>4422</v>
      </c>
      <c r="G1573" s="372" t="s">
        <v>4423</v>
      </c>
      <c r="H1573" s="372">
        <v>60</v>
      </c>
      <c r="I1573" s="372" t="s">
        <v>4418</v>
      </c>
      <c r="J1573" s="333" t="s">
        <v>43</v>
      </c>
      <c r="K1573" s="333" t="s">
        <v>32</v>
      </c>
      <c r="L1573" s="333"/>
      <c r="M1573" s="333"/>
      <c r="N1573" s="417"/>
      <c r="O1573" s="417"/>
      <c r="P1573" s="462">
        <v>45516</v>
      </c>
      <c r="Q1573" s="333"/>
      <c r="R1573" s="333"/>
      <c r="S1573" s="373"/>
      <c r="T1573" s="373"/>
      <c r="U1573" s="373"/>
      <c r="V1573" s="373"/>
      <c r="W1573" s="346"/>
      <c r="X1573" s="373"/>
      <c r="Y1573" s="336">
        <f t="shared" ca="1" si="29"/>
        <v>70</v>
      </c>
      <c r="Z1573" s="373"/>
      <c r="AA1573" s="373"/>
      <c r="AB1573" s="373"/>
      <c r="AD1573" s="338"/>
    </row>
    <row r="1574" spans="1:30" ht="12.75" customHeight="1" x14ac:dyDescent="0.25">
      <c r="A1574" s="347" t="s">
        <v>4424</v>
      </c>
      <c r="B1574" s="376">
        <v>45519</v>
      </c>
      <c r="C1574" s="333" t="s">
        <v>3603</v>
      </c>
      <c r="D1574" s="332">
        <v>1618</v>
      </c>
      <c r="E1574" s="333"/>
      <c r="F1574" s="524" t="s">
        <v>33</v>
      </c>
      <c r="G1574" s="372" t="s">
        <v>4425</v>
      </c>
      <c r="H1574" s="372">
        <v>60</v>
      </c>
      <c r="I1574" s="372" t="s">
        <v>4418</v>
      </c>
      <c r="J1574" s="333" t="s">
        <v>46</v>
      </c>
      <c r="K1574" s="333" t="s">
        <v>32</v>
      </c>
      <c r="L1574" s="333"/>
      <c r="M1574" s="333"/>
      <c r="N1574" s="417"/>
      <c r="O1574" s="417"/>
      <c r="P1574" s="462">
        <v>45516</v>
      </c>
      <c r="Q1574" s="333"/>
      <c r="R1574" s="333"/>
      <c r="S1574" s="373"/>
      <c r="T1574" s="373"/>
      <c r="U1574" s="373"/>
      <c r="V1574" s="373"/>
      <c r="W1574" s="346"/>
      <c r="X1574" s="373"/>
      <c r="Y1574" s="336">
        <f t="shared" ca="1" si="29"/>
        <v>70</v>
      </c>
      <c r="Z1574" s="373"/>
      <c r="AA1574" s="373"/>
      <c r="AB1574" s="373"/>
      <c r="AD1574" s="338"/>
    </row>
    <row r="1575" spans="1:30" ht="12.75" customHeight="1" x14ac:dyDescent="0.25">
      <c r="A1575" s="347" t="s">
        <v>4426</v>
      </c>
      <c r="B1575" s="376">
        <v>45519</v>
      </c>
      <c r="C1575" s="333" t="s">
        <v>3603</v>
      </c>
      <c r="D1575" s="332">
        <v>1618</v>
      </c>
      <c r="E1575" s="333"/>
      <c r="F1575" s="524" t="s">
        <v>4427</v>
      </c>
      <c r="G1575" s="372" t="s">
        <v>4428</v>
      </c>
      <c r="H1575" s="372">
        <v>1</v>
      </c>
      <c r="I1575" s="372" t="s">
        <v>4418</v>
      </c>
      <c r="J1575" s="333" t="s">
        <v>46</v>
      </c>
      <c r="K1575" s="333" t="s">
        <v>32</v>
      </c>
      <c r="L1575" s="333"/>
      <c r="M1575" s="333"/>
      <c r="N1575" s="417"/>
      <c r="O1575" s="417"/>
      <c r="P1575" s="462">
        <v>45516</v>
      </c>
      <c r="Q1575" s="333"/>
      <c r="R1575" s="333"/>
      <c r="S1575" s="373"/>
      <c r="T1575" s="373"/>
      <c r="U1575" s="373"/>
      <c r="V1575" s="373"/>
      <c r="W1575" s="346"/>
      <c r="X1575" s="373"/>
      <c r="Y1575" s="336">
        <f t="shared" ca="1" si="29"/>
        <v>70</v>
      </c>
      <c r="Z1575" s="373"/>
      <c r="AA1575" s="373"/>
      <c r="AB1575" s="373"/>
      <c r="AD1575" s="338"/>
    </row>
    <row r="1576" spans="1:30" ht="12.75" customHeight="1" x14ac:dyDescent="0.25">
      <c r="A1576" s="347" t="s">
        <v>4429</v>
      </c>
      <c r="B1576" s="376">
        <v>45519</v>
      </c>
      <c r="C1576" s="333" t="s">
        <v>3603</v>
      </c>
      <c r="D1576" s="332">
        <v>1618</v>
      </c>
      <c r="E1576" s="333"/>
      <c r="F1576" s="524" t="s">
        <v>33</v>
      </c>
      <c r="G1576" s="372" t="s">
        <v>4430</v>
      </c>
      <c r="H1576" s="372">
        <v>9</v>
      </c>
      <c r="I1576" s="372" t="s">
        <v>4418</v>
      </c>
      <c r="J1576" s="333" t="s">
        <v>46</v>
      </c>
      <c r="K1576" s="333" t="s">
        <v>32</v>
      </c>
      <c r="L1576" s="333"/>
      <c r="M1576" s="333"/>
      <c r="N1576" s="417"/>
      <c r="O1576" s="417"/>
      <c r="P1576" s="462">
        <v>45516</v>
      </c>
      <c r="Q1576" s="333"/>
      <c r="R1576" s="333"/>
      <c r="S1576" s="373"/>
      <c r="T1576" s="373"/>
      <c r="U1576" s="373"/>
      <c r="V1576" s="373"/>
      <c r="W1576" s="346"/>
      <c r="X1576" s="373"/>
      <c r="Y1576" s="336">
        <f t="shared" ca="1" si="29"/>
        <v>70</v>
      </c>
      <c r="Z1576" s="373"/>
      <c r="AA1576" s="373"/>
      <c r="AB1576" s="373"/>
      <c r="AD1576" s="338"/>
    </row>
    <row r="1577" spans="1:30" ht="12.75" customHeight="1" x14ac:dyDescent="0.25">
      <c r="A1577" s="347" t="s">
        <v>4431</v>
      </c>
      <c r="B1577" s="376">
        <v>45519</v>
      </c>
      <c r="C1577" s="333" t="s">
        <v>3603</v>
      </c>
      <c r="D1577" s="332">
        <v>1618</v>
      </c>
      <c r="E1577" s="333"/>
      <c r="F1577" s="591" t="s">
        <v>4432</v>
      </c>
      <c r="G1577" s="546" t="s">
        <v>4433</v>
      </c>
      <c r="H1577" s="372">
        <v>10</v>
      </c>
      <c r="I1577" s="372" t="s">
        <v>4418</v>
      </c>
      <c r="J1577" s="333" t="s">
        <v>46</v>
      </c>
      <c r="K1577" s="333" t="s">
        <v>32</v>
      </c>
      <c r="L1577" s="333"/>
      <c r="M1577" s="333"/>
      <c r="N1577" s="417"/>
      <c r="O1577" s="417"/>
      <c r="P1577" s="462">
        <v>45516</v>
      </c>
      <c r="Q1577" s="333"/>
      <c r="R1577" s="333"/>
      <c r="S1577" s="373"/>
      <c r="T1577" s="373"/>
      <c r="U1577" s="373"/>
      <c r="V1577" s="373"/>
      <c r="W1577" s="346"/>
      <c r="X1577" s="373"/>
      <c r="Y1577" s="336">
        <f t="shared" ca="1" si="29"/>
        <v>70</v>
      </c>
      <c r="Z1577" s="373"/>
      <c r="AA1577" s="373"/>
      <c r="AB1577" s="373"/>
      <c r="AD1577" s="338"/>
    </row>
    <row r="1578" spans="1:30" ht="12.75" customHeight="1" x14ac:dyDescent="0.25">
      <c r="A1578" s="347" t="s">
        <v>4434</v>
      </c>
      <c r="B1578" s="376">
        <v>45519</v>
      </c>
      <c r="C1578" s="333" t="s">
        <v>3603</v>
      </c>
      <c r="D1578" s="332">
        <v>1618</v>
      </c>
      <c r="E1578" s="333"/>
      <c r="F1578" s="591" t="s">
        <v>4435</v>
      </c>
      <c r="G1578" s="546" t="s">
        <v>4436</v>
      </c>
      <c r="H1578" s="372">
        <v>10</v>
      </c>
      <c r="I1578" s="372" t="s">
        <v>4418</v>
      </c>
      <c r="J1578" s="333" t="s">
        <v>46</v>
      </c>
      <c r="K1578" s="333" t="s">
        <v>32</v>
      </c>
      <c r="L1578" s="333"/>
      <c r="M1578" s="333"/>
      <c r="N1578" s="417"/>
      <c r="O1578" s="417"/>
      <c r="P1578" s="462">
        <v>45516</v>
      </c>
      <c r="Q1578" s="333"/>
      <c r="R1578" s="333"/>
      <c r="S1578" s="373"/>
      <c r="T1578" s="373"/>
      <c r="U1578" s="373"/>
      <c r="V1578" s="373"/>
      <c r="W1578" s="346"/>
      <c r="X1578" s="373"/>
      <c r="Y1578" s="336">
        <f t="shared" ca="1" si="29"/>
        <v>70</v>
      </c>
      <c r="Z1578" s="373"/>
      <c r="AA1578" s="373"/>
      <c r="AB1578" s="373"/>
      <c r="AD1578" s="338"/>
    </row>
    <row r="1579" spans="1:30" ht="12.75" customHeight="1" x14ac:dyDescent="0.25">
      <c r="A1579" s="347" t="s">
        <v>4437</v>
      </c>
      <c r="B1579" s="376">
        <v>45519</v>
      </c>
      <c r="C1579" s="333" t="s">
        <v>3603</v>
      </c>
      <c r="D1579" s="332">
        <v>1618</v>
      </c>
      <c r="E1579" s="333"/>
      <c r="F1579" s="524" t="s">
        <v>4438</v>
      </c>
      <c r="G1579" s="372" t="s">
        <v>4439</v>
      </c>
      <c r="H1579" s="372">
        <v>10</v>
      </c>
      <c r="I1579" s="372" t="s">
        <v>4418</v>
      </c>
      <c r="J1579" s="333" t="s">
        <v>541</v>
      </c>
      <c r="K1579" s="333" t="s">
        <v>32</v>
      </c>
      <c r="L1579" s="333"/>
      <c r="M1579" s="333"/>
      <c r="N1579" s="417"/>
      <c r="O1579" s="417"/>
      <c r="P1579" s="462">
        <v>45516</v>
      </c>
      <c r="Q1579" s="333"/>
      <c r="R1579" s="333"/>
      <c r="S1579" s="373"/>
      <c r="T1579" s="373"/>
      <c r="U1579" s="373"/>
      <c r="V1579" s="373"/>
      <c r="W1579" s="346"/>
      <c r="X1579" s="373"/>
      <c r="Y1579" s="336">
        <f t="shared" ca="1" si="29"/>
        <v>70</v>
      </c>
      <c r="Z1579" s="373"/>
      <c r="AA1579" s="373"/>
      <c r="AB1579" s="373"/>
      <c r="AD1579" s="338"/>
    </row>
    <row r="1580" spans="1:30" ht="12.75" customHeight="1" x14ac:dyDescent="0.25">
      <c r="A1580" s="347" t="s">
        <v>4440</v>
      </c>
      <c r="B1580" s="376">
        <v>45519</v>
      </c>
      <c r="C1580" s="333" t="s">
        <v>3603</v>
      </c>
      <c r="D1580" s="332">
        <v>1618</v>
      </c>
      <c r="E1580" s="333"/>
      <c r="F1580" s="524" t="s">
        <v>33</v>
      </c>
      <c r="G1580" s="372" t="s">
        <v>4441</v>
      </c>
      <c r="H1580" s="372">
        <v>40</v>
      </c>
      <c r="I1580" s="372" t="s">
        <v>4418</v>
      </c>
      <c r="J1580" s="333" t="s">
        <v>46</v>
      </c>
      <c r="K1580" s="333" t="s">
        <v>32</v>
      </c>
      <c r="L1580" s="333"/>
      <c r="M1580" s="333"/>
      <c r="N1580" s="417"/>
      <c r="O1580" s="417"/>
      <c r="P1580" s="462">
        <v>45516</v>
      </c>
      <c r="Q1580" s="333"/>
      <c r="R1580" s="333"/>
      <c r="S1580" s="373"/>
      <c r="T1580" s="373"/>
      <c r="U1580" s="373"/>
      <c r="V1580" s="373"/>
      <c r="W1580" s="346"/>
      <c r="X1580" s="373"/>
      <c r="Y1580" s="336">
        <f t="shared" ca="1" si="29"/>
        <v>70</v>
      </c>
      <c r="Z1580" s="373"/>
      <c r="AA1580" s="373"/>
      <c r="AB1580" s="373"/>
      <c r="AD1580" s="338"/>
    </row>
    <row r="1581" spans="1:30" ht="12.75" customHeight="1" x14ac:dyDescent="0.25">
      <c r="A1581" s="347" t="s">
        <v>4442</v>
      </c>
      <c r="B1581" s="376">
        <v>45519</v>
      </c>
      <c r="C1581" s="333" t="s">
        <v>3603</v>
      </c>
      <c r="D1581" s="332" t="s">
        <v>4443</v>
      </c>
      <c r="E1581" s="333"/>
      <c r="F1581" s="524" t="s">
        <v>4444</v>
      </c>
      <c r="G1581" s="372" t="s">
        <v>4445</v>
      </c>
      <c r="H1581" s="372">
        <v>1</v>
      </c>
      <c r="I1581" s="372" t="s">
        <v>4446</v>
      </c>
      <c r="J1581" s="333" t="s">
        <v>265</v>
      </c>
      <c r="K1581" s="333" t="s">
        <v>32</v>
      </c>
      <c r="L1581" s="333"/>
      <c r="M1581" s="333"/>
      <c r="N1581" s="417"/>
      <c r="O1581" s="417"/>
      <c r="P1581" s="462">
        <v>45516</v>
      </c>
      <c r="Q1581" s="333"/>
      <c r="R1581" s="333"/>
      <c r="S1581" s="373"/>
      <c r="T1581" s="373"/>
      <c r="U1581" s="373"/>
      <c r="V1581" s="373"/>
      <c r="W1581" s="346"/>
      <c r="X1581" s="373"/>
      <c r="Y1581" s="336">
        <f t="shared" ca="1" si="29"/>
        <v>70</v>
      </c>
      <c r="Z1581" s="373"/>
      <c r="AA1581" s="373"/>
      <c r="AB1581" s="373"/>
      <c r="AD1581" s="338"/>
    </row>
    <row r="1582" spans="1:30" ht="12.75" customHeight="1" x14ac:dyDescent="0.25">
      <c r="A1582" s="347" t="s">
        <v>4447</v>
      </c>
      <c r="B1582" s="363">
        <v>45519</v>
      </c>
      <c r="C1582" s="364" t="s">
        <v>3603</v>
      </c>
      <c r="D1582" s="332" t="s">
        <v>4443</v>
      </c>
      <c r="E1582" s="333"/>
      <c r="F1582" s="523" t="s">
        <v>4448</v>
      </c>
      <c r="G1582" s="366" t="s">
        <v>4449</v>
      </c>
      <c r="H1582" s="366">
        <v>1</v>
      </c>
      <c r="I1582" s="372" t="s">
        <v>4446</v>
      </c>
      <c r="J1582" s="333" t="s">
        <v>102</v>
      </c>
      <c r="K1582" s="333" t="s">
        <v>69</v>
      </c>
      <c r="L1582" s="364"/>
      <c r="M1582" s="364"/>
      <c r="N1582" s="485"/>
      <c r="O1582" s="485"/>
      <c r="P1582" s="462">
        <v>45516</v>
      </c>
      <c r="Q1582" s="364"/>
      <c r="R1582" s="364"/>
      <c r="S1582" s="369"/>
      <c r="T1582" s="369"/>
      <c r="U1582" s="369"/>
      <c r="V1582" s="369"/>
      <c r="W1582" s="370"/>
      <c r="X1582" s="369"/>
      <c r="Y1582" s="336">
        <f t="shared" ca="1" si="29"/>
        <v>70</v>
      </c>
      <c r="Z1582" s="369"/>
      <c r="AA1582" s="369"/>
      <c r="AB1582" s="369"/>
      <c r="AD1582" s="338"/>
    </row>
    <row r="1583" spans="1:30" ht="12.75" customHeight="1" x14ac:dyDescent="0.25">
      <c r="A1583" s="347" t="s">
        <v>4450</v>
      </c>
      <c r="B1583" s="376">
        <v>45519</v>
      </c>
      <c r="C1583" s="333" t="s">
        <v>3603</v>
      </c>
      <c r="D1583" s="332" t="s">
        <v>4443</v>
      </c>
      <c r="E1583" s="333"/>
      <c r="F1583" s="524" t="s">
        <v>4451</v>
      </c>
      <c r="G1583" s="372" t="s">
        <v>4452</v>
      </c>
      <c r="H1583" s="372">
        <v>1</v>
      </c>
      <c r="I1583" s="372" t="s">
        <v>4446</v>
      </c>
      <c r="J1583" s="333" t="s">
        <v>31</v>
      </c>
      <c r="K1583" s="333" t="s">
        <v>32</v>
      </c>
      <c r="L1583" s="333"/>
      <c r="M1583" s="333"/>
      <c r="N1583" s="417"/>
      <c r="O1583" s="417"/>
      <c r="P1583" s="462">
        <v>45516</v>
      </c>
      <c r="Q1583" s="333"/>
      <c r="R1583" s="333"/>
      <c r="S1583" s="373"/>
      <c r="T1583" s="373"/>
      <c r="U1583" s="373"/>
      <c r="V1583" s="373"/>
      <c r="W1583" s="346"/>
      <c r="X1583" s="373"/>
      <c r="Y1583" s="336">
        <f t="shared" ca="1" si="29"/>
        <v>70</v>
      </c>
      <c r="Z1583" s="373"/>
      <c r="AA1583" s="373"/>
      <c r="AB1583" s="373"/>
      <c r="AD1583" s="338"/>
    </row>
    <row r="1584" spans="1:30" ht="12.75" customHeight="1" x14ac:dyDescent="0.25">
      <c r="A1584" s="347" t="s">
        <v>4453</v>
      </c>
      <c r="B1584" s="376">
        <v>45519</v>
      </c>
      <c r="C1584" s="333" t="s">
        <v>3603</v>
      </c>
      <c r="D1584" s="332" t="s">
        <v>4443</v>
      </c>
      <c r="E1584" s="333"/>
      <c r="F1584" s="524" t="s">
        <v>4454</v>
      </c>
      <c r="G1584" s="372" t="s">
        <v>4455</v>
      </c>
      <c r="H1584" s="372">
        <v>10</v>
      </c>
      <c r="I1584" s="372" t="s">
        <v>4446</v>
      </c>
      <c r="J1584" s="333" t="s">
        <v>43</v>
      </c>
      <c r="K1584" s="333" t="s">
        <v>32</v>
      </c>
      <c r="L1584" s="333"/>
      <c r="M1584" s="333"/>
      <c r="N1584" s="417"/>
      <c r="O1584" s="417"/>
      <c r="P1584" s="462">
        <v>45516</v>
      </c>
      <c r="Q1584" s="333"/>
      <c r="R1584" s="333"/>
      <c r="S1584" s="373"/>
      <c r="T1584" s="373"/>
      <c r="U1584" s="373"/>
      <c r="V1584" s="373"/>
      <c r="W1584" s="346"/>
      <c r="X1584" s="373"/>
      <c r="Y1584" s="336">
        <f t="shared" ca="1" si="29"/>
        <v>70</v>
      </c>
      <c r="Z1584" s="373"/>
      <c r="AA1584" s="373"/>
      <c r="AB1584" s="373"/>
      <c r="AD1584" s="338"/>
    </row>
    <row r="1585" spans="1:30" ht="12.75" customHeight="1" x14ac:dyDescent="0.25">
      <c r="A1585" s="347" t="s">
        <v>4456</v>
      </c>
      <c r="B1585" s="376">
        <v>45519</v>
      </c>
      <c r="C1585" s="333" t="s">
        <v>3603</v>
      </c>
      <c r="D1585" s="332" t="s">
        <v>4443</v>
      </c>
      <c r="E1585" s="333"/>
      <c r="F1585" s="524" t="s">
        <v>4457</v>
      </c>
      <c r="G1585" s="372" t="s">
        <v>4458</v>
      </c>
      <c r="H1585" s="372">
        <v>11</v>
      </c>
      <c r="I1585" s="372" t="s">
        <v>4446</v>
      </c>
      <c r="J1585" s="333" t="s">
        <v>43</v>
      </c>
      <c r="K1585" s="333" t="s">
        <v>32</v>
      </c>
      <c r="L1585" s="333"/>
      <c r="M1585" s="333"/>
      <c r="N1585" s="417"/>
      <c r="O1585" s="417"/>
      <c r="P1585" s="462">
        <v>45516</v>
      </c>
      <c r="Q1585" s="333"/>
      <c r="R1585" s="333"/>
      <c r="S1585" s="373"/>
      <c r="T1585" s="373"/>
      <c r="U1585" s="373"/>
      <c r="V1585" s="373"/>
      <c r="W1585" s="346"/>
      <c r="X1585" s="373"/>
      <c r="Y1585" s="336">
        <f t="shared" ca="1" si="29"/>
        <v>70</v>
      </c>
      <c r="Z1585" s="373"/>
      <c r="AA1585" s="373"/>
      <c r="AB1585" s="373"/>
      <c r="AD1585" s="338"/>
    </row>
    <row r="1586" spans="1:30" ht="12.75" customHeight="1" x14ac:dyDescent="0.25">
      <c r="A1586" s="347" t="s">
        <v>4459</v>
      </c>
      <c r="B1586" s="376">
        <v>45519</v>
      </c>
      <c r="C1586" s="333" t="s">
        <v>3603</v>
      </c>
      <c r="D1586" s="332" t="s">
        <v>4443</v>
      </c>
      <c r="E1586" s="333"/>
      <c r="F1586" s="524" t="s">
        <v>4460</v>
      </c>
      <c r="G1586" s="372" t="s">
        <v>4461</v>
      </c>
      <c r="H1586" s="372">
        <v>2</v>
      </c>
      <c r="I1586" s="372" t="s">
        <v>4446</v>
      </c>
      <c r="J1586" s="333" t="s">
        <v>43</v>
      </c>
      <c r="K1586" s="333" t="s">
        <v>32</v>
      </c>
      <c r="L1586" s="333"/>
      <c r="M1586" s="333"/>
      <c r="N1586" s="417"/>
      <c r="O1586" s="417"/>
      <c r="P1586" s="462">
        <v>45516</v>
      </c>
      <c r="Q1586" s="333"/>
      <c r="R1586" s="333"/>
      <c r="S1586" s="373"/>
      <c r="T1586" s="373"/>
      <c r="U1586" s="373"/>
      <c r="V1586" s="373"/>
      <c r="W1586" s="346"/>
      <c r="X1586" s="373"/>
      <c r="Y1586" s="336">
        <f t="shared" ca="1" si="29"/>
        <v>70</v>
      </c>
      <c r="Z1586" s="373"/>
      <c r="AA1586" s="373"/>
      <c r="AB1586" s="373"/>
      <c r="AD1586" s="338"/>
    </row>
    <row r="1587" spans="1:30" ht="12.75" customHeight="1" x14ac:dyDescent="0.25">
      <c r="A1587" s="347" t="s">
        <v>4462</v>
      </c>
      <c r="B1587" s="376">
        <v>45519</v>
      </c>
      <c r="C1587" s="333" t="s">
        <v>3603</v>
      </c>
      <c r="D1587" s="332" t="s">
        <v>4443</v>
      </c>
      <c r="E1587" s="333"/>
      <c r="F1587" s="524" t="s">
        <v>4463</v>
      </c>
      <c r="G1587" s="372" t="s">
        <v>4464</v>
      </c>
      <c r="H1587" s="372">
        <v>20</v>
      </c>
      <c r="I1587" s="372" t="s">
        <v>4446</v>
      </c>
      <c r="J1587" s="333" t="s">
        <v>43</v>
      </c>
      <c r="K1587" s="333" t="s">
        <v>32</v>
      </c>
      <c r="L1587" s="333"/>
      <c r="M1587" s="333"/>
      <c r="N1587" s="417"/>
      <c r="O1587" s="417"/>
      <c r="P1587" s="462">
        <v>45516</v>
      </c>
      <c r="Q1587" s="333"/>
      <c r="R1587" s="333"/>
      <c r="S1587" s="373"/>
      <c r="T1587" s="373"/>
      <c r="U1587" s="373"/>
      <c r="V1587" s="373"/>
      <c r="W1587" s="346"/>
      <c r="X1587" s="373"/>
      <c r="Y1587" s="336">
        <f t="shared" ca="1" si="29"/>
        <v>70</v>
      </c>
      <c r="Z1587" s="373"/>
      <c r="AA1587" s="373"/>
      <c r="AB1587" s="373"/>
      <c r="AD1587" s="338"/>
    </row>
    <row r="1588" spans="1:30" ht="12.75" customHeight="1" x14ac:dyDescent="0.25">
      <c r="A1588" s="347" t="s">
        <v>4465</v>
      </c>
      <c r="B1588" s="376">
        <v>45519</v>
      </c>
      <c r="C1588" s="333" t="s">
        <v>3603</v>
      </c>
      <c r="D1588" s="332" t="s">
        <v>4443</v>
      </c>
      <c r="E1588" s="333"/>
      <c r="F1588" s="524" t="s">
        <v>4457</v>
      </c>
      <c r="G1588" s="372" t="s">
        <v>4466</v>
      </c>
      <c r="H1588" s="372">
        <v>1</v>
      </c>
      <c r="I1588" s="372" t="s">
        <v>4446</v>
      </c>
      <c r="J1588" s="333" t="s">
        <v>43</v>
      </c>
      <c r="K1588" s="333" t="s">
        <v>32</v>
      </c>
      <c r="L1588" s="333"/>
      <c r="M1588" s="333"/>
      <c r="N1588" s="417"/>
      <c r="O1588" s="417"/>
      <c r="P1588" s="462">
        <v>45516</v>
      </c>
      <c r="Q1588" s="333"/>
      <c r="R1588" s="333"/>
      <c r="S1588" s="373"/>
      <c r="T1588" s="373"/>
      <c r="U1588" s="373"/>
      <c r="V1588" s="373"/>
      <c r="W1588" s="346"/>
      <c r="X1588" s="373"/>
      <c r="Y1588" s="336">
        <f t="shared" ca="1" si="29"/>
        <v>70</v>
      </c>
      <c r="Z1588" s="373"/>
      <c r="AA1588" s="373"/>
      <c r="AB1588" s="373"/>
      <c r="AD1588" s="338"/>
    </row>
    <row r="1589" spans="1:30" ht="12.75" customHeight="1" x14ac:dyDescent="0.25">
      <c r="A1589" s="347" t="s">
        <v>4467</v>
      </c>
      <c r="B1589" s="376">
        <v>45519</v>
      </c>
      <c r="C1589" s="333" t="s">
        <v>3603</v>
      </c>
      <c r="D1589" s="332" t="s">
        <v>4443</v>
      </c>
      <c r="E1589" s="333"/>
      <c r="F1589" s="524" t="s">
        <v>4468</v>
      </c>
      <c r="G1589" s="372" t="s">
        <v>4469</v>
      </c>
      <c r="H1589" s="372">
        <v>4</v>
      </c>
      <c r="I1589" s="372" t="s">
        <v>4446</v>
      </c>
      <c r="J1589" s="333" t="s">
        <v>46</v>
      </c>
      <c r="K1589" s="333" t="s">
        <v>32</v>
      </c>
      <c r="L1589" s="333"/>
      <c r="M1589" s="333"/>
      <c r="N1589" s="417"/>
      <c r="O1589" s="417"/>
      <c r="P1589" s="462">
        <v>45516</v>
      </c>
      <c r="Q1589" s="333"/>
      <c r="R1589" s="333"/>
      <c r="S1589" s="373"/>
      <c r="T1589" s="373"/>
      <c r="U1589" s="373"/>
      <c r="V1589" s="373"/>
      <c r="W1589" s="346"/>
      <c r="X1589" s="373"/>
      <c r="Y1589" s="336">
        <f t="shared" ca="1" si="29"/>
        <v>70</v>
      </c>
      <c r="Z1589" s="373"/>
      <c r="AA1589" s="373"/>
      <c r="AB1589" s="373"/>
      <c r="AD1589" s="338"/>
    </row>
    <row r="1590" spans="1:30" ht="12.75" customHeight="1" x14ac:dyDescent="0.25">
      <c r="A1590" s="347" t="s">
        <v>4470</v>
      </c>
      <c r="B1590" s="376">
        <v>45519</v>
      </c>
      <c r="C1590" s="333" t="s">
        <v>3603</v>
      </c>
      <c r="D1590" s="332" t="s">
        <v>4443</v>
      </c>
      <c r="E1590" s="333"/>
      <c r="F1590" s="524" t="s">
        <v>4471</v>
      </c>
      <c r="G1590" s="372" t="s">
        <v>4472</v>
      </c>
      <c r="H1590" s="372">
        <v>1</v>
      </c>
      <c r="I1590" s="372" t="s">
        <v>4446</v>
      </c>
      <c r="J1590" s="333" t="s">
        <v>68</v>
      </c>
      <c r="K1590" s="333" t="s">
        <v>32</v>
      </c>
      <c r="L1590" s="333"/>
      <c r="M1590" s="333"/>
      <c r="N1590" s="417"/>
      <c r="O1590" s="417"/>
      <c r="P1590" s="462">
        <v>45516</v>
      </c>
      <c r="Q1590" s="333"/>
      <c r="R1590" s="333"/>
      <c r="S1590" s="373"/>
      <c r="T1590" s="373"/>
      <c r="U1590" s="373"/>
      <c r="V1590" s="373"/>
      <c r="W1590" s="346"/>
      <c r="X1590" s="373"/>
      <c r="Y1590" s="336">
        <f t="shared" ca="1" si="29"/>
        <v>70</v>
      </c>
      <c r="Z1590" s="373"/>
      <c r="AA1590" s="373"/>
      <c r="AB1590" s="373"/>
      <c r="AD1590" s="338"/>
    </row>
    <row r="1591" spans="1:30" ht="12.75" customHeight="1" x14ac:dyDescent="0.25">
      <c r="A1591" s="347" t="s">
        <v>4473</v>
      </c>
      <c r="B1591" s="376">
        <v>45519</v>
      </c>
      <c r="C1591" s="333" t="s">
        <v>3603</v>
      </c>
      <c r="D1591" s="332" t="s">
        <v>4443</v>
      </c>
      <c r="E1591" s="333"/>
      <c r="F1591" s="524" t="s">
        <v>4474</v>
      </c>
      <c r="G1591" s="372" t="s">
        <v>4475</v>
      </c>
      <c r="H1591" s="372">
        <v>20</v>
      </c>
      <c r="I1591" s="372" t="s">
        <v>4446</v>
      </c>
      <c r="J1591" s="333" t="s">
        <v>43</v>
      </c>
      <c r="K1591" s="333" t="s">
        <v>32</v>
      </c>
      <c r="L1591" s="333"/>
      <c r="M1591" s="333"/>
      <c r="N1591" s="417"/>
      <c r="O1591" s="417"/>
      <c r="P1591" s="462">
        <v>45516</v>
      </c>
      <c r="Q1591" s="333"/>
      <c r="R1591" s="333"/>
      <c r="S1591" s="373"/>
      <c r="T1591" s="373"/>
      <c r="U1591" s="373"/>
      <c r="V1591" s="373"/>
      <c r="W1591" s="346"/>
      <c r="X1591" s="373"/>
      <c r="Y1591" s="336">
        <f t="shared" ca="1" si="29"/>
        <v>70</v>
      </c>
      <c r="Z1591" s="373"/>
      <c r="AA1591" s="373"/>
      <c r="AB1591" s="373"/>
      <c r="AD1591" s="338"/>
    </row>
    <row r="1592" spans="1:30" ht="12.75" customHeight="1" x14ac:dyDescent="0.25">
      <c r="A1592" s="347" t="s">
        <v>4476</v>
      </c>
      <c r="B1592" s="376">
        <v>45519</v>
      </c>
      <c r="C1592" s="333" t="s">
        <v>3603</v>
      </c>
      <c r="D1592" s="332" t="s">
        <v>4443</v>
      </c>
      <c r="E1592" s="333"/>
      <c r="F1592" s="524" t="s">
        <v>4477</v>
      </c>
      <c r="G1592" s="372" t="s">
        <v>4478</v>
      </c>
      <c r="H1592" s="372">
        <v>20</v>
      </c>
      <c r="I1592" s="372" t="s">
        <v>4446</v>
      </c>
      <c r="J1592" s="333" t="s">
        <v>31</v>
      </c>
      <c r="K1592" s="333" t="s">
        <v>32</v>
      </c>
      <c r="L1592" s="333"/>
      <c r="M1592" s="333"/>
      <c r="N1592" s="417"/>
      <c r="O1592" s="417"/>
      <c r="P1592" s="462">
        <v>45516</v>
      </c>
      <c r="Q1592" s="333"/>
      <c r="R1592" s="333"/>
      <c r="S1592" s="373"/>
      <c r="T1592" s="373"/>
      <c r="U1592" s="373"/>
      <c r="V1592" s="373"/>
      <c r="W1592" s="346"/>
      <c r="X1592" s="373"/>
      <c r="Y1592" s="336">
        <f t="shared" ca="1" si="29"/>
        <v>70</v>
      </c>
      <c r="Z1592" s="373"/>
      <c r="AA1592" s="373"/>
      <c r="AB1592" s="373"/>
      <c r="AD1592" s="338"/>
    </row>
    <row r="1593" spans="1:30" ht="12.75" customHeight="1" x14ac:dyDescent="0.25">
      <c r="A1593" s="347" t="s">
        <v>4479</v>
      </c>
      <c r="B1593" s="376">
        <v>45519</v>
      </c>
      <c r="C1593" s="333" t="s">
        <v>3603</v>
      </c>
      <c r="D1593" s="332" t="s">
        <v>4443</v>
      </c>
      <c r="E1593" s="333"/>
      <c r="F1593" s="524" t="s">
        <v>33</v>
      </c>
      <c r="G1593" s="372" t="s">
        <v>4480</v>
      </c>
      <c r="H1593" s="372">
        <v>1</v>
      </c>
      <c r="I1593" s="372" t="s">
        <v>4446</v>
      </c>
      <c r="J1593" s="333" t="s">
        <v>68</v>
      </c>
      <c r="K1593" s="333" t="s">
        <v>69</v>
      </c>
      <c r="L1593" s="333"/>
      <c r="M1593" s="333"/>
      <c r="N1593" s="417"/>
      <c r="O1593" s="417"/>
      <c r="P1593" s="462">
        <v>45516</v>
      </c>
      <c r="Q1593" s="333"/>
      <c r="R1593" s="333"/>
      <c r="S1593" s="373"/>
      <c r="T1593" s="373"/>
      <c r="U1593" s="373"/>
      <c r="V1593" s="373"/>
      <c r="W1593" s="346"/>
      <c r="X1593" s="373"/>
      <c r="Y1593" s="336">
        <f t="shared" ca="1" si="29"/>
        <v>70</v>
      </c>
      <c r="Z1593" s="373"/>
      <c r="AA1593" s="373"/>
      <c r="AB1593" s="373"/>
      <c r="AD1593" s="338"/>
    </row>
    <row r="1594" spans="1:30" ht="12.75" customHeight="1" x14ac:dyDescent="0.25">
      <c r="A1594" s="347" t="s">
        <v>4481</v>
      </c>
      <c r="B1594" s="376">
        <v>45519</v>
      </c>
      <c r="C1594" s="333" t="s">
        <v>3603</v>
      </c>
      <c r="D1594" s="332" t="s">
        <v>4443</v>
      </c>
      <c r="E1594" s="333"/>
      <c r="F1594" s="524" t="s">
        <v>33</v>
      </c>
      <c r="G1594" s="372" t="s">
        <v>4482</v>
      </c>
      <c r="H1594" s="372">
        <v>40</v>
      </c>
      <c r="I1594" s="372" t="s">
        <v>4446</v>
      </c>
      <c r="J1594" s="333" t="s">
        <v>541</v>
      </c>
      <c r="K1594" s="333" t="s">
        <v>32</v>
      </c>
      <c r="L1594" s="333"/>
      <c r="M1594" s="333"/>
      <c r="N1594" s="417"/>
      <c r="O1594" s="417"/>
      <c r="P1594" s="462">
        <v>45516</v>
      </c>
      <c r="Q1594" s="333"/>
      <c r="R1594" s="333"/>
      <c r="S1594" s="373"/>
      <c r="T1594" s="373"/>
      <c r="U1594" s="373"/>
      <c r="V1594" s="373"/>
      <c r="W1594" s="346"/>
      <c r="X1594" s="373"/>
      <c r="Y1594" s="336">
        <f t="shared" ca="1" si="29"/>
        <v>70</v>
      </c>
      <c r="Z1594" s="373"/>
      <c r="AA1594" s="373"/>
      <c r="AB1594" s="373"/>
      <c r="AD1594" s="338"/>
    </row>
    <row r="1595" spans="1:30" ht="12.75" customHeight="1" x14ac:dyDescent="0.25">
      <c r="A1595" s="347" t="s">
        <v>4483</v>
      </c>
      <c r="B1595" s="376">
        <v>45519</v>
      </c>
      <c r="C1595" s="333" t="s">
        <v>3603</v>
      </c>
      <c r="D1595" s="332" t="s">
        <v>4443</v>
      </c>
      <c r="E1595" s="333"/>
      <c r="F1595" s="524" t="s">
        <v>4484</v>
      </c>
      <c r="G1595" s="372" t="s">
        <v>4485</v>
      </c>
      <c r="H1595" s="372">
        <v>1</v>
      </c>
      <c r="I1595" s="372" t="s">
        <v>4446</v>
      </c>
      <c r="J1595" s="333" t="s">
        <v>265</v>
      </c>
      <c r="K1595" s="333" t="s">
        <v>32</v>
      </c>
      <c r="L1595" s="333"/>
      <c r="M1595" s="333"/>
      <c r="N1595" s="417"/>
      <c r="O1595" s="417"/>
      <c r="P1595" s="462">
        <v>45516</v>
      </c>
      <c r="Q1595" s="333"/>
      <c r="R1595" s="333"/>
      <c r="S1595" s="373"/>
      <c r="T1595" s="373"/>
      <c r="U1595" s="373"/>
      <c r="V1595" s="373"/>
      <c r="W1595" s="346"/>
      <c r="X1595" s="373"/>
      <c r="Y1595" s="336">
        <f t="shared" ca="1" si="29"/>
        <v>70</v>
      </c>
      <c r="Z1595" s="373"/>
      <c r="AA1595" s="373"/>
      <c r="AB1595" s="373"/>
      <c r="AD1595" s="338"/>
    </row>
    <row r="1596" spans="1:30" ht="12.75" customHeight="1" x14ac:dyDescent="0.25">
      <c r="A1596" s="347" t="s">
        <v>4486</v>
      </c>
      <c r="B1596" s="376">
        <v>45519</v>
      </c>
      <c r="C1596" s="333" t="s">
        <v>3603</v>
      </c>
      <c r="D1596" s="332" t="s">
        <v>4443</v>
      </c>
      <c r="E1596" s="333"/>
      <c r="F1596" s="575"/>
      <c r="G1596" s="372" t="s">
        <v>4487</v>
      </c>
      <c r="H1596" s="372">
        <v>1</v>
      </c>
      <c r="I1596" s="372" t="s">
        <v>4446</v>
      </c>
      <c r="J1596" s="333" t="s">
        <v>265</v>
      </c>
      <c r="K1596" s="333" t="s">
        <v>32</v>
      </c>
      <c r="L1596" s="333"/>
      <c r="M1596" s="333"/>
      <c r="N1596" s="417"/>
      <c r="O1596" s="417"/>
      <c r="P1596" s="462">
        <v>45516</v>
      </c>
      <c r="Q1596" s="333"/>
      <c r="R1596" s="333"/>
      <c r="S1596" s="373"/>
      <c r="T1596" s="373"/>
      <c r="U1596" s="373"/>
      <c r="V1596" s="373"/>
      <c r="W1596" s="346"/>
      <c r="X1596" s="373"/>
      <c r="Y1596" s="336">
        <f t="shared" ca="1" si="29"/>
        <v>70</v>
      </c>
      <c r="Z1596" s="373"/>
      <c r="AA1596" s="373"/>
      <c r="AB1596" s="373"/>
      <c r="AD1596" s="338"/>
    </row>
    <row r="1597" spans="1:30" ht="12.75" customHeight="1" x14ac:dyDescent="0.25">
      <c r="A1597" s="347" t="s">
        <v>4488</v>
      </c>
      <c r="B1597" s="376">
        <v>45519</v>
      </c>
      <c r="C1597" s="333" t="s">
        <v>3603</v>
      </c>
      <c r="D1597" s="332" t="s">
        <v>4443</v>
      </c>
      <c r="E1597" s="333"/>
      <c r="F1597" s="575"/>
      <c r="G1597" s="372" t="s">
        <v>4489</v>
      </c>
      <c r="H1597" s="372">
        <v>1</v>
      </c>
      <c r="I1597" s="372" t="s">
        <v>4446</v>
      </c>
      <c r="J1597" s="333" t="s">
        <v>68</v>
      </c>
      <c r="K1597" s="333" t="s">
        <v>69</v>
      </c>
      <c r="L1597" s="333"/>
      <c r="M1597" s="333"/>
      <c r="N1597" s="417"/>
      <c r="O1597" s="417"/>
      <c r="P1597" s="462">
        <v>45516</v>
      </c>
      <c r="Q1597" s="333"/>
      <c r="R1597" s="333"/>
      <c r="S1597" s="373"/>
      <c r="T1597" s="373"/>
      <c r="U1597" s="373"/>
      <c r="V1597" s="373"/>
      <c r="W1597" s="346"/>
      <c r="X1597" s="373"/>
      <c r="Y1597" s="336">
        <f t="shared" ca="1" si="29"/>
        <v>70</v>
      </c>
      <c r="Z1597" s="373"/>
      <c r="AA1597" s="373"/>
      <c r="AB1597" s="373"/>
      <c r="AD1597" s="338"/>
    </row>
    <row r="1598" spans="1:30" ht="12.75" customHeight="1" x14ac:dyDescent="0.25">
      <c r="A1598" s="347" t="s">
        <v>4490</v>
      </c>
      <c r="B1598" s="376">
        <v>45519</v>
      </c>
      <c r="C1598" s="333" t="s">
        <v>3603</v>
      </c>
      <c r="D1598" s="332" t="s">
        <v>4443</v>
      </c>
      <c r="E1598" s="333"/>
      <c r="F1598" s="575"/>
      <c r="G1598" s="372" t="s">
        <v>4491</v>
      </c>
      <c r="H1598" s="372">
        <v>1</v>
      </c>
      <c r="I1598" s="372" t="s">
        <v>4492</v>
      </c>
      <c r="J1598" s="333" t="s">
        <v>102</v>
      </c>
      <c r="K1598" s="333" t="s">
        <v>69</v>
      </c>
      <c r="L1598" s="333"/>
      <c r="M1598" s="333"/>
      <c r="N1598" s="417"/>
      <c r="O1598" s="417"/>
      <c r="P1598" s="462">
        <v>45516</v>
      </c>
      <c r="Q1598" s="333"/>
      <c r="R1598" s="333"/>
      <c r="S1598" s="373"/>
      <c r="T1598" s="373"/>
      <c r="U1598" s="373"/>
      <c r="V1598" s="373"/>
      <c r="W1598" s="346"/>
      <c r="X1598" s="373"/>
      <c r="Y1598" s="336">
        <f t="shared" ca="1" si="29"/>
        <v>70</v>
      </c>
      <c r="Z1598" s="373"/>
      <c r="AA1598" s="373"/>
      <c r="AB1598" s="373"/>
      <c r="AD1598" s="338"/>
    </row>
    <row r="1599" spans="1:30" ht="12.75" customHeight="1" x14ac:dyDescent="0.25">
      <c r="A1599" s="347" t="s">
        <v>4493</v>
      </c>
      <c r="B1599" s="376">
        <v>45519</v>
      </c>
      <c r="C1599" s="333" t="s">
        <v>3603</v>
      </c>
      <c r="D1599" s="332" t="s">
        <v>4443</v>
      </c>
      <c r="E1599" s="333"/>
      <c r="F1599" s="575"/>
      <c r="G1599" s="372" t="s">
        <v>4494</v>
      </c>
      <c r="H1599" s="372">
        <v>40</v>
      </c>
      <c r="I1599" s="372" t="s">
        <v>4492</v>
      </c>
      <c r="J1599" s="333" t="s">
        <v>46</v>
      </c>
      <c r="K1599" s="333" t="s">
        <v>32</v>
      </c>
      <c r="L1599" s="333"/>
      <c r="M1599" s="333"/>
      <c r="N1599" s="417"/>
      <c r="O1599" s="417"/>
      <c r="P1599" s="462">
        <v>45516</v>
      </c>
      <c r="Q1599" s="333"/>
      <c r="R1599" s="333"/>
      <c r="S1599" s="373"/>
      <c r="T1599" s="373"/>
      <c r="U1599" s="373"/>
      <c r="V1599" s="373"/>
      <c r="W1599" s="346"/>
      <c r="X1599" s="373"/>
      <c r="Y1599" s="336">
        <f t="shared" ca="1" si="29"/>
        <v>70</v>
      </c>
      <c r="Z1599" s="373"/>
      <c r="AA1599" s="373"/>
      <c r="AB1599" s="373"/>
      <c r="AD1599" s="338"/>
    </row>
    <row r="1600" spans="1:30" ht="12.75" customHeight="1" x14ac:dyDescent="0.25">
      <c r="A1600" s="347" t="s">
        <v>4495</v>
      </c>
      <c r="B1600" s="376">
        <v>45519</v>
      </c>
      <c r="C1600" s="333" t="s">
        <v>3603</v>
      </c>
      <c r="D1600" s="332" t="s">
        <v>4443</v>
      </c>
      <c r="E1600" s="333"/>
      <c r="F1600" s="524" t="s">
        <v>33</v>
      </c>
      <c r="G1600" s="372" t="s">
        <v>4496</v>
      </c>
      <c r="H1600" s="372">
        <v>40</v>
      </c>
      <c r="I1600" s="372" t="s">
        <v>4497</v>
      </c>
      <c r="J1600" s="333" t="s">
        <v>541</v>
      </c>
      <c r="K1600" s="333" t="s">
        <v>32</v>
      </c>
      <c r="L1600" s="333"/>
      <c r="M1600" s="333"/>
      <c r="N1600" s="417"/>
      <c r="O1600" s="417"/>
      <c r="P1600" s="462">
        <v>45516</v>
      </c>
      <c r="Q1600" s="333"/>
      <c r="R1600" s="333"/>
      <c r="S1600" s="373"/>
      <c r="T1600" s="373"/>
      <c r="U1600" s="373"/>
      <c r="V1600" s="373"/>
      <c r="W1600" s="346"/>
      <c r="X1600" s="373"/>
      <c r="Y1600" s="336">
        <f t="shared" ca="1" si="29"/>
        <v>70</v>
      </c>
      <c r="Z1600" s="373"/>
      <c r="AA1600" s="373"/>
      <c r="AB1600" s="373"/>
      <c r="AD1600" s="338"/>
    </row>
    <row r="1601" spans="1:30" ht="12.75" customHeight="1" x14ac:dyDescent="0.25">
      <c r="A1601" s="347" t="s">
        <v>4498</v>
      </c>
      <c r="B1601" s="376">
        <v>45519</v>
      </c>
      <c r="C1601" s="333" t="s">
        <v>60</v>
      </c>
      <c r="D1601" s="332"/>
      <c r="E1601" s="333"/>
      <c r="F1601" s="524" t="s">
        <v>4499</v>
      </c>
      <c r="G1601" s="372" t="s">
        <v>4500</v>
      </c>
      <c r="H1601" s="372">
        <v>1</v>
      </c>
      <c r="I1601" s="372">
        <v>340</v>
      </c>
      <c r="J1601" s="333" t="s">
        <v>2627</v>
      </c>
      <c r="K1601" s="333" t="s">
        <v>69</v>
      </c>
      <c r="L1601" s="333"/>
      <c r="M1601" s="333"/>
      <c r="N1601" s="417"/>
      <c r="O1601" s="417"/>
      <c r="P1601" s="462">
        <v>45519</v>
      </c>
      <c r="Q1601" s="333"/>
      <c r="R1601" s="333"/>
      <c r="S1601" s="373"/>
      <c r="T1601" s="373"/>
      <c r="U1601" s="373"/>
      <c r="V1601" s="373"/>
      <c r="W1601" s="346"/>
      <c r="X1601" s="373"/>
      <c r="Y1601" s="336">
        <f t="shared" ca="1" si="29"/>
        <v>67</v>
      </c>
      <c r="Z1601" s="373"/>
      <c r="AA1601" s="373"/>
      <c r="AB1601" s="373"/>
      <c r="AD1601" s="338"/>
    </row>
    <row r="1602" spans="1:30" ht="12.75" customHeight="1" x14ac:dyDescent="0.25">
      <c r="A1602" s="347" t="s">
        <v>4501</v>
      </c>
      <c r="B1602" s="376">
        <v>45519</v>
      </c>
      <c r="C1602" s="333" t="s">
        <v>60</v>
      </c>
      <c r="D1602" s="332"/>
      <c r="E1602" s="333"/>
      <c r="F1602" s="524" t="s">
        <v>4502</v>
      </c>
      <c r="G1602" s="372" t="s">
        <v>4500</v>
      </c>
      <c r="H1602" s="372">
        <v>1</v>
      </c>
      <c r="I1602" s="372">
        <v>340</v>
      </c>
      <c r="J1602" s="333" t="s">
        <v>2627</v>
      </c>
      <c r="K1602" s="333" t="s">
        <v>69</v>
      </c>
      <c r="L1602" s="333"/>
      <c r="M1602" s="333"/>
      <c r="N1602" s="417"/>
      <c r="O1602" s="417"/>
      <c r="P1602" s="462">
        <v>45519</v>
      </c>
      <c r="Q1602" s="333"/>
      <c r="R1602" s="333"/>
      <c r="S1602" s="373"/>
      <c r="T1602" s="373"/>
      <c r="U1602" s="373"/>
      <c r="V1602" s="373"/>
      <c r="W1602" s="346"/>
      <c r="X1602" s="373"/>
      <c r="Y1602" s="336">
        <f t="shared" ca="1" si="29"/>
        <v>67</v>
      </c>
      <c r="Z1602" s="373"/>
      <c r="AA1602" s="373"/>
      <c r="AB1602" s="373"/>
      <c r="AD1602" s="338"/>
    </row>
    <row r="1603" spans="1:30" ht="12.75" customHeight="1" x14ac:dyDescent="0.25">
      <c r="A1603" s="347" t="s">
        <v>4503</v>
      </c>
      <c r="B1603" s="376">
        <v>45519</v>
      </c>
      <c r="C1603" s="333" t="s">
        <v>60</v>
      </c>
      <c r="D1603" s="332"/>
      <c r="E1603" s="333"/>
      <c r="F1603" s="524" t="s">
        <v>3623</v>
      </c>
      <c r="G1603" s="372" t="s">
        <v>3624</v>
      </c>
      <c r="H1603" s="372">
        <v>8</v>
      </c>
      <c r="I1603" s="372">
        <v>340</v>
      </c>
      <c r="J1603" s="333" t="s">
        <v>2627</v>
      </c>
      <c r="K1603" s="333" t="s">
        <v>69</v>
      </c>
      <c r="L1603" s="333"/>
      <c r="M1603" s="333"/>
      <c r="N1603" s="417"/>
      <c r="O1603" s="417"/>
      <c r="P1603" s="462">
        <v>45519</v>
      </c>
      <c r="Q1603" s="333"/>
      <c r="R1603" s="333"/>
      <c r="S1603" s="373"/>
      <c r="T1603" s="373"/>
      <c r="U1603" s="373"/>
      <c r="V1603" s="373"/>
      <c r="W1603" s="346"/>
      <c r="X1603" s="373"/>
      <c r="Y1603" s="336">
        <f t="shared" ca="1" si="29"/>
        <v>67</v>
      </c>
      <c r="Z1603" s="373"/>
      <c r="AA1603" s="373"/>
      <c r="AB1603" s="373"/>
      <c r="AD1603" s="338"/>
    </row>
    <row r="1604" spans="1:30" ht="12.75" customHeight="1" x14ac:dyDescent="0.25">
      <c r="A1604" s="347" t="s">
        <v>4504</v>
      </c>
      <c r="B1604" s="376">
        <v>45519</v>
      </c>
      <c r="C1604" s="333" t="s">
        <v>60</v>
      </c>
      <c r="D1604" s="332"/>
      <c r="E1604" s="333"/>
      <c r="F1604" s="524" t="s">
        <v>3626</v>
      </c>
      <c r="G1604" s="372" t="s">
        <v>3627</v>
      </c>
      <c r="H1604" s="372">
        <v>4</v>
      </c>
      <c r="I1604" s="372">
        <v>340</v>
      </c>
      <c r="J1604" s="333" t="s">
        <v>2627</v>
      </c>
      <c r="K1604" s="333" t="s">
        <v>69</v>
      </c>
      <c r="L1604" s="333"/>
      <c r="M1604" s="333"/>
      <c r="N1604" s="417"/>
      <c r="O1604" s="417"/>
      <c r="P1604" s="462">
        <v>45519</v>
      </c>
      <c r="Q1604" s="333"/>
      <c r="R1604" s="333"/>
      <c r="S1604" s="373"/>
      <c r="T1604" s="373"/>
      <c r="U1604" s="373"/>
      <c r="V1604" s="373"/>
      <c r="W1604" s="346"/>
      <c r="X1604" s="373"/>
      <c r="Y1604" s="336">
        <f t="shared" ca="1" si="29"/>
        <v>67</v>
      </c>
      <c r="Z1604" s="373"/>
      <c r="AA1604" s="373"/>
      <c r="AB1604" s="373"/>
      <c r="AD1604" s="338"/>
    </row>
    <row r="1605" spans="1:30" ht="12.75" customHeight="1" x14ac:dyDescent="0.25">
      <c r="A1605" s="347" t="s">
        <v>4505</v>
      </c>
      <c r="B1605" s="376">
        <v>45519</v>
      </c>
      <c r="C1605" s="333" t="s">
        <v>60</v>
      </c>
      <c r="D1605" s="332"/>
      <c r="E1605" s="333"/>
      <c r="F1605" s="524" t="s">
        <v>3629</v>
      </c>
      <c r="G1605" s="372" t="s">
        <v>3630</v>
      </c>
      <c r="H1605" s="372">
        <v>8</v>
      </c>
      <c r="I1605" s="372">
        <v>340</v>
      </c>
      <c r="J1605" s="333" t="s">
        <v>2627</v>
      </c>
      <c r="K1605" s="333" t="s">
        <v>69</v>
      </c>
      <c r="L1605" s="333"/>
      <c r="M1605" s="333"/>
      <c r="N1605" s="417"/>
      <c r="O1605" s="417"/>
      <c r="P1605" s="462">
        <v>45519</v>
      </c>
      <c r="Q1605" s="333"/>
      <c r="R1605" s="333"/>
      <c r="S1605" s="373"/>
      <c r="T1605" s="373"/>
      <c r="U1605" s="373"/>
      <c r="V1605" s="373"/>
      <c r="W1605" s="346"/>
      <c r="X1605" s="373"/>
      <c r="Y1605" s="336">
        <f t="shared" ca="1" si="29"/>
        <v>67</v>
      </c>
      <c r="Z1605" s="373"/>
      <c r="AA1605" s="373"/>
      <c r="AB1605" s="373"/>
      <c r="AD1605" s="338"/>
    </row>
    <row r="1606" spans="1:30" ht="12.75" customHeight="1" x14ac:dyDescent="0.25">
      <c r="A1606" s="347" t="s">
        <v>4506</v>
      </c>
      <c r="B1606" s="376">
        <v>45519</v>
      </c>
      <c r="C1606" s="333" t="s">
        <v>60</v>
      </c>
      <c r="D1606" s="332"/>
      <c r="E1606" s="333"/>
      <c r="F1606" s="524" t="s">
        <v>3632</v>
      </c>
      <c r="G1606" s="372" t="s">
        <v>4507</v>
      </c>
      <c r="H1606" s="372">
        <v>24</v>
      </c>
      <c r="I1606" s="372">
        <v>340</v>
      </c>
      <c r="J1606" s="333" t="s">
        <v>2627</v>
      </c>
      <c r="K1606" s="333" t="s">
        <v>69</v>
      </c>
      <c r="L1606" s="333"/>
      <c r="M1606" s="333"/>
      <c r="N1606" s="417"/>
      <c r="O1606" s="417"/>
      <c r="P1606" s="462">
        <v>45519</v>
      </c>
      <c r="Q1606" s="333"/>
      <c r="R1606" s="333"/>
      <c r="S1606" s="373"/>
      <c r="T1606" s="373"/>
      <c r="U1606" s="373"/>
      <c r="V1606" s="373"/>
      <c r="W1606" s="346"/>
      <c r="X1606" s="373"/>
      <c r="Y1606" s="336">
        <f t="shared" ca="1" si="29"/>
        <v>67</v>
      </c>
      <c r="Z1606" s="373"/>
      <c r="AA1606" s="373"/>
      <c r="AB1606" s="373"/>
      <c r="AD1606" s="338"/>
    </row>
    <row r="1607" spans="1:30" ht="12.75" customHeight="1" x14ac:dyDescent="0.25">
      <c r="A1607" s="347" t="s">
        <v>4508</v>
      </c>
      <c r="B1607" s="376">
        <v>45519</v>
      </c>
      <c r="C1607" s="333" t="s">
        <v>60</v>
      </c>
      <c r="D1607" s="332"/>
      <c r="E1607" s="333"/>
      <c r="F1607" s="524" t="s">
        <v>3635</v>
      </c>
      <c r="G1607" s="372" t="s">
        <v>3636</v>
      </c>
      <c r="H1607" s="372">
        <v>36</v>
      </c>
      <c r="I1607" s="372">
        <v>340</v>
      </c>
      <c r="J1607" s="333" t="s">
        <v>2627</v>
      </c>
      <c r="K1607" s="333" t="s">
        <v>69</v>
      </c>
      <c r="L1607" s="333"/>
      <c r="M1607" s="333"/>
      <c r="N1607" s="417"/>
      <c r="O1607" s="417"/>
      <c r="P1607" s="462">
        <v>45519</v>
      </c>
      <c r="Q1607" s="333"/>
      <c r="R1607" s="333"/>
      <c r="S1607" s="373"/>
      <c r="T1607" s="373"/>
      <c r="U1607" s="373"/>
      <c r="V1607" s="373"/>
      <c r="W1607" s="346"/>
      <c r="X1607" s="373"/>
      <c r="Y1607" s="336">
        <f t="shared" ca="1" si="29"/>
        <v>67</v>
      </c>
      <c r="Z1607" s="373"/>
      <c r="AA1607" s="373"/>
      <c r="AB1607" s="373"/>
      <c r="AD1607" s="338"/>
    </row>
    <row r="1608" spans="1:30" ht="12.75" customHeight="1" x14ac:dyDescent="0.25">
      <c r="A1608" s="347" t="s">
        <v>4509</v>
      </c>
      <c r="B1608" s="376">
        <v>45519</v>
      </c>
      <c r="C1608" s="333" t="s">
        <v>60</v>
      </c>
      <c r="D1608" s="332"/>
      <c r="E1608" s="333"/>
      <c r="F1608" s="524" t="s">
        <v>3638</v>
      </c>
      <c r="G1608" s="372" t="s">
        <v>3639</v>
      </c>
      <c r="H1608" s="372">
        <v>8</v>
      </c>
      <c r="I1608" s="372">
        <v>340</v>
      </c>
      <c r="J1608" s="333" t="s">
        <v>2627</v>
      </c>
      <c r="K1608" s="333" t="s">
        <v>69</v>
      </c>
      <c r="L1608" s="333"/>
      <c r="M1608" s="333"/>
      <c r="N1608" s="417"/>
      <c r="O1608" s="417"/>
      <c r="P1608" s="462">
        <v>45519</v>
      </c>
      <c r="Q1608" s="333"/>
      <c r="R1608" s="333"/>
      <c r="S1608" s="373"/>
      <c r="T1608" s="373"/>
      <c r="U1608" s="373"/>
      <c r="V1608" s="373"/>
      <c r="W1608" s="346"/>
      <c r="X1608" s="373"/>
      <c r="Y1608" s="336">
        <f t="shared" ref="Y1608:Y1669" ca="1" si="30">IF(P1608="","",IF(W1608="",TODAY()-P1608,W1608-P1608))</f>
        <v>67</v>
      </c>
      <c r="Z1608" s="373"/>
      <c r="AA1608" s="373"/>
      <c r="AB1608" s="373"/>
      <c r="AD1608" s="338"/>
    </row>
    <row r="1609" spans="1:30" ht="12.75" customHeight="1" x14ac:dyDescent="0.25">
      <c r="A1609" s="347" t="s">
        <v>4510</v>
      </c>
      <c r="B1609" s="376">
        <v>45519</v>
      </c>
      <c r="C1609" s="333" t="s">
        <v>60</v>
      </c>
      <c r="D1609" s="332"/>
      <c r="E1609" s="333"/>
      <c r="F1609" s="524" t="s">
        <v>3641</v>
      </c>
      <c r="G1609" s="372" t="s">
        <v>3642</v>
      </c>
      <c r="H1609" s="372">
        <v>4</v>
      </c>
      <c r="I1609" s="372">
        <v>340</v>
      </c>
      <c r="J1609" s="333" t="s">
        <v>2627</v>
      </c>
      <c r="K1609" s="333" t="s">
        <v>69</v>
      </c>
      <c r="L1609" s="333"/>
      <c r="M1609" s="333"/>
      <c r="N1609" s="417"/>
      <c r="O1609" s="417"/>
      <c r="P1609" s="462">
        <v>45519</v>
      </c>
      <c r="Q1609" s="333"/>
      <c r="R1609" s="333"/>
      <c r="S1609" s="373"/>
      <c r="T1609" s="373"/>
      <c r="U1609" s="373"/>
      <c r="V1609" s="373"/>
      <c r="W1609" s="346"/>
      <c r="X1609" s="373"/>
      <c r="Y1609" s="336">
        <f t="shared" ca="1" si="30"/>
        <v>67</v>
      </c>
      <c r="Z1609" s="373"/>
      <c r="AA1609" s="373"/>
      <c r="AB1609" s="373"/>
      <c r="AD1609" s="338"/>
    </row>
    <row r="1610" spans="1:30" ht="12.75" customHeight="1" x14ac:dyDescent="0.25">
      <c r="A1610" s="347" t="s">
        <v>4511</v>
      </c>
      <c r="B1610" s="376">
        <v>45519</v>
      </c>
      <c r="C1610" s="333" t="s">
        <v>60</v>
      </c>
      <c r="D1610" s="332"/>
      <c r="E1610" s="333"/>
      <c r="F1610" s="524" t="s">
        <v>3644</v>
      </c>
      <c r="G1610" s="372" t="s">
        <v>3645</v>
      </c>
      <c r="H1610" s="372">
        <v>4</v>
      </c>
      <c r="I1610" s="372">
        <v>340</v>
      </c>
      <c r="J1610" s="333" t="s">
        <v>2627</v>
      </c>
      <c r="K1610" s="333" t="s">
        <v>69</v>
      </c>
      <c r="L1610" s="333"/>
      <c r="M1610" s="333"/>
      <c r="N1610" s="417"/>
      <c r="O1610" s="417"/>
      <c r="P1610" s="462">
        <v>45519</v>
      </c>
      <c r="Q1610" s="333"/>
      <c r="R1610" s="333"/>
      <c r="S1610" s="373"/>
      <c r="T1610" s="373"/>
      <c r="U1610" s="373"/>
      <c r="V1610" s="373"/>
      <c r="W1610" s="346"/>
      <c r="X1610" s="373"/>
      <c r="Y1610" s="336">
        <f t="shared" ca="1" si="30"/>
        <v>67</v>
      </c>
      <c r="Z1610" s="373"/>
      <c r="AA1610" s="373"/>
      <c r="AB1610" s="373"/>
      <c r="AD1610" s="338"/>
    </row>
    <row r="1611" spans="1:30" ht="12.75" customHeight="1" x14ac:dyDescent="0.25">
      <c r="A1611" s="347" t="s">
        <v>4512</v>
      </c>
      <c r="B1611" s="376">
        <v>45519</v>
      </c>
      <c r="C1611" s="333" t="s">
        <v>60</v>
      </c>
      <c r="D1611" s="332"/>
      <c r="E1611" s="333"/>
      <c r="F1611" s="524" t="s">
        <v>3647</v>
      </c>
      <c r="G1611" s="372" t="s">
        <v>3648</v>
      </c>
      <c r="H1611" s="372">
        <v>4</v>
      </c>
      <c r="I1611" s="372">
        <v>340</v>
      </c>
      <c r="J1611" s="333" t="s">
        <v>2627</v>
      </c>
      <c r="K1611" s="333" t="s">
        <v>69</v>
      </c>
      <c r="L1611" s="333"/>
      <c r="M1611" s="333"/>
      <c r="N1611" s="417"/>
      <c r="O1611" s="417"/>
      <c r="P1611" s="462">
        <v>45519</v>
      </c>
      <c r="Q1611" s="333"/>
      <c r="R1611" s="333"/>
      <c r="S1611" s="373"/>
      <c r="T1611" s="373"/>
      <c r="U1611" s="373"/>
      <c r="V1611" s="373"/>
      <c r="W1611" s="346"/>
      <c r="X1611" s="373"/>
      <c r="Y1611" s="336">
        <f t="shared" ca="1" si="30"/>
        <v>67</v>
      </c>
      <c r="Z1611" s="373"/>
      <c r="AA1611" s="373"/>
      <c r="AB1611" s="373"/>
      <c r="AD1611" s="338"/>
    </row>
    <row r="1612" spans="1:30" ht="12.75" customHeight="1" x14ac:dyDescent="0.25">
      <c r="A1612" s="347" t="s">
        <v>4513</v>
      </c>
      <c r="B1612" s="376">
        <v>45519</v>
      </c>
      <c r="C1612" s="333" t="s">
        <v>60</v>
      </c>
      <c r="D1612" s="332"/>
      <c r="E1612" s="333"/>
      <c r="F1612" s="524" t="s">
        <v>3650</v>
      </c>
      <c r="G1612" s="372" t="s">
        <v>3651</v>
      </c>
      <c r="H1612" s="372">
        <v>4</v>
      </c>
      <c r="I1612" s="372">
        <v>340</v>
      </c>
      <c r="J1612" s="333" t="s">
        <v>2627</v>
      </c>
      <c r="K1612" s="333" t="s">
        <v>69</v>
      </c>
      <c r="L1612" s="333"/>
      <c r="M1612" s="333"/>
      <c r="N1612" s="417"/>
      <c r="O1612" s="417"/>
      <c r="P1612" s="462">
        <v>45519</v>
      </c>
      <c r="Q1612" s="333"/>
      <c r="R1612" s="333"/>
      <c r="S1612" s="373"/>
      <c r="T1612" s="373"/>
      <c r="U1612" s="373"/>
      <c r="V1612" s="373"/>
      <c r="W1612" s="346"/>
      <c r="X1612" s="373"/>
      <c r="Y1612" s="336">
        <f t="shared" ca="1" si="30"/>
        <v>67</v>
      </c>
      <c r="Z1612" s="373"/>
      <c r="AA1612" s="373"/>
      <c r="AB1612" s="373"/>
      <c r="AD1612" s="338"/>
    </row>
    <row r="1613" spans="1:30" ht="12.75" customHeight="1" x14ac:dyDescent="0.25">
      <c r="A1613" s="347" t="s">
        <v>4514</v>
      </c>
      <c r="B1613" s="376">
        <v>45519</v>
      </c>
      <c r="C1613" s="333" t="s">
        <v>60</v>
      </c>
      <c r="D1613" s="332"/>
      <c r="E1613" s="333"/>
      <c r="F1613" s="524" t="s">
        <v>3653</v>
      </c>
      <c r="G1613" s="372" t="s">
        <v>3654</v>
      </c>
      <c r="H1613" s="372">
        <v>8</v>
      </c>
      <c r="I1613" s="372">
        <v>340</v>
      </c>
      <c r="J1613" s="333" t="s">
        <v>2627</v>
      </c>
      <c r="K1613" s="333" t="s">
        <v>69</v>
      </c>
      <c r="L1613" s="333"/>
      <c r="M1613" s="333"/>
      <c r="N1613" s="417"/>
      <c r="O1613" s="417"/>
      <c r="P1613" s="462">
        <v>45519</v>
      </c>
      <c r="Q1613" s="333"/>
      <c r="R1613" s="333"/>
      <c r="S1613" s="373"/>
      <c r="T1613" s="373"/>
      <c r="U1613" s="373"/>
      <c r="V1613" s="373"/>
      <c r="W1613" s="346"/>
      <c r="X1613" s="373"/>
      <c r="Y1613" s="336">
        <f t="shared" ca="1" si="30"/>
        <v>67</v>
      </c>
      <c r="Z1613" s="373"/>
      <c r="AA1613" s="373"/>
      <c r="AB1613" s="373"/>
      <c r="AD1613" s="338"/>
    </row>
    <row r="1614" spans="1:30" ht="12.75" customHeight="1" x14ac:dyDescent="0.25">
      <c r="A1614" s="347" t="s">
        <v>4515</v>
      </c>
      <c r="B1614" s="376">
        <v>45519</v>
      </c>
      <c r="C1614" s="333" t="s">
        <v>60</v>
      </c>
      <c r="D1614" s="332"/>
      <c r="E1614" s="333"/>
      <c r="F1614" s="524" t="s">
        <v>3656</v>
      </c>
      <c r="G1614" s="372" t="s">
        <v>3657</v>
      </c>
      <c r="H1614" s="372">
        <v>4</v>
      </c>
      <c r="I1614" s="372">
        <v>340</v>
      </c>
      <c r="J1614" s="333" t="s">
        <v>2627</v>
      </c>
      <c r="K1614" s="333" t="s">
        <v>69</v>
      </c>
      <c r="L1614" s="333"/>
      <c r="M1614" s="333"/>
      <c r="N1614" s="417"/>
      <c r="O1614" s="417"/>
      <c r="P1614" s="462">
        <v>45519</v>
      </c>
      <c r="Q1614" s="333"/>
      <c r="R1614" s="333"/>
      <c r="S1614" s="373"/>
      <c r="T1614" s="373"/>
      <c r="U1614" s="373"/>
      <c r="V1614" s="373"/>
      <c r="W1614" s="346"/>
      <c r="X1614" s="373"/>
      <c r="Y1614" s="336">
        <f t="shared" ca="1" si="30"/>
        <v>67</v>
      </c>
      <c r="Z1614" s="373"/>
      <c r="AA1614" s="373"/>
      <c r="AB1614" s="373"/>
      <c r="AD1614" s="338"/>
    </row>
    <row r="1615" spans="1:30" ht="12.75" customHeight="1" x14ac:dyDescent="0.25">
      <c r="A1615" s="347" t="s">
        <v>4516</v>
      </c>
      <c r="B1615" s="376">
        <v>45519</v>
      </c>
      <c r="C1615" s="333" t="s">
        <v>60</v>
      </c>
      <c r="D1615" s="332"/>
      <c r="E1615" s="333"/>
      <c r="F1615" s="524">
        <v>3003502802</v>
      </c>
      <c r="G1615" s="372" t="s">
        <v>3659</v>
      </c>
      <c r="H1615" s="372">
        <v>8</v>
      </c>
      <c r="I1615" s="372">
        <v>340</v>
      </c>
      <c r="J1615" s="333" t="s">
        <v>2627</v>
      </c>
      <c r="K1615" s="333" t="s">
        <v>69</v>
      </c>
      <c r="L1615" s="333"/>
      <c r="M1615" s="333"/>
      <c r="N1615" s="417"/>
      <c r="O1615" s="417"/>
      <c r="P1615" s="462">
        <v>45519</v>
      </c>
      <c r="Q1615" s="333"/>
      <c r="R1615" s="333"/>
      <c r="S1615" s="373"/>
      <c r="T1615" s="373"/>
      <c r="U1615" s="373"/>
      <c r="V1615" s="373"/>
      <c r="W1615" s="346"/>
      <c r="X1615" s="373"/>
      <c r="Y1615" s="336">
        <f t="shared" ca="1" si="30"/>
        <v>67</v>
      </c>
      <c r="Z1615" s="373"/>
      <c r="AA1615" s="373"/>
      <c r="AB1615" s="373"/>
      <c r="AD1615" s="338"/>
    </row>
    <row r="1616" spans="1:30" ht="12.75" customHeight="1" x14ac:dyDescent="0.25">
      <c r="A1616" s="347" t="s">
        <v>4517</v>
      </c>
      <c r="B1616" s="376">
        <v>45519</v>
      </c>
      <c r="C1616" s="333" t="s">
        <v>60</v>
      </c>
      <c r="D1616" s="332"/>
      <c r="E1616" s="333"/>
      <c r="F1616" s="524" t="s">
        <v>1609</v>
      </c>
      <c r="G1616" s="372" t="s">
        <v>3661</v>
      </c>
      <c r="H1616" s="372">
        <v>2</v>
      </c>
      <c r="I1616" s="372">
        <v>340</v>
      </c>
      <c r="J1616" s="333" t="s">
        <v>2627</v>
      </c>
      <c r="K1616" s="333" t="s">
        <v>69</v>
      </c>
      <c r="L1616" s="333"/>
      <c r="M1616" s="333"/>
      <c r="N1616" s="417"/>
      <c r="O1616" s="417"/>
      <c r="P1616" s="462">
        <v>45519</v>
      </c>
      <c r="Q1616" s="333"/>
      <c r="R1616" s="333"/>
      <c r="S1616" s="373"/>
      <c r="T1616" s="373"/>
      <c r="U1616" s="373"/>
      <c r="V1616" s="373"/>
      <c r="W1616" s="346"/>
      <c r="X1616" s="373"/>
      <c r="Y1616" s="336">
        <f t="shared" ca="1" si="30"/>
        <v>67</v>
      </c>
      <c r="Z1616" s="373"/>
      <c r="AA1616" s="373"/>
      <c r="AB1616" s="373"/>
      <c r="AD1616" s="338"/>
    </row>
    <row r="1617" spans="1:30" ht="12.75" customHeight="1" x14ac:dyDescent="0.25">
      <c r="A1617" s="347" t="s">
        <v>4518</v>
      </c>
      <c r="B1617" s="376">
        <v>45519</v>
      </c>
      <c r="C1617" s="333" t="s">
        <v>60</v>
      </c>
      <c r="D1617" s="332"/>
      <c r="E1617" s="333"/>
      <c r="F1617" s="524" t="s">
        <v>4519</v>
      </c>
      <c r="G1617" s="372" t="s">
        <v>4520</v>
      </c>
      <c r="H1617" s="372">
        <v>1</v>
      </c>
      <c r="I1617" s="372">
        <v>340</v>
      </c>
      <c r="J1617" s="333" t="s">
        <v>2627</v>
      </c>
      <c r="K1617" s="333" t="s">
        <v>69</v>
      </c>
      <c r="L1617" s="333"/>
      <c r="M1617" s="333"/>
      <c r="N1617" s="417"/>
      <c r="O1617" s="417"/>
      <c r="P1617" s="462">
        <v>45519</v>
      </c>
      <c r="Q1617" s="333"/>
      <c r="R1617" s="333"/>
      <c r="S1617" s="373"/>
      <c r="T1617" s="373"/>
      <c r="U1617" s="373"/>
      <c r="V1617" s="373"/>
      <c r="W1617" s="346"/>
      <c r="X1617" s="373"/>
      <c r="Y1617" s="336">
        <f t="shared" ca="1" si="30"/>
        <v>67</v>
      </c>
      <c r="Z1617" s="373"/>
      <c r="AA1617" s="373"/>
      <c r="AB1617" s="373"/>
      <c r="AD1617" s="338"/>
    </row>
    <row r="1618" spans="1:30" ht="12.75" customHeight="1" x14ac:dyDescent="0.25">
      <c r="A1618" s="347" t="s">
        <v>4521</v>
      </c>
      <c r="B1618" s="376">
        <v>45519</v>
      </c>
      <c r="C1618" s="333" t="s">
        <v>60</v>
      </c>
      <c r="D1618" s="332"/>
      <c r="E1618" s="333"/>
      <c r="F1618" s="524" t="s">
        <v>4522</v>
      </c>
      <c r="G1618" s="372" t="s">
        <v>4523</v>
      </c>
      <c r="H1618" s="372">
        <v>1</v>
      </c>
      <c r="I1618" s="372">
        <v>340</v>
      </c>
      <c r="J1618" s="333" t="s">
        <v>2627</v>
      </c>
      <c r="K1618" s="333" t="s">
        <v>69</v>
      </c>
      <c r="L1618" s="333"/>
      <c r="M1618" s="333"/>
      <c r="N1618" s="417"/>
      <c r="O1618" s="417"/>
      <c r="P1618" s="462">
        <v>45519</v>
      </c>
      <c r="Q1618" s="333"/>
      <c r="R1618" s="333"/>
      <c r="S1618" s="373"/>
      <c r="T1618" s="373"/>
      <c r="U1618" s="373"/>
      <c r="V1618" s="373"/>
      <c r="W1618" s="346"/>
      <c r="X1618" s="373"/>
      <c r="Y1618" s="336">
        <f t="shared" ca="1" si="30"/>
        <v>67</v>
      </c>
      <c r="Z1618" s="373"/>
      <c r="AA1618" s="373"/>
      <c r="AB1618" s="373"/>
      <c r="AD1618" s="338"/>
    </row>
    <row r="1619" spans="1:30" ht="12.75" customHeight="1" x14ac:dyDescent="0.25">
      <c r="A1619" s="347" t="s">
        <v>4524</v>
      </c>
      <c r="B1619" s="376">
        <v>45519</v>
      </c>
      <c r="C1619" s="333" t="s">
        <v>60</v>
      </c>
      <c r="D1619" s="332"/>
      <c r="E1619" s="333"/>
      <c r="F1619" s="524" t="s">
        <v>4525</v>
      </c>
      <c r="G1619" s="372" t="s">
        <v>4526</v>
      </c>
      <c r="H1619" s="372">
        <v>2</v>
      </c>
      <c r="I1619" s="372">
        <v>340</v>
      </c>
      <c r="J1619" s="333" t="s">
        <v>2627</v>
      </c>
      <c r="K1619" s="333" t="s">
        <v>69</v>
      </c>
      <c r="L1619" s="333"/>
      <c r="M1619" s="333"/>
      <c r="N1619" s="417"/>
      <c r="O1619" s="417"/>
      <c r="P1619" s="462">
        <v>45519</v>
      </c>
      <c r="Q1619" s="333"/>
      <c r="R1619" s="333"/>
      <c r="S1619" s="373"/>
      <c r="T1619" s="373"/>
      <c r="U1619" s="373"/>
      <c r="V1619" s="373"/>
      <c r="W1619" s="346"/>
      <c r="X1619" s="373"/>
      <c r="Y1619" s="336">
        <f t="shared" ca="1" si="30"/>
        <v>67</v>
      </c>
      <c r="Z1619" s="373"/>
      <c r="AA1619" s="373"/>
      <c r="AB1619" s="373"/>
      <c r="AD1619" s="338"/>
    </row>
    <row r="1620" spans="1:30" ht="12.75" customHeight="1" x14ac:dyDescent="0.25">
      <c r="A1620" s="347" t="s">
        <v>4527</v>
      </c>
      <c r="B1620" s="376">
        <v>45519</v>
      </c>
      <c r="C1620" s="333" t="s">
        <v>60</v>
      </c>
      <c r="D1620" s="332"/>
      <c r="E1620" s="333"/>
      <c r="F1620" s="524" t="s">
        <v>4528</v>
      </c>
      <c r="G1620" s="372" t="s">
        <v>4529</v>
      </c>
      <c r="H1620" s="372">
        <v>1</v>
      </c>
      <c r="I1620" s="372">
        <v>340</v>
      </c>
      <c r="J1620" s="333" t="s">
        <v>2627</v>
      </c>
      <c r="K1620" s="333" t="s">
        <v>69</v>
      </c>
      <c r="L1620" s="333"/>
      <c r="M1620" s="333"/>
      <c r="N1620" s="417"/>
      <c r="O1620" s="417"/>
      <c r="P1620" s="462">
        <v>45519</v>
      </c>
      <c r="Q1620" s="333"/>
      <c r="R1620" s="333"/>
      <c r="S1620" s="373"/>
      <c r="T1620" s="373"/>
      <c r="U1620" s="373"/>
      <c r="V1620" s="373"/>
      <c r="W1620" s="346"/>
      <c r="X1620" s="373"/>
      <c r="Y1620" s="336">
        <f t="shared" ca="1" si="30"/>
        <v>67</v>
      </c>
      <c r="Z1620" s="373"/>
      <c r="AA1620" s="373"/>
      <c r="AB1620" s="373"/>
      <c r="AD1620" s="338"/>
    </row>
    <row r="1621" spans="1:30" ht="12.75" customHeight="1" x14ac:dyDescent="0.25">
      <c r="A1621" s="347" t="s">
        <v>4530</v>
      </c>
      <c r="B1621" s="376">
        <v>45519</v>
      </c>
      <c r="C1621" s="333" t="s">
        <v>60</v>
      </c>
      <c r="D1621" s="332"/>
      <c r="E1621" s="333"/>
      <c r="F1621" s="524" t="s">
        <v>4531</v>
      </c>
      <c r="G1621" s="372" t="s">
        <v>4532</v>
      </c>
      <c r="H1621" s="372">
        <v>1</v>
      </c>
      <c r="I1621" s="372">
        <v>340</v>
      </c>
      <c r="J1621" s="333" t="s">
        <v>2627</v>
      </c>
      <c r="K1621" s="333" t="s">
        <v>69</v>
      </c>
      <c r="L1621" s="333"/>
      <c r="M1621" s="333"/>
      <c r="N1621" s="417"/>
      <c r="O1621" s="417"/>
      <c r="P1621" s="462">
        <v>45519</v>
      </c>
      <c r="Q1621" s="333"/>
      <c r="R1621" s="333"/>
      <c r="S1621" s="373"/>
      <c r="T1621" s="373"/>
      <c r="U1621" s="373"/>
      <c r="V1621" s="373"/>
      <c r="W1621" s="346"/>
      <c r="X1621" s="373"/>
      <c r="Y1621" s="336">
        <f t="shared" ca="1" si="30"/>
        <v>67</v>
      </c>
      <c r="Z1621" s="373"/>
      <c r="AA1621" s="373"/>
      <c r="AB1621" s="373"/>
      <c r="AD1621" s="338"/>
    </row>
    <row r="1622" spans="1:30" ht="12.75" customHeight="1" x14ac:dyDescent="0.25">
      <c r="A1622" s="347" t="s">
        <v>4533</v>
      </c>
      <c r="B1622" s="376">
        <v>45519</v>
      </c>
      <c r="C1622" s="333" t="s">
        <v>60</v>
      </c>
      <c r="D1622" s="332"/>
      <c r="E1622" s="333"/>
      <c r="F1622" s="524" t="s">
        <v>4534</v>
      </c>
      <c r="G1622" s="372" t="s">
        <v>4535</v>
      </c>
      <c r="H1622" s="372">
        <v>8</v>
      </c>
      <c r="I1622" s="372">
        <v>340</v>
      </c>
      <c r="J1622" s="333" t="s">
        <v>2627</v>
      </c>
      <c r="K1622" s="333" t="s">
        <v>69</v>
      </c>
      <c r="L1622" s="333"/>
      <c r="M1622" s="333"/>
      <c r="N1622" s="417"/>
      <c r="O1622" s="417"/>
      <c r="P1622" s="462">
        <v>45519</v>
      </c>
      <c r="Q1622" s="333"/>
      <c r="R1622" s="333"/>
      <c r="S1622" s="373"/>
      <c r="T1622" s="373"/>
      <c r="U1622" s="373"/>
      <c r="V1622" s="373"/>
      <c r="W1622" s="346"/>
      <c r="X1622" s="373"/>
      <c r="Y1622" s="336">
        <f t="shared" ca="1" si="30"/>
        <v>67</v>
      </c>
      <c r="Z1622" s="373"/>
      <c r="AA1622" s="373"/>
      <c r="AB1622" s="373"/>
      <c r="AD1622" s="338"/>
    </row>
    <row r="1623" spans="1:30" ht="12.75" customHeight="1" x14ac:dyDescent="0.25">
      <c r="A1623" s="347" t="s">
        <v>4536</v>
      </c>
      <c r="B1623" s="376">
        <v>45519</v>
      </c>
      <c r="C1623" s="333" t="s">
        <v>60</v>
      </c>
      <c r="D1623" s="332"/>
      <c r="E1623" s="333"/>
      <c r="F1623" s="524" t="s">
        <v>4537</v>
      </c>
      <c r="G1623" s="372" t="s">
        <v>4538</v>
      </c>
      <c r="H1623" s="372">
        <v>1</v>
      </c>
      <c r="I1623" s="372">
        <v>340</v>
      </c>
      <c r="J1623" s="333" t="s">
        <v>2627</v>
      </c>
      <c r="K1623" s="333" t="s">
        <v>69</v>
      </c>
      <c r="L1623" s="333"/>
      <c r="M1623" s="333"/>
      <c r="N1623" s="417"/>
      <c r="O1623" s="417"/>
      <c r="P1623" s="462">
        <v>45519</v>
      </c>
      <c r="Q1623" s="333"/>
      <c r="R1623" s="333"/>
      <c r="S1623" s="373"/>
      <c r="T1623" s="373"/>
      <c r="U1623" s="373"/>
      <c r="V1623" s="373"/>
      <c r="W1623" s="346"/>
      <c r="X1623" s="373"/>
      <c r="Y1623" s="336">
        <f t="shared" ca="1" si="30"/>
        <v>67</v>
      </c>
      <c r="Z1623" s="373"/>
      <c r="AA1623" s="373"/>
      <c r="AB1623" s="373"/>
      <c r="AD1623" s="338"/>
    </row>
    <row r="1624" spans="1:30" ht="12.75" customHeight="1" x14ac:dyDescent="0.25">
      <c r="A1624" s="347" t="s">
        <v>4539</v>
      </c>
      <c r="B1624" s="376">
        <v>45519</v>
      </c>
      <c r="C1624" s="333" t="s">
        <v>60</v>
      </c>
      <c r="D1624" s="332"/>
      <c r="E1624" s="333"/>
      <c r="F1624" s="524" t="s">
        <v>4540</v>
      </c>
      <c r="G1624" s="372" t="s">
        <v>4541</v>
      </c>
      <c r="H1624" s="372">
        <v>4</v>
      </c>
      <c r="I1624" s="372">
        <v>340</v>
      </c>
      <c r="J1624" s="333" t="s">
        <v>2627</v>
      </c>
      <c r="K1624" s="333" t="s">
        <v>69</v>
      </c>
      <c r="L1624" s="333"/>
      <c r="M1624" s="333"/>
      <c r="N1624" s="417"/>
      <c r="O1624" s="417"/>
      <c r="P1624" s="462">
        <v>45519</v>
      </c>
      <c r="Q1624" s="333"/>
      <c r="R1624" s="333"/>
      <c r="S1624" s="373"/>
      <c r="T1624" s="373"/>
      <c r="U1624" s="373"/>
      <c r="V1624" s="373"/>
      <c r="W1624" s="346"/>
      <c r="X1624" s="373"/>
      <c r="Y1624" s="336">
        <f t="shared" ca="1" si="30"/>
        <v>67</v>
      </c>
      <c r="Z1624" s="373"/>
      <c r="AA1624" s="373"/>
      <c r="AB1624" s="373"/>
      <c r="AD1624" s="338"/>
    </row>
    <row r="1625" spans="1:30" ht="12.75" customHeight="1" x14ac:dyDescent="0.25">
      <c r="A1625" s="347" t="s">
        <v>4542</v>
      </c>
      <c r="B1625" s="376">
        <v>45519</v>
      </c>
      <c r="C1625" s="333" t="s">
        <v>60</v>
      </c>
      <c r="D1625" s="332"/>
      <c r="E1625" s="333"/>
      <c r="F1625" s="524" t="s">
        <v>4543</v>
      </c>
      <c r="G1625" s="372" t="s">
        <v>4544</v>
      </c>
      <c r="H1625" s="372">
        <v>2</v>
      </c>
      <c r="I1625" s="372">
        <v>340</v>
      </c>
      <c r="J1625" s="333" t="s">
        <v>2627</v>
      </c>
      <c r="K1625" s="333" t="s">
        <v>69</v>
      </c>
      <c r="L1625" s="333"/>
      <c r="M1625" s="333"/>
      <c r="N1625" s="417"/>
      <c r="O1625" s="417"/>
      <c r="P1625" s="462">
        <v>45519</v>
      </c>
      <c r="Q1625" s="333"/>
      <c r="R1625" s="333"/>
      <c r="S1625" s="373"/>
      <c r="T1625" s="373"/>
      <c r="U1625" s="373"/>
      <c r="V1625" s="373"/>
      <c r="W1625" s="346"/>
      <c r="X1625" s="373"/>
      <c r="Y1625" s="336">
        <f t="shared" ca="1" si="30"/>
        <v>67</v>
      </c>
      <c r="Z1625" s="373"/>
      <c r="AA1625" s="373"/>
      <c r="AB1625" s="373"/>
      <c r="AD1625" s="338"/>
    </row>
    <row r="1626" spans="1:30" ht="12.75" customHeight="1" x14ac:dyDescent="0.25">
      <c r="A1626" s="347" t="s">
        <v>4545</v>
      </c>
      <c r="B1626" s="376">
        <v>45519</v>
      </c>
      <c r="C1626" s="333" t="s">
        <v>60</v>
      </c>
      <c r="D1626" s="332"/>
      <c r="E1626" s="333"/>
      <c r="F1626" s="524" t="s">
        <v>4546</v>
      </c>
      <c r="G1626" s="372" t="s">
        <v>4547</v>
      </c>
      <c r="H1626" s="372">
        <v>3</v>
      </c>
      <c r="I1626" s="372">
        <v>340</v>
      </c>
      <c r="J1626" s="333" t="s">
        <v>2627</v>
      </c>
      <c r="K1626" s="333" t="s">
        <v>69</v>
      </c>
      <c r="L1626" s="333"/>
      <c r="M1626" s="333"/>
      <c r="N1626" s="417"/>
      <c r="O1626" s="417"/>
      <c r="P1626" s="462">
        <v>45519</v>
      </c>
      <c r="Q1626" s="333"/>
      <c r="R1626" s="333"/>
      <c r="S1626" s="373"/>
      <c r="T1626" s="373"/>
      <c r="U1626" s="373"/>
      <c r="V1626" s="373"/>
      <c r="W1626" s="346">
        <v>45529</v>
      </c>
      <c r="X1626" s="373"/>
      <c r="Y1626" s="336">
        <f t="shared" ca="1" si="30"/>
        <v>10</v>
      </c>
      <c r="Z1626" s="373"/>
      <c r="AA1626" s="373"/>
      <c r="AB1626" s="373"/>
      <c r="AD1626" s="338"/>
    </row>
    <row r="1627" spans="1:30" ht="12.75" customHeight="1" x14ac:dyDescent="0.25">
      <c r="A1627" s="347" t="s">
        <v>4548</v>
      </c>
      <c r="B1627" s="376">
        <v>45519</v>
      </c>
      <c r="C1627" s="333" t="s">
        <v>26</v>
      </c>
      <c r="D1627" s="332" t="s">
        <v>1259</v>
      </c>
      <c r="E1627" s="333"/>
      <c r="F1627" s="524">
        <v>2379046</v>
      </c>
      <c r="G1627" s="372" t="s">
        <v>1264</v>
      </c>
      <c r="H1627" s="372">
        <v>4</v>
      </c>
      <c r="I1627" s="372" t="s">
        <v>4549</v>
      </c>
      <c r="J1627" s="333" t="s">
        <v>541</v>
      </c>
      <c r="K1627" s="333" t="s">
        <v>32</v>
      </c>
      <c r="L1627" s="333"/>
      <c r="M1627" s="333"/>
      <c r="N1627" s="417"/>
      <c r="O1627" s="417"/>
      <c r="P1627" s="462">
        <v>45519</v>
      </c>
      <c r="Q1627" s="333"/>
      <c r="R1627" s="333"/>
      <c r="S1627" s="373"/>
      <c r="T1627" s="373"/>
      <c r="U1627" s="373"/>
      <c r="V1627" s="373"/>
      <c r="W1627" s="481">
        <v>45540</v>
      </c>
      <c r="X1627" s="373"/>
      <c r="Y1627" s="336">
        <f t="shared" ca="1" si="30"/>
        <v>21</v>
      </c>
      <c r="Z1627" s="373"/>
      <c r="AA1627" s="373"/>
      <c r="AB1627" s="373"/>
      <c r="AD1627" s="338"/>
    </row>
    <row r="1628" spans="1:30" ht="12.75" customHeight="1" x14ac:dyDescent="0.25">
      <c r="A1628" s="347" t="s">
        <v>4550</v>
      </c>
      <c r="B1628" s="376">
        <v>45519</v>
      </c>
      <c r="C1628" s="333" t="s">
        <v>26</v>
      </c>
      <c r="D1628" s="332" t="s">
        <v>1259</v>
      </c>
      <c r="E1628" s="333"/>
      <c r="F1628" s="524">
        <v>1526002</v>
      </c>
      <c r="G1628" s="372" t="s">
        <v>4551</v>
      </c>
      <c r="H1628" s="372">
        <v>4</v>
      </c>
      <c r="I1628" s="372" t="s">
        <v>4549</v>
      </c>
      <c r="J1628" s="333" t="s">
        <v>541</v>
      </c>
      <c r="K1628" s="333" t="s">
        <v>32</v>
      </c>
      <c r="L1628" s="333"/>
      <c r="M1628" s="333"/>
      <c r="N1628" s="417"/>
      <c r="O1628" s="417"/>
      <c r="P1628" s="462">
        <v>45519</v>
      </c>
      <c r="Q1628" s="333"/>
      <c r="R1628" s="333"/>
      <c r="S1628" s="373"/>
      <c r="T1628" s="373"/>
      <c r="U1628" s="373"/>
      <c r="V1628" s="373"/>
      <c r="W1628" s="481">
        <v>45544</v>
      </c>
      <c r="X1628" s="373"/>
      <c r="Y1628" s="336">
        <f t="shared" ca="1" si="30"/>
        <v>25</v>
      </c>
      <c r="Z1628" s="373"/>
      <c r="AA1628" s="373"/>
      <c r="AB1628" s="373"/>
      <c r="AD1628" s="338"/>
    </row>
    <row r="1629" spans="1:30" ht="12.75" customHeight="1" x14ac:dyDescent="0.25">
      <c r="A1629" s="347" t="s">
        <v>4552</v>
      </c>
      <c r="B1629" s="376">
        <v>45519</v>
      </c>
      <c r="C1629" s="333" t="s">
        <v>26</v>
      </c>
      <c r="D1629" s="332" t="s">
        <v>1259</v>
      </c>
      <c r="E1629" s="333"/>
      <c r="F1629" s="524">
        <v>2379046</v>
      </c>
      <c r="G1629" s="372" t="s">
        <v>1264</v>
      </c>
      <c r="H1629" s="372">
        <v>12</v>
      </c>
      <c r="I1629" s="372" t="s">
        <v>4553</v>
      </c>
      <c r="J1629" s="333" t="s">
        <v>541</v>
      </c>
      <c r="K1629" s="333" t="s">
        <v>32</v>
      </c>
      <c r="L1629" s="333"/>
      <c r="M1629" s="333"/>
      <c r="N1629" s="417"/>
      <c r="O1629" s="417"/>
      <c r="P1629" s="462">
        <v>45519</v>
      </c>
      <c r="Q1629" s="333"/>
      <c r="R1629" s="333"/>
      <c r="S1629" s="373"/>
      <c r="T1629" s="373"/>
      <c r="U1629" s="373"/>
      <c r="V1629" s="373"/>
      <c r="W1629" s="346"/>
      <c r="X1629" s="373"/>
      <c r="Y1629" s="336">
        <f t="shared" ca="1" si="30"/>
        <v>67</v>
      </c>
      <c r="Z1629" s="373"/>
      <c r="AA1629" s="373"/>
      <c r="AB1629" s="373"/>
      <c r="AD1629" s="338"/>
    </row>
    <row r="1630" spans="1:30" ht="12.75" customHeight="1" x14ac:dyDescent="0.25">
      <c r="A1630" s="347" t="s">
        <v>4554</v>
      </c>
      <c r="B1630" s="376">
        <v>45519</v>
      </c>
      <c r="C1630" s="333" t="s">
        <v>3540</v>
      </c>
      <c r="D1630" s="332" t="s">
        <v>3544</v>
      </c>
      <c r="E1630" s="333"/>
      <c r="F1630" s="524" t="s">
        <v>3979</v>
      </c>
      <c r="G1630" s="372" t="s">
        <v>4555</v>
      </c>
      <c r="H1630" s="372">
        <v>1</v>
      </c>
      <c r="I1630" s="372">
        <v>44</v>
      </c>
      <c r="J1630" s="333" t="s">
        <v>265</v>
      </c>
      <c r="K1630" s="333" t="s">
        <v>32</v>
      </c>
      <c r="L1630" s="333"/>
      <c r="M1630" s="333"/>
      <c r="N1630" s="417"/>
      <c r="O1630" s="417"/>
      <c r="P1630" s="462">
        <v>45519</v>
      </c>
      <c r="Q1630" s="333"/>
      <c r="R1630" s="333"/>
      <c r="S1630" s="373"/>
      <c r="T1630" s="373"/>
      <c r="U1630" s="373"/>
      <c r="V1630" s="373"/>
      <c r="W1630" s="346"/>
      <c r="X1630" s="373"/>
      <c r="Y1630" s="336">
        <f t="shared" ca="1" si="30"/>
        <v>67</v>
      </c>
      <c r="Z1630" s="373"/>
      <c r="AA1630" s="373"/>
      <c r="AB1630" s="373"/>
      <c r="AD1630" s="338"/>
    </row>
    <row r="1631" spans="1:30" ht="12.75" customHeight="1" x14ac:dyDescent="0.25">
      <c r="A1631" s="347" t="s">
        <v>4556</v>
      </c>
      <c r="B1631" s="376">
        <v>45519</v>
      </c>
      <c r="C1631" s="333" t="s">
        <v>3540</v>
      </c>
      <c r="D1631" s="332" t="s">
        <v>3544</v>
      </c>
      <c r="E1631" s="333"/>
      <c r="F1631" s="524" t="s">
        <v>3575</v>
      </c>
      <c r="G1631" s="372" t="s">
        <v>4557</v>
      </c>
      <c r="H1631" s="372">
        <v>24</v>
      </c>
      <c r="I1631" s="372">
        <v>44</v>
      </c>
      <c r="J1631" s="333" t="s">
        <v>541</v>
      </c>
      <c r="K1631" s="333" t="s">
        <v>32</v>
      </c>
      <c r="L1631" s="333"/>
      <c r="M1631" s="333"/>
      <c r="N1631" s="417"/>
      <c r="O1631" s="417"/>
      <c r="P1631" s="462">
        <v>45519</v>
      </c>
      <c r="Q1631" s="333"/>
      <c r="R1631" s="333"/>
      <c r="S1631" s="373"/>
      <c r="T1631" s="373"/>
      <c r="U1631" s="373"/>
      <c r="V1631" s="373"/>
      <c r="W1631" s="346"/>
      <c r="X1631" s="373"/>
      <c r="Y1631" s="336">
        <f t="shared" ca="1" si="30"/>
        <v>67</v>
      </c>
      <c r="Z1631" s="373"/>
      <c r="AA1631" s="373"/>
      <c r="AB1631" s="373"/>
      <c r="AD1631" s="338"/>
    </row>
    <row r="1632" spans="1:30" ht="12.75" customHeight="1" x14ac:dyDescent="0.25">
      <c r="A1632" s="347" t="s">
        <v>4558</v>
      </c>
      <c r="B1632" s="376">
        <v>45519</v>
      </c>
      <c r="C1632" s="333" t="s">
        <v>3540</v>
      </c>
      <c r="D1632" s="332" t="s">
        <v>3544</v>
      </c>
      <c r="E1632" s="333"/>
      <c r="F1632" s="524" t="s">
        <v>4559</v>
      </c>
      <c r="G1632" s="372" t="s">
        <v>4560</v>
      </c>
      <c r="H1632" s="372">
        <v>1</v>
      </c>
      <c r="I1632" s="372">
        <v>44</v>
      </c>
      <c r="J1632" s="333" t="s">
        <v>43</v>
      </c>
      <c r="K1632" s="333" t="s">
        <v>32</v>
      </c>
      <c r="L1632" s="333"/>
      <c r="M1632" s="333"/>
      <c r="N1632" s="417"/>
      <c r="O1632" s="417"/>
      <c r="P1632" s="462">
        <v>45519</v>
      </c>
      <c r="Q1632" s="333"/>
      <c r="R1632" s="333"/>
      <c r="S1632" s="373"/>
      <c r="T1632" s="373"/>
      <c r="U1632" s="373"/>
      <c r="V1632" s="373"/>
      <c r="W1632" s="346"/>
      <c r="X1632" s="373"/>
      <c r="Y1632" s="336">
        <f t="shared" ca="1" si="30"/>
        <v>67</v>
      </c>
      <c r="Z1632" s="373"/>
      <c r="AA1632" s="373"/>
      <c r="AB1632" s="373"/>
      <c r="AD1632" s="338"/>
    </row>
    <row r="1633" spans="1:30" ht="12.75" customHeight="1" x14ac:dyDescent="0.25">
      <c r="A1633" s="347" t="s">
        <v>4561</v>
      </c>
      <c r="B1633" s="376">
        <v>45520</v>
      </c>
      <c r="C1633" s="333" t="s">
        <v>3603</v>
      </c>
      <c r="D1633" s="332" t="s">
        <v>2496</v>
      </c>
      <c r="E1633" s="333"/>
      <c r="F1633" s="524" t="s">
        <v>4562</v>
      </c>
      <c r="G1633" s="372" t="s">
        <v>4563</v>
      </c>
      <c r="H1633" s="372">
        <v>24</v>
      </c>
      <c r="I1633" s="372" t="s">
        <v>4564</v>
      </c>
      <c r="J1633" s="333" t="s">
        <v>43</v>
      </c>
      <c r="K1633" s="333" t="s">
        <v>32</v>
      </c>
      <c r="L1633" s="333"/>
      <c r="M1633" s="333"/>
      <c r="N1633" s="417"/>
      <c r="O1633" s="417"/>
      <c r="P1633" s="462">
        <v>45519</v>
      </c>
      <c r="Q1633" s="333"/>
      <c r="R1633" s="333"/>
      <c r="S1633" s="373"/>
      <c r="T1633" s="373"/>
      <c r="U1633" s="373"/>
      <c r="V1633" s="373"/>
      <c r="W1633" s="346"/>
      <c r="X1633" s="373"/>
      <c r="Y1633" s="336">
        <f t="shared" ca="1" si="30"/>
        <v>67</v>
      </c>
      <c r="Z1633" s="373"/>
      <c r="AA1633" s="373"/>
      <c r="AB1633" s="373"/>
      <c r="AD1633" s="338"/>
    </row>
    <row r="1634" spans="1:30" ht="12.75" customHeight="1" x14ac:dyDescent="0.25">
      <c r="A1634" s="347" t="s">
        <v>4565</v>
      </c>
      <c r="B1634" s="376">
        <v>45520</v>
      </c>
      <c r="C1634" s="333" t="s">
        <v>3603</v>
      </c>
      <c r="D1634" s="332" t="s">
        <v>2496</v>
      </c>
      <c r="E1634" s="333"/>
      <c r="F1634" s="524" t="s">
        <v>4566</v>
      </c>
      <c r="G1634" s="372" t="s">
        <v>4567</v>
      </c>
      <c r="H1634" s="372">
        <v>12</v>
      </c>
      <c r="I1634" s="372" t="s">
        <v>4564</v>
      </c>
      <c r="J1634" s="333" t="s">
        <v>46</v>
      </c>
      <c r="K1634" s="333" t="s">
        <v>32</v>
      </c>
      <c r="L1634" s="333"/>
      <c r="M1634" s="333"/>
      <c r="N1634" s="417"/>
      <c r="O1634" s="417"/>
      <c r="P1634" s="462">
        <v>45519</v>
      </c>
      <c r="Q1634" s="333"/>
      <c r="R1634" s="333"/>
      <c r="S1634" s="373"/>
      <c r="T1634" s="373"/>
      <c r="U1634" s="373"/>
      <c r="V1634" s="373"/>
      <c r="W1634" s="346"/>
      <c r="X1634" s="373"/>
      <c r="Y1634" s="336">
        <f t="shared" ca="1" si="30"/>
        <v>67</v>
      </c>
      <c r="Z1634" s="373"/>
      <c r="AA1634" s="373"/>
      <c r="AB1634" s="373"/>
      <c r="AD1634" s="338"/>
    </row>
    <row r="1635" spans="1:30" ht="12.75" customHeight="1" x14ac:dyDescent="0.25">
      <c r="A1635" s="347" t="s">
        <v>4568</v>
      </c>
      <c r="B1635" s="376">
        <v>45520</v>
      </c>
      <c r="C1635" s="333" t="s">
        <v>3603</v>
      </c>
      <c r="D1635" s="332" t="s">
        <v>2496</v>
      </c>
      <c r="E1635" s="333"/>
      <c r="F1635" s="524" t="s">
        <v>4569</v>
      </c>
      <c r="G1635" s="372" t="s">
        <v>4570</v>
      </c>
      <c r="H1635" s="372">
        <v>24</v>
      </c>
      <c r="I1635" s="372" t="s">
        <v>4564</v>
      </c>
      <c r="J1635" s="333" t="s">
        <v>46</v>
      </c>
      <c r="K1635" s="333" t="s">
        <v>32</v>
      </c>
      <c r="L1635" s="333"/>
      <c r="M1635" s="333"/>
      <c r="N1635" s="417"/>
      <c r="O1635" s="417"/>
      <c r="P1635" s="462">
        <v>45519</v>
      </c>
      <c r="Q1635" s="333"/>
      <c r="R1635" s="333"/>
      <c r="S1635" s="373"/>
      <c r="T1635" s="373"/>
      <c r="U1635" s="373"/>
      <c r="V1635" s="373"/>
      <c r="W1635" s="346"/>
      <c r="X1635" s="373"/>
      <c r="Y1635" s="336">
        <f t="shared" ca="1" si="30"/>
        <v>67</v>
      </c>
      <c r="Z1635" s="373"/>
      <c r="AA1635" s="373"/>
      <c r="AB1635" s="373"/>
      <c r="AD1635" s="338"/>
    </row>
    <row r="1636" spans="1:30" ht="12.75" customHeight="1" x14ac:dyDescent="0.25">
      <c r="A1636" s="347" t="s">
        <v>4571</v>
      </c>
      <c r="B1636" s="376">
        <v>45520</v>
      </c>
      <c r="C1636" s="333" t="s">
        <v>3603</v>
      </c>
      <c r="D1636" s="332" t="s">
        <v>2496</v>
      </c>
      <c r="E1636" s="333"/>
      <c r="F1636" s="524" t="s">
        <v>2587</v>
      </c>
      <c r="G1636" s="372" t="s">
        <v>2588</v>
      </c>
      <c r="H1636" s="372">
        <v>12</v>
      </c>
      <c r="I1636" s="372" t="s">
        <v>4564</v>
      </c>
      <c r="J1636" s="333" t="s">
        <v>46</v>
      </c>
      <c r="K1636" s="333" t="s">
        <v>32</v>
      </c>
      <c r="L1636" s="333"/>
      <c r="M1636" s="333"/>
      <c r="N1636" s="417"/>
      <c r="O1636" s="417"/>
      <c r="P1636" s="462">
        <v>45519</v>
      </c>
      <c r="Q1636" s="333"/>
      <c r="R1636" s="333"/>
      <c r="S1636" s="373"/>
      <c r="T1636" s="373"/>
      <c r="U1636" s="373"/>
      <c r="V1636" s="373"/>
      <c r="W1636" s="346"/>
      <c r="X1636" s="373"/>
      <c r="Y1636" s="336">
        <f t="shared" ca="1" si="30"/>
        <v>67</v>
      </c>
      <c r="Z1636" s="373"/>
      <c r="AA1636" s="373"/>
      <c r="AB1636" s="373"/>
      <c r="AD1636" s="338"/>
    </row>
    <row r="1637" spans="1:30" ht="12.75" customHeight="1" x14ac:dyDescent="0.25">
      <c r="A1637" s="347" t="s">
        <v>4572</v>
      </c>
      <c r="B1637" s="376">
        <v>45520</v>
      </c>
      <c r="C1637" s="333" t="s">
        <v>3603</v>
      </c>
      <c r="D1637" s="332" t="s">
        <v>2496</v>
      </c>
      <c r="E1637" s="333"/>
      <c r="F1637" s="524" t="s">
        <v>4573</v>
      </c>
      <c r="G1637" s="372" t="s">
        <v>4574</v>
      </c>
      <c r="H1637" s="372">
        <v>17</v>
      </c>
      <c r="I1637" s="372" t="s">
        <v>4564</v>
      </c>
      <c r="J1637" s="333" t="s">
        <v>541</v>
      </c>
      <c r="K1637" s="333" t="s">
        <v>32</v>
      </c>
      <c r="L1637" s="333"/>
      <c r="M1637" s="333"/>
      <c r="N1637" s="417"/>
      <c r="O1637" s="417"/>
      <c r="P1637" s="462">
        <v>45519</v>
      </c>
      <c r="Q1637" s="333"/>
      <c r="R1637" s="333"/>
      <c r="S1637" s="373"/>
      <c r="T1637" s="373"/>
      <c r="U1637" s="373"/>
      <c r="V1637" s="373"/>
      <c r="W1637" s="346"/>
      <c r="X1637" s="373"/>
      <c r="Y1637" s="336">
        <f t="shared" ca="1" si="30"/>
        <v>67</v>
      </c>
      <c r="Z1637" s="373"/>
      <c r="AA1637" s="373"/>
      <c r="AB1637" s="373"/>
      <c r="AD1637" s="338"/>
    </row>
    <row r="1638" spans="1:30" ht="12.75" customHeight="1" x14ac:dyDescent="0.25">
      <c r="A1638" s="347" t="s">
        <v>4575</v>
      </c>
      <c r="B1638" s="376">
        <v>45520</v>
      </c>
      <c r="C1638" s="333" t="s">
        <v>3603</v>
      </c>
      <c r="D1638" s="332" t="s">
        <v>2496</v>
      </c>
      <c r="E1638" s="333"/>
      <c r="F1638" s="524" t="s">
        <v>4576</v>
      </c>
      <c r="G1638" s="372" t="s">
        <v>4577</v>
      </c>
      <c r="H1638" s="372">
        <v>48</v>
      </c>
      <c r="I1638" s="372" t="s">
        <v>4564</v>
      </c>
      <c r="J1638" s="333" t="s">
        <v>541</v>
      </c>
      <c r="K1638" s="333" t="s">
        <v>32</v>
      </c>
      <c r="L1638" s="333"/>
      <c r="M1638" s="333"/>
      <c r="N1638" s="417"/>
      <c r="O1638" s="417"/>
      <c r="P1638" s="462">
        <v>45519</v>
      </c>
      <c r="Q1638" s="333"/>
      <c r="R1638" s="333"/>
      <c r="S1638" s="373"/>
      <c r="T1638" s="373"/>
      <c r="U1638" s="373"/>
      <c r="V1638" s="373"/>
      <c r="W1638" s="346"/>
      <c r="X1638" s="373"/>
      <c r="Y1638" s="336">
        <f t="shared" ca="1" si="30"/>
        <v>67</v>
      </c>
      <c r="Z1638" s="373"/>
      <c r="AA1638" s="373"/>
      <c r="AB1638" s="373"/>
      <c r="AD1638" s="338"/>
    </row>
    <row r="1639" spans="1:30" ht="12.75" customHeight="1" x14ac:dyDescent="0.25">
      <c r="A1639" s="347" t="s">
        <v>4578</v>
      </c>
      <c r="B1639" s="376">
        <v>45520</v>
      </c>
      <c r="C1639" s="333" t="s">
        <v>3603</v>
      </c>
      <c r="D1639" s="332" t="s">
        <v>2496</v>
      </c>
      <c r="E1639" s="333"/>
      <c r="F1639" s="524" t="s">
        <v>4579</v>
      </c>
      <c r="G1639" s="372" t="s">
        <v>4580</v>
      </c>
      <c r="H1639" s="372">
        <v>24</v>
      </c>
      <c r="I1639" s="372" t="s">
        <v>4564</v>
      </c>
      <c r="J1639" s="333" t="s">
        <v>541</v>
      </c>
      <c r="K1639" s="333" t="s">
        <v>32</v>
      </c>
      <c r="L1639" s="333"/>
      <c r="M1639" s="333"/>
      <c r="N1639" s="417"/>
      <c r="O1639" s="417"/>
      <c r="P1639" s="462">
        <v>45519</v>
      </c>
      <c r="Q1639" s="333"/>
      <c r="R1639" s="333"/>
      <c r="S1639" s="373"/>
      <c r="T1639" s="373"/>
      <c r="U1639" s="373"/>
      <c r="V1639" s="373"/>
      <c r="W1639" s="346"/>
      <c r="X1639" s="373"/>
      <c r="Y1639" s="336">
        <f t="shared" ca="1" si="30"/>
        <v>67</v>
      </c>
      <c r="Z1639" s="373"/>
      <c r="AA1639" s="373"/>
      <c r="AB1639" s="373"/>
      <c r="AD1639" s="338"/>
    </row>
    <row r="1640" spans="1:30" ht="12.75" customHeight="1" x14ac:dyDescent="0.25">
      <c r="A1640" s="347" t="s">
        <v>4581</v>
      </c>
      <c r="B1640" s="376">
        <v>45520</v>
      </c>
      <c r="C1640" s="364" t="s">
        <v>3603</v>
      </c>
      <c r="D1640" s="368" t="s">
        <v>2496</v>
      </c>
      <c r="E1640" s="333"/>
      <c r="F1640" s="524" t="s">
        <v>4582</v>
      </c>
      <c r="G1640" s="372" t="s">
        <v>4583</v>
      </c>
      <c r="H1640" s="372">
        <v>96</v>
      </c>
      <c r="I1640" s="372" t="s">
        <v>4564</v>
      </c>
      <c r="J1640" s="364" t="s">
        <v>541</v>
      </c>
      <c r="K1640" s="333" t="s">
        <v>32</v>
      </c>
      <c r="L1640" s="333"/>
      <c r="M1640" s="333"/>
      <c r="N1640" s="417"/>
      <c r="O1640" s="417"/>
      <c r="P1640" s="462">
        <v>45519</v>
      </c>
      <c r="Q1640" s="333"/>
      <c r="R1640" s="333"/>
      <c r="S1640" s="373"/>
      <c r="T1640" s="373"/>
      <c r="U1640" s="373"/>
      <c r="V1640" s="373"/>
      <c r="W1640" s="346"/>
      <c r="X1640" s="373"/>
      <c r="Y1640" s="336">
        <f t="shared" ca="1" si="30"/>
        <v>67</v>
      </c>
      <c r="Z1640" s="373"/>
      <c r="AA1640" s="373"/>
      <c r="AB1640" s="373"/>
      <c r="AD1640" s="338"/>
    </row>
    <row r="1641" spans="1:30" ht="12.75" customHeight="1" x14ac:dyDescent="0.25">
      <c r="A1641" s="347" t="s">
        <v>4584</v>
      </c>
      <c r="B1641" s="592">
        <v>45524</v>
      </c>
      <c r="C1641" s="333" t="s">
        <v>35</v>
      </c>
      <c r="D1641" s="332" t="s">
        <v>83</v>
      </c>
      <c r="E1641" s="333"/>
      <c r="F1641" s="524" t="s">
        <v>4585</v>
      </c>
      <c r="G1641" s="372" t="s">
        <v>4586</v>
      </c>
      <c r="H1641" s="372">
        <v>1</v>
      </c>
      <c r="I1641" s="399" t="s">
        <v>4587</v>
      </c>
      <c r="J1641" s="333" t="s">
        <v>541</v>
      </c>
      <c r="K1641" s="396" t="s">
        <v>32</v>
      </c>
      <c r="L1641" s="333"/>
      <c r="M1641" s="333"/>
      <c r="N1641" s="417"/>
      <c r="O1641" s="417"/>
      <c r="P1641" s="462">
        <v>45527</v>
      </c>
      <c r="Q1641" s="333"/>
      <c r="R1641" s="333"/>
      <c r="S1641" s="373"/>
      <c r="T1641" s="373"/>
      <c r="U1641" s="373"/>
      <c r="V1641" s="373"/>
      <c r="W1641" s="346"/>
      <c r="X1641" s="373"/>
      <c r="Y1641" s="336">
        <f t="shared" ca="1" si="30"/>
        <v>59</v>
      </c>
      <c r="Z1641" s="373"/>
      <c r="AA1641" s="373"/>
      <c r="AB1641" s="373"/>
      <c r="AD1641" s="338"/>
    </row>
    <row r="1642" spans="1:30" ht="12.75" customHeight="1" x14ac:dyDescent="0.25">
      <c r="A1642" s="347" t="s">
        <v>4588</v>
      </c>
      <c r="B1642" s="592">
        <v>45523</v>
      </c>
      <c r="C1642" s="333" t="s">
        <v>35</v>
      </c>
      <c r="D1642" s="332" t="s">
        <v>83</v>
      </c>
      <c r="E1642" s="333"/>
      <c r="F1642" s="524" t="s">
        <v>4585</v>
      </c>
      <c r="G1642" s="372" t="s">
        <v>4589</v>
      </c>
      <c r="H1642" s="372">
        <v>1</v>
      </c>
      <c r="I1642" s="399" t="s">
        <v>4590</v>
      </c>
      <c r="J1642" s="333" t="s">
        <v>68</v>
      </c>
      <c r="K1642" s="396" t="s">
        <v>69</v>
      </c>
      <c r="L1642" s="333"/>
      <c r="M1642" s="333"/>
      <c r="N1642" s="417"/>
      <c r="O1642" s="417"/>
      <c r="P1642" s="462">
        <v>45527</v>
      </c>
      <c r="Q1642" s="333"/>
      <c r="R1642" s="333"/>
      <c r="S1642" s="373"/>
      <c r="T1642" s="373"/>
      <c r="U1642" s="373"/>
      <c r="V1642" s="373"/>
      <c r="W1642" s="346"/>
      <c r="X1642" s="373"/>
      <c r="Y1642" s="336">
        <f t="shared" ca="1" si="30"/>
        <v>59</v>
      </c>
      <c r="Z1642" s="373"/>
      <c r="AA1642" s="373"/>
      <c r="AB1642" s="373"/>
      <c r="AD1642" s="338"/>
    </row>
    <row r="1643" spans="1:30" ht="12.75" customHeight="1" x14ac:dyDescent="0.25">
      <c r="A1643" s="347" t="s">
        <v>4591</v>
      </c>
      <c r="B1643" s="592">
        <v>45523</v>
      </c>
      <c r="C1643" s="333" t="s">
        <v>35</v>
      </c>
      <c r="D1643" s="332" t="s">
        <v>83</v>
      </c>
      <c r="E1643" s="333"/>
      <c r="F1643" s="524" t="s">
        <v>4592</v>
      </c>
      <c r="G1643" s="372" t="s">
        <v>4593</v>
      </c>
      <c r="H1643" s="372">
        <v>2</v>
      </c>
      <c r="I1643" s="399" t="s">
        <v>4594</v>
      </c>
      <c r="J1643" s="333" t="s">
        <v>31</v>
      </c>
      <c r="K1643" s="396" t="s">
        <v>32</v>
      </c>
      <c r="L1643" s="333"/>
      <c r="M1643" s="333"/>
      <c r="N1643" s="417"/>
      <c r="O1643" s="417"/>
      <c r="P1643" s="462">
        <v>45527</v>
      </c>
      <c r="Q1643" s="333"/>
      <c r="R1643" s="333"/>
      <c r="S1643" s="373"/>
      <c r="T1643" s="373"/>
      <c r="U1643" s="373"/>
      <c r="V1643" s="373"/>
      <c r="W1643" s="346"/>
      <c r="X1643" s="373"/>
      <c r="Y1643" s="336">
        <f t="shared" ca="1" si="30"/>
        <v>59</v>
      </c>
      <c r="Z1643" s="373"/>
      <c r="AA1643" s="373"/>
      <c r="AB1643" s="373"/>
      <c r="AD1643" s="338"/>
    </row>
    <row r="1644" spans="1:30" ht="12.75" customHeight="1" x14ac:dyDescent="0.25">
      <c r="A1644" s="347" t="s">
        <v>4595</v>
      </c>
      <c r="B1644" s="592">
        <v>45526</v>
      </c>
      <c r="C1644" s="333" t="s">
        <v>35</v>
      </c>
      <c r="D1644" s="332" t="s">
        <v>83</v>
      </c>
      <c r="E1644" s="333"/>
      <c r="F1644" s="524" t="s">
        <v>4596</v>
      </c>
      <c r="G1644" s="372" t="s">
        <v>4597</v>
      </c>
      <c r="H1644" s="372">
        <v>1</v>
      </c>
      <c r="I1644" s="399" t="s">
        <v>4598</v>
      </c>
      <c r="J1644" s="333" t="s">
        <v>31</v>
      </c>
      <c r="K1644" s="396" t="s">
        <v>32</v>
      </c>
      <c r="L1644" s="333"/>
      <c r="M1644" s="333"/>
      <c r="N1644" s="417"/>
      <c r="O1644" s="417"/>
      <c r="P1644" s="462">
        <v>45527</v>
      </c>
      <c r="Q1644" s="333"/>
      <c r="R1644" s="333"/>
      <c r="S1644" s="373"/>
      <c r="T1644" s="373"/>
      <c r="U1644" s="373"/>
      <c r="V1644" s="373"/>
      <c r="W1644" s="346"/>
      <c r="X1644" s="373"/>
      <c r="Y1644" s="336">
        <f t="shared" ca="1" si="30"/>
        <v>59</v>
      </c>
      <c r="Z1644" s="373"/>
      <c r="AA1644" s="373"/>
      <c r="AB1644" s="373"/>
      <c r="AD1644" s="338"/>
    </row>
    <row r="1645" spans="1:30" ht="12.75" customHeight="1" x14ac:dyDescent="0.25">
      <c r="A1645" s="347" t="s">
        <v>4599</v>
      </c>
      <c r="B1645" s="592">
        <v>45527</v>
      </c>
      <c r="C1645" s="333" t="s">
        <v>35</v>
      </c>
      <c r="D1645" s="332" t="s">
        <v>71</v>
      </c>
      <c r="E1645" s="333"/>
      <c r="F1645" s="524" t="s">
        <v>4600</v>
      </c>
      <c r="G1645" s="372" t="s">
        <v>4601</v>
      </c>
      <c r="H1645" s="372">
        <v>1</v>
      </c>
      <c r="I1645" s="399" t="s">
        <v>4602</v>
      </c>
      <c r="J1645" s="333" t="s">
        <v>4603</v>
      </c>
      <c r="K1645" s="396" t="s">
        <v>69</v>
      </c>
      <c r="L1645" s="333"/>
      <c r="M1645" s="333"/>
      <c r="N1645" s="417"/>
      <c r="O1645" s="417"/>
      <c r="P1645" s="462">
        <v>45527</v>
      </c>
      <c r="Q1645" s="333"/>
      <c r="R1645" s="333"/>
      <c r="S1645" s="373"/>
      <c r="T1645" s="373"/>
      <c r="U1645" s="373"/>
      <c r="V1645" s="373"/>
      <c r="W1645" s="346"/>
      <c r="X1645" s="373"/>
      <c r="Y1645" s="336">
        <f t="shared" ca="1" si="30"/>
        <v>59</v>
      </c>
      <c r="Z1645" s="373"/>
      <c r="AA1645" s="373"/>
      <c r="AB1645" s="373"/>
      <c r="AD1645" s="338"/>
    </row>
    <row r="1646" spans="1:30" ht="12.75" customHeight="1" x14ac:dyDescent="0.25">
      <c r="A1646" s="347" t="s">
        <v>4604</v>
      </c>
      <c r="B1646" s="592">
        <v>45526</v>
      </c>
      <c r="C1646" s="333" t="s">
        <v>35</v>
      </c>
      <c r="D1646" s="332" t="s">
        <v>71</v>
      </c>
      <c r="E1646" s="333"/>
      <c r="F1646" s="524" t="s">
        <v>84</v>
      </c>
      <c r="G1646" s="372" t="s">
        <v>4605</v>
      </c>
      <c r="H1646" s="372">
        <v>1</v>
      </c>
      <c r="I1646" s="399" t="s">
        <v>4602</v>
      </c>
      <c r="J1646" s="333" t="s">
        <v>4603</v>
      </c>
      <c r="K1646" s="396" t="s">
        <v>69</v>
      </c>
      <c r="L1646" s="333"/>
      <c r="M1646" s="333"/>
      <c r="N1646" s="417"/>
      <c r="O1646" s="417"/>
      <c r="P1646" s="462">
        <v>45527</v>
      </c>
      <c r="Q1646" s="333"/>
      <c r="R1646" s="333"/>
      <c r="S1646" s="373"/>
      <c r="T1646" s="373"/>
      <c r="U1646" s="373"/>
      <c r="V1646" s="373"/>
      <c r="W1646" s="346"/>
      <c r="X1646" s="373"/>
      <c r="Y1646" s="336">
        <f t="shared" ca="1" si="30"/>
        <v>59</v>
      </c>
      <c r="Z1646" s="373"/>
      <c r="AA1646" s="373"/>
      <c r="AB1646" s="373"/>
      <c r="AD1646" s="338"/>
    </row>
    <row r="1647" spans="1:30" ht="12.75" customHeight="1" x14ac:dyDescent="0.25">
      <c r="A1647" s="347" t="s">
        <v>4606</v>
      </c>
      <c r="B1647" s="376">
        <v>45526</v>
      </c>
      <c r="C1647" s="415" t="s">
        <v>219</v>
      </c>
      <c r="D1647" s="437" t="s">
        <v>1273</v>
      </c>
      <c r="E1647" s="333"/>
      <c r="F1647" s="524">
        <v>26413230111</v>
      </c>
      <c r="G1647" s="372" t="s">
        <v>4607</v>
      </c>
      <c r="H1647" s="372">
        <v>5</v>
      </c>
      <c r="I1647" s="372" t="s">
        <v>4608</v>
      </c>
      <c r="J1647" s="415" t="s">
        <v>43</v>
      </c>
      <c r="K1647" s="333" t="s">
        <v>32</v>
      </c>
      <c r="L1647" s="333"/>
      <c r="M1647" s="333"/>
      <c r="N1647" s="417"/>
      <c r="O1647" s="417"/>
      <c r="P1647" s="462">
        <v>45527</v>
      </c>
      <c r="Q1647" s="333"/>
      <c r="R1647" s="333"/>
      <c r="S1647" s="373"/>
      <c r="T1647" s="373"/>
      <c r="U1647" s="373"/>
      <c r="V1647" s="373"/>
      <c r="W1647" s="346">
        <v>45552</v>
      </c>
      <c r="X1647" s="373"/>
      <c r="Y1647" s="336">
        <f t="shared" ca="1" si="30"/>
        <v>25</v>
      </c>
      <c r="Z1647" s="373"/>
      <c r="AA1647" s="373"/>
      <c r="AB1647" s="373"/>
      <c r="AD1647" s="338"/>
    </row>
    <row r="1648" spans="1:30" ht="12.75" customHeight="1" x14ac:dyDescent="0.25">
      <c r="A1648" s="347" t="s">
        <v>4609</v>
      </c>
      <c r="B1648" s="376">
        <v>45526</v>
      </c>
      <c r="C1648" s="333" t="s">
        <v>219</v>
      </c>
      <c r="D1648" s="332" t="s">
        <v>1273</v>
      </c>
      <c r="E1648" s="333"/>
      <c r="F1648" s="524">
        <v>264154430178</v>
      </c>
      <c r="G1648" s="372" t="s">
        <v>4610</v>
      </c>
      <c r="H1648" s="372">
        <v>2</v>
      </c>
      <c r="I1648" s="372" t="s">
        <v>4608</v>
      </c>
      <c r="J1648" s="333" t="s">
        <v>43</v>
      </c>
      <c r="K1648" s="333" t="s">
        <v>32</v>
      </c>
      <c r="L1648" s="333"/>
      <c r="M1648" s="333"/>
      <c r="N1648" s="417"/>
      <c r="O1648" s="417"/>
      <c r="P1648" s="462">
        <v>45527</v>
      </c>
      <c r="Q1648" s="333"/>
      <c r="R1648" s="333"/>
      <c r="S1648" s="373"/>
      <c r="T1648" s="373"/>
      <c r="U1648" s="373"/>
      <c r="V1648" s="373"/>
      <c r="W1648" s="346">
        <v>45552</v>
      </c>
      <c r="X1648" s="373"/>
      <c r="Y1648" s="336">
        <f t="shared" ca="1" si="30"/>
        <v>25</v>
      </c>
      <c r="Z1648" s="373"/>
      <c r="AA1648" s="373"/>
      <c r="AB1648" s="373"/>
      <c r="AD1648" s="338"/>
    </row>
    <row r="1649" spans="1:30" ht="12.75" customHeight="1" x14ac:dyDescent="0.25">
      <c r="A1649" s="347" t="s">
        <v>4611</v>
      </c>
      <c r="B1649" s="376">
        <v>45526</v>
      </c>
      <c r="C1649" s="333" t="s">
        <v>219</v>
      </c>
      <c r="D1649" s="332" t="s">
        <v>3700</v>
      </c>
      <c r="E1649" s="333"/>
      <c r="F1649" s="524">
        <v>9854600189</v>
      </c>
      <c r="G1649" s="372" t="s">
        <v>4612</v>
      </c>
      <c r="H1649" s="372">
        <v>18</v>
      </c>
      <c r="I1649" s="372" t="s">
        <v>4613</v>
      </c>
      <c r="J1649" s="333" t="s">
        <v>43</v>
      </c>
      <c r="K1649" s="333" t="s">
        <v>32</v>
      </c>
      <c r="L1649" s="333"/>
      <c r="M1649" s="333"/>
      <c r="N1649" s="417"/>
      <c r="O1649" s="417"/>
      <c r="P1649" s="462">
        <v>45527</v>
      </c>
      <c r="Q1649" s="333"/>
      <c r="R1649" s="333"/>
      <c r="S1649" s="373"/>
      <c r="T1649" s="373"/>
      <c r="U1649" s="373"/>
      <c r="V1649" s="373"/>
      <c r="W1649" s="346">
        <v>45552</v>
      </c>
      <c r="X1649" s="373"/>
      <c r="Y1649" s="336">
        <f t="shared" ca="1" si="30"/>
        <v>25</v>
      </c>
      <c r="Z1649" s="373"/>
      <c r="AA1649" s="373"/>
      <c r="AB1649" s="373"/>
      <c r="AD1649" s="338"/>
    </row>
    <row r="1650" spans="1:30" ht="12.75" customHeight="1" x14ac:dyDescent="0.25">
      <c r="A1650" s="347" t="s">
        <v>4614</v>
      </c>
      <c r="B1650" s="376">
        <v>45527</v>
      </c>
      <c r="C1650" s="333" t="s">
        <v>26</v>
      </c>
      <c r="D1650" s="332" t="s">
        <v>4615</v>
      </c>
      <c r="E1650" s="333"/>
      <c r="F1650" s="524">
        <v>2960494</v>
      </c>
      <c r="G1650" s="372" t="s">
        <v>4616</v>
      </c>
      <c r="H1650" s="372">
        <v>2</v>
      </c>
      <c r="I1650" s="372" t="s">
        <v>4617</v>
      </c>
      <c r="J1650" s="333" t="s">
        <v>46</v>
      </c>
      <c r="K1650" s="333" t="s">
        <v>32</v>
      </c>
      <c r="L1650" s="333"/>
      <c r="M1650" s="333"/>
      <c r="N1650" s="417"/>
      <c r="O1650" s="417"/>
      <c r="P1650" s="462">
        <v>45527</v>
      </c>
      <c r="Q1650" s="333"/>
      <c r="R1650" s="333"/>
      <c r="S1650" s="373"/>
      <c r="T1650" s="373"/>
      <c r="U1650" s="373"/>
      <c r="V1650" s="373"/>
      <c r="W1650" s="346"/>
      <c r="X1650" s="373"/>
      <c r="Y1650" s="336">
        <f t="shared" ca="1" si="30"/>
        <v>59</v>
      </c>
      <c r="Z1650" s="373"/>
      <c r="AA1650" s="373"/>
      <c r="AB1650" s="373"/>
      <c r="AD1650" s="338"/>
    </row>
    <row r="1651" spans="1:30" ht="12.75" customHeight="1" x14ac:dyDescent="0.25">
      <c r="A1651" s="347" t="s">
        <v>4618</v>
      </c>
      <c r="B1651" s="376">
        <v>45531</v>
      </c>
      <c r="C1651" s="333" t="s">
        <v>26</v>
      </c>
      <c r="D1651" s="332" t="s">
        <v>1259</v>
      </c>
      <c r="E1651" s="333"/>
      <c r="F1651" s="524">
        <v>1435260</v>
      </c>
      <c r="G1651" s="372" t="s">
        <v>4619</v>
      </c>
      <c r="H1651" s="372">
        <v>1</v>
      </c>
      <c r="I1651" s="372" t="s">
        <v>4620</v>
      </c>
      <c r="J1651" s="333" t="s">
        <v>31</v>
      </c>
      <c r="K1651" s="333" t="s">
        <v>32</v>
      </c>
      <c r="L1651" s="333"/>
      <c r="M1651" s="333"/>
      <c r="N1651" s="417"/>
      <c r="O1651" s="417"/>
      <c r="P1651" s="462">
        <v>45531</v>
      </c>
      <c r="Q1651" s="333"/>
      <c r="R1651" s="333"/>
      <c r="S1651" s="373"/>
      <c r="T1651" s="373"/>
      <c r="U1651" s="373"/>
      <c r="V1651" s="373"/>
      <c r="W1651" s="481">
        <v>45544</v>
      </c>
      <c r="X1651" s="373"/>
      <c r="Y1651" s="336">
        <f t="shared" ca="1" si="30"/>
        <v>13</v>
      </c>
      <c r="Z1651" s="373"/>
      <c r="AA1651" s="373"/>
      <c r="AB1651" s="373"/>
      <c r="AD1651" s="338"/>
    </row>
    <row r="1652" spans="1:30" ht="12.75" customHeight="1" x14ac:dyDescent="0.25">
      <c r="A1652" s="411" t="s">
        <v>4621</v>
      </c>
      <c r="B1652" s="363">
        <v>45532</v>
      </c>
      <c r="C1652" s="364" t="s">
        <v>26</v>
      </c>
      <c r="D1652" s="368" t="s">
        <v>1259</v>
      </c>
      <c r="E1652" s="333"/>
      <c r="F1652" s="523">
        <v>2109875</v>
      </c>
      <c r="G1652" s="366" t="s">
        <v>997</v>
      </c>
      <c r="H1652" s="366">
        <v>2</v>
      </c>
      <c r="I1652" s="366" t="s">
        <v>4622</v>
      </c>
      <c r="J1652" s="364" t="s">
        <v>541</v>
      </c>
      <c r="K1652" s="364" t="s">
        <v>32</v>
      </c>
      <c r="L1652" s="364"/>
      <c r="M1652" s="364"/>
      <c r="N1652" s="485"/>
      <c r="O1652" s="485"/>
      <c r="P1652" s="491">
        <v>45558</v>
      </c>
      <c r="Q1652" s="333"/>
      <c r="R1652" s="333"/>
      <c r="S1652" s="373"/>
      <c r="T1652" s="373"/>
      <c r="U1652" s="373"/>
      <c r="V1652" s="373"/>
      <c r="W1652" s="481">
        <v>45544</v>
      </c>
      <c r="X1652" s="373"/>
      <c r="Y1652" s="336">
        <f t="shared" ca="1" si="30"/>
        <v>-14</v>
      </c>
      <c r="Z1652" s="373"/>
      <c r="AA1652" s="373"/>
      <c r="AB1652" s="373"/>
      <c r="AD1652" s="338"/>
    </row>
    <row r="1653" spans="1:30" ht="12.75" customHeight="1" x14ac:dyDescent="0.25">
      <c r="A1653" s="425" t="s">
        <v>4623</v>
      </c>
      <c r="B1653" s="376">
        <v>45533</v>
      </c>
      <c r="C1653" s="333" t="s">
        <v>35</v>
      </c>
      <c r="D1653" s="333" t="s">
        <v>177</v>
      </c>
      <c r="E1653" s="499"/>
      <c r="F1653" s="365" t="s">
        <v>4624</v>
      </c>
      <c r="G1653" s="372" t="s">
        <v>4625</v>
      </c>
      <c r="H1653" s="372">
        <v>1</v>
      </c>
      <c r="I1653" s="372" t="s">
        <v>4626</v>
      </c>
      <c r="J1653" s="333" t="s">
        <v>265</v>
      </c>
      <c r="K1653" s="333" t="s">
        <v>32</v>
      </c>
      <c r="L1653" s="333"/>
      <c r="M1653" s="333"/>
      <c r="N1653" s="417"/>
      <c r="O1653" s="417"/>
      <c r="P1653" s="462">
        <v>45552</v>
      </c>
      <c r="Q1653" s="396"/>
      <c r="R1653" s="333"/>
      <c r="S1653" s="373"/>
      <c r="T1653" s="373"/>
      <c r="U1653" s="373"/>
      <c r="V1653" s="373"/>
      <c r="W1653" s="346"/>
      <c r="X1653" s="373"/>
      <c r="Y1653" s="336">
        <f t="shared" ca="1" si="30"/>
        <v>34</v>
      </c>
      <c r="Z1653" s="373"/>
      <c r="AA1653" s="373"/>
      <c r="AB1653" s="373"/>
      <c r="AD1653" s="338"/>
    </row>
    <row r="1654" spans="1:30" ht="12.75" customHeight="1" x14ac:dyDescent="0.25">
      <c r="A1654" s="425" t="s">
        <v>4627</v>
      </c>
      <c r="B1654" s="376">
        <v>45533</v>
      </c>
      <c r="C1654" s="333" t="s">
        <v>35</v>
      </c>
      <c r="D1654" s="333" t="s">
        <v>177</v>
      </c>
      <c r="E1654" s="499"/>
      <c r="F1654" s="374" t="s">
        <v>4628</v>
      </c>
      <c r="G1654" s="508" t="s">
        <v>4629</v>
      </c>
      <c r="H1654" s="372">
        <v>1</v>
      </c>
      <c r="I1654" s="372" t="s">
        <v>4630</v>
      </c>
      <c r="J1654" s="333" t="s">
        <v>31</v>
      </c>
      <c r="K1654" s="333" t="s">
        <v>32</v>
      </c>
      <c r="L1654" s="333"/>
      <c r="M1654" s="333"/>
      <c r="N1654" s="417"/>
      <c r="O1654" s="417"/>
      <c r="P1654" s="462">
        <v>45552</v>
      </c>
      <c r="Q1654" s="396"/>
      <c r="R1654" s="333"/>
      <c r="S1654" s="373"/>
      <c r="T1654" s="373"/>
      <c r="U1654" s="373"/>
      <c r="V1654" s="373"/>
      <c r="W1654" s="346"/>
      <c r="X1654" s="373"/>
      <c r="Y1654" s="336">
        <f t="shared" ca="1" si="30"/>
        <v>34</v>
      </c>
      <c r="Z1654" s="373"/>
      <c r="AA1654" s="373"/>
      <c r="AB1654" s="373"/>
      <c r="AD1654" s="338"/>
    </row>
    <row r="1655" spans="1:30" ht="12.75" customHeight="1" x14ac:dyDescent="0.25">
      <c r="A1655" s="500" t="s">
        <v>4631</v>
      </c>
      <c r="B1655" s="501">
        <v>45534</v>
      </c>
      <c r="C1655" s="415" t="s">
        <v>219</v>
      </c>
      <c r="D1655" s="437">
        <v>1216</v>
      </c>
      <c r="E1655" s="332"/>
      <c r="F1655" s="374">
        <v>264181910131</v>
      </c>
      <c r="G1655" s="593" t="s">
        <v>4632</v>
      </c>
      <c r="H1655" s="428">
        <v>1</v>
      </c>
      <c r="I1655" s="428">
        <v>58</v>
      </c>
      <c r="J1655" s="415" t="s">
        <v>46</v>
      </c>
      <c r="K1655" s="415" t="s">
        <v>32</v>
      </c>
      <c r="L1655" s="415"/>
      <c r="M1655" s="415"/>
      <c r="N1655" s="541"/>
      <c r="O1655" s="541"/>
      <c r="P1655" s="502">
        <v>45551</v>
      </c>
      <c r="Q1655" s="333"/>
      <c r="R1655" s="333"/>
      <c r="S1655" s="373"/>
      <c r="T1655" s="373"/>
      <c r="U1655" s="373"/>
      <c r="V1655" s="373"/>
      <c r="W1655" s="346"/>
      <c r="X1655" s="373"/>
      <c r="Y1655" s="336">
        <f t="shared" ca="1" si="30"/>
        <v>35</v>
      </c>
      <c r="Z1655" s="373"/>
      <c r="AA1655" s="373"/>
      <c r="AB1655" s="373"/>
      <c r="AD1655" s="338"/>
    </row>
    <row r="1656" spans="1:30" ht="12.75" customHeight="1" x14ac:dyDescent="0.25">
      <c r="A1656" s="347" t="s">
        <v>4633</v>
      </c>
      <c r="B1656" s="376">
        <v>45534</v>
      </c>
      <c r="C1656" s="333" t="s">
        <v>219</v>
      </c>
      <c r="D1656" s="332">
        <v>1216</v>
      </c>
      <c r="E1656" s="332"/>
      <c r="F1656" s="374">
        <v>270754440114</v>
      </c>
      <c r="G1656" s="508" t="s">
        <v>4634</v>
      </c>
      <c r="H1656" s="372">
        <v>1</v>
      </c>
      <c r="I1656" s="372">
        <v>58</v>
      </c>
      <c r="J1656" s="333" t="s">
        <v>46</v>
      </c>
      <c r="K1656" s="333" t="s">
        <v>32</v>
      </c>
      <c r="L1656" s="333"/>
      <c r="M1656" s="333"/>
      <c r="N1656" s="417"/>
      <c r="O1656" s="417"/>
      <c r="P1656" s="462">
        <v>45551</v>
      </c>
      <c r="Q1656" s="333"/>
      <c r="R1656" s="333"/>
      <c r="S1656" s="373"/>
      <c r="T1656" s="373"/>
      <c r="U1656" s="373"/>
      <c r="V1656" s="373"/>
      <c r="W1656" s="346"/>
      <c r="X1656" s="373"/>
      <c r="Y1656" s="336">
        <f t="shared" ca="1" si="30"/>
        <v>35</v>
      </c>
      <c r="Z1656" s="373"/>
      <c r="AA1656" s="373"/>
      <c r="AB1656" s="373"/>
      <c r="AD1656" s="338"/>
    </row>
    <row r="1657" spans="1:30" ht="12.75" customHeight="1" x14ac:dyDescent="0.25">
      <c r="A1657" s="347" t="s">
        <v>4635</v>
      </c>
      <c r="B1657" s="376">
        <v>45534</v>
      </c>
      <c r="C1657" s="333" t="s">
        <v>219</v>
      </c>
      <c r="D1657" s="332">
        <v>1216</v>
      </c>
      <c r="E1657" s="332"/>
      <c r="F1657" s="374">
        <v>21985440119</v>
      </c>
      <c r="G1657" s="508" t="s">
        <v>4636</v>
      </c>
      <c r="H1657" s="372">
        <v>1</v>
      </c>
      <c r="I1657" s="372">
        <v>58</v>
      </c>
      <c r="J1657" s="333" t="s">
        <v>46</v>
      </c>
      <c r="K1657" s="333" t="s">
        <v>32</v>
      </c>
      <c r="L1657" s="333"/>
      <c r="M1657" s="333"/>
      <c r="N1657" s="417"/>
      <c r="O1657" s="417"/>
      <c r="P1657" s="462">
        <v>45551</v>
      </c>
      <c r="Q1657" s="333"/>
      <c r="R1657" s="333"/>
      <c r="S1657" s="373"/>
      <c r="T1657" s="373"/>
      <c r="U1657" s="373"/>
      <c r="V1657" s="373"/>
      <c r="W1657" s="346"/>
      <c r="X1657" s="373"/>
      <c r="Y1657" s="336">
        <f t="shared" ca="1" si="30"/>
        <v>35</v>
      </c>
      <c r="Z1657" s="373"/>
      <c r="AA1657" s="373"/>
      <c r="AB1657" s="373"/>
      <c r="AD1657" s="338"/>
    </row>
    <row r="1658" spans="1:30" ht="12.75" customHeight="1" x14ac:dyDescent="0.25">
      <c r="A1658" s="347" t="s">
        <v>4637</v>
      </c>
      <c r="B1658" s="376">
        <v>45534</v>
      </c>
      <c r="C1658" s="333" t="s">
        <v>219</v>
      </c>
      <c r="D1658" s="332">
        <v>1216</v>
      </c>
      <c r="E1658" s="332"/>
      <c r="F1658" s="374">
        <v>217954200101</v>
      </c>
      <c r="G1658" s="508" t="s">
        <v>2571</v>
      </c>
      <c r="H1658" s="372">
        <v>1</v>
      </c>
      <c r="I1658" s="372">
        <v>58</v>
      </c>
      <c r="J1658" s="333" t="s">
        <v>31</v>
      </c>
      <c r="K1658" s="333" t="s">
        <v>32</v>
      </c>
      <c r="L1658" s="333"/>
      <c r="M1658" s="333"/>
      <c r="N1658" s="417"/>
      <c r="O1658" s="417"/>
      <c r="P1658" s="462">
        <v>45551</v>
      </c>
      <c r="Q1658" s="333"/>
      <c r="R1658" s="333"/>
      <c r="S1658" s="373"/>
      <c r="T1658" s="373"/>
      <c r="U1658" s="373"/>
      <c r="V1658" s="373"/>
      <c r="W1658" s="346"/>
      <c r="X1658" s="373"/>
      <c r="Y1658" s="336">
        <f t="shared" ca="1" si="30"/>
        <v>35</v>
      </c>
      <c r="Z1658" s="373"/>
      <c r="AA1658" s="373"/>
      <c r="AB1658" s="373"/>
      <c r="AD1658" s="338"/>
    </row>
    <row r="1659" spans="1:30" ht="12.75" customHeight="1" x14ac:dyDescent="0.25">
      <c r="A1659" s="347" t="s">
        <v>4638</v>
      </c>
      <c r="B1659" s="363">
        <v>45534</v>
      </c>
      <c r="C1659" s="364" t="s">
        <v>219</v>
      </c>
      <c r="D1659" s="368">
        <v>1216</v>
      </c>
      <c r="E1659" s="368"/>
      <c r="F1659" s="365">
        <v>278609130399</v>
      </c>
      <c r="G1659" s="594" t="s">
        <v>4639</v>
      </c>
      <c r="H1659" s="366">
        <v>1</v>
      </c>
      <c r="I1659" s="366">
        <v>58</v>
      </c>
      <c r="J1659" s="364" t="s">
        <v>46</v>
      </c>
      <c r="K1659" s="364" t="s">
        <v>32</v>
      </c>
      <c r="L1659" s="333"/>
      <c r="M1659" s="333"/>
      <c r="N1659" s="417"/>
      <c r="O1659" s="417"/>
      <c r="P1659" s="462">
        <v>45551</v>
      </c>
      <c r="Q1659" s="333"/>
      <c r="R1659" s="333"/>
      <c r="S1659" s="373"/>
      <c r="T1659" s="373"/>
      <c r="U1659" s="373"/>
      <c r="V1659" s="373"/>
      <c r="W1659" s="346"/>
      <c r="X1659" s="373"/>
      <c r="Y1659" s="336">
        <f t="shared" ca="1" si="30"/>
        <v>35</v>
      </c>
      <c r="Z1659" s="373"/>
      <c r="AA1659" s="373"/>
      <c r="AB1659" s="373"/>
      <c r="AD1659" s="338"/>
    </row>
    <row r="1660" spans="1:30" ht="12.75" customHeight="1" x14ac:dyDescent="0.25">
      <c r="A1660" s="558" t="s">
        <v>4640</v>
      </c>
      <c r="B1660" s="376">
        <v>45538</v>
      </c>
      <c r="C1660" s="333" t="s">
        <v>35</v>
      </c>
      <c r="D1660" s="333" t="s">
        <v>83</v>
      </c>
      <c r="E1660" s="333"/>
      <c r="F1660" s="374" t="s">
        <v>4641</v>
      </c>
      <c r="G1660" s="372" t="s">
        <v>4642</v>
      </c>
      <c r="H1660" s="372">
        <v>1</v>
      </c>
      <c r="I1660" s="372"/>
      <c r="J1660" s="333" t="s">
        <v>68</v>
      </c>
      <c r="K1660" s="333" t="s">
        <v>69</v>
      </c>
      <c r="L1660" s="396"/>
      <c r="M1660" s="333"/>
      <c r="N1660" s="417"/>
      <c r="O1660" s="417"/>
      <c r="P1660" s="462">
        <v>45552</v>
      </c>
      <c r="Q1660" s="333"/>
      <c r="R1660" s="333"/>
      <c r="S1660" s="373"/>
      <c r="T1660" s="373"/>
      <c r="U1660" s="373"/>
      <c r="V1660" s="373"/>
      <c r="W1660" s="346"/>
      <c r="X1660" s="373"/>
      <c r="Y1660" s="336">
        <f t="shared" ca="1" si="30"/>
        <v>34</v>
      </c>
      <c r="Z1660" s="373"/>
      <c r="AA1660" s="373"/>
      <c r="AB1660" s="373"/>
      <c r="AD1660" s="338"/>
    </row>
    <row r="1661" spans="1:30" ht="12.75" customHeight="1" x14ac:dyDescent="0.25">
      <c r="A1661" s="558" t="s">
        <v>4643</v>
      </c>
      <c r="B1661" s="376">
        <v>45538</v>
      </c>
      <c r="C1661" s="333" t="s">
        <v>35</v>
      </c>
      <c r="D1661" s="333" t="s">
        <v>83</v>
      </c>
      <c r="E1661" s="333"/>
      <c r="F1661" s="374" t="s">
        <v>4644</v>
      </c>
      <c r="G1661" s="372" t="s">
        <v>4645</v>
      </c>
      <c r="H1661" s="372">
        <v>1</v>
      </c>
      <c r="I1661" s="372"/>
      <c r="J1661" s="333" t="s">
        <v>68</v>
      </c>
      <c r="K1661" s="333" t="s">
        <v>69</v>
      </c>
      <c r="L1661" s="542"/>
      <c r="M1661" s="364"/>
      <c r="N1661" s="485"/>
      <c r="O1661" s="485"/>
      <c r="P1661" s="491">
        <v>45552</v>
      </c>
      <c r="Q1661" s="333"/>
      <c r="R1661" s="333"/>
      <c r="S1661" s="373"/>
      <c r="T1661" s="373"/>
      <c r="U1661" s="373"/>
      <c r="V1661" s="373"/>
      <c r="W1661" s="346"/>
      <c r="X1661" s="373"/>
      <c r="Y1661" s="336">
        <f t="shared" ca="1" si="30"/>
        <v>34</v>
      </c>
      <c r="Z1661" s="373"/>
      <c r="AA1661" s="373"/>
      <c r="AB1661" s="373"/>
      <c r="AD1661" s="338"/>
    </row>
    <row r="1662" spans="1:30" ht="12.75" customHeight="1" x14ac:dyDescent="0.25">
      <c r="A1662" s="558" t="s">
        <v>4646</v>
      </c>
      <c r="B1662" s="501">
        <v>45516</v>
      </c>
      <c r="C1662" s="415" t="s">
        <v>35</v>
      </c>
      <c r="D1662" s="415" t="s">
        <v>36</v>
      </c>
      <c r="E1662" s="627"/>
      <c r="F1662" s="427" t="s">
        <v>4647</v>
      </c>
      <c r="G1662" s="593" t="s">
        <v>4365</v>
      </c>
      <c r="H1662" s="428">
        <v>1</v>
      </c>
      <c r="I1662" s="428"/>
      <c r="J1662" s="415" t="s">
        <v>31</v>
      </c>
      <c r="K1662" s="415" t="s">
        <v>32</v>
      </c>
      <c r="L1662" s="333"/>
      <c r="M1662" s="333"/>
      <c r="N1662" s="417"/>
      <c r="O1662" s="417"/>
      <c r="P1662" s="462">
        <v>45552</v>
      </c>
      <c r="Q1662" s="396"/>
      <c r="R1662" s="333"/>
      <c r="S1662" s="373"/>
      <c r="T1662" s="373"/>
      <c r="U1662" s="373"/>
      <c r="V1662" s="373"/>
      <c r="W1662" s="346"/>
      <c r="X1662" s="373"/>
      <c r="Y1662" s="336">
        <f t="shared" ca="1" si="30"/>
        <v>34</v>
      </c>
      <c r="Z1662" s="373"/>
      <c r="AA1662" s="373"/>
      <c r="AB1662" s="373"/>
      <c r="AD1662" s="338"/>
    </row>
    <row r="1663" spans="1:30" ht="12.75" customHeight="1" x14ac:dyDescent="0.25">
      <c r="A1663" s="558" t="s">
        <v>4648</v>
      </c>
      <c r="B1663" s="376">
        <v>45511</v>
      </c>
      <c r="C1663" s="333" t="s">
        <v>35</v>
      </c>
      <c r="D1663" s="333" t="s">
        <v>36</v>
      </c>
      <c r="E1663" s="499"/>
      <c r="F1663" s="374" t="s">
        <v>4205</v>
      </c>
      <c r="G1663" s="508" t="s">
        <v>4206</v>
      </c>
      <c r="H1663" s="372">
        <v>1</v>
      </c>
      <c r="I1663" s="372" t="s">
        <v>4216</v>
      </c>
      <c r="J1663" s="333" t="s">
        <v>31</v>
      </c>
      <c r="K1663" s="333" t="s">
        <v>32</v>
      </c>
      <c r="L1663" s="333"/>
      <c r="M1663" s="333"/>
      <c r="N1663" s="417"/>
      <c r="O1663" s="417"/>
      <c r="P1663" s="462">
        <v>45552</v>
      </c>
      <c r="Q1663" s="396"/>
      <c r="R1663" s="333"/>
      <c r="S1663" s="373"/>
      <c r="T1663" s="373"/>
      <c r="U1663" s="373"/>
      <c r="V1663" s="373"/>
      <c r="W1663" s="346"/>
      <c r="X1663" s="373"/>
      <c r="Y1663" s="336">
        <f t="shared" ca="1" si="30"/>
        <v>34</v>
      </c>
      <c r="Z1663" s="373"/>
      <c r="AA1663" s="373"/>
      <c r="AB1663" s="373"/>
      <c r="AD1663" s="338"/>
    </row>
    <row r="1664" spans="1:30" ht="12.75" customHeight="1" x14ac:dyDescent="0.25">
      <c r="A1664" s="558" t="s">
        <v>4649</v>
      </c>
      <c r="B1664" s="376">
        <v>45518</v>
      </c>
      <c r="C1664" s="333" t="s">
        <v>35</v>
      </c>
      <c r="D1664" s="333" t="s">
        <v>36</v>
      </c>
      <c r="E1664" s="499"/>
      <c r="F1664" s="374" t="s">
        <v>4650</v>
      </c>
      <c r="G1664" s="508" t="s">
        <v>4651</v>
      </c>
      <c r="H1664" s="372">
        <v>1</v>
      </c>
      <c r="I1664" s="372" t="s">
        <v>4652</v>
      </c>
      <c r="J1664" s="333" t="s">
        <v>265</v>
      </c>
      <c r="K1664" s="333" t="s">
        <v>32</v>
      </c>
      <c r="L1664" s="333"/>
      <c r="M1664" s="333"/>
      <c r="N1664" s="417"/>
      <c r="O1664" s="417"/>
      <c r="P1664" s="462">
        <v>45552</v>
      </c>
      <c r="Q1664" s="396"/>
      <c r="R1664" s="333"/>
      <c r="S1664" s="373"/>
      <c r="T1664" s="373"/>
      <c r="U1664" s="373"/>
      <c r="V1664" s="373"/>
      <c r="W1664" s="346"/>
      <c r="X1664" s="373"/>
      <c r="Y1664" s="336">
        <f t="shared" ca="1" si="30"/>
        <v>34</v>
      </c>
      <c r="Z1664" s="373"/>
      <c r="AA1664" s="373"/>
      <c r="AB1664" s="373"/>
      <c r="AD1664" s="338"/>
    </row>
    <row r="1665" spans="1:30" ht="12.75" customHeight="1" x14ac:dyDescent="0.25">
      <c r="A1665" s="558" t="s">
        <v>4653</v>
      </c>
      <c r="B1665" s="376">
        <v>45518</v>
      </c>
      <c r="C1665" s="333" t="s">
        <v>35</v>
      </c>
      <c r="D1665" s="333" t="s">
        <v>36</v>
      </c>
      <c r="E1665" s="499"/>
      <c r="F1665" s="374" t="s">
        <v>4654</v>
      </c>
      <c r="G1665" s="508" t="s">
        <v>4655</v>
      </c>
      <c r="H1665" s="372">
        <v>1</v>
      </c>
      <c r="I1665" s="372" t="s">
        <v>4656</v>
      </c>
      <c r="J1665" s="333" t="s">
        <v>265</v>
      </c>
      <c r="K1665" s="333" t="s">
        <v>32</v>
      </c>
      <c r="L1665" s="333"/>
      <c r="M1665" s="333"/>
      <c r="N1665" s="417"/>
      <c r="O1665" s="417"/>
      <c r="P1665" s="462">
        <v>45552</v>
      </c>
      <c r="Q1665" s="396"/>
      <c r="R1665" s="333"/>
      <c r="S1665" s="373"/>
      <c r="T1665" s="373"/>
      <c r="U1665" s="373"/>
      <c r="V1665" s="373"/>
      <c r="W1665" s="346"/>
      <c r="X1665" s="373"/>
      <c r="Y1665" s="336">
        <f t="shared" ca="1" si="30"/>
        <v>34</v>
      </c>
      <c r="Z1665" s="373"/>
      <c r="AA1665" s="373"/>
      <c r="AB1665" s="373"/>
      <c r="AD1665" s="338"/>
    </row>
    <row r="1666" spans="1:30" ht="12.75" customHeight="1" x14ac:dyDescent="0.25">
      <c r="A1666" s="347" t="s">
        <v>4657</v>
      </c>
      <c r="B1666" s="584">
        <v>45518</v>
      </c>
      <c r="C1666" s="415" t="s">
        <v>35</v>
      </c>
      <c r="D1666" s="437" t="s">
        <v>71</v>
      </c>
      <c r="E1666" s="332"/>
      <c r="F1666" s="374" t="s">
        <v>4658</v>
      </c>
      <c r="G1666" s="593" t="s">
        <v>2986</v>
      </c>
      <c r="H1666" s="428">
        <v>1</v>
      </c>
      <c r="I1666" s="596" t="s">
        <v>4659</v>
      </c>
      <c r="J1666" s="415" t="s">
        <v>31</v>
      </c>
      <c r="K1666" s="540" t="s">
        <v>32</v>
      </c>
      <c r="L1666" s="415"/>
      <c r="M1666" s="415"/>
      <c r="N1666" s="541"/>
      <c r="O1666" s="541"/>
      <c r="P1666" s="502">
        <v>45552</v>
      </c>
      <c r="Q1666" s="333"/>
      <c r="R1666" s="333"/>
      <c r="S1666" s="373"/>
      <c r="T1666" s="373"/>
      <c r="U1666" s="373"/>
      <c r="V1666" s="373"/>
      <c r="W1666" s="346"/>
      <c r="X1666" s="373"/>
      <c r="Y1666" s="336">
        <f t="shared" ca="1" si="30"/>
        <v>34</v>
      </c>
      <c r="Z1666" s="373"/>
      <c r="AA1666" s="373"/>
      <c r="AB1666" s="373"/>
      <c r="AD1666" s="338"/>
    </row>
    <row r="1667" spans="1:30" ht="12.75" customHeight="1" x14ac:dyDescent="0.25">
      <c r="A1667" s="411" t="s">
        <v>4660</v>
      </c>
      <c r="B1667" s="581">
        <v>45506</v>
      </c>
      <c r="C1667" s="364" t="s">
        <v>35</v>
      </c>
      <c r="D1667" s="368" t="s">
        <v>71</v>
      </c>
      <c r="E1667" s="332"/>
      <c r="F1667" s="374" t="s">
        <v>3007</v>
      </c>
      <c r="G1667" s="594" t="s">
        <v>4661</v>
      </c>
      <c r="H1667" s="366">
        <v>1</v>
      </c>
      <c r="I1667" s="595" t="s">
        <v>4659</v>
      </c>
      <c r="J1667" s="364" t="s">
        <v>265</v>
      </c>
      <c r="K1667" s="542" t="s">
        <v>32</v>
      </c>
      <c r="L1667" s="364"/>
      <c r="M1667" s="364"/>
      <c r="N1667" s="485"/>
      <c r="O1667" s="485"/>
      <c r="P1667" s="491">
        <v>45552</v>
      </c>
      <c r="Q1667" s="364"/>
      <c r="R1667" s="364"/>
      <c r="S1667" s="369"/>
      <c r="T1667" s="369"/>
      <c r="U1667" s="369"/>
      <c r="V1667" s="369"/>
      <c r="W1667" s="370"/>
      <c r="X1667" s="369"/>
      <c r="Y1667" s="597">
        <f t="shared" ca="1" si="30"/>
        <v>34</v>
      </c>
      <c r="Z1667" s="369"/>
      <c r="AA1667" s="369"/>
      <c r="AB1667" s="369"/>
      <c r="AD1667" s="338"/>
    </row>
    <row r="1668" spans="1:30" s="373" customFormat="1" ht="12.75" customHeight="1" x14ac:dyDescent="0.25">
      <c r="A1668" s="425" t="s">
        <v>4662</v>
      </c>
      <c r="B1668" s="376">
        <v>45511</v>
      </c>
      <c r="C1668" s="333" t="s">
        <v>35</v>
      </c>
      <c r="D1668" s="333" t="s">
        <v>71</v>
      </c>
      <c r="E1668" s="499"/>
      <c r="F1668" s="374" t="s">
        <v>4663</v>
      </c>
      <c r="G1668" s="508" t="s">
        <v>4664</v>
      </c>
      <c r="H1668" s="372">
        <v>1</v>
      </c>
      <c r="I1668" s="372" t="s">
        <v>1675</v>
      </c>
      <c r="J1668" s="333" t="s">
        <v>102</v>
      </c>
      <c r="K1668" s="333" t="s">
        <v>69</v>
      </c>
      <c r="L1668" s="333"/>
      <c r="M1668" s="333"/>
      <c r="N1668" s="417"/>
      <c r="O1668" s="417"/>
      <c r="P1668" s="462">
        <v>45552</v>
      </c>
      <c r="Q1668" s="333"/>
      <c r="R1668" s="333"/>
      <c r="W1668" s="346"/>
      <c r="Y1668" s="373">
        <f t="shared" ca="1" si="30"/>
        <v>34</v>
      </c>
    </row>
    <row r="1669" spans="1:30" ht="12.75" customHeight="1" x14ac:dyDescent="0.25">
      <c r="A1669" s="500" t="s">
        <v>4665</v>
      </c>
      <c r="B1669" s="501">
        <v>45538</v>
      </c>
      <c r="C1669" s="415" t="s">
        <v>3603</v>
      </c>
      <c r="D1669" s="437" t="s">
        <v>575</v>
      </c>
      <c r="E1669" s="332"/>
      <c r="F1669" s="374" t="s">
        <v>4666</v>
      </c>
      <c r="G1669" s="593" t="s">
        <v>4667</v>
      </c>
      <c r="H1669" s="428">
        <v>1</v>
      </c>
      <c r="I1669" s="428" t="s">
        <v>4668</v>
      </c>
      <c r="J1669" s="415" t="s">
        <v>43</v>
      </c>
      <c r="K1669" s="415" t="s">
        <v>32</v>
      </c>
      <c r="L1669" s="415"/>
      <c r="M1669" s="415"/>
      <c r="N1669" s="541"/>
      <c r="O1669" s="541"/>
      <c r="P1669" s="502">
        <v>45552</v>
      </c>
      <c r="Q1669" s="415"/>
      <c r="R1669" s="415"/>
      <c r="S1669" s="424"/>
      <c r="T1669" s="424"/>
      <c r="U1669" s="424"/>
      <c r="V1669" s="424"/>
      <c r="W1669" s="430"/>
      <c r="X1669" s="424"/>
      <c r="Y1669" s="598">
        <f t="shared" ca="1" si="30"/>
        <v>34</v>
      </c>
      <c r="Z1669" s="424"/>
      <c r="AA1669" s="424"/>
      <c r="AB1669" s="424"/>
      <c r="AD1669" s="338"/>
    </row>
    <row r="1670" spans="1:30" ht="12.75" customHeight="1" x14ac:dyDescent="0.25">
      <c r="A1670" s="347" t="s">
        <v>4669</v>
      </c>
      <c r="B1670" s="376">
        <v>45538</v>
      </c>
      <c r="C1670" s="333" t="s">
        <v>3603</v>
      </c>
      <c r="D1670" s="332" t="s">
        <v>575</v>
      </c>
      <c r="E1670" s="332"/>
      <c r="F1670" s="374" t="s">
        <v>4670</v>
      </c>
      <c r="G1670" s="508" t="s">
        <v>1635</v>
      </c>
      <c r="H1670" s="372">
        <v>13</v>
      </c>
      <c r="I1670" s="372" t="s">
        <v>4668</v>
      </c>
      <c r="J1670" s="333" t="s">
        <v>46</v>
      </c>
      <c r="K1670" s="333" t="s">
        <v>32</v>
      </c>
      <c r="L1670" s="333"/>
      <c r="M1670" s="333"/>
      <c r="N1670" s="417"/>
      <c r="O1670" s="417"/>
      <c r="P1670" s="462">
        <v>45552</v>
      </c>
      <c r="Q1670" s="333"/>
      <c r="R1670" s="333"/>
      <c r="S1670" s="373"/>
      <c r="T1670" s="373"/>
      <c r="U1670" s="373"/>
      <c r="V1670" s="373"/>
      <c r="W1670" s="346"/>
      <c r="X1670" s="373"/>
      <c r="Y1670" s="373"/>
      <c r="Z1670" s="373"/>
      <c r="AA1670" s="373"/>
      <c r="AB1670" s="373"/>
      <c r="AD1670" s="338"/>
    </row>
    <row r="1671" spans="1:30" ht="12.75" customHeight="1" x14ac:dyDescent="0.25">
      <c r="A1671" s="347" t="s">
        <v>4671</v>
      </c>
      <c r="B1671" s="376">
        <v>45538</v>
      </c>
      <c r="C1671" s="333" t="s">
        <v>3603</v>
      </c>
      <c r="D1671" s="332" t="s">
        <v>575</v>
      </c>
      <c r="E1671" s="332"/>
      <c r="F1671" s="374" t="s">
        <v>4672</v>
      </c>
      <c r="G1671" s="508" t="s">
        <v>4673</v>
      </c>
      <c r="H1671" s="372">
        <v>1</v>
      </c>
      <c r="I1671" s="372" t="s">
        <v>4668</v>
      </c>
      <c r="J1671" s="333" t="s">
        <v>46</v>
      </c>
      <c r="K1671" s="333" t="s">
        <v>32</v>
      </c>
      <c r="L1671" s="333"/>
      <c r="M1671" s="333"/>
      <c r="N1671" s="417"/>
      <c r="O1671" s="417"/>
      <c r="P1671" s="462">
        <v>45552</v>
      </c>
      <c r="Q1671" s="333"/>
      <c r="R1671" s="333"/>
      <c r="S1671" s="373"/>
      <c r="T1671" s="373"/>
      <c r="U1671" s="373"/>
      <c r="V1671" s="373"/>
      <c r="W1671" s="346"/>
      <c r="X1671" s="373"/>
      <c r="Y1671" s="373"/>
      <c r="Z1671" s="373"/>
      <c r="AA1671" s="373"/>
      <c r="AB1671" s="373"/>
      <c r="AD1671" s="338"/>
    </row>
    <row r="1672" spans="1:30" ht="12.75" customHeight="1" x14ac:dyDescent="0.25">
      <c r="A1672" s="347" t="s">
        <v>4674</v>
      </c>
      <c r="B1672" s="376">
        <v>45538</v>
      </c>
      <c r="C1672" s="333" t="s">
        <v>3603</v>
      </c>
      <c r="D1672" s="332" t="s">
        <v>575</v>
      </c>
      <c r="E1672" s="332"/>
      <c r="F1672" s="374" t="s">
        <v>4675</v>
      </c>
      <c r="G1672" s="508" t="s">
        <v>4676</v>
      </c>
      <c r="H1672" s="372">
        <v>1</v>
      </c>
      <c r="I1672" s="372" t="s">
        <v>4668</v>
      </c>
      <c r="J1672" s="333" t="s">
        <v>43</v>
      </c>
      <c r="K1672" s="333" t="s">
        <v>32</v>
      </c>
      <c r="L1672" s="333"/>
      <c r="M1672" s="333"/>
      <c r="N1672" s="417"/>
      <c r="O1672" s="417"/>
      <c r="P1672" s="462">
        <v>45552</v>
      </c>
      <c r="Q1672" s="333"/>
      <c r="R1672" s="333"/>
      <c r="S1672" s="373"/>
      <c r="T1672" s="373"/>
      <c r="U1672" s="373"/>
      <c r="V1672" s="373"/>
      <c r="W1672" s="346"/>
      <c r="X1672" s="373"/>
      <c r="Y1672" s="373"/>
      <c r="Z1672" s="373"/>
      <c r="AA1672" s="373"/>
      <c r="AB1672" s="373"/>
      <c r="AD1672" s="338"/>
    </row>
    <row r="1673" spans="1:30" ht="12.75" customHeight="1" x14ac:dyDescent="0.25">
      <c r="A1673" s="347" t="s">
        <v>4677</v>
      </c>
      <c r="B1673" s="376">
        <v>45538</v>
      </c>
      <c r="C1673" s="333" t="s">
        <v>3603</v>
      </c>
      <c r="D1673" s="332" t="s">
        <v>575</v>
      </c>
      <c r="E1673" s="332"/>
      <c r="F1673" s="374" t="s">
        <v>3343</v>
      </c>
      <c r="G1673" s="508" t="s">
        <v>4678</v>
      </c>
      <c r="H1673" s="372">
        <v>30</v>
      </c>
      <c r="I1673" s="372" t="s">
        <v>4668</v>
      </c>
      <c r="J1673" s="333" t="s">
        <v>46</v>
      </c>
      <c r="K1673" s="333" t="s">
        <v>32</v>
      </c>
      <c r="L1673" s="333"/>
      <c r="M1673" s="333"/>
      <c r="N1673" s="417"/>
      <c r="O1673" s="417"/>
      <c r="P1673" s="462">
        <v>45552</v>
      </c>
      <c r="Q1673" s="333"/>
      <c r="R1673" s="333"/>
      <c r="S1673" s="373"/>
      <c r="T1673" s="373"/>
      <c r="U1673" s="373"/>
      <c r="V1673" s="373"/>
      <c r="W1673" s="346"/>
      <c r="X1673" s="373"/>
      <c r="Y1673" s="373"/>
      <c r="Z1673" s="373"/>
      <c r="AA1673" s="373"/>
      <c r="AB1673" s="373"/>
      <c r="AD1673" s="338"/>
    </row>
    <row r="1674" spans="1:30" ht="12.75" customHeight="1" x14ac:dyDescent="0.25">
      <c r="A1674" s="347" t="s">
        <v>4679</v>
      </c>
      <c r="B1674" s="376">
        <v>45538</v>
      </c>
      <c r="C1674" s="333" t="s">
        <v>3603</v>
      </c>
      <c r="D1674" s="332" t="s">
        <v>575</v>
      </c>
      <c r="E1674" s="332"/>
      <c r="F1674" s="374" t="s">
        <v>4680</v>
      </c>
      <c r="G1674" s="508" t="s">
        <v>4681</v>
      </c>
      <c r="H1674" s="372">
        <v>1</v>
      </c>
      <c r="I1674" s="372" t="s">
        <v>4668</v>
      </c>
      <c r="J1674" s="333" t="s">
        <v>541</v>
      </c>
      <c r="K1674" s="333" t="s">
        <v>32</v>
      </c>
      <c r="L1674" s="333"/>
      <c r="M1674" s="333"/>
      <c r="N1674" s="417"/>
      <c r="O1674" s="417"/>
      <c r="P1674" s="462">
        <v>45552</v>
      </c>
      <c r="Q1674" s="333"/>
      <c r="R1674" s="333"/>
      <c r="S1674" s="373"/>
      <c r="T1674" s="373"/>
      <c r="U1674" s="373"/>
      <c r="V1674" s="373"/>
      <c r="W1674" s="346"/>
      <c r="X1674" s="373"/>
      <c r="Y1674" s="373"/>
      <c r="Z1674" s="373"/>
      <c r="AA1674" s="373"/>
      <c r="AB1674" s="373"/>
      <c r="AD1674" s="338"/>
    </row>
    <row r="1675" spans="1:30" ht="12.75" customHeight="1" x14ac:dyDescent="0.25">
      <c r="A1675" s="347" t="s">
        <v>4682</v>
      </c>
      <c r="B1675" s="376">
        <v>45538</v>
      </c>
      <c r="C1675" s="333" t="s">
        <v>3603</v>
      </c>
      <c r="D1675" s="332" t="s">
        <v>575</v>
      </c>
      <c r="E1675" s="332"/>
      <c r="F1675" s="374" t="s">
        <v>3252</v>
      </c>
      <c r="G1675" s="508" t="s">
        <v>4683</v>
      </c>
      <c r="H1675" s="372">
        <v>1</v>
      </c>
      <c r="I1675" s="372" t="s">
        <v>4668</v>
      </c>
      <c r="J1675" s="333" t="s">
        <v>265</v>
      </c>
      <c r="K1675" s="333" t="s">
        <v>32</v>
      </c>
      <c r="L1675" s="333"/>
      <c r="M1675" s="333"/>
      <c r="N1675" s="417"/>
      <c r="O1675" s="417"/>
      <c r="P1675" s="462">
        <v>45552</v>
      </c>
      <c r="Q1675" s="333"/>
      <c r="R1675" s="333"/>
      <c r="S1675" s="373"/>
      <c r="T1675" s="373"/>
      <c r="U1675" s="373"/>
      <c r="V1675" s="373"/>
      <c r="W1675" s="346"/>
      <c r="X1675" s="373"/>
      <c r="Y1675" s="373"/>
      <c r="Z1675" s="373"/>
      <c r="AA1675" s="373"/>
      <c r="AB1675" s="373"/>
      <c r="AD1675" s="338"/>
    </row>
    <row r="1676" spans="1:30" ht="12.75" customHeight="1" x14ac:dyDescent="0.25">
      <c r="A1676" s="347" t="s">
        <v>4684</v>
      </c>
      <c r="B1676" s="363">
        <v>45538</v>
      </c>
      <c r="C1676" s="364" t="s">
        <v>3603</v>
      </c>
      <c r="D1676" s="368" t="s">
        <v>575</v>
      </c>
      <c r="E1676" s="332"/>
      <c r="F1676" s="374">
        <v>485310500</v>
      </c>
      <c r="G1676" s="618" t="s">
        <v>4685</v>
      </c>
      <c r="H1676" s="366">
        <v>2</v>
      </c>
      <c r="I1676" s="366" t="s">
        <v>4668</v>
      </c>
      <c r="J1676" s="364" t="s">
        <v>265</v>
      </c>
      <c r="K1676" s="364" t="s">
        <v>32</v>
      </c>
      <c r="L1676" s="364"/>
      <c r="M1676" s="364"/>
      <c r="N1676" s="485"/>
      <c r="O1676" s="485"/>
      <c r="P1676" s="462">
        <v>45552</v>
      </c>
      <c r="Q1676" s="364"/>
      <c r="R1676" s="364"/>
      <c r="S1676" s="369"/>
      <c r="T1676" s="369"/>
      <c r="U1676" s="369"/>
      <c r="V1676" s="369"/>
      <c r="W1676" s="370"/>
      <c r="X1676" s="369"/>
      <c r="Y1676" s="369"/>
      <c r="Z1676" s="369"/>
      <c r="AA1676" s="369"/>
      <c r="AB1676" s="369"/>
      <c r="AD1676" s="338"/>
    </row>
    <row r="1677" spans="1:30" ht="12.75" customHeight="1" x14ac:dyDescent="0.25">
      <c r="A1677" s="558" t="s">
        <v>4686</v>
      </c>
      <c r="B1677" s="376">
        <v>45539</v>
      </c>
      <c r="C1677" s="333" t="s">
        <v>3603</v>
      </c>
      <c r="D1677" s="332" t="s">
        <v>575</v>
      </c>
      <c r="E1677" s="332"/>
      <c r="F1677" s="374" t="s">
        <v>4687</v>
      </c>
      <c r="G1677" s="508" t="s">
        <v>4688</v>
      </c>
      <c r="H1677" s="372">
        <v>2</v>
      </c>
      <c r="I1677" s="372" t="s">
        <v>4668</v>
      </c>
      <c r="J1677" s="333" t="s">
        <v>46</v>
      </c>
      <c r="K1677" s="333" t="s">
        <v>32</v>
      </c>
      <c r="L1677" s="333"/>
      <c r="M1677" s="333"/>
      <c r="N1677" s="417"/>
      <c r="O1677" s="417"/>
      <c r="P1677" s="462">
        <v>45552</v>
      </c>
      <c r="Q1677" s="333"/>
      <c r="R1677" s="333"/>
      <c r="S1677" s="373"/>
      <c r="T1677" s="373"/>
      <c r="U1677" s="373"/>
      <c r="V1677" s="373"/>
      <c r="W1677" s="346"/>
      <c r="X1677" s="373"/>
      <c r="Y1677" s="373"/>
      <c r="Z1677" s="474"/>
      <c r="AA1677" s="373"/>
      <c r="AB1677" s="373"/>
      <c r="AD1677" s="338"/>
    </row>
    <row r="1678" spans="1:30" ht="12.75" customHeight="1" x14ac:dyDescent="0.25">
      <c r="A1678" s="558" t="s">
        <v>4689</v>
      </c>
      <c r="B1678" s="376">
        <v>45539</v>
      </c>
      <c r="C1678" s="333" t="s">
        <v>3603</v>
      </c>
      <c r="D1678" s="332" t="s">
        <v>575</v>
      </c>
      <c r="E1678" s="332"/>
      <c r="F1678" s="374" t="s">
        <v>595</v>
      </c>
      <c r="G1678" s="508" t="s">
        <v>4690</v>
      </c>
      <c r="H1678" s="372">
        <v>1</v>
      </c>
      <c r="I1678" s="372" t="s">
        <v>4668</v>
      </c>
      <c r="J1678" s="333" t="s">
        <v>31</v>
      </c>
      <c r="K1678" s="333" t="s">
        <v>32</v>
      </c>
      <c r="L1678" s="333"/>
      <c r="M1678" s="333"/>
      <c r="N1678" s="417"/>
      <c r="O1678" s="417"/>
      <c r="P1678" s="462">
        <v>45552</v>
      </c>
      <c r="Q1678" s="333"/>
      <c r="R1678" s="333"/>
      <c r="S1678" s="373"/>
      <c r="T1678" s="373"/>
      <c r="U1678" s="373"/>
      <c r="V1678" s="373"/>
      <c r="W1678" s="346"/>
      <c r="X1678" s="373"/>
      <c r="Y1678" s="373"/>
      <c r="Z1678" s="474"/>
      <c r="AA1678" s="373"/>
      <c r="AB1678" s="373"/>
      <c r="AD1678" s="338"/>
    </row>
    <row r="1679" spans="1:30" ht="12.75" customHeight="1" x14ac:dyDescent="0.25">
      <c r="A1679" s="573" t="s">
        <v>4691</v>
      </c>
      <c r="B1679" s="363">
        <v>45539</v>
      </c>
      <c r="C1679" s="364" t="s">
        <v>3603</v>
      </c>
      <c r="D1679" s="368" t="s">
        <v>575</v>
      </c>
      <c r="E1679" s="332"/>
      <c r="F1679" s="374" t="s">
        <v>4692</v>
      </c>
      <c r="G1679" s="594" t="s">
        <v>4693</v>
      </c>
      <c r="H1679" s="366">
        <v>5</v>
      </c>
      <c r="I1679" s="366" t="s">
        <v>4668</v>
      </c>
      <c r="J1679" s="364" t="s">
        <v>46</v>
      </c>
      <c r="K1679" s="364" t="s">
        <v>32</v>
      </c>
      <c r="L1679" s="364"/>
      <c r="M1679" s="364"/>
      <c r="N1679" s="485"/>
      <c r="O1679" s="485"/>
      <c r="P1679" s="491">
        <v>45552</v>
      </c>
      <c r="Q1679" s="364"/>
      <c r="R1679" s="364"/>
      <c r="S1679" s="369"/>
      <c r="T1679" s="369"/>
      <c r="U1679" s="369"/>
      <c r="V1679" s="369"/>
      <c r="W1679" s="370"/>
      <c r="X1679" s="369"/>
      <c r="Y1679" s="369"/>
      <c r="Z1679" s="479"/>
      <c r="AA1679" s="369"/>
      <c r="AB1679" s="369"/>
      <c r="AD1679" s="338"/>
    </row>
    <row r="1680" spans="1:30" ht="12.75" customHeight="1" x14ac:dyDescent="0.25">
      <c r="A1680" s="558" t="s">
        <v>4694</v>
      </c>
      <c r="B1680" s="376">
        <v>45552</v>
      </c>
      <c r="C1680" s="333" t="s">
        <v>26</v>
      </c>
      <c r="D1680" s="332" t="s">
        <v>1007</v>
      </c>
      <c r="E1680" s="332">
        <v>4072845</v>
      </c>
      <c r="F1680" s="374">
        <v>1800871</v>
      </c>
      <c r="G1680" s="508" t="s">
        <v>4695</v>
      </c>
      <c r="H1680" s="372">
        <v>1</v>
      </c>
      <c r="I1680" s="372" t="s">
        <v>4696</v>
      </c>
      <c r="J1680" s="333" t="s">
        <v>43</v>
      </c>
      <c r="K1680" s="333" t="s">
        <v>32</v>
      </c>
      <c r="L1680" s="333"/>
      <c r="M1680" s="333"/>
      <c r="N1680" s="417"/>
      <c r="O1680" s="417"/>
      <c r="P1680" s="462">
        <v>45552</v>
      </c>
      <c r="Q1680" s="333"/>
      <c r="R1680" s="333"/>
      <c r="S1680" s="373"/>
      <c r="T1680" s="373"/>
      <c r="U1680" s="373"/>
      <c r="V1680" s="373"/>
      <c r="W1680" s="346"/>
      <c r="X1680" s="373"/>
      <c r="Y1680" s="373"/>
      <c r="Z1680" s="474"/>
      <c r="AA1680" s="373"/>
      <c r="AB1680" s="373"/>
      <c r="AD1680" s="338"/>
    </row>
    <row r="1681" spans="1:30" ht="12.75" customHeight="1" x14ac:dyDescent="0.25">
      <c r="A1681" s="558" t="s">
        <v>4697</v>
      </c>
      <c r="B1681" s="376">
        <v>45552</v>
      </c>
      <c r="C1681" s="333" t="s">
        <v>26</v>
      </c>
      <c r="D1681" s="368" t="s">
        <v>1259</v>
      </c>
      <c r="E1681" s="332">
        <v>4072163</v>
      </c>
      <c r="F1681" s="599">
        <v>2790473</v>
      </c>
      <c r="G1681" s="508" t="s">
        <v>4698</v>
      </c>
      <c r="H1681" s="372">
        <v>1</v>
      </c>
      <c r="I1681" s="372" t="s">
        <v>4699</v>
      </c>
      <c r="J1681" s="333" t="s">
        <v>46</v>
      </c>
      <c r="K1681" s="333" t="s">
        <v>32</v>
      </c>
      <c r="L1681" s="333"/>
      <c r="M1681" s="333"/>
      <c r="N1681" s="417"/>
      <c r="O1681" s="417"/>
      <c r="P1681" s="462">
        <v>45552</v>
      </c>
      <c r="Q1681" s="333"/>
      <c r="R1681" s="333"/>
      <c r="S1681" s="373"/>
      <c r="T1681" s="373"/>
      <c r="U1681" s="373"/>
      <c r="V1681" s="373"/>
      <c r="W1681" s="346"/>
      <c r="X1681" s="373"/>
      <c r="Y1681" s="373"/>
      <c r="Z1681" s="474"/>
      <c r="AA1681" s="373"/>
      <c r="AB1681" s="373"/>
      <c r="AD1681" s="338"/>
    </row>
    <row r="1682" spans="1:30" ht="12.75" customHeight="1" x14ac:dyDescent="0.25">
      <c r="A1682" s="573" t="s">
        <v>4700</v>
      </c>
      <c r="B1682" s="363">
        <v>45545</v>
      </c>
      <c r="C1682" s="368" t="s">
        <v>26</v>
      </c>
      <c r="D1682" s="364" t="s">
        <v>1259</v>
      </c>
      <c r="E1682" s="626">
        <v>4072926</v>
      </c>
      <c r="F1682" s="365">
        <v>812372</v>
      </c>
      <c r="G1682" s="594" t="s">
        <v>1557</v>
      </c>
      <c r="H1682" s="366">
        <v>1</v>
      </c>
      <c r="I1682" s="366" t="s">
        <v>4620</v>
      </c>
      <c r="J1682" s="364" t="s">
        <v>43</v>
      </c>
      <c r="K1682" s="364" t="s">
        <v>32</v>
      </c>
      <c r="L1682" s="364"/>
      <c r="M1682" s="364"/>
      <c r="N1682" s="485"/>
      <c r="O1682" s="485"/>
      <c r="P1682" s="491">
        <v>45545</v>
      </c>
      <c r="Q1682" s="364"/>
      <c r="R1682" s="364"/>
      <c r="S1682" s="369"/>
      <c r="T1682" s="369"/>
      <c r="U1682" s="369"/>
      <c r="V1682" s="369"/>
      <c r="W1682" s="370"/>
      <c r="X1682" s="369"/>
      <c r="Y1682" s="369"/>
      <c r="Z1682" s="479"/>
      <c r="AA1682" s="369"/>
      <c r="AB1682" s="369"/>
      <c r="AD1682" s="338"/>
    </row>
    <row r="1683" spans="1:30" s="373" customFormat="1" ht="12.75" customHeight="1" x14ac:dyDescent="0.25">
      <c r="A1683" s="583" t="s">
        <v>4701</v>
      </c>
      <c r="B1683" s="376">
        <v>45552</v>
      </c>
      <c r="C1683" s="333" t="s">
        <v>35</v>
      </c>
      <c r="D1683" s="333" t="s">
        <v>71</v>
      </c>
      <c r="E1683" s="333"/>
      <c r="F1683" s="374" t="s">
        <v>4702</v>
      </c>
      <c r="G1683" s="372" t="s">
        <v>4605</v>
      </c>
      <c r="H1683" s="372">
        <v>1</v>
      </c>
      <c r="I1683" s="372" t="s">
        <v>4703</v>
      </c>
      <c r="J1683" s="333" t="s">
        <v>68</v>
      </c>
      <c r="K1683" s="333" t="s">
        <v>69</v>
      </c>
      <c r="L1683" s="396"/>
      <c r="M1683" s="333"/>
      <c r="N1683" s="417"/>
      <c r="O1683" s="417"/>
      <c r="P1683" s="462">
        <v>45553</v>
      </c>
      <c r="Q1683" s="333"/>
      <c r="R1683" s="333"/>
      <c r="W1683" s="346"/>
    </row>
    <row r="1684" spans="1:30" ht="12.75" customHeight="1" x14ac:dyDescent="0.25">
      <c r="A1684" s="600" t="s">
        <v>4704</v>
      </c>
      <c r="B1684" s="501">
        <v>45538</v>
      </c>
      <c r="C1684" s="437" t="s">
        <v>26</v>
      </c>
      <c r="D1684" s="415" t="s">
        <v>1007</v>
      </c>
      <c r="E1684" s="627"/>
      <c r="F1684" s="602" t="s">
        <v>4705</v>
      </c>
      <c r="G1684" s="540" t="s">
        <v>4706</v>
      </c>
      <c r="H1684" s="415">
        <v>1</v>
      </c>
      <c r="I1684" s="415" t="s">
        <v>4707</v>
      </c>
      <c r="J1684" s="415" t="s">
        <v>68</v>
      </c>
      <c r="K1684" s="415" t="s">
        <v>69</v>
      </c>
      <c r="L1684" s="415"/>
      <c r="M1684" s="415"/>
      <c r="N1684" s="541"/>
      <c r="O1684" s="541"/>
      <c r="P1684" s="502"/>
      <c r="Q1684" s="415"/>
      <c r="R1684" s="415"/>
      <c r="S1684" s="424"/>
      <c r="T1684" s="424"/>
      <c r="U1684" s="424"/>
      <c r="V1684" s="424"/>
      <c r="W1684" s="430"/>
      <c r="X1684" s="424"/>
      <c r="Y1684" s="424"/>
      <c r="Z1684" s="601"/>
      <c r="AA1684" s="424"/>
      <c r="AB1684" s="424"/>
      <c r="AD1684" s="338"/>
    </row>
    <row r="1685" spans="1:30" ht="12.75" customHeight="1" x14ac:dyDescent="0.25">
      <c r="A1685" s="558" t="s">
        <v>4708</v>
      </c>
      <c r="B1685" s="376">
        <v>45547</v>
      </c>
      <c r="C1685" s="333" t="s">
        <v>26</v>
      </c>
      <c r="D1685" s="415" t="s">
        <v>1259</v>
      </c>
      <c r="E1685" s="332"/>
      <c r="F1685" s="599">
        <v>812372</v>
      </c>
      <c r="G1685" s="396" t="s">
        <v>1557</v>
      </c>
      <c r="H1685" s="333">
        <v>1</v>
      </c>
      <c r="I1685" s="333" t="s">
        <v>4709</v>
      </c>
      <c r="J1685" s="333" t="s">
        <v>43</v>
      </c>
      <c r="K1685" s="333" t="s">
        <v>32</v>
      </c>
      <c r="L1685" s="333"/>
      <c r="M1685" s="333"/>
      <c r="N1685" s="417"/>
      <c r="O1685" s="417"/>
      <c r="P1685" s="462"/>
      <c r="Q1685" s="333"/>
      <c r="R1685" s="333"/>
      <c r="S1685" s="373"/>
      <c r="T1685" s="373"/>
      <c r="U1685" s="373"/>
      <c r="V1685" s="373"/>
      <c r="W1685" s="346"/>
      <c r="X1685" s="373"/>
      <c r="Y1685" s="373"/>
      <c r="Z1685" s="474"/>
      <c r="AA1685" s="373"/>
      <c r="AB1685" s="373"/>
      <c r="AD1685" s="338"/>
    </row>
    <row r="1686" spans="1:30" ht="12.75" customHeight="1" x14ac:dyDescent="0.25">
      <c r="A1686" s="558" t="s">
        <v>4710</v>
      </c>
      <c r="B1686" s="376">
        <v>45547</v>
      </c>
      <c r="C1686" s="333" t="s">
        <v>26</v>
      </c>
      <c r="D1686" s="333" t="s">
        <v>1259</v>
      </c>
      <c r="E1686" s="332"/>
      <c r="F1686" s="599">
        <v>2790473</v>
      </c>
      <c r="G1686" s="396" t="s">
        <v>4711</v>
      </c>
      <c r="H1686" s="333">
        <v>1</v>
      </c>
      <c r="I1686" s="333" t="s">
        <v>4712</v>
      </c>
      <c r="J1686" s="333" t="s">
        <v>46</v>
      </c>
      <c r="K1686" s="333" t="s">
        <v>32</v>
      </c>
      <c r="L1686" s="333"/>
      <c r="M1686" s="333"/>
      <c r="N1686" s="417"/>
      <c r="O1686" s="417"/>
      <c r="P1686" s="462"/>
      <c r="Q1686" s="333"/>
      <c r="R1686" s="333"/>
      <c r="S1686" s="373"/>
      <c r="T1686" s="373"/>
      <c r="U1686" s="373"/>
      <c r="V1686" s="373"/>
      <c r="W1686" s="346"/>
      <c r="X1686" s="373"/>
      <c r="Y1686" s="373"/>
      <c r="Z1686" s="474"/>
      <c r="AA1686" s="373"/>
      <c r="AB1686" s="373"/>
      <c r="AD1686" s="338"/>
    </row>
    <row r="1687" spans="1:30" ht="12.75" customHeight="1" x14ac:dyDescent="0.25">
      <c r="A1687" s="558" t="s">
        <v>4713</v>
      </c>
      <c r="B1687" s="376">
        <v>45552</v>
      </c>
      <c r="C1687" s="333" t="s">
        <v>26</v>
      </c>
      <c r="D1687" s="333" t="s">
        <v>1007</v>
      </c>
      <c r="E1687" s="332"/>
      <c r="F1687" s="599">
        <v>1800871</v>
      </c>
      <c r="G1687" s="396" t="s">
        <v>4695</v>
      </c>
      <c r="H1687" s="333">
        <v>1</v>
      </c>
      <c r="I1687" s="333" t="s">
        <v>4714</v>
      </c>
      <c r="J1687" s="333" t="s">
        <v>31</v>
      </c>
      <c r="K1687" s="333" t="s">
        <v>32</v>
      </c>
      <c r="L1687" s="333"/>
      <c r="M1687" s="333"/>
      <c r="N1687" s="417"/>
      <c r="O1687" s="417"/>
      <c r="P1687" s="462"/>
      <c r="Q1687" s="333"/>
      <c r="R1687" s="333"/>
      <c r="S1687" s="373"/>
      <c r="T1687" s="373"/>
      <c r="U1687" s="373"/>
      <c r="V1687" s="373"/>
      <c r="W1687" s="346"/>
      <c r="X1687" s="373"/>
      <c r="Y1687" s="373"/>
      <c r="Z1687" s="474"/>
      <c r="AA1687" s="373"/>
      <c r="AB1687" s="373"/>
      <c r="AD1687" s="338"/>
    </row>
    <row r="1688" spans="1:30" ht="12.75" customHeight="1" x14ac:dyDescent="0.25">
      <c r="A1688" s="558" t="s">
        <v>4715</v>
      </c>
      <c r="B1688" s="376">
        <v>45553</v>
      </c>
      <c r="C1688" s="333" t="s">
        <v>26</v>
      </c>
      <c r="D1688" s="333" t="s">
        <v>1259</v>
      </c>
      <c r="E1688" s="332"/>
      <c r="F1688" s="599">
        <v>1738543</v>
      </c>
      <c r="G1688" s="396" t="s">
        <v>4716</v>
      </c>
      <c r="H1688" s="333">
        <v>2</v>
      </c>
      <c r="I1688" s="333" t="s">
        <v>4709</v>
      </c>
      <c r="J1688" s="333" t="s">
        <v>541</v>
      </c>
      <c r="K1688" s="333" t="s">
        <v>32</v>
      </c>
      <c r="L1688" s="333"/>
      <c r="M1688" s="333"/>
      <c r="N1688" s="417"/>
      <c r="O1688" s="417"/>
      <c r="P1688" s="462"/>
      <c r="Q1688" s="333"/>
      <c r="R1688" s="333"/>
      <c r="S1688" s="373"/>
      <c r="T1688" s="373"/>
      <c r="U1688" s="373"/>
      <c r="V1688" s="373"/>
      <c r="W1688" s="346"/>
      <c r="X1688" s="373"/>
      <c r="Y1688" s="373"/>
      <c r="Z1688" s="474"/>
      <c r="AA1688" s="373"/>
      <c r="AB1688" s="373"/>
      <c r="AD1688" s="338"/>
    </row>
    <row r="1689" spans="1:30" ht="12.75" customHeight="1" x14ac:dyDescent="0.25">
      <c r="A1689" s="558" t="s">
        <v>4717</v>
      </c>
      <c r="B1689" s="376">
        <v>45555</v>
      </c>
      <c r="C1689" s="333" t="s">
        <v>26</v>
      </c>
      <c r="D1689" s="333" t="s">
        <v>988</v>
      </c>
      <c r="E1689" s="332"/>
      <c r="F1689" s="599">
        <v>3177565</v>
      </c>
      <c r="G1689" s="396" t="s">
        <v>4718</v>
      </c>
      <c r="H1689" s="333">
        <v>3</v>
      </c>
      <c r="I1689" s="333" t="s">
        <v>4719</v>
      </c>
      <c r="J1689" s="333" t="s">
        <v>46</v>
      </c>
      <c r="K1689" s="333" t="s">
        <v>32</v>
      </c>
      <c r="L1689" s="333"/>
      <c r="M1689" s="333"/>
      <c r="N1689" s="417"/>
      <c r="O1689" s="417"/>
      <c r="P1689" s="462"/>
      <c r="Q1689" s="333"/>
      <c r="R1689" s="333"/>
      <c r="S1689" s="373"/>
      <c r="T1689" s="373"/>
      <c r="U1689" s="373"/>
      <c r="V1689" s="373"/>
      <c r="W1689" s="346"/>
      <c r="X1689" s="373"/>
      <c r="Y1689" s="373"/>
      <c r="Z1689" s="474"/>
      <c r="AA1689" s="373"/>
      <c r="AB1689" s="373"/>
      <c r="AD1689" s="338"/>
    </row>
    <row r="1690" spans="1:30" ht="12.75" customHeight="1" x14ac:dyDescent="0.25">
      <c r="A1690" s="558" t="s">
        <v>4720</v>
      </c>
      <c r="B1690" s="581">
        <v>45558</v>
      </c>
      <c r="C1690" s="333" t="s">
        <v>26</v>
      </c>
      <c r="D1690" s="333" t="s">
        <v>988</v>
      </c>
      <c r="E1690" s="332"/>
      <c r="F1690" s="599">
        <v>2171848</v>
      </c>
      <c r="G1690" s="396" t="s">
        <v>4721</v>
      </c>
      <c r="H1690" s="333">
        <v>1</v>
      </c>
      <c r="I1690" s="333" t="s">
        <v>4719</v>
      </c>
      <c r="J1690" s="333" t="s">
        <v>31</v>
      </c>
      <c r="K1690" s="333" t="s">
        <v>32</v>
      </c>
      <c r="L1690" s="364"/>
      <c r="M1690" s="364"/>
      <c r="N1690" s="485"/>
      <c r="O1690" s="485"/>
      <c r="P1690" s="491"/>
      <c r="Q1690" s="364"/>
      <c r="R1690" s="364"/>
      <c r="S1690" s="369"/>
      <c r="T1690" s="369"/>
      <c r="U1690" s="369"/>
      <c r="V1690" s="369"/>
      <c r="W1690" s="370"/>
      <c r="X1690" s="369"/>
      <c r="Y1690" s="369"/>
      <c r="Z1690" s="479"/>
      <c r="AA1690" s="369"/>
      <c r="AB1690" s="369"/>
    </row>
    <row r="1691" spans="1:30" ht="12.75" customHeight="1" x14ac:dyDescent="0.25">
      <c r="A1691" s="558" t="s">
        <v>4722</v>
      </c>
      <c r="B1691" s="376">
        <v>45558</v>
      </c>
      <c r="C1691" s="333" t="s">
        <v>26</v>
      </c>
      <c r="D1691" s="333" t="s">
        <v>988</v>
      </c>
      <c r="E1691" s="332"/>
      <c r="F1691" s="599">
        <v>2246504</v>
      </c>
      <c r="G1691" s="396" t="s">
        <v>4723</v>
      </c>
      <c r="H1691" s="333">
        <v>6</v>
      </c>
      <c r="I1691" s="333" t="s">
        <v>4724</v>
      </c>
      <c r="J1691" s="333" t="s">
        <v>43</v>
      </c>
      <c r="K1691" s="333" t="s">
        <v>32</v>
      </c>
      <c r="L1691" s="333"/>
      <c r="M1691" s="333"/>
      <c r="N1691" s="417"/>
      <c r="O1691" s="417"/>
      <c r="P1691" s="462"/>
      <c r="Q1691" s="333"/>
      <c r="R1691" s="333"/>
      <c r="S1691" s="333"/>
      <c r="T1691" s="333"/>
      <c r="U1691" s="417"/>
      <c r="V1691" s="417"/>
      <c r="W1691" s="462"/>
      <c r="X1691" s="373"/>
      <c r="Y1691" s="373"/>
      <c r="Z1691" s="373"/>
      <c r="AA1691" s="373"/>
      <c r="AB1691" s="373"/>
    </row>
    <row r="1692" spans="1:30" ht="12.75" customHeight="1" x14ac:dyDescent="0.25">
      <c r="A1692" s="558" t="s">
        <v>4725</v>
      </c>
      <c r="B1692" s="376">
        <v>45560</v>
      </c>
      <c r="C1692" s="333" t="s">
        <v>26</v>
      </c>
      <c r="D1692" s="333" t="s">
        <v>1007</v>
      </c>
      <c r="E1692" s="333"/>
      <c r="F1692" s="602">
        <v>816102</v>
      </c>
      <c r="G1692" s="333" t="s">
        <v>4726</v>
      </c>
      <c r="H1692" s="333">
        <v>6</v>
      </c>
      <c r="I1692" s="333" t="s">
        <v>4727</v>
      </c>
      <c r="J1692" s="333" t="s">
        <v>541</v>
      </c>
      <c r="K1692" s="333" t="s">
        <v>32</v>
      </c>
      <c r="L1692" s="333"/>
      <c r="M1692" s="333"/>
      <c r="N1692" s="417"/>
      <c r="O1692" s="417"/>
      <c r="P1692" s="462"/>
      <c r="Q1692" s="333"/>
      <c r="R1692" s="333"/>
      <c r="S1692" s="333"/>
      <c r="T1692" s="333"/>
      <c r="U1692" s="417"/>
      <c r="V1692" s="417"/>
      <c r="W1692" s="462"/>
      <c r="X1692" s="373"/>
      <c r="Y1692" s="373"/>
      <c r="Z1692" s="373"/>
      <c r="AA1692" s="373"/>
      <c r="AB1692" s="373"/>
    </row>
    <row r="1693" spans="1:30" ht="12.75" customHeight="1" x14ac:dyDescent="0.25">
      <c r="A1693" s="558" t="s">
        <v>4728</v>
      </c>
      <c r="B1693" s="376">
        <v>45560</v>
      </c>
      <c r="C1693" s="333" t="s">
        <v>26</v>
      </c>
      <c r="D1693" s="333" t="s">
        <v>1259</v>
      </c>
      <c r="E1693" s="333"/>
      <c r="F1693" s="599">
        <v>2675468</v>
      </c>
      <c r="G1693" s="333" t="s">
        <v>4726</v>
      </c>
      <c r="H1693" s="333">
        <v>2</v>
      </c>
      <c r="I1693" s="333" t="s">
        <v>4709</v>
      </c>
      <c r="J1693" s="333" t="s">
        <v>541</v>
      </c>
      <c r="K1693" s="333" t="s">
        <v>32</v>
      </c>
      <c r="L1693" s="333"/>
      <c r="M1693" s="333"/>
      <c r="N1693" s="417"/>
      <c r="O1693" s="417"/>
      <c r="P1693" s="462"/>
      <c r="Q1693" s="333"/>
      <c r="R1693" s="333"/>
      <c r="S1693" s="373"/>
      <c r="T1693" s="373"/>
      <c r="U1693" s="373"/>
      <c r="V1693" s="373"/>
      <c r="W1693" s="346"/>
      <c r="X1693" s="373"/>
      <c r="Y1693" s="373"/>
      <c r="Z1693" s="373"/>
      <c r="AA1693" s="373"/>
      <c r="AB1693" s="373"/>
    </row>
    <row r="1694" spans="1:30" ht="12.75" customHeight="1" x14ac:dyDescent="0.25">
      <c r="A1694" s="558" t="s">
        <v>4729</v>
      </c>
      <c r="B1694" s="376">
        <v>45560</v>
      </c>
      <c r="C1694" s="333" t="s">
        <v>26</v>
      </c>
      <c r="D1694" s="333" t="s">
        <v>988</v>
      </c>
      <c r="E1694" s="333"/>
      <c r="F1694" s="599">
        <v>2406029</v>
      </c>
      <c r="G1694" s="333" t="s">
        <v>4730</v>
      </c>
      <c r="H1694" s="333">
        <v>1</v>
      </c>
      <c r="I1694" s="333" t="s">
        <v>4724</v>
      </c>
      <c r="J1694" s="333" t="s">
        <v>68</v>
      </c>
      <c r="K1694" s="333" t="s">
        <v>69</v>
      </c>
      <c r="L1694" s="333"/>
      <c r="M1694" s="333"/>
      <c r="N1694" s="417"/>
      <c r="O1694" s="417"/>
      <c r="P1694" s="462"/>
      <c r="Q1694" s="333"/>
      <c r="R1694" s="333"/>
      <c r="S1694" s="373"/>
      <c r="T1694" s="373"/>
      <c r="U1694" s="373"/>
      <c r="V1694" s="373"/>
      <c r="W1694" s="346"/>
      <c r="X1694" s="373"/>
      <c r="Y1694" s="373"/>
      <c r="Z1694" s="373"/>
      <c r="AA1694" s="373"/>
      <c r="AB1694" s="373"/>
    </row>
    <row r="1695" spans="1:30" ht="12.75" customHeight="1" x14ac:dyDescent="0.25">
      <c r="A1695" s="558" t="s">
        <v>4731</v>
      </c>
      <c r="B1695" s="603">
        <v>45541</v>
      </c>
      <c r="C1695" s="333" t="s">
        <v>219</v>
      </c>
      <c r="D1695" s="333">
        <v>1918</v>
      </c>
      <c r="E1695" s="333" t="s">
        <v>4732</v>
      </c>
      <c r="F1695" s="599">
        <v>11385896028</v>
      </c>
      <c r="G1695" s="333" t="s">
        <v>4733</v>
      </c>
      <c r="H1695" s="333">
        <v>72</v>
      </c>
      <c r="I1695" s="333" t="s">
        <v>4734</v>
      </c>
      <c r="J1695" s="333" t="s">
        <v>46</v>
      </c>
      <c r="K1695" s="333" t="s">
        <v>32</v>
      </c>
      <c r="L1695" s="333"/>
      <c r="M1695" s="333"/>
      <c r="N1695" s="417"/>
      <c r="O1695" s="417"/>
      <c r="P1695" s="462"/>
      <c r="Q1695" s="333"/>
      <c r="R1695" s="333"/>
      <c r="S1695" s="373"/>
      <c r="T1695" s="373"/>
      <c r="U1695" s="373"/>
      <c r="V1695" s="373"/>
      <c r="W1695" s="346"/>
      <c r="X1695" s="373"/>
      <c r="Y1695" s="373"/>
      <c r="Z1695" s="373"/>
      <c r="AA1695" s="373"/>
      <c r="AB1695" s="373"/>
    </row>
    <row r="1696" spans="1:30" ht="12.75" customHeight="1" x14ac:dyDescent="0.25">
      <c r="A1696" s="558" t="s">
        <v>4735</v>
      </c>
      <c r="B1696" s="604">
        <v>45481</v>
      </c>
      <c r="C1696" s="333" t="s">
        <v>219</v>
      </c>
      <c r="D1696" s="333">
        <v>1216</v>
      </c>
      <c r="E1696" s="333" t="s">
        <v>4732</v>
      </c>
      <c r="F1696" s="599" t="s">
        <v>4736</v>
      </c>
      <c r="G1696" s="333" t="s">
        <v>4737</v>
      </c>
      <c r="H1696" s="333">
        <v>4</v>
      </c>
      <c r="I1696" s="333" t="s">
        <v>4184</v>
      </c>
      <c r="J1696" s="333" t="s">
        <v>43</v>
      </c>
      <c r="K1696" s="333" t="s">
        <v>32</v>
      </c>
      <c r="L1696" s="333"/>
      <c r="M1696" s="333"/>
      <c r="N1696" s="417"/>
      <c r="O1696" s="417"/>
      <c r="P1696" s="462"/>
      <c r="Q1696" s="333"/>
      <c r="R1696" s="333"/>
      <c r="S1696" s="373"/>
      <c r="T1696" s="373"/>
      <c r="U1696" s="373"/>
      <c r="V1696" s="373"/>
      <c r="W1696" s="346"/>
      <c r="X1696" s="373"/>
      <c r="Y1696" s="373"/>
      <c r="Z1696" s="373"/>
      <c r="AA1696" s="373" t="str">
        <f>VLOOKUP(F2, 'STORE ITEMS'!C:K, 9, FALSE)</f>
        <v>RECEIVED</v>
      </c>
      <c r="AB1696" s="373"/>
    </row>
    <row r="1697" spans="1:28" ht="12.75" customHeight="1" x14ac:dyDescent="0.25">
      <c r="A1697" s="558" t="s">
        <v>4738</v>
      </c>
      <c r="B1697" s="604">
        <v>45545</v>
      </c>
      <c r="C1697" s="333" t="s">
        <v>219</v>
      </c>
      <c r="D1697" s="333" t="s">
        <v>2541</v>
      </c>
      <c r="E1697" s="333" t="s">
        <v>4732</v>
      </c>
      <c r="F1697" s="599" t="s">
        <v>4739</v>
      </c>
      <c r="G1697" s="333" t="s">
        <v>4740</v>
      </c>
      <c r="H1697" s="333">
        <v>1</v>
      </c>
      <c r="I1697" s="333" t="s">
        <v>2543</v>
      </c>
      <c r="J1697" s="333" t="s">
        <v>31</v>
      </c>
      <c r="K1697" s="333" t="s">
        <v>32</v>
      </c>
      <c r="L1697" s="333"/>
      <c r="M1697" s="333"/>
      <c r="N1697" s="417"/>
      <c r="O1697" s="417"/>
      <c r="P1697" s="462"/>
      <c r="Q1697" s="333"/>
      <c r="R1697" s="333"/>
      <c r="S1697" s="373"/>
      <c r="T1697" s="373"/>
      <c r="U1697" s="373"/>
      <c r="V1697" s="373"/>
      <c r="W1697" s="346"/>
      <c r="X1697" s="373"/>
      <c r="Y1697" s="373"/>
      <c r="Z1697" s="373"/>
      <c r="AA1697" s="373"/>
      <c r="AB1697" s="373"/>
    </row>
    <row r="1698" spans="1:28" ht="12.75" customHeight="1" x14ac:dyDescent="0.25">
      <c r="A1698" s="558" t="s">
        <v>4741</v>
      </c>
      <c r="B1698" s="604">
        <v>45484</v>
      </c>
      <c r="C1698" s="333" t="s">
        <v>219</v>
      </c>
      <c r="D1698" s="333" t="s">
        <v>3700</v>
      </c>
      <c r="E1698" s="333" t="s">
        <v>4732</v>
      </c>
      <c r="F1698" s="599" t="s">
        <v>4742</v>
      </c>
      <c r="G1698" s="333" t="s">
        <v>4743</v>
      </c>
      <c r="H1698" s="333">
        <v>1</v>
      </c>
      <c r="I1698" s="333" t="s">
        <v>4220</v>
      </c>
      <c r="J1698" s="333" t="s">
        <v>31</v>
      </c>
      <c r="K1698" s="333" t="s">
        <v>32</v>
      </c>
      <c r="L1698" s="333"/>
      <c r="M1698" s="333"/>
      <c r="N1698" s="417"/>
      <c r="O1698" s="417"/>
      <c r="P1698" s="462"/>
      <c r="Q1698" s="333"/>
      <c r="R1698" s="333"/>
      <c r="S1698" s="373"/>
      <c r="T1698" s="373"/>
      <c r="U1698" s="373"/>
      <c r="V1698" s="373"/>
      <c r="W1698" s="346"/>
      <c r="X1698" s="373"/>
      <c r="Y1698" s="373"/>
      <c r="Z1698" s="373"/>
      <c r="AA1698" s="373"/>
      <c r="AB1698" s="373"/>
    </row>
    <row r="1699" spans="1:28" ht="12.75" customHeight="1" x14ac:dyDescent="0.25">
      <c r="A1699" s="558" t="s">
        <v>4744</v>
      </c>
      <c r="B1699" s="604">
        <v>45516</v>
      </c>
      <c r="C1699" s="333" t="s">
        <v>219</v>
      </c>
      <c r="D1699" s="333" t="s">
        <v>3700</v>
      </c>
      <c r="E1699" s="333" t="s">
        <v>4732</v>
      </c>
      <c r="F1699" s="599">
        <v>269954209928</v>
      </c>
      <c r="G1699" s="333" t="s">
        <v>4745</v>
      </c>
      <c r="H1699" s="333">
        <v>1</v>
      </c>
      <c r="I1699" s="333" t="s">
        <v>4746</v>
      </c>
      <c r="J1699" s="333" t="s">
        <v>46</v>
      </c>
      <c r="K1699" s="333" t="s">
        <v>32</v>
      </c>
      <c r="L1699" s="333"/>
      <c r="M1699" s="333"/>
      <c r="N1699" s="417"/>
      <c r="O1699" s="417"/>
      <c r="P1699" s="462"/>
      <c r="Q1699" s="333"/>
      <c r="R1699" s="333"/>
      <c r="S1699" s="373"/>
      <c r="T1699" s="373"/>
      <c r="U1699" s="373"/>
      <c r="V1699" s="373"/>
      <c r="W1699" s="346"/>
      <c r="X1699" s="373"/>
      <c r="Y1699" s="373"/>
      <c r="Z1699" s="373"/>
      <c r="AA1699" s="373"/>
      <c r="AB1699" s="373"/>
    </row>
    <row r="1700" spans="1:28" ht="12.75" customHeight="1" x14ac:dyDescent="0.25">
      <c r="A1700" s="558" t="s">
        <v>4747</v>
      </c>
      <c r="B1700" s="604">
        <v>45516</v>
      </c>
      <c r="C1700" s="333" t="s">
        <v>219</v>
      </c>
      <c r="D1700" s="333" t="s">
        <v>3700</v>
      </c>
      <c r="E1700" s="333" t="s">
        <v>4732</v>
      </c>
      <c r="F1700" s="599">
        <v>289868900116</v>
      </c>
      <c r="G1700" s="333" t="s">
        <v>4748</v>
      </c>
      <c r="H1700" s="333">
        <v>1</v>
      </c>
      <c r="I1700" s="333" t="s">
        <v>4746</v>
      </c>
      <c r="J1700" s="333" t="s">
        <v>31</v>
      </c>
      <c r="K1700" s="333" t="s">
        <v>32</v>
      </c>
      <c r="L1700" s="333"/>
      <c r="M1700" s="333"/>
      <c r="N1700" s="417"/>
      <c r="O1700" s="417"/>
      <c r="P1700" s="462"/>
      <c r="Q1700" s="333"/>
      <c r="R1700" s="333"/>
      <c r="S1700" s="373"/>
      <c r="T1700" s="373"/>
      <c r="U1700" s="373"/>
      <c r="V1700" s="373"/>
      <c r="W1700" s="346"/>
      <c r="X1700" s="373"/>
      <c r="Y1700" s="373"/>
      <c r="Z1700" s="373"/>
      <c r="AA1700" s="373"/>
      <c r="AB1700" s="373"/>
    </row>
    <row r="1701" spans="1:28" ht="12.75" customHeight="1" x14ac:dyDescent="0.25">
      <c r="A1701" s="558" t="s">
        <v>4749</v>
      </c>
      <c r="B1701" s="604">
        <v>45516</v>
      </c>
      <c r="C1701" s="333" t="s">
        <v>219</v>
      </c>
      <c r="D1701" s="333" t="s">
        <v>3700</v>
      </c>
      <c r="E1701" s="333" t="s">
        <v>4732</v>
      </c>
      <c r="F1701" s="599" t="s">
        <v>4750</v>
      </c>
      <c r="G1701" s="333" t="s">
        <v>4751</v>
      </c>
      <c r="H1701" s="333">
        <v>1</v>
      </c>
      <c r="I1701" s="333" t="s">
        <v>4746</v>
      </c>
      <c r="J1701" s="333" t="s">
        <v>31</v>
      </c>
      <c r="K1701" s="333" t="s">
        <v>32</v>
      </c>
      <c r="L1701" s="333"/>
      <c r="M1701" s="333"/>
      <c r="N1701" s="417"/>
      <c r="O1701" s="417"/>
      <c r="P1701" s="462"/>
      <c r="Q1701" s="333"/>
      <c r="R1701" s="333"/>
      <c r="S1701" s="373"/>
      <c r="T1701" s="373"/>
      <c r="U1701" s="373"/>
      <c r="V1701" s="373"/>
      <c r="W1701" s="346"/>
      <c r="X1701" s="373"/>
      <c r="Y1701" s="373"/>
      <c r="Z1701" s="373"/>
      <c r="AA1701" s="373"/>
      <c r="AB1701" s="373"/>
    </row>
    <row r="1702" spans="1:28" ht="12.75" customHeight="1" x14ac:dyDescent="0.25">
      <c r="A1702" s="558" t="s">
        <v>4752</v>
      </c>
      <c r="B1702" s="604">
        <v>45516</v>
      </c>
      <c r="C1702" s="333" t="s">
        <v>219</v>
      </c>
      <c r="D1702" s="333" t="s">
        <v>3700</v>
      </c>
      <c r="E1702" s="333" t="s">
        <v>4732</v>
      </c>
      <c r="F1702" s="599" t="s">
        <v>4750</v>
      </c>
      <c r="G1702" s="333" t="s">
        <v>4751</v>
      </c>
      <c r="H1702" s="333">
        <v>7</v>
      </c>
      <c r="I1702" s="333" t="s">
        <v>4746</v>
      </c>
      <c r="J1702" s="333" t="s">
        <v>43</v>
      </c>
      <c r="K1702" s="333" t="s">
        <v>32</v>
      </c>
      <c r="L1702" s="333"/>
      <c r="M1702" s="333"/>
      <c r="N1702" s="417"/>
      <c r="O1702" s="417"/>
      <c r="P1702" s="462"/>
      <c r="Q1702" s="333"/>
      <c r="R1702" s="333"/>
      <c r="S1702" s="373"/>
      <c r="T1702" s="373"/>
      <c r="U1702" s="373"/>
      <c r="V1702" s="373"/>
      <c r="W1702" s="346"/>
      <c r="X1702" s="373"/>
      <c r="Y1702" s="373"/>
      <c r="Z1702" s="373"/>
      <c r="AA1702" s="373"/>
      <c r="AB1702" s="373"/>
    </row>
    <row r="1703" spans="1:28" ht="12.75" customHeight="1" x14ac:dyDescent="0.25">
      <c r="A1703" s="558" t="s">
        <v>4753</v>
      </c>
      <c r="B1703" s="604">
        <v>45516</v>
      </c>
      <c r="C1703" s="333" t="s">
        <v>219</v>
      </c>
      <c r="D1703" s="333">
        <v>1216</v>
      </c>
      <c r="E1703" s="333" t="s">
        <v>4732</v>
      </c>
      <c r="F1703" s="599">
        <v>215340100124</v>
      </c>
      <c r="G1703" s="333" t="s">
        <v>4754</v>
      </c>
      <c r="H1703" s="333">
        <v>1</v>
      </c>
      <c r="I1703" s="333" t="s">
        <v>4184</v>
      </c>
      <c r="J1703" s="333" t="s">
        <v>31</v>
      </c>
      <c r="K1703" s="333" t="s">
        <v>32</v>
      </c>
      <c r="L1703" s="333"/>
      <c r="M1703" s="333"/>
      <c r="N1703" s="417"/>
      <c r="O1703" s="417"/>
      <c r="P1703" s="462"/>
      <c r="Q1703" s="333"/>
      <c r="R1703" s="333"/>
      <c r="S1703" s="373"/>
      <c r="T1703" s="373"/>
      <c r="U1703" s="373"/>
      <c r="V1703" s="373"/>
      <c r="W1703" s="346"/>
      <c r="X1703" s="373"/>
      <c r="Y1703" s="373"/>
      <c r="Z1703" s="373"/>
      <c r="AA1703" s="373"/>
      <c r="AB1703" s="373"/>
    </row>
    <row r="1704" spans="1:28" ht="12.75" customHeight="1" x14ac:dyDescent="0.25">
      <c r="A1704" s="558" t="s">
        <v>4755</v>
      </c>
      <c r="B1704" s="604">
        <v>45516</v>
      </c>
      <c r="C1704" s="333" t="s">
        <v>219</v>
      </c>
      <c r="D1704" s="333">
        <v>1918</v>
      </c>
      <c r="E1704" s="333" t="s">
        <v>4732</v>
      </c>
      <c r="F1704" s="599">
        <v>550754209932</v>
      </c>
      <c r="G1704" s="333" t="s">
        <v>4756</v>
      </c>
      <c r="H1704" s="333">
        <v>2</v>
      </c>
      <c r="I1704" s="333" t="s">
        <v>4757</v>
      </c>
      <c r="J1704" s="333" t="s">
        <v>43</v>
      </c>
      <c r="K1704" s="333" t="s">
        <v>32</v>
      </c>
      <c r="L1704" s="333"/>
      <c r="M1704" s="333"/>
      <c r="N1704" s="417"/>
      <c r="O1704" s="417"/>
      <c r="P1704" s="462"/>
      <c r="Q1704" s="333"/>
      <c r="R1704" s="333"/>
      <c r="S1704" s="373"/>
      <c r="T1704" s="373"/>
      <c r="U1704" s="373"/>
      <c r="V1704" s="373"/>
      <c r="W1704" s="346"/>
      <c r="X1704" s="373"/>
      <c r="Y1704" s="373"/>
      <c r="Z1704" s="373"/>
      <c r="AA1704" s="373"/>
      <c r="AB1704" s="373"/>
    </row>
    <row r="1705" spans="1:28" ht="12.75" customHeight="1" x14ac:dyDescent="0.25">
      <c r="A1705" s="558" t="s">
        <v>4758</v>
      </c>
      <c r="B1705" s="604">
        <v>45547</v>
      </c>
      <c r="C1705" s="333" t="s">
        <v>219</v>
      </c>
      <c r="D1705" s="333">
        <v>1918</v>
      </c>
      <c r="E1705" s="333" t="s">
        <v>4732</v>
      </c>
      <c r="F1705" s="599">
        <v>550754249901</v>
      </c>
      <c r="G1705" s="333" t="s">
        <v>4759</v>
      </c>
      <c r="H1705" s="333">
        <v>11</v>
      </c>
      <c r="I1705" s="333" t="s">
        <v>4757</v>
      </c>
      <c r="J1705" s="333" t="s">
        <v>31</v>
      </c>
      <c r="K1705" s="333" t="s">
        <v>32</v>
      </c>
      <c r="L1705" s="333"/>
      <c r="M1705" s="333"/>
      <c r="N1705" s="417"/>
      <c r="O1705" s="417"/>
      <c r="P1705" s="462"/>
      <c r="Q1705" s="333"/>
      <c r="R1705" s="333"/>
      <c r="S1705" s="373"/>
      <c r="T1705" s="373"/>
      <c r="U1705" s="373"/>
      <c r="V1705" s="373"/>
      <c r="W1705" s="346"/>
      <c r="X1705" s="373"/>
      <c r="Y1705" s="373"/>
      <c r="Z1705" s="373"/>
      <c r="AA1705" s="373"/>
      <c r="AB1705" s="373"/>
    </row>
    <row r="1706" spans="1:28" ht="12.75" customHeight="1" x14ac:dyDescent="0.25">
      <c r="A1706" s="558" t="s">
        <v>4760</v>
      </c>
      <c r="B1706" s="604">
        <v>45547</v>
      </c>
      <c r="C1706" s="333" t="s">
        <v>219</v>
      </c>
      <c r="D1706" s="333">
        <v>1918</v>
      </c>
      <c r="E1706" s="333" t="s">
        <v>4732</v>
      </c>
      <c r="F1706" s="599">
        <v>553024200101</v>
      </c>
      <c r="G1706" s="333" t="s">
        <v>4761</v>
      </c>
      <c r="H1706" s="333">
        <v>1</v>
      </c>
      <c r="I1706" s="333" t="s">
        <v>4757</v>
      </c>
      <c r="J1706" s="333" t="s">
        <v>31</v>
      </c>
      <c r="K1706" s="333" t="s">
        <v>32</v>
      </c>
      <c r="L1706" s="333"/>
      <c r="M1706" s="333"/>
      <c r="N1706" s="417"/>
      <c r="O1706" s="417"/>
      <c r="P1706" s="462"/>
      <c r="Q1706" s="333"/>
      <c r="R1706" s="333"/>
      <c r="S1706" s="373"/>
      <c r="T1706" s="373"/>
      <c r="U1706" s="373"/>
      <c r="V1706" s="373"/>
      <c r="W1706" s="346"/>
      <c r="X1706" s="373"/>
      <c r="Y1706" s="373"/>
      <c r="Z1706" s="373"/>
      <c r="AA1706" s="373"/>
      <c r="AB1706" s="373"/>
    </row>
    <row r="1707" spans="1:28" ht="12.75" customHeight="1" x14ac:dyDescent="0.25">
      <c r="A1707" s="558" t="s">
        <v>4762</v>
      </c>
      <c r="B1707" s="604">
        <v>45547</v>
      </c>
      <c r="C1707" s="333" t="s">
        <v>219</v>
      </c>
      <c r="D1707" s="333">
        <v>1216</v>
      </c>
      <c r="E1707" s="333" t="s">
        <v>4732</v>
      </c>
      <c r="F1707" s="599" t="s">
        <v>4763</v>
      </c>
      <c r="G1707" s="333" t="s">
        <v>4764</v>
      </c>
      <c r="H1707" s="333">
        <v>1</v>
      </c>
      <c r="I1707" s="333" t="s">
        <v>4757</v>
      </c>
      <c r="J1707" s="333" t="s">
        <v>31</v>
      </c>
      <c r="K1707" s="333" t="s">
        <v>32</v>
      </c>
      <c r="L1707" s="333"/>
      <c r="M1707" s="333"/>
      <c r="N1707" s="417"/>
      <c r="O1707" s="417"/>
      <c r="P1707" s="462"/>
      <c r="Q1707" s="333"/>
      <c r="R1707" s="333"/>
      <c r="S1707" s="373"/>
      <c r="T1707" s="373"/>
      <c r="U1707" s="373"/>
      <c r="V1707" s="373"/>
      <c r="W1707" s="346"/>
      <c r="X1707" s="373"/>
      <c r="Y1707" s="373"/>
      <c r="Z1707" s="373"/>
      <c r="AA1707" s="373"/>
      <c r="AB1707" s="373"/>
    </row>
    <row r="1708" spans="1:28" ht="12.75" customHeight="1" x14ac:dyDescent="0.25">
      <c r="A1708" s="558" t="s">
        <v>4765</v>
      </c>
      <c r="B1708" s="604">
        <v>45547</v>
      </c>
      <c r="C1708" s="333" t="s">
        <v>219</v>
      </c>
      <c r="D1708" s="333">
        <v>1918</v>
      </c>
      <c r="E1708" s="333" t="s">
        <v>4732</v>
      </c>
      <c r="F1708" s="599">
        <v>257344104203</v>
      </c>
      <c r="G1708" s="333" t="s">
        <v>4766</v>
      </c>
      <c r="H1708" s="333">
        <v>20</v>
      </c>
      <c r="I1708" s="333" t="s">
        <v>4757</v>
      </c>
      <c r="J1708" s="333" t="s">
        <v>43</v>
      </c>
      <c r="K1708" s="333" t="s">
        <v>32</v>
      </c>
      <c r="L1708" s="333"/>
      <c r="M1708" s="333"/>
      <c r="N1708" s="417"/>
      <c r="O1708" s="417"/>
      <c r="P1708" s="462"/>
      <c r="Q1708" s="333"/>
      <c r="R1708" s="333"/>
      <c r="S1708" s="373"/>
      <c r="T1708" s="373"/>
      <c r="U1708" s="373"/>
      <c r="V1708" s="373"/>
      <c r="W1708" s="346"/>
      <c r="X1708" s="373"/>
      <c r="Y1708" s="373"/>
      <c r="Z1708" s="373"/>
      <c r="AA1708" s="373"/>
      <c r="AB1708" s="373"/>
    </row>
    <row r="1709" spans="1:28" ht="12.75" customHeight="1" x14ac:dyDescent="0.25">
      <c r="A1709" s="558" t="s">
        <v>4767</v>
      </c>
      <c r="B1709" s="604">
        <v>45547</v>
      </c>
      <c r="C1709" s="333" t="s">
        <v>219</v>
      </c>
      <c r="D1709" s="333">
        <v>1918</v>
      </c>
      <c r="E1709" s="333" t="s">
        <v>4732</v>
      </c>
      <c r="F1709" s="599" t="s">
        <v>4768</v>
      </c>
      <c r="G1709" s="333" t="s">
        <v>4769</v>
      </c>
      <c r="H1709" s="333">
        <v>1</v>
      </c>
      <c r="I1709" s="333" t="s">
        <v>4757</v>
      </c>
      <c r="J1709" s="333" t="s">
        <v>31</v>
      </c>
      <c r="K1709" s="333" t="s">
        <v>32</v>
      </c>
      <c r="L1709" s="333"/>
      <c r="M1709" s="333"/>
      <c r="N1709" s="417"/>
      <c r="O1709" s="417"/>
      <c r="P1709" s="462"/>
      <c r="Q1709" s="333"/>
      <c r="R1709" s="333"/>
      <c r="S1709" s="373"/>
      <c r="T1709" s="373"/>
      <c r="U1709" s="373"/>
      <c r="V1709" s="373"/>
      <c r="W1709" s="346"/>
      <c r="X1709" s="373"/>
      <c r="Y1709" s="373"/>
      <c r="Z1709" s="373"/>
      <c r="AA1709" s="373"/>
      <c r="AB1709" s="373"/>
    </row>
    <row r="1710" spans="1:28" ht="12.75" customHeight="1" x14ac:dyDescent="0.25">
      <c r="A1710" s="558" t="s">
        <v>4770</v>
      </c>
      <c r="B1710" s="604">
        <v>45547</v>
      </c>
      <c r="C1710" s="333" t="s">
        <v>219</v>
      </c>
      <c r="D1710" s="333">
        <v>1918</v>
      </c>
      <c r="E1710" s="333" t="s">
        <v>4732</v>
      </c>
      <c r="F1710" s="599">
        <v>552943700121</v>
      </c>
      <c r="G1710" s="333" t="s">
        <v>4771</v>
      </c>
      <c r="H1710" s="333">
        <v>1</v>
      </c>
      <c r="I1710" s="333" t="s">
        <v>4757</v>
      </c>
      <c r="J1710" s="333" t="s">
        <v>68</v>
      </c>
      <c r="K1710" s="333" t="s">
        <v>69</v>
      </c>
      <c r="L1710" s="333"/>
      <c r="M1710" s="333"/>
      <c r="N1710" s="417"/>
      <c r="O1710" s="417"/>
      <c r="P1710" s="462"/>
      <c r="Q1710" s="333"/>
      <c r="R1710" s="333"/>
      <c r="S1710" s="373"/>
      <c r="T1710" s="373"/>
      <c r="U1710" s="373"/>
      <c r="V1710" s="373"/>
      <c r="W1710" s="346"/>
      <c r="X1710" s="373"/>
      <c r="Y1710" s="373"/>
      <c r="Z1710" s="373"/>
      <c r="AA1710" s="373"/>
      <c r="AB1710" s="373"/>
    </row>
    <row r="1711" spans="1:28" ht="12.75" customHeight="1" x14ac:dyDescent="0.25">
      <c r="A1711" s="558" t="s">
        <v>4772</v>
      </c>
      <c r="B1711" s="604">
        <v>45547</v>
      </c>
      <c r="C1711" s="333" t="s">
        <v>219</v>
      </c>
      <c r="D1711" s="333">
        <v>1918</v>
      </c>
      <c r="E1711" s="333" t="s">
        <v>4732</v>
      </c>
      <c r="F1711" s="599">
        <v>585889100178</v>
      </c>
      <c r="G1711" s="333" t="s">
        <v>4773</v>
      </c>
      <c r="H1711" s="333">
        <v>1</v>
      </c>
      <c r="I1711" s="333" t="s">
        <v>4757</v>
      </c>
      <c r="J1711" s="333" t="s">
        <v>31</v>
      </c>
      <c r="K1711" s="333" t="s">
        <v>32</v>
      </c>
      <c r="L1711" s="333"/>
      <c r="M1711" s="333"/>
      <c r="N1711" s="417"/>
      <c r="O1711" s="417"/>
      <c r="P1711" s="462"/>
      <c r="Q1711" s="333"/>
      <c r="R1711" s="333"/>
      <c r="S1711" s="373"/>
      <c r="T1711" s="373"/>
      <c r="U1711" s="373"/>
      <c r="V1711" s="373"/>
      <c r="W1711" s="346"/>
      <c r="X1711" s="373"/>
      <c r="Y1711" s="373"/>
      <c r="Z1711" s="373"/>
      <c r="AA1711" s="373"/>
      <c r="AB1711" s="373"/>
    </row>
    <row r="1712" spans="1:28" ht="12.75" customHeight="1" x14ac:dyDescent="0.25">
      <c r="A1712" s="558" t="s">
        <v>4774</v>
      </c>
      <c r="B1712" s="604">
        <v>45547</v>
      </c>
      <c r="C1712" s="333" t="s">
        <v>219</v>
      </c>
      <c r="D1712" s="333" t="s">
        <v>3700</v>
      </c>
      <c r="E1712" s="333" t="s">
        <v>4732</v>
      </c>
      <c r="F1712" s="599">
        <v>289472306036</v>
      </c>
      <c r="G1712" s="333" t="s">
        <v>4775</v>
      </c>
      <c r="H1712" s="333">
        <v>18</v>
      </c>
      <c r="I1712" s="333" t="s">
        <v>4734</v>
      </c>
      <c r="J1712" s="333" t="s">
        <v>31</v>
      </c>
      <c r="K1712" s="333" t="s">
        <v>32</v>
      </c>
      <c r="L1712" s="333"/>
      <c r="M1712" s="333"/>
      <c r="N1712" s="417"/>
      <c r="O1712" s="417"/>
      <c r="P1712" s="462"/>
      <c r="Q1712" s="333"/>
      <c r="R1712" s="333"/>
      <c r="S1712" s="373"/>
      <c r="T1712" s="373"/>
      <c r="U1712" s="373"/>
      <c r="V1712" s="373"/>
      <c r="W1712" s="346"/>
      <c r="X1712" s="373"/>
      <c r="Y1712" s="373"/>
      <c r="Z1712" s="373"/>
      <c r="AA1712" s="373"/>
      <c r="AB1712" s="373"/>
    </row>
    <row r="1713" spans="1:28" ht="12.75" customHeight="1" x14ac:dyDescent="0.25">
      <c r="A1713" s="558" t="s">
        <v>4776</v>
      </c>
      <c r="B1713" s="604">
        <v>45547</v>
      </c>
      <c r="C1713" s="333" t="s">
        <v>219</v>
      </c>
      <c r="D1713" s="333" t="s">
        <v>3700</v>
      </c>
      <c r="E1713" s="333" t="s">
        <v>4732</v>
      </c>
      <c r="F1713" s="599">
        <v>289472306314</v>
      </c>
      <c r="G1713" s="333" t="s">
        <v>4777</v>
      </c>
      <c r="H1713" s="333">
        <v>18</v>
      </c>
      <c r="I1713" s="333" t="s">
        <v>4734</v>
      </c>
      <c r="J1713" s="333" t="s">
        <v>31</v>
      </c>
      <c r="K1713" s="333" t="s">
        <v>32</v>
      </c>
      <c r="L1713" s="333"/>
      <c r="M1713" s="333"/>
      <c r="N1713" s="417"/>
      <c r="O1713" s="417"/>
      <c r="P1713" s="462"/>
      <c r="Q1713" s="333"/>
      <c r="R1713" s="333"/>
      <c r="S1713" s="373"/>
      <c r="T1713" s="373"/>
      <c r="U1713" s="373"/>
      <c r="V1713" s="373"/>
      <c r="W1713" s="346"/>
      <c r="X1713" s="373"/>
      <c r="Y1713" s="373"/>
      <c r="Z1713" s="373"/>
      <c r="AA1713" s="373"/>
      <c r="AB1713" s="373"/>
    </row>
    <row r="1714" spans="1:28" ht="12.75" customHeight="1" x14ac:dyDescent="0.25">
      <c r="A1714" s="558" t="s">
        <v>4778</v>
      </c>
      <c r="B1714" s="604">
        <v>45547</v>
      </c>
      <c r="C1714" s="333" t="s">
        <v>219</v>
      </c>
      <c r="D1714" s="333" t="s">
        <v>3700</v>
      </c>
      <c r="E1714" s="333" t="s">
        <v>4732</v>
      </c>
      <c r="F1714" s="599" t="s">
        <v>4750</v>
      </c>
      <c r="G1714" s="333" t="s">
        <v>4751</v>
      </c>
      <c r="H1714" s="333">
        <v>1</v>
      </c>
      <c r="I1714" s="333" t="s">
        <v>4734</v>
      </c>
      <c r="J1714" s="333" t="s">
        <v>31</v>
      </c>
      <c r="K1714" s="333" t="s">
        <v>32</v>
      </c>
      <c r="L1714" s="333"/>
      <c r="M1714" s="333"/>
      <c r="N1714" s="417"/>
      <c r="O1714" s="417"/>
      <c r="P1714" s="462"/>
      <c r="Q1714" s="333"/>
      <c r="R1714" s="333"/>
      <c r="S1714" s="373"/>
      <c r="T1714" s="373"/>
      <c r="U1714" s="373"/>
      <c r="V1714" s="373"/>
      <c r="W1714" s="346"/>
      <c r="X1714" s="373"/>
      <c r="Y1714" s="373"/>
      <c r="Z1714" s="373"/>
      <c r="AA1714" s="373"/>
      <c r="AB1714" s="373"/>
    </row>
    <row r="1715" spans="1:28" ht="12.75" customHeight="1" x14ac:dyDescent="0.25">
      <c r="A1715" s="558" t="s">
        <v>4779</v>
      </c>
      <c r="B1715" s="604">
        <v>45547</v>
      </c>
      <c r="C1715" s="333" t="s">
        <v>219</v>
      </c>
      <c r="D1715" s="333" t="s">
        <v>3700</v>
      </c>
      <c r="E1715" s="333" t="s">
        <v>4732</v>
      </c>
      <c r="F1715" s="599">
        <v>553240109903</v>
      </c>
      <c r="G1715" s="333" t="s">
        <v>4780</v>
      </c>
      <c r="H1715" s="333">
        <v>1</v>
      </c>
      <c r="I1715" s="333" t="s">
        <v>4734</v>
      </c>
      <c r="J1715" s="333" t="s">
        <v>31</v>
      </c>
      <c r="K1715" s="333" t="s">
        <v>32</v>
      </c>
      <c r="L1715" s="333"/>
      <c r="M1715" s="333"/>
      <c r="N1715" s="417"/>
      <c r="O1715" s="417"/>
      <c r="P1715" s="462"/>
      <c r="Q1715" s="333"/>
      <c r="R1715" s="333"/>
      <c r="S1715" s="373"/>
      <c r="T1715" s="373"/>
      <c r="U1715" s="373"/>
      <c r="V1715" s="373"/>
      <c r="W1715" s="346"/>
      <c r="X1715" s="373"/>
      <c r="Y1715" s="373"/>
      <c r="Z1715" s="373"/>
      <c r="AA1715" s="373"/>
      <c r="AB1715" s="373"/>
    </row>
    <row r="1716" spans="1:28" ht="12.75" customHeight="1" x14ac:dyDescent="0.25">
      <c r="A1716" s="558" t="s">
        <v>4781</v>
      </c>
      <c r="B1716" s="604">
        <v>45517</v>
      </c>
      <c r="C1716" s="333" t="s">
        <v>219</v>
      </c>
      <c r="D1716" s="333" t="s">
        <v>3700</v>
      </c>
      <c r="E1716" s="333" t="s">
        <v>4732</v>
      </c>
      <c r="F1716" s="599">
        <v>289472306037</v>
      </c>
      <c r="G1716" s="333" t="s">
        <v>4782</v>
      </c>
      <c r="H1716" s="333">
        <v>18</v>
      </c>
      <c r="I1716" s="333" t="s">
        <v>4746</v>
      </c>
      <c r="J1716" s="333" t="s">
        <v>31</v>
      </c>
      <c r="K1716" s="333" t="s">
        <v>32</v>
      </c>
      <c r="L1716" s="333"/>
      <c r="M1716" s="333"/>
      <c r="N1716" s="417"/>
      <c r="O1716" s="417"/>
      <c r="P1716" s="462"/>
      <c r="Q1716" s="333"/>
      <c r="R1716" s="333"/>
      <c r="S1716" s="373"/>
      <c r="T1716" s="373"/>
      <c r="U1716" s="373"/>
      <c r="V1716" s="373"/>
      <c r="W1716" s="346"/>
      <c r="X1716" s="373"/>
      <c r="Y1716" s="373"/>
      <c r="Z1716" s="373"/>
      <c r="AA1716" s="373"/>
      <c r="AB1716" s="373"/>
    </row>
    <row r="1717" spans="1:28" ht="12.75" customHeight="1" x14ac:dyDescent="0.25">
      <c r="A1717" s="558" t="s">
        <v>4783</v>
      </c>
      <c r="B1717" s="604">
        <v>45517</v>
      </c>
      <c r="C1717" s="333" t="s">
        <v>219</v>
      </c>
      <c r="D1717" s="333" t="s">
        <v>3700</v>
      </c>
      <c r="E1717" s="333" t="s">
        <v>4732</v>
      </c>
      <c r="F1717" s="599">
        <v>264154420144</v>
      </c>
      <c r="G1717" s="333" t="s">
        <v>4784</v>
      </c>
      <c r="H1717" s="333">
        <v>5</v>
      </c>
      <c r="I1717" s="333" t="s">
        <v>4613</v>
      </c>
      <c r="J1717" s="333" t="s">
        <v>43</v>
      </c>
      <c r="K1717" s="333" t="s">
        <v>32</v>
      </c>
      <c r="L1717" s="333"/>
      <c r="M1717" s="333"/>
      <c r="N1717" s="417"/>
      <c r="O1717" s="417"/>
      <c r="P1717" s="462"/>
      <c r="Q1717" s="333"/>
      <c r="R1717" s="333"/>
      <c r="S1717" s="373"/>
      <c r="T1717" s="373"/>
      <c r="U1717" s="373"/>
      <c r="V1717" s="373"/>
      <c r="W1717" s="346"/>
      <c r="X1717" s="373"/>
      <c r="Y1717" s="373"/>
      <c r="Z1717" s="373"/>
      <c r="AA1717" s="373"/>
      <c r="AB1717" s="373"/>
    </row>
    <row r="1718" spans="1:28" ht="12.75" customHeight="1" x14ac:dyDescent="0.25">
      <c r="A1718" s="558" t="s">
        <v>4785</v>
      </c>
      <c r="B1718" s="604">
        <v>45517</v>
      </c>
      <c r="C1718" s="333" t="s">
        <v>219</v>
      </c>
      <c r="D1718" s="333" t="s">
        <v>3700</v>
      </c>
      <c r="E1718" s="333" t="s">
        <v>4732</v>
      </c>
      <c r="F1718" s="599">
        <v>16220510178</v>
      </c>
      <c r="G1718" s="333" t="s">
        <v>4786</v>
      </c>
      <c r="H1718" s="333">
        <v>18</v>
      </c>
      <c r="I1718" s="333" t="s">
        <v>4613</v>
      </c>
      <c r="J1718" s="333" t="s">
        <v>43</v>
      </c>
      <c r="K1718" s="333" t="s">
        <v>32</v>
      </c>
      <c r="L1718" s="333"/>
      <c r="M1718" s="333"/>
      <c r="N1718" s="417"/>
      <c r="O1718" s="417"/>
      <c r="P1718" s="462"/>
      <c r="Q1718" s="333"/>
      <c r="R1718" s="333"/>
      <c r="S1718" s="373"/>
      <c r="T1718" s="373"/>
      <c r="U1718" s="373"/>
      <c r="V1718" s="373"/>
      <c r="W1718" s="346"/>
      <c r="X1718" s="373"/>
      <c r="Y1718" s="373"/>
      <c r="Z1718" s="373"/>
      <c r="AA1718" s="373"/>
      <c r="AB1718" s="373"/>
    </row>
    <row r="1719" spans="1:28" ht="12.75" customHeight="1" x14ac:dyDescent="0.25">
      <c r="A1719" s="558" t="s">
        <v>4787</v>
      </c>
      <c r="B1719" s="604">
        <v>45517</v>
      </c>
      <c r="C1719" s="333" t="s">
        <v>219</v>
      </c>
      <c r="D1719" s="333" t="s">
        <v>3700</v>
      </c>
      <c r="E1719" s="333" t="s">
        <v>4732</v>
      </c>
      <c r="F1719" s="599">
        <v>252750506318</v>
      </c>
      <c r="G1719" s="333" t="s">
        <v>4788</v>
      </c>
      <c r="H1719" s="333">
        <v>1</v>
      </c>
      <c r="I1719" s="333" t="s">
        <v>4613</v>
      </c>
      <c r="J1719" s="333" t="s">
        <v>43</v>
      </c>
      <c r="K1719" s="333" t="s">
        <v>32</v>
      </c>
      <c r="L1719" s="333"/>
      <c r="M1719" s="333"/>
      <c r="N1719" s="417"/>
      <c r="O1719" s="417"/>
      <c r="P1719" s="462"/>
      <c r="Q1719" s="333"/>
      <c r="R1719" s="333"/>
      <c r="S1719" s="373"/>
      <c r="T1719" s="373"/>
      <c r="U1719" s="373"/>
      <c r="V1719" s="373"/>
      <c r="W1719" s="346"/>
      <c r="X1719" s="373"/>
      <c r="Y1719" s="373"/>
      <c r="Z1719" s="373"/>
      <c r="AA1719" s="373"/>
      <c r="AB1719" s="373"/>
    </row>
    <row r="1720" spans="1:28" ht="12.75" customHeight="1" x14ac:dyDescent="0.25">
      <c r="A1720" s="558" t="s">
        <v>4789</v>
      </c>
      <c r="B1720" s="604">
        <v>45527</v>
      </c>
      <c r="C1720" s="333" t="s">
        <v>219</v>
      </c>
      <c r="D1720" s="333" t="s">
        <v>3700</v>
      </c>
      <c r="E1720" s="333" t="s">
        <v>4732</v>
      </c>
      <c r="F1720" s="599">
        <v>264132300111</v>
      </c>
      <c r="G1720" s="333" t="s">
        <v>4790</v>
      </c>
      <c r="H1720" s="333">
        <v>5</v>
      </c>
      <c r="I1720" s="333" t="s">
        <v>4608</v>
      </c>
      <c r="J1720" s="333" t="s">
        <v>43</v>
      </c>
      <c r="K1720" s="333" t="s">
        <v>32</v>
      </c>
      <c r="L1720" s="333"/>
      <c r="M1720" s="333"/>
      <c r="N1720" s="417"/>
      <c r="O1720" s="417"/>
      <c r="P1720" s="462"/>
      <c r="Q1720" s="333"/>
      <c r="R1720" s="333"/>
      <c r="S1720" s="373"/>
      <c r="T1720" s="373"/>
      <c r="U1720" s="373"/>
      <c r="V1720" s="373"/>
      <c r="W1720" s="346"/>
      <c r="X1720" s="373"/>
      <c r="Y1720" s="373"/>
      <c r="Z1720" s="373"/>
      <c r="AA1720" s="373"/>
      <c r="AB1720" s="373"/>
    </row>
    <row r="1721" spans="1:28" ht="12.75" customHeight="1" x14ac:dyDescent="0.25">
      <c r="A1721" s="558" t="s">
        <v>4791</v>
      </c>
      <c r="B1721" s="604">
        <v>45549</v>
      </c>
      <c r="C1721" s="333" t="s">
        <v>219</v>
      </c>
      <c r="D1721" s="333">
        <v>1918</v>
      </c>
      <c r="E1721" s="333" t="s">
        <v>4732</v>
      </c>
      <c r="F1721" s="599">
        <v>503940200113</v>
      </c>
      <c r="G1721" s="333" t="s">
        <v>4792</v>
      </c>
      <c r="H1721" s="333">
        <v>2</v>
      </c>
      <c r="I1721" s="333" t="s">
        <v>4757</v>
      </c>
      <c r="J1721" s="333" t="s">
        <v>102</v>
      </c>
      <c r="K1721" s="333" t="s">
        <v>69</v>
      </c>
      <c r="L1721" s="333"/>
      <c r="M1721" s="333"/>
      <c r="N1721" s="417"/>
      <c r="O1721" s="417"/>
      <c r="P1721" s="462"/>
      <c r="Q1721" s="333"/>
      <c r="R1721" s="333"/>
      <c r="S1721" s="373"/>
      <c r="T1721" s="373"/>
      <c r="U1721" s="373"/>
      <c r="V1721" s="373"/>
      <c r="W1721" s="346"/>
      <c r="X1721" s="373"/>
      <c r="Y1721" s="373"/>
      <c r="Z1721" s="373"/>
      <c r="AA1721" s="373"/>
      <c r="AB1721" s="373"/>
    </row>
    <row r="1722" spans="1:28" ht="12.75" customHeight="1" x14ac:dyDescent="0.25">
      <c r="A1722" s="558" t="s">
        <v>4793</v>
      </c>
      <c r="B1722" s="604">
        <v>45550</v>
      </c>
      <c r="C1722" s="333" t="s">
        <v>219</v>
      </c>
      <c r="D1722" s="333">
        <v>1918</v>
      </c>
      <c r="E1722" s="333" t="s">
        <v>4732</v>
      </c>
      <c r="F1722" s="599">
        <v>550754209929</v>
      </c>
      <c r="G1722" s="333" t="s">
        <v>4794</v>
      </c>
      <c r="H1722" s="333">
        <v>40</v>
      </c>
      <c r="I1722" s="333" t="s">
        <v>4757</v>
      </c>
      <c r="J1722" s="333" t="s">
        <v>541</v>
      </c>
      <c r="K1722" s="333" t="s">
        <v>32</v>
      </c>
      <c r="L1722" s="333"/>
      <c r="M1722" s="333"/>
      <c r="N1722" s="417"/>
      <c r="O1722" s="417"/>
      <c r="P1722" s="462"/>
      <c r="Q1722" s="333"/>
      <c r="R1722" s="333"/>
      <c r="S1722" s="373"/>
      <c r="T1722" s="373"/>
      <c r="U1722" s="373"/>
      <c r="V1722" s="373"/>
      <c r="W1722" s="346"/>
      <c r="X1722" s="373"/>
      <c r="Y1722" s="373"/>
      <c r="Z1722" s="373"/>
      <c r="AA1722" s="373"/>
      <c r="AB1722" s="373"/>
    </row>
    <row r="1723" spans="1:28" ht="12.75" customHeight="1" x14ac:dyDescent="0.25">
      <c r="A1723" s="558" t="s">
        <v>4795</v>
      </c>
      <c r="B1723" s="604">
        <v>45551</v>
      </c>
      <c r="C1723" s="333" t="s">
        <v>219</v>
      </c>
      <c r="D1723" s="333">
        <v>1216</v>
      </c>
      <c r="E1723" s="333" t="s">
        <v>4732</v>
      </c>
      <c r="F1723" s="599">
        <v>278609130213</v>
      </c>
      <c r="G1723" s="333" t="s">
        <v>4796</v>
      </c>
      <c r="H1723" s="333">
        <v>8</v>
      </c>
      <c r="I1723" s="333" t="s">
        <v>4797</v>
      </c>
      <c r="J1723" s="333" t="s">
        <v>541</v>
      </c>
      <c r="K1723" s="333" t="s">
        <v>32</v>
      </c>
      <c r="L1723" s="333"/>
      <c r="M1723" s="333"/>
      <c r="N1723" s="417"/>
      <c r="O1723" s="417"/>
      <c r="P1723" s="462"/>
      <c r="Q1723" s="333"/>
      <c r="R1723" s="333"/>
      <c r="S1723" s="373"/>
      <c r="T1723" s="373"/>
      <c r="U1723" s="373"/>
      <c r="V1723" s="373"/>
      <c r="W1723" s="346"/>
      <c r="X1723" s="373"/>
      <c r="Y1723" s="373"/>
      <c r="Z1723" s="373"/>
      <c r="AA1723" s="373"/>
      <c r="AB1723" s="373"/>
    </row>
    <row r="1724" spans="1:28" ht="12.75" customHeight="1" x14ac:dyDescent="0.25">
      <c r="A1724" s="558" t="s">
        <v>4798</v>
      </c>
      <c r="B1724" s="604">
        <v>45551</v>
      </c>
      <c r="C1724" s="333" t="s">
        <v>219</v>
      </c>
      <c r="D1724" s="333">
        <v>1216</v>
      </c>
      <c r="E1724" s="333" t="s">
        <v>4732</v>
      </c>
      <c r="F1724" s="599">
        <v>219854400119</v>
      </c>
      <c r="G1724" s="333" t="s">
        <v>4799</v>
      </c>
      <c r="H1724" s="333">
        <v>1</v>
      </c>
      <c r="I1724" s="333" t="s">
        <v>4797</v>
      </c>
      <c r="J1724" s="333" t="s">
        <v>46</v>
      </c>
      <c r="K1724" s="333" t="s">
        <v>32</v>
      </c>
      <c r="L1724" s="333"/>
      <c r="M1724" s="333"/>
      <c r="N1724" s="417"/>
      <c r="O1724" s="417"/>
      <c r="P1724" s="462"/>
      <c r="Q1724" s="333"/>
      <c r="R1724" s="333"/>
      <c r="S1724" s="373"/>
      <c r="T1724" s="373"/>
      <c r="U1724" s="373"/>
      <c r="V1724" s="373"/>
      <c r="W1724" s="346"/>
      <c r="X1724" s="373"/>
      <c r="Y1724" s="373"/>
      <c r="Z1724" s="373"/>
      <c r="AA1724" s="373"/>
      <c r="AB1724" s="373"/>
    </row>
    <row r="1725" spans="1:28" ht="12.75" customHeight="1" x14ac:dyDescent="0.25">
      <c r="A1725" s="558" t="s">
        <v>4800</v>
      </c>
      <c r="B1725" s="604">
        <v>45553</v>
      </c>
      <c r="C1725" s="333" t="s">
        <v>219</v>
      </c>
      <c r="D1725" s="333">
        <v>1918</v>
      </c>
      <c r="E1725" s="333" t="s">
        <v>4732</v>
      </c>
      <c r="F1725" s="599">
        <v>585875200113</v>
      </c>
      <c r="G1725" s="333" t="s">
        <v>4801</v>
      </c>
      <c r="H1725" s="333">
        <v>20</v>
      </c>
      <c r="I1725" s="333" t="s">
        <v>4757</v>
      </c>
      <c r="J1725" s="333" t="s">
        <v>31</v>
      </c>
      <c r="K1725" s="333" t="s">
        <v>32</v>
      </c>
      <c r="L1725" s="333"/>
      <c r="M1725" s="333"/>
      <c r="N1725" s="417"/>
      <c r="O1725" s="417"/>
      <c r="P1725" s="462"/>
      <c r="Q1725" s="333"/>
      <c r="R1725" s="333"/>
      <c r="S1725" s="373"/>
      <c r="T1725" s="373"/>
      <c r="U1725" s="373"/>
      <c r="V1725" s="373"/>
      <c r="W1725" s="346"/>
      <c r="X1725" s="373"/>
      <c r="Y1725" s="373"/>
      <c r="Z1725" s="373"/>
      <c r="AA1725" s="373"/>
      <c r="AB1725" s="373"/>
    </row>
    <row r="1726" spans="1:28" ht="12.75" customHeight="1" x14ac:dyDescent="0.25">
      <c r="A1726" s="558" t="s">
        <v>4802</v>
      </c>
      <c r="B1726" s="376">
        <v>45568</v>
      </c>
      <c r="C1726" s="333" t="s">
        <v>219</v>
      </c>
      <c r="D1726" s="333" t="s">
        <v>3683</v>
      </c>
      <c r="E1726" s="333"/>
      <c r="F1726" s="374">
        <v>554754600263</v>
      </c>
      <c r="G1726" s="372" t="s">
        <v>4803</v>
      </c>
      <c r="H1726" s="372">
        <v>1</v>
      </c>
      <c r="I1726" s="372" t="s">
        <v>4804</v>
      </c>
      <c r="J1726" s="333" t="s">
        <v>31</v>
      </c>
      <c r="K1726" s="333" t="s">
        <v>32</v>
      </c>
      <c r="L1726" s="333"/>
      <c r="M1726" s="333"/>
      <c r="N1726" s="417"/>
      <c r="O1726" s="417"/>
      <c r="P1726" s="462"/>
      <c r="Q1726" s="333"/>
      <c r="R1726" s="333"/>
      <c r="S1726" s="373"/>
      <c r="T1726" s="373"/>
      <c r="U1726" s="373"/>
      <c r="V1726" s="373"/>
      <c r="W1726" s="346"/>
      <c r="X1726" s="373"/>
      <c r="Y1726" s="373"/>
      <c r="Z1726" s="373"/>
      <c r="AA1726" s="373"/>
      <c r="AB1726" s="373"/>
    </row>
    <row r="1727" spans="1:28" ht="12.75" customHeight="1" x14ac:dyDescent="0.25">
      <c r="A1727" s="558" t="s">
        <v>4805</v>
      </c>
      <c r="B1727" s="376">
        <v>45569</v>
      </c>
      <c r="C1727" s="333" t="s">
        <v>219</v>
      </c>
      <c r="D1727" s="333" t="s">
        <v>4806</v>
      </c>
      <c r="E1727" s="333"/>
      <c r="F1727" s="374">
        <v>3245801120</v>
      </c>
      <c r="G1727" s="372" t="s">
        <v>4807</v>
      </c>
      <c r="H1727" s="372">
        <v>12</v>
      </c>
      <c r="I1727" s="372">
        <v>27</v>
      </c>
      <c r="J1727" s="333" t="s">
        <v>31</v>
      </c>
      <c r="K1727" s="333" t="s">
        <v>32</v>
      </c>
      <c r="L1727" s="333"/>
      <c r="M1727" s="333"/>
      <c r="N1727" s="417"/>
      <c r="O1727" s="417"/>
      <c r="P1727" s="462"/>
      <c r="Q1727" s="333"/>
      <c r="R1727" s="333"/>
      <c r="S1727" s="373"/>
      <c r="T1727" s="373"/>
      <c r="U1727" s="373"/>
      <c r="V1727" s="373"/>
      <c r="W1727" s="346"/>
      <c r="X1727" s="373"/>
      <c r="Y1727" s="373"/>
      <c r="Z1727" s="373"/>
      <c r="AA1727" s="373"/>
      <c r="AB1727" s="373"/>
    </row>
    <row r="1728" spans="1:28" ht="12.75" customHeight="1" x14ac:dyDescent="0.25">
      <c r="A1728" s="558" t="s">
        <v>4808</v>
      </c>
      <c r="B1728" s="376">
        <v>45569</v>
      </c>
      <c r="C1728" s="333" t="s">
        <v>219</v>
      </c>
      <c r="D1728" s="333" t="s">
        <v>4806</v>
      </c>
      <c r="E1728" s="333"/>
      <c r="F1728" s="374">
        <v>3751300220</v>
      </c>
      <c r="G1728" s="372" t="s">
        <v>4809</v>
      </c>
      <c r="H1728" s="372">
        <v>2</v>
      </c>
      <c r="I1728" s="372">
        <v>27</v>
      </c>
      <c r="J1728" s="333" t="s">
        <v>31</v>
      </c>
      <c r="K1728" s="333" t="s">
        <v>32</v>
      </c>
      <c r="L1728" s="333"/>
      <c r="M1728" s="333"/>
      <c r="N1728" s="417"/>
      <c r="O1728" s="417"/>
      <c r="P1728" s="462"/>
      <c r="Q1728" s="333"/>
      <c r="R1728" s="333"/>
      <c r="S1728" s="373"/>
      <c r="T1728" s="373"/>
      <c r="U1728" s="373"/>
      <c r="V1728" s="373"/>
      <c r="W1728" s="346"/>
      <c r="X1728" s="373"/>
      <c r="Y1728" s="373"/>
      <c r="Z1728" s="373"/>
      <c r="AA1728" s="373"/>
      <c r="AB1728" s="373"/>
    </row>
    <row r="1729" spans="1:28" ht="12.75" customHeight="1" x14ac:dyDescent="0.25">
      <c r="A1729" s="558" t="s">
        <v>4810</v>
      </c>
      <c r="B1729" s="376">
        <v>45569</v>
      </c>
      <c r="C1729" s="333" t="s">
        <v>219</v>
      </c>
      <c r="D1729" s="333" t="s">
        <v>4806</v>
      </c>
      <c r="E1729" s="333"/>
      <c r="F1729" s="374">
        <v>3434108240</v>
      </c>
      <c r="G1729" s="372" t="s">
        <v>4811</v>
      </c>
      <c r="H1729" s="372">
        <v>1</v>
      </c>
      <c r="I1729" s="372">
        <v>27</v>
      </c>
      <c r="J1729" s="333" t="s">
        <v>31</v>
      </c>
      <c r="K1729" s="333" t="s">
        <v>32</v>
      </c>
      <c r="L1729" s="333"/>
      <c r="M1729" s="333"/>
      <c r="N1729" s="417"/>
      <c r="O1729" s="417"/>
      <c r="P1729" s="462"/>
      <c r="Q1729" s="333"/>
      <c r="R1729" s="333"/>
      <c r="S1729" s="373"/>
      <c r="T1729" s="373"/>
      <c r="U1729" s="373"/>
      <c r="V1729" s="373"/>
      <c r="W1729" s="346"/>
      <c r="X1729" s="373"/>
      <c r="Y1729" s="373"/>
      <c r="Z1729" s="373"/>
      <c r="AA1729" s="373"/>
      <c r="AB1729" s="373"/>
    </row>
    <row r="1730" spans="1:28" ht="12.75" customHeight="1" x14ac:dyDescent="0.25">
      <c r="A1730" s="558" t="s">
        <v>4812</v>
      </c>
      <c r="B1730" s="363">
        <v>45569</v>
      </c>
      <c r="C1730" s="364" t="s">
        <v>60</v>
      </c>
      <c r="D1730" s="364" t="s">
        <v>1843</v>
      </c>
      <c r="E1730" s="364"/>
      <c r="F1730" s="365">
        <v>28415</v>
      </c>
      <c r="G1730" s="366" t="s">
        <v>4813</v>
      </c>
      <c r="H1730" s="366">
        <v>1</v>
      </c>
      <c r="I1730" s="366">
        <v>3</v>
      </c>
      <c r="J1730" s="364" t="s">
        <v>102</v>
      </c>
      <c r="K1730" s="364" t="s">
        <v>69</v>
      </c>
      <c r="L1730" s="333"/>
      <c r="M1730" s="333"/>
      <c r="N1730" s="417"/>
      <c r="O1730" s="417"/>
      <c r="P1730" s="462"/>
      <c r="Q1730" s="333"/>
      <c r="R1730" s="333"/>
      <c r="S1730" s="373"/>
      <c r="T1730" s="373"/>
      <c r="U1730" s="373"/>
      <c r="V1730" s="373"/>
      <c r="W1730" s="346"/>
      <c r="X1730" s="373"/>
      <c r="Y1730" s="373"/>
      <c r="Z1730" s="373"/>
      <c r="AA1730" s="373"/>
      <c r="AB1730" s="373"/>
    </row>
    <row r="1731" spans="1:28" ht="12.75" customHeight="1" x14ac:dyDescent="0.25">
      <c r="A1731" s="558" t="s">
        <v>4814</v>
      </c>
      <c r="B1731" s="574">
        <v>45561</v>
      </c>
      <c r="C1731" s="605" t="s">
        <v>35</v>
      </c>
      <c r="D1731" s="372" t="s">
        <v>83</v>
      </c>
      <c r="E1731" s="333"/>
      <c r="F1731" s="606" t="s">
        <v>1880</v>
      </c>
      <c r="G1731" s="607" t="s">
        <v>4815</v>
      </c>
      <c r="H1731" s="605">
        <v>1</v>
      </c>
      <c r="I1731" s="372" t="s">
        <v>4816</v>
      </c>
      <c r="J1731" s="372" t="s">
        <v>4817</v>
      </c>
      <c r="K1731" s="333" t="s">
        <v>69</v>
      </c>
      <c r="L1731" s="396"/>
      <c r="M1731" s="333"/>
      <c r="N1731" s="417"/>
      <c r="O1731" s="417"/>
      <c r="P1731" s="462"/>
      <c r="Q1731" s="333"/>
      <c r="R1731" s="333"/>
      <c r="S1731" s="373"/>
      <c r="T1731" s="373"/>
      <c r="U1731" s="373"/>
      <c r="V1731" s="373"/>
      <c r="W1731" s="346"/>
      <c r="X1731" s="373"/>
      <c r="Y1731" s="373"/>
      <c r="Z1731" s="373"/>
      <c r="AA1731" s="373"/>
      <c r="AB1731" s="373"/>
    </row>
    <row r="1732" spans="1:28" ht="12.75" customHeight="1" x14ac:dyDescent="0.25">
      <c r="A1732" s="558" t="s">
        <v>4818</v>
      </c>
      <c r="B1732" s="628">
        <v>45562</v>
      </c>
      <c r="C1732" s="629" t="s">
        <v>35</v>
      </c>
      <c r="D1732" s="589" t="s">
        <v>3959</v>
      </c>
      <c r="F1732" s="630" t="s">
        <v>4819</v>
      </c>
      <c r="G1732" s="631" t="s">
        <v>4820</v>
      </c>
      <c r="H1732" s="629">
        <v>1</v>
      </c>
      <c r="I1732" s="589" t="s">
        <v>4821</v>
      </c>
      <c r="J1732" s="589" t="s">
        <v>4822</v>
      </c>
      <c r="K1732" s="586" t="s">
        <v>32</v>
      </c>
      <c r="L1732" s="333"/>
      <c r="M1732" s="333"/>
      <c r="N1732" s="417"/>
      <c r="O1732" s="417"/>
      <c r="P1732" s="462"/>
      <c r="Q1732" s="333"/>
      <c r="R1732" s="333"/>
      <c r="S1732" s="373"/>
      <c r="T1732" s="373"/>
      <c r="U1732" s="373"/>
      <c r="V1732" s="373"/>
      <c r="W1732" s="346"/>
      <c r="X1732" s="373"/>
      <c r="Y1732" s="373"/>
      <c r="Z1732" s="373"/>
      <c r="AA1732" s="373"/>
      <c r="AB1732" s="373"/>
    </row>
    <row r="1733" spans="1:28" ht="12.75" customHeight="1" x14ac:dyDescent="0.25">
      <c r="A1733" s="558" t="s">
        <v>4823</v>
      </c>
      <c r="B1733" s="574">
        <v>45560</v>
      </c>
      <c r="C1733" s="605" t="s">
        <v>35</v>
      </c>
      <c r="D1733" s="372" t="s">
        <v>3959</v>
      </c>
      <c r="E1733" s="333"/>
      <c r="F1733" s="606" t="s">
        <v>4824</v>
      </c>
      <c r="G1733" s="607" t="s">
        <v>4825</v>
      </c>
      <c r="H1733" s="605">
        <v>2</v>
      </c>
      <c r="I1733" s="372" t="s">
        <v>4821</v>
      </c>
      <c r="J1733" s="372" t="s">
        <v>4817</v>
      </c>
      <c r="K1733" s="333" t="s">
        <v>69</v>
      </c>
      <c r="L1733" s="396"/>
      <c r="M1733" s="333"/>
      <c r="N1733" s="417"/>
      <c r="O1733" s="417"/>
      <c r="P1733" s="462"/>
      <c r="Q1733" s="333"/>
      <c r="R1733" s="333"/>
      <c r="S1733" s="373"/>
      <c r="T1733" s="373"/>
      <c r="U1733" s="373"/>
      <c r="V1733" s="373"/>
      <c r="W1733" s="346"/>
      <c r="X1733" s="373"/>
      <c r="Y1733" s="373"/>
      <c r="Z1733" s="373"/>
      <c r="AA1733" s="373"/>
      <c r="AB1733" s="373"/>
    </row>
    <row r="1734" spans="1:28" ht="12.75" customHeight="1" x14ac:dyDescent="0.25">
      <c r="A1734" s="558" t="s">
        <v>4826</v>
      </c>
      <c r="B1734" s="628">
        <v>45555</v>
      </c>
      <c r="C1734" s="629" t="s">
        <v>35</v>
      </c>
      <c r="D1734" s="589" t="s">
        <v>177</v>
      </c>
      <c r="F1734" s="630" t="s">
        <v>4827</v>
      </c>
      <c r="G1734" s="631" t="s">
        <v>4828</v>
      </c>
      <c r="H1734" s="629">
        <v>1</v>
      </c>
      <c r="I1734" s="589" t="s">
        <v>4829</v>
      </c>
      <c r="J1734" s="589" t="s">
        <v>4830</v>
      </c>
      <c r="K1734" s="586" t="s">
        <v>32</v>
      </c>
      <c r="L1734" s="333"/>
      <c r="M1734" s="333"/>
      <c r="N1734" s="417"/>
      <c r="O1734" s="417"/>
      <c r="P1734" s="462"/>
      <c r="Q1734" s="333"/>
      <c r="R1734" s="333"/>
      <c r="S1734" s="373"/>
      <c r="T1734" s="373"/>
      <c r="U1734" s="373"/>
      <c r="V1734" s="373"/>
      <c r="W1734" s="346"/>
      <c r="X1734" s="373"/>
      <c r="Y1734" s="373"/>
      <c r="Z1734" s="373"/>
      <c r="AA1734" s="373"/>
      <c r="AB1734" s="373"/>
    </row>
    <row r="1735" spans="1:28" ht="12.75" customHeight="1" x14ac:dyDescent="0.25">
      <c r="A1735" s="558" t="s">
        <v>4831</v>
      </c>
      <c r="B1735" s="376">
        <v>45558</v>
      </c>
      <c r="C1735" s="333" t="s">
        <v>4832</v>
      </c>
      <c r="D1735" s="333" t="s">
        <v>4340</v>
      </c>
      <c r="E1735" s="333"/>
      <c r="F1735" s="374" t="s">
        <v>4833</v>
      </c>
      <c r="G1735" s="372" t="s">
        <v>4834</v>
      </c>
      <c r="H1735" s="372">
        <v>1</v>
      </c>
      <c r="I1735" s="372"/>
      <c r="J1735" s="372" t="s">
        <v>4817</v>
      </c>
      <c r="K1735" s="333" t="s">
        <v>69</v>
      </c>
      <c r="L1735" s="396"/>
      <c r="M1735" s="333"/>
      <c r="N1735" s="417"/>
      <c r="O1735" s="417"/>
      <c r="P1735" s="462"/>
      <c r="Q1735" s="333"/>
      <c r="R1735" s="333"/>
      <c r="S1735" s="373"/>
      <c r="T1735" s="373"/>
      <c r="U1735" s="373"/>
      <c r="V1735" s="373"/>
      <c r="W1735" s="346"/>
      <c r="X1735" s="373"/>
      <c r="Y1735" s="373"/>
      <c r="Z1735" s="373"/>
      <c r="AA1735" s="373"/>
      <c r="AB1735" s="373"/>
    </row>
    <row r="1736" spans="1:28" ht="12.75" customHeight="1" x14ac:dyDescent="0.25">
      <c r="A1736" s="558" t="s">
        <v>4835</v>
      </c>
      <c r="B1736" s="501">
        <v>45555</v>
      </c>
      <c r="C1736" s="415" t="s">
        <v>4832</v>
      </c>
      <c r="D1736" s="415" t="s">
        <v>4340</v>
      </c>
      <c r="F1736" s="427" t="s">
        <v>4836</v>
      </c>
      <c r="G1736" s="632" t="s">
        <v>4837</v>
      </c>
      <c r="H1736" s="428">
        <v>1</v>
      </c>
      <c r="I1736" s="428"/>
      <c r="J1736" s="632" t="s">
        <v>4838</v>
      </c>
      <c r="K1736" s="415" t="s">
        <v>32</v>
      </c>
      <c r="L1736" s="333"/>
      <c r="M1736" s="333"/>
      <c r="N1736" s="417"/>
      <c r="O1736" s="417"/>
      <c r="P1736" s="462"/>
      <c r="Q1736" s="333"/>
      <c r="R1736" s="333"/>
      <c r="S1736" s="373"/>
      <c r="T1736" s="373"/>
      <c r="U1736" s="373"/>
      <c r="V1736" s="373"/>
      <c r="W1736" s="346"/>
      <c r="X1736" s="373"/>
      <c r="Y1736" s="373"/>
      <c r="Z1736" s="373"/>
      <c r="AA1736" s="373"/>
      <c r="AB1736" s="373"/>
    </row>
    <row r="1737" spans="1:28" ht="12.75" customHeight="1" x14ac:dyDescent="0.25">
      <c r="A1737" s="558" t="s">
        <v>4839</v>
      </c>
      <c r="B1737" s="376">
        <v>45555</v>
      </c>
      <c r="C1737" s="333" t="s">
        <v>4832</v>
      </c>
      <c r="D1737" s="333" t="s">
        <v>4340</v>
      </c>
      <c r="F1737" s="374" t="s">
        <v>4840</v>
      </c>
      <c r="G1737" s="372" t="s">
        <v>4841</v>
      </c>
      <c r="H1737" s="372">
        <v>1</v>
      </c>
      <c r="I1737" s="372"/>
      <c r="J1737" s="372"/>
      <c r="K1737" s="333" t="s">
        <v>32</v>
      </c>
      <c r="L1737" s="333"/>
      <c r="M1737" s="333"/>
      <c r="N1737" s="417"/>
      <c r="O1737" s="417"/>
      <c r="P1737" s="462"/>
      <c r="Q1737" s="333"/>
      <c r="R1737" s="333"/>
      <c r="S1737" s="373"/>
      <c r="T1737" s="373"/>
      <c r="U1737" s="373"/>
      <c r="V1737" s="373"/>
      <c r="W1737" s="346"/>
      <c r="X1737" s="373"/>
      <c r="Y1737" s="373"/>
      <c r="Z1737" s="373"/>
      <c r="AA1737" s="373"/>
      <c r="AB1737" s="373"/>
    </row>
    <row r="1738" spans="1:28" ht="12.75" customHeight="1" x14ac:dyDescent="0.25">
      <c r="A1738" s="558" t="s">
        <v>4842</v>
      </c>
      <c r="B1738" s="363">
        <v>45553</v>
      </c>
      <c r="C1738" s="364" t="s">
        <v>4832</v>
      </c>
      <c r="D1738" s="364" t="s">
        <v>4340</v>
      </c>
      <c r="F1738" s="365" t="s">
        <v>4843</v>
      </c>
      <c r="G1738" s="366" t="s">
        <v>4844</v>
      </c>
      <c r="H1738" s="366">
        <v>1</v>
      </c>
      <c r="I1738" s="366" t="s">
        <v>4845</v>
      </c>
      <c r="J1738" s="621" t="s">
        <v>4838</v>
      </c>
      <c r="K1738" s="364" t="s">
        <v>32</v>
      </c>
      <c r="L1738" s="333"/>
      <c r="M1738" s="333"/>
      <c r="N1738" s="417"/>
      <c r="O1738" s="417"/>
      <c r="P1738" s="462"/>
      <c r="Q1738" s="333"/>
      <c r="R1738" s="333"/>
      <c r="S1738" s="373"/>
      <c r="T1738" s="373"/>
      <c r="U1738" s="373"/>
      <c r="V1738" s="373"/>
      <c r="W1738" s="346"/>
      <c r="X1738" s="373"/>
      <c r="Y1738" s="373"/>
      <c r="Z1738" s="373"/>
      <c r="AA1738" s="373"/>
      <c r="AB1738" s="373"/>
    </row>
    <row r="1739" spans="1:28" ht="12.75" customHeight="1" x14ac:dyDescent="0.25">
      <c r="A1739" s="558" t="s">
        <v>4846</v>
      </c>
      <c r="B1739" s="376">
        <v>45552</v>
      </c>
      <c r="C1739" s="333" t="s">
        <v>4832</v>
      </c>
      <c r="D1739" s="333" t="s">
        <v>4340</v>
      </c>
      <c r="E1739" s="333"/>
      <c r="F1739" s="374" t="s">
        <v>3893</v>
      </c>
      <c r="G1739" s="372" t="s">
        <v>4847</v>
      </c>
      <c r="H1739" s="372">
        <v>1</v>
      </c>
      <c r="I1739" s="372" t="s">
        <v>4848</v>
      </c>
      <c r="J1739" s="372" t="s">
        <v>4849</v>
      </c>
      <c r="K1739" s="333" t="s">
        <v>69</v>
      </c>
      <c r="L1739" s="542"/>
      <c r="M1739" s="364"/>
      <c r="N1739" s="485"/>
      <c r="O1739" s="485"/>
      <c r="P1739" s="491"/>
      <c r="Q1739" s="364"/>
      <c r="R1739" s="333"/>
      <c r="S1739" s="373"/>
      <c r="T1739" s="373"/>
      <c r="U1739" s="373"/>
      <c r="V1739" s="373"/>
      <c r="W1739" s="346"/>
      <c r="X1739" s="373"/>
      <c r="Y1739" s="373"/>
      <c r="Z1739" s="373"/>
      <c r="AA1739" s="373"/>
      <c r="AB1739" s="373"/>
    </row>
    <row r="1740" spans="1:28" ht="12.75" customHeight="1" x14ac:dyDescent="0.25">
      <c r="A1740" s="558" t="s">
        <v>4850</v>
      </c>
      <c r="B1740" s="376">
        <v>45547</v>
      </c>
      <c r="C1740" s="333" t="s">
        <v>4832</v>
      </c>
      <c r="D1740" s="333" t="s">
        <v>4340</v>
      </c>
      <c r="E1740" s="333"/>
      <c r="F1740" s="374" t="s">
        <v>4106</v>
      </c>
      <c r="G1740" s="372" t="s">
        <v>4851</v>
      </c>
      <c r="H1740" s="372">
        <v>2</v>
      </c>
      <c r="I1740" s="372" t="s">
        <v>4852</v>
      </c>
      <c r="J1740" s="372" t="s">
        <v>4817</v>
      </c>
      <c r="K1740" s="333" t="s">
        <v>69</v>
      </c>
      <c r="L1740" s="396"/>
      <c r="M1740" s="333"/>
      <c r="N1740" s="417"/>
      <c r="O1740" s="417"/>
      <c r="P1740" s="462"/>
      <c r="Q1740" s="333"/>
      <c r="R1740" s="396"/>
      <c r="S1740" s="373"/>
      <c r="T1740" s="373"/>
      <c r="U1740" s="373"/>
      <c r="V1740" s="373"/>
      <c r="W1740" s="346"/>
      <c r="X1740" s="373"/>
      <c r="Y1740" s="373"/>
      <c r="Z1740" s="373"/>
      <c r="AA1740" s="373"/>
      <c r="AB1740" s="373"/>
    </row>
    <row r="1741" spans="1:28" ht="12.75" customHeight="1" x14ac:dyDescent="0.25">
      <c r="A1741" s="558" t="s">
        <v>4853</v>
      </c>
      <c r="B1741" s="376">
        <v>45547</v>
      </c>
      <c r="C1741" s="333" t="s">
        <v>4832</v>
      </c>
      <c r="D1741" s="333" t="s">
        <v>4340</v>
      </c>
      <c r="E1741" s="333"/>
      <c r="F1741" s="374" t="s">
        <v>1959</v>
      </c>
      <c r="G1741" s="372" t="s">
        <v>4854</v>
      </c>
      <c r="H1741" s="372">
        <v>1</v>
      </c>
      <c r="I1741" s="372" t="s">
        <v>4855</v>
      </c>
      <c r="J1741" s="372" t="s">
        <v>4849</v>
      </c>
      <c r="K1741" s="333" t="s">
        <v>69</v>
      </c>
      <c r="L1741" s="396"/>
      <c r="M1741" s="333"/>
      <c r="N1741" s="417"/>
      <c r="O1741" s="417"/>
      <c r="P1741" s="462"/>
      <c r="Q1741" s="333"/>
      <c r="R1741" s="396"/>
      <c r="S1741" s="373"/>
      <c r="T1741" s="373"/>
      <c r="U1741" s="373"/>
      <c r="V1741" s="373"/>
      <c r="W1741" s="346"/>
      <c r="X1741" s="373"/>
      <c r="Y1741" s="373"/>
      <c r="Z1741" s="373"/>
      <c r="AA1741" s="373"/>
      <c r="AB1741" s="373"/>
    </row>
    <row r="1742" spans="1:28" ht="12.75" customHeight="1" x14ac:dyDescent="0.25">
      <c r="A1742" s="558" t="s">
        <v>4856</v>
      </c>
      <c r="B1742" s="376">
        <v>45559</v>
      </c>
      <c r="C1742" s="333" t="s">
        <v>4832</v>
      </c>
      <c r="D1742" s="333" t="s">
        <v>4857</v>
      </c>
      <c r="E1742" s="333"/>
      <c r="F1742" s="374" t="s">
        <v>4858</v>
      </c>
      <c r="G1742" s="372" t="s">
        <v>4859</v>
      </c>
      <c r="H1742" s="372">
        <v>2</v>
      </c>
      <c r="I1742" s="372"/>
      <c r="J1742" s="372" t="s">
        <v>4860</v>
      </c>
      <c r="K1742" s="333" t="s">
        <v>69</v>
      </c>
      <c r="L1742" s="396"/>
      <c r="M1742" s="333"/>
      <c r="N1742" s="417"/>
      <c r="O1742" s="417"/>
      <c r="P1742" s="462"/>
      <c r="Q1742" s="333"/>
      <c r="R1742" s="396"/>
      <c r="S1742" s="373"/>
      <c r="T1742" s="373"/>
      <c r="U1742" s="373"/>
      <c r="V1742" s="373"/>
      <c r="W1742" s="346"/>
      <c r="X1742" s="373"/>
      <c r="Y1742" s="373"/>
      <c r="Z1742" s="373"/>
      <c r="AA1742" s="373"/>
      <c r="AB1742" s="373"/>
    </row>
    <row r="1743" spans="1:28" ht="12.75" customHeight="1" x14ac:dyDescent="0.25">
      <c r="A1743" s="558" t="s">
        <v>4861</v>
      </c>
      <c r="B1743" s="633">
        <v>45545</v>
      </c>
      <c r="C1743" s="586" t="s">
        <v>4832</v>
      </c>
      <c r="D1743" s="586" t="s">
        <v>4857</v>
      </c>
      <c r="F1743" s="634" t="s">
        <v>1089</v>
      </c>
      <c r="G1743" s="589" t="s">
        <v>4862</v>
      </c>
      <c r="H1743" s="589">
        <v>1</v>
      </c>
      <c r="I1743" s="589" t="s">
        <v>4863</v>
      </c>
      <c r="J1743" s="589" t="s">
        <v>4830</v>
      </c>
      <c r="K1743" s="587" t="s">
        <v>32</v>
      </c>
      <c r="L1743" s="333"/>
      <c r="M1743" s="333"/>
      <c r="N1743" s="417"/>
      <c r="O1743" s="417"/>
      <c r="P1743" s="462"/>
      <c r="Q1743" s="333"/>
      <c r="R1743" s="396"/>
      <c r="S1743" s="373"/>
      <c r="T1743" s="373"/>
      <c r="U1743" s="373"/>
      <c r="V1743" s="373"/>
      <c r="W1743" s="346"/>
      <c r="X1743" s="373"/>
      <c r="Y1743" s="373"/>
      <c r="Z1743" s="373"/>
      <c r="AA1743" s="373"/>
      <c r="AB1743" s="373"/>
    </row>
    <row r="1744" spans="1:28" ht="12.75" customHeight="1" x14ac:dyDescent="0.25">
      <c r="A1744" s="558" t="s">
        <v>4864</v>
      </c>
      <c r="B1744" s="376">
        <v>45561</v>
      </c>
      <c r="C1744" s="333" t="s">
        <v>4832</v>
      </c>
      <c r="D1744" s="333" t="s">
        <v>71</v>
      </c>
      <c r="E1744" s="333"/>
      <c r="F1744" s="374" t="s">
        <v>2235</v>
      </c>
      <c r="G1744" s="372" t="s">
        <v>1016</v>
      </c>
      <c r="H1744" s="372">
        <v>1</v>
      </c>
      <c r="I1744" s="372" t="s">
        <v>4865</v>
      </c>
      <c r="J1744" s="372" t="s">
        <v>4849</v>
      </c>
      <c r="K1744" s="333" t="s">
        <v>69</v>
      </c>
      <c r="L1744" s="396"/>
      <c r="M1744" s="333"/>
      <c r="N1744" s="417"/>
      <c r="O1744" s="417"/>
      <c r="P1744" s="462"/>
      <c r="Q1744" s="333"/>
      <c r="R1744" s="396"/>
      <c r="S1744" s="373"/>
      <c r="T1744" s="373"/>
      <c r="U1744" s="373"/>
      <c r="V1744" s="373"/>
      <c r="W1744" s="346"/>
      <c r="X1744" s="373"/>
      <c r="Y1744" s="373"/>
      <c r="Z1744" s="373"/>
      <c r="AA1744" s="373"/>
      <c r="AB1744" s="373"/>
    </row>
    <row r="1745" spans="1:28" ht="12.75" customHeight="1" x14ac:dyDescent="0.25">
      <c r="A1745" s="558" t="s">
        <v>4866</v>
      </c>
      <c r="B1745" s="501">
        <v>45553</v>
      </c>
      <c r="C1745" s="415" t="s">
        <v>26</v>
      </c>
      <c r="D1745" s="437" t="s">
        <v>1259</v>
      </c>
      <c r="E1745" s="415" t="s">
        <v>4867</v>
      </c>
      <c r="F1745" s="559">
        <v>1738543</v>
      </c>
      <c r="G1745" s="428" t="s">
        <v>4716</v>
      </c>
      <c r="H1745" s="428">
        <v>4</v>
      </c>
      <c r="I1745" s="428" t="s">
        <v>4620</v>
      </c>
      <c r="J1745" s="415" t="s">
        <v>541</v>
      </c>
      <c r="K1745" s="437" t="s">
        <v>32</v>
      </c>
      <c r="L1745" s="333"/>
      <c r="M1745" s="333"/>
      <c r="N1745" s="417"/>
      <c r="O1745" s="417"/>
      <c r="P1745" s="462">
        <v>45553</v>
      </c>
      <c r="Q1745" s="333"/>
      <c r="R1745" s="396"/>
      <c r="S1745" s="373"/>
      <c r="T1745" s="373"/>
      <c r="U1745" s="373"/>
      <c r="V1745" s="373"/>
      <c r="W1745" s="346"/>
      <c r="X1745" s="373"/>
      <c r="Y1745" s="373"/>
      <c r="Z1745" s="373"/>
      <c r="AA1745" s="373"/>
      <c r="AB1745" s="373"/>
    </row>
    <row r="1746" spans="1:28" ht="12.75" customHeight="1" x14ac:dyDescent="0.25">
      <c r="A1746" s="558" t="s">
        <v>4868</v>
      </c>
      <c r="B1746" s="613">
        <v>45569</v>
      </c>
      <c r="C1746" s="364" t="s">
        <v>219</v>
      </c>
      <c r="D1746" s="368" t="s">
        <v>4806</v>
      </c>
      <c r="E1746" s="364"/>
      <c r="F1746" s="614">
        <v>3251702490</v>
      </c>
      <c r="G1746" s="620" t="s">
        <v>4869</v>
      </c>
      <c r="H1746" s="366">
        <v>1</v>
      </c>
      <c r="I1746" s="412">
        <v>27</v>
      </c>
      <c r="J1746" s="595" t="s">
        <v>4817</v>
      </c>
      <c r="K1746" s="368" t="s">
        <v>69</v>
      </c>
      <c r="L1746" s="333"/>
      <c r="M1746" s="333"/>
      <c r="N1746" s="417"/>
      <c r="O1746" s="417"/>
      <c r="P1746" s="462"/>
      <c r="Q1746" s="333"/>
      <c r="R1746" s="396"/>
      <c r="S1746" s="373"/>
      <c r="T1746" s="373"/>
      <c r="U1746" s="373"/>
      <c r="V1746" s="373"/>
      <c r="W1746" s="346"/>
      <c r="X1746" s="373"/>
      <c r="Y1746" s="373"/>
      <c r="Z1746" s="373"/>
      <c r="AA1746" s="373"/>
      <c r="AB1746" s="373"/>
    </row>
    <row r="1747" spans="1:28" ht="12.75" customHeight="1" x14ac:dyDescent="0.25">
      <c r="A1747" s="558" t="s">
        <v>4870</v>
      </c>
      <c r="B1747" s="376">
        <v>45567</v>
      </c>
      <c r="C1747" s="333" t="s">
        <v>4832</v>
      </c>
      <c r="D1747" s="333" t="s">
        <v>4871</v>
      </c>
      <c r="E1747" s="333"/>
      <c r="F1747" s="374" t="s">
        <v>4872</v>
      </c>
      <c r="G1747" s="372" t="s">
        <v>4873</v>
      </c>
      <c r="H1747" s="372">
        <v>10</v>
      </c>
      <c r="I1747" s="372" t="s">
        <v>4874</v>
      </c>
      <c r="J1747" s="372" t="s">
        <v>4875</v>
      </c>
      <c r="K1747" s="332" t="s">
        <v>32</v>
      </c>
      <c r="L1747" s="333"/>
      <c r="M1747" s="333"/>
      <c r="N1747" s="417"/>
      <c r="O1747" s="417"/>
      <c r="P1747" s="462"/>
      <c r="Q1747" s="333"/>
      <c r="R1747" s="396"/>
      <c r="S1747" s="373"/>
      <c r="T1747" s="373"/>
      <c r="U1747" s="373"/>
      <c r="V1747" s="373"/>
      <c r="W1747" s="346"/>
      <c r="X1747" s="373"/>
      <c r="Y1747" s="373"/>
      <c r="Z1747" s="373"/>
      <c r="AA1747" s="373"/>
      <c r="AB1747" s="373"/>
    </row>
    <row r="1748" spans="1:28" ht="12.75" customHeight="1" x14ac:dyDescent="0.25">
      <c r="A1748" s="558" t="s">
        <v>4876</v>
      </c>
      <c r="B1748" s="376">
        <v>45567</v>
      </c>
      <c r="C1748" s="333" t="s">
        <v>4832</v>
      </c>
      <c r="D1748" s="333" t="s">
        <v>4871</v>
      </c>
      <c r="E1748" s="333"/>
      <c r="F1748" s="615" t="s">
        <v>4877</v>
      </c>
      <c r="G1748" s="619" t="s">
        <v>4878</v>
      </c>
      <c r="H1748" s="372">
        <v>5</v>
      </c>
      <c r="I1748" s="372" t="s">
        <v>4879</v>
      </c>
      <c r="J1748" s="372" t="s">
        <v>4880</v>
      </c>
      <c r="K1748" s="332" t="s">
        <v>32</v>
      </c>
      <c r="L1748" s="333"/>
      <c r="M1748" s="333"/>
      <c r="N1748" s="417"/>
      <c r="O1748" s="417"/>
      <c r="P1748" s="462"/>
      <c r="Q1748" s="333"/>
      <c r="R1748" s="396"/>
      <c r="S1748" s="373"/>
      <c r="T1748" s="373"/>
      <c r="U1748" s="373"/>
      <c r="V1748" s="373"/>
      <c r="W1748" s="346"/>
      <c r="X1748" s="373"/>
      <c r="Y1748" s="373"/>
      <c r="Z1748" s="373"/>
      <c r="AA1748" s="373"/>
      <c r="AB1748" s="373"/>
    </row>
    <row r="1749" spans="1:28" ht="12.75" customHeight="1" x14ac:dyDescent="0.25">
      <c r="A1749" s="558" t="s">
        <v>4881</v>
      </c>
      <c r="B1749" s="376">
        <v>45567</v>
      </c>
      <c r="C1749" s="333" t="s">
        <v>4832</v>
      </c>
      <c r="D1749" s="333" t="s">
        <v>4871</v>
      </c>
      <c r="E1749" s="333"/>
      <c r="F1749" s="374" t="s">
        <v>4882</v>
      </c>
      <c r="G1749" s="372" t="s">
        <v>4883</v>
      </c>
      <c r="H1749" s="372">
        <v>1</v>
      </c>
      <c r="I1749" s="372" t="s">
        <v>4884</v>
      </c>
      <c r="J1749" s="526" t="s">
        <v>4838</v>
      </c>
      <c r="K1749" s="332" t="s">
        <v>32</v>
      </c>
      <c r="L1749" s="333"/>
      <c r="M1749" s="333"/>
      <c r="N1749" s="417"/>
      <c r="O1749" s="417"/>
      <c r="P1749" s="462"/>
      <c r="Q1749" s="333"/>
      <c r="R1749" s="396"/>
      <c r="S1749" s="373"/>
      <c r="T1749" s="373"/>
      <c r="U1749" s="373"/>
      <c r="V1749" s="373"/>
      <c r="W1749" s="346"/>
      <c r="X1749" s="373"/>
      <c r="Y1749" s="373"/>
      <c r="Z1749" s="373"/>
      <c r="AA1749" s="373"/>
      <c r="AB1749" s="373"/>
    </row>
    <row r="1750" spans="1:28" ht="12.75" customHeight="1" x14ac:dyDescent="0.25">
      <c r="A1750" s="558" t="s">
        <v>4885</v>
      </c>
      <c r="B1750" s="363">
        <v>45567</v>
      </c>
      <c r="C1750" s="364" t="s">
        <v>4832</v>
      </c>
      <c r="D1750" s="364" t="s">
        <v>4871</v>
      </c>
      <c r="E1750" s="364"/>
      <c r="F1750" s="365" t="s">
        <v>2058</v>
      </c>
      <c r="G1750" s="621" t="s">
        <v>4886</v>
      </c>
      <c r="H1750" s="366">
        <v>1</v>
      </c>
      <c r="I1750" s="366" t="s">
        <v>4887</v>
      </c>
      <c r="J1750" s="366" t="s">
        <v>4880</v>
      </c>
      <c r="K1750" s="368" t="s">
        <v>32</v>
      </c>
      <c r="L1750" s="333"/>
      <c r="M1750" s="333"/>
      <c r="N1750" s="417"/>
      <c r="O1750" s="417"/>
      <c r="P1750" s="462"/>
      <c r="Q1750" s="333"/>
      <c r="R1750" s="396"/>
      <c r="S1750" s="373"/>
      <c r="T1750" s="373"/>
      <c r="U1750" s="373"/>
      <c r="V1750" s="373"/>
      <c r="W1750" s="346"/>
      <c r="X1750" s="373"/>
      <c r="Y1750" s="373"/>
      <c r="Z1750" s="373"/>
      <c r="AA1750" s="373"/>
      <c r="AB1750" s="373"/>
    </row>
    <row r="1751" spans="1:28" ht="12.75" customHeight="1" x14ac:dyDescent="0.25">
      <c r="A1751" s="558" t="s">
        <v>4888</v>
      </c>
      <c r="B1751" s="376">
        <v>45567</v>
      </c>
      <c r="C1751" s="333" t="s">
        <v>4832</v>
      </c>
      <c r="D1751" s="333" t="s">
        <v>4871</v>
      </c>
      <c r="E1751" s="333"/>
      <c r="F1751" s="374" t="s">
        <v>4889</v>
      </c>
      <c r="G1751" s="372" t="s">
        <v>4890</v>
      </c>
      <c r="H1751" s="372">
        <v>1</v>
      </c>
      <c r="I1751" s="372" t="s">
        <v>3863</v>
      </c>
      <c r="J1751" s="372" t="s">
        <v>4817</v>
      </c>
      <c r="K1751" s="333" t="s">
        <v>69</v>
      </c>
      <c r="L1751" s="396"/>
      <c r="M1751" s="333"/>
      <c r="N1751" s="417"/>
      <c r="O1751" s="417"/>
      <c r="P1751" s="462"/>
      <c r="Q1751" s="333"/>
      <c r="R1751" s="396"/>
      <c r="S1751" s="373"/>
      <c r="T1751" s="373"/>
      <c r="U1751" s="373"/>
      <c r="V1751" s="373"/>
      <c r="W1751" s="346"/>
      <c r="X1751" s="373"/>
      <c r="Y1751" s="373"/>
      <c r="Z1751" s="373"/>
      <c r="AA1751" s="373"/>
      <c r="AB1751" s="373"/>
    </row>
    <row r="1752" spans="1:28" ht="12.75" customHeight="1" x14ac:dyDescent="0.25">
      <c r="A1752" s="558" t="s">
        <v>4891</v>
      </c>
      <c r="B1752" s="633">
        <v>45568</v>
      </c>
      <c r="C1752" s="586" t="s">
        <v>4832</v>
      </c>
      <c r="D1752" s="586" t="s">
        <v>4871</v>
      </c>
      <c r="E1752" s="586"/>
      <c r="F1752" s="634" t="s">
        <v>4892</v>
      </c>
      <c r="G1752" s="589" t="s">
        <v>4893</v>
      </c>
      <c r="H1752" s="589">
        <v>1</v>
      </c>
      <c r="I1752" s="589" t="s">
        <v>4887</v>
      </c>
      <c r="J1752" s="635" t="s">
        <v>4838</v>
      </c>
      <c r="K1752" s="587" t="s">
        <v>32</v>
      </c>
      <c r="L1752" s="333"/>
      <c r="M1752" s="333"/>
      <c r="N1752" s="417"/>
      <c r="O1752" s="417"/>
      <c r="P1752" s="462"/>
      <c r="Q1752" s="333"/>
      <c r="R1752" s="396"/>
      <c r="S1752" s="373"/>
      <c r="T1752" s="373"/>
      <c r="U1752" s="373"/>
      <c r="V1752" s="373"/>
      <c r="W1752" s="346"/>
      <c r="X1752" s="373"/>
      <c r="Y1752" s="373"/>
      <c r="Z1752" s="373"/>
      <c r="AA1752" s="373"/>
      <c r="AB1752" s="373"/>
    </row>
    <row r="1753" spans="1:28" ht="12.75" customHeight="1" x14ac:dyDescent="0.25">
      <c r="A1753" s="558" t="s">
        <v>4894</v>
      </c>
      <c r="B1753" s="376">
        <v>45567</v>
      </c>
      <c r="C1753" s="333" t="s">
        <v>4832</v>
      </c>
      <c r="D1753" s="333" t="s">
        <v>4340</v>
      </c>
      <c r="E1753" s="333">
        <v>6980908</v>
      </c>
      <c r="F1753" s="374" t="s">
        <v>4895</v>
      </c>
      <c r="G1753" s="526" t="s">
        <v>4896</v>
      </c>
      <c r="H1753" s="372">
        <v>1</v>
      </c>
      <c r="I1753" s="372" t="s">
        <v>4897</v>
      </c>
      <c r="J1753" s="372" t="s">
        <v>4817</v>
      </c>
      <c r="K1753" s="333" t="s">
        <v>69</v>
      </c>
      <c r="L1753" s="396"/>
      <c r="M1753" s="333"/>
      <c r="N1753" s="417"/>
      <c r="O1753" s="417"/>
      <c r="P1753" s="462"/>
      <c r="Q1753" s="333"/>
      <c r="R1753" s="396"/>
      <c r="S1753" s="373"/>
      <c r="T1753" s="373"/>
      <c r="U1753" s="373"/>
      <c r="V1753" s="373"/>
      <c r="W1753" s="346"/>
      <c r="X1753" s="373"/>
      <c r="Y1753" s="373"/>
      <c r="Z1753" s="373"/>
      <c r="AA1753" s="373"/>
      <c r="AB1753" s="373"/>
    </row>
    <row r="1754" spans="1:28" ht="12.75" customHeight="1" x14ac:dyDescent="0.25">
      <c r="A1754" s="558" t="s">
        <v>4898</v>
      </c>
      <c r="B1754" s="376">
        <v>45574</v>
      </c>
      <c r="C1754" s="333" t="s">
        <v>4832</v>
      </c>
      <c r="D1754" s="333" t="s">
        <v>71</v>
      </c>
      <c r="E1754" s="333">
        <v>7740908</v>
      </c>
      <c r="F1754" s="374" t="s">
        <v>663</v>
      </c>
      <c r="G1754" s="372" t="s">
        <v>4899</v>
      </c>
      <c r="H1754" s="372">
        <v>1</v>
      </c>
      <c r="I1754" s="372"/>
      <c r="J1754" s="372" t="s">
        <v>4900</v>
      </c>
      <c r="K1754" s="333" t="s">
        <v>69</v>
      </c>
      <c r="L1754" s="396"/>
      <c r="M1754" s="333"/>
      <c r="N1754" s="417"/>
      <c r="O1754" s="417"/>
      <c r="P1754" s="462"/>
      <c r="Q1754" s="333"/>
      <c r="R1754" s="396"/>
      <c r="S1754" s="373"/>
      <c r="T1754" s="373"/>
      <c r="U1754" s="373"/>
      <c r="V1754" s="373"/>
      <c r="W1754" s="346"/>
      <c r="X1754" s="373"/>
      <c r="Y1754" s="373"/>
      <c r="Z1754" s="373"/>
      <c r="AA1754" s="373"/>
      <c r="AB1754" s="373"/>
    </row>
    <row r="1755" spans="1:28" ht="12.75" customHeight="1" x14ac:dyDescent="0.25">
      <c r="A1755" s="558" t="s">
        <v>4901</v>
      </c>
      <c r="B1755" s="376">
        <v>45576</v>
      </c>
      <c r="C1755" s="333" t="s">
        <v>4832</v>
      </c>
      <c r="D1755" s="372" t="s">
        <v>3959</v>
      </c>
      <c r="E1755" s="333"/>
      <c r="F1755" s="374" t="s">
        <v>4902</v>
      </c>
      <c r="G1755" s="372" t="s">
        <v>4903</v>
      </c>
      <c r="H1755" s="372">
        <v>16</v>
      </c>
      <c r="I1755" s="372" t="s">
        <v>4904</v>
      </c>
      <c r="J1755" s="372" t="s">
        <v>4817</v>
      </c>
      <c r="K1755" s="333" t="s">
        <v>69</v>
      </c>
      <c r="L1755" s="396"/>
      <c r="M1755" s="333"/>
      <c r="N1755" s="417"/>
      <c r="O1755" s="417"/>
      <c r="P1755" s="462"/>
      <c r="Q1755" s="333"/>
      <c r="R1755" s="396"/>
      <c r="S1755" s="373"/>
      <c r="T1755" s="373"/>
      <c r="U1755" s="373"/>
      <c r="V1755" s="373"/>
      <c r="W1755" s="346"/>
      <c r="X1755" s="373"/>
      <c r="Y1755" s="373"/>
      <c r="Z1755" s="373"/>
      <c r="AA1755" s="373"/>
      <c r="AB1755" s="373"/>
    </row>
    <row r="1756" spans="1:28" ht="12.75" customHeight="1" x14ac:dyDescent="0.25">
      <c r="A1756" s="558" t="s">
        <v>4905</v>
      </c>
      <c r="B1756" s="376">
        <v>45576</v>
      </c>
      <c r="C1756" s="333" t="s">
        <v>4832</v>
      </c>
      <c r="D1756" s="372" t="s">
        <v>3959</v>
      </c>
      <c r="E1756" s="333"/>
      <c r="F1756" s="374" t="s">
        <v>4906</v>
      </c>
      <c r="G1756" s="372" t="s">
        <v>4907</v>
      </c>
      <c r="H1756" s="372">
        <v>8</v>
      </c>
      <c r="I1756" s="372" t="s">
        <v>4904</v>
      </c>
      <c r="J1756" s="372" t="s">
        <v>4817</v>
      </c>
      <c r="K1756" s="333" t="s">
        <v>69</v>
      </c>
      <c r="L1756" s="396"/>
      <c r="M1756" s="333"/>
      <c r="N1756" s="417"/>
      <c r="O1756" s="417"/>
      <c r="P1756" s="462"/>
      <c r="Q1756" s="333"/>
      <c r="R1756" s="396"/>
      <c r="S1756" s="373"/>
      <c r="T1756" s="373"/>
      <c r="U1756" s="373"/>
      <c r="V1756" s="373"/>
      <c r="W1756" s="346"/>
      <c r="X1756" s="373"/>
      <c r="Y1756" s="373"/>
      <c r="Z1756" s="373"/>
      <c r="AA1756" s="373"/>
      <c r="AB1756" s="373"/>
    </row>
    <row r="1757" spans="1:28" ht="12.75" customHeight="1" x14ac:dyDescent="0.25">
      <c r="A1757" s="573" t="s">
        <v>4908</v>
      </c>
      <c r="B1757" s="633">
        <v>45555</v>
      </c>
      <c r="C1757" s="586" t="s">
        <v>4832</v>
      </c>
      <c r="D1757" s="586" t="s">
        <v>4340</v>
      </c>
      <c r="F1757" s="634" t="s">
        <v>4836</v>
      </c>
      <c r="G1757" s="635" t="s">
        <v>4837</v>
      </c>
      <c r="H1757" s="589">
        <v>1</v>
      </c>
      <c r="I1757" s="428" t="s">
        <v>4909</v>
      </c>
      <c r="J1757" s="635" t="s">
        <v>4838</v>
      </c>
      <c r="K1757" s="587" t="s">
        <v>32</v>
      </c>
      <c r="L1757" s="333"/>
      <c r="M1757" s="333"/>
      <c r="N1757" s="417"/>
      <c r="O1757" s="417"/>
      <c r="P1757" s="462"/>
      <c r="Q1757" s="333"/>
      <c r="R1757" s="396"/>
      <c r="S1757" s="373"/>
      <c r="T1757" s="373"/>
      <c r="U1757" s="373"/>
      <c r="V1757" s="373"/>
      <c r="W1757" s="346"/>
      <c r="X1757" s="373"/>
      <c r="Y1757" s="373"/>
      <c r="Z1757" s="373"/>
      <c r="AA1757" s="373"/>
      <c r="AB1757" s="373"/>
    </row>
    <row r="1758" spans="1:28" ht="12.75" customHeight="1" x14ac:dyDescent="0.25">
      <c r="A1758" s="425" t="s">
        <v>4910</v>
      </c>
      <c r="B1758" s="376">
        <v>45579</v>
      </c>
      <c r="C1758" s="364" t="s">
        <v>4832</v>
      </c>
      <c r="D1758" s="333" t="s">
        <v>4340</v>
      </c>
      <c r="E1758" s="333"/>
      <c r="F1758" s="374" t="s">
        <v>4911</v>
      </c>
      <c r="G1758" s="372" t="s">
        <v>3393</v>
      </c>
      <c r="H1758" s="372">
        <v>4</v>
      </c>
      <c r="I1758" s="372"/>
      <c r="J1758" s="372" t="s">
        <v>4912</v>
      </c>
      <c r="K1758" s="333" t="s">
        <v>32</v>
      </c>
      <c r="L1758" s="333"/>
      <c r="M1758" s="333"/>
      <c r="N1758" s="417"/>
      <c r="O1758" s="417"/>
      <c r="P1758" s="462"/>
      <c r="Q1758" s="333"/>
      <c r="R1758" s="396"/>
      <c r="S1758" s="373"/>
      <c r="T1758" s="373"/>
      <c r="U1758" s="373"/>
      <c r="V1758" s="373"/>
      <c r="W1758" s="346"/>
      <c r="X1758" s="373"/>
      <c r="Y1758" s="373"/>
      <c r="Z1758" s="373"/>
      <c r="AA1758" s="373"/>
      <c r="AB1758" s="373"/>
    </row>
    <row r="1759" spans="1:28" ht="12.75" customHeight="1" x14ac:dyDescent="0.25">
      <c r="A1759" s="425" t="s">
        <v>4913</v>
      </c>
      <c r="B1759" s="376">
        <v>45579</v>
      </c>
      <c r="C1759" s="333" t="s">
        <v>4832</v>
      </c>
      <c r="D1759" s="333" t="s">
        <v>4340</v>
      </c>
      <c r="E1759" s="333"/>
      <c r="F1759" s="374" t="s">
        <v>4843</v>
      </c>
      <c r="G1759" s="372" t="s">
        <v>4914</v>
      </c>
      <c r="H1759" s="372">
        <v>1</v>
      </c>
      <c r="I1759" s="372"/>
      <c r="J1759" s="372" t="s">
        <v>4838</v>
      </c>
      <c r="K1759" s="332"/>
      <c r="L1759" s="333"/>
      <c r="M1759" s="333"/>
      <c r="N1759" s="417"/>
      <c r="O1759" s="417"/>
      <c r="P1759" s="462"/>
      <c r="Q1759" s="333"/>
      <c r="R1759" s="396"/>
      <c r="S1759" s="373"/>
      <c r="T1759" s="373"/>
      <c r="U1759" s="373"/>
      <c r="V1759" s="373"/>
      <c r="W1759" s="346"/>
      <c r="X1759" s="373"/>
      <c r="Y1759" s="373"/>
      <c r="Z1759" s="373"/>
      <c r="AA1759" s="373"/>
      <c r="AB1759" s="373"/>
    </row>
    <row r="1760" spans="1:28" ht="12.75" customHeight="1" x14ac:dyDescent="0.3">
      <c r="A1760" s="425" t="s">
        <v>4915</v>
      </c>
      <c r="B1760" s="501" t="s">
        <v>4916</v>
      </c>
      <c r="C1760" s="415" t="s">
        <v>4917</v>
      </c>
      <c r="D1760" s="415">
        <v>1918</v>
      </c>
      <c r="E1760" s="625" t="s">
        <v>4918</v>
      </c>
      <c r="F1760" s="427">
        <v>585898410108</v>
      </c>
      <c r="G1760" s="428" t="s">
        <v>4919</v>
      </c>
      <c r="H1760" s="372">
        <v>1</v>
      </c>
      <c r="I1760" s="428" t="s">
        <v>4909</v>
      </c>
      <c r="J1760" s="621" t="s">
        <v>4838</v>
      </c>
      <c r="K1760" s="368" t="s">
        <v>32</v>
      </c>
      <c r="L1760" s="333"/>
      <c r="M1760" s="396"/>
      <c r="N1760" s="417"/>
      <c r="O1760" s="417"/>
      <c r="P1760" s="462"/>
      <c r="Q1760" s="333"/>
      <c r="R1760" s="333"/>
      <c r="S1760" s="373"/>
      <c r="T1760" s="373"/>
      <c r="U1760" s="373"/>
      <c r="V1760" s="373"/>
      <c r="W1760" s="346"/>
      <c r="X1760" s="373"/>
      <c r="Y1760" s="373"/>
      <c r="Z1760" s="373"/>
      <c r="AA1760" s="373"/>
      <c r="AB1760" s="373"/>
    </row>
    <row r="1761" spans="1:28" ht="12.75" customHeight="1" x14ac:dyDescent="0.3">
      <c r="A1761" s="425" t="s">
        <v>4920</v>
      </c>
      <c r="B1761" s="501" t="s">
        <v>4916</v>
      </c>
      <c r="C1761" s="415" t="s">
        <v>4917</v>
      </c>
      <c r="D1761" s="415">
        <v>1918</v>
      </c>
      <c r="E1761" s="623" t="s">
        <v>4921</v>
      </c>
      <c r="F1761" s="427">
        <v>585898410108</v>
      </c>
      <c r="G1761" s="428" t="s">
        <v>4919</v>
      </c>
      <c r="H1761" s="428">
        <v>1</v>
      </c>
      <c r="I1761" s="596" t="s">
        <v>4909</v>
      </c>
      <c r="J1761" s="399" t="s">
        <v>4912</v>
      </c>
      <c r="K1761" s="333" t="s">
        <v>32</v>
      </c>
      <c r="L1761" s="540"/>
      <c r="M1761" s="333"/>
      <c r="N1761" s="417"/>
      <c r="O1761" s="417"/>
      <c r="P1761" s="462"/>
      <c r="Q1761" s="333"/>
      <c r="R1761" s="333"/>
      <c r="S1761" s="373"/>
      <c r="T1761" s="373"/>
      <c r="U1761" s="373"/>
      <c r="V1761" s="373"/>
      <c r="W1761" s="346"/>
      <c r="X1761" s="373"/>
      <c r="Y1761" s="373"/>
      <c r="Z1761" s="373"/>
      <c r="AA1761" s="373"/>
      <c r="AB1761" s="373"/>
    </row>
    <row r="1762" spans="1:28" ht="12.75" customHeight="1" x14ac:dyDescent="0.3">
      <c r="A1762" s="425" t="s">
        <v>4922</v>
      </c>
      <c r="B1762" s="376">
        <v>45580</v>
      </c>
      <c r="C1762" s="333" t="s">
        <v>4917</v>
      </c>
      <c r="D1762" s="332">
        <v>1918</v>
      </c>
      <c r="E1762" s="625" t="s">
        <v>4918</v>
      </c>
      <c r="F1762" s="624">
        <v>585872502302</v>
      </c>
      <c r="G1762" s="372" t="s">
        <v>4923</v>
      </c>
      <c r="H1762" s="372">
        <v>1</v>
      </c>
      <c r="I1762" s="372" t="s">
        <v>4909</v>
      </c>
      <c r="J1762" s="428" t="s">
        <v>4838</v>
      </c>
      <c r="K1762" s="415" t="s">
        <v>32</v>
      </c>
      <c r="L1762" s="333"/>
      <c r="M1762" s="333"/>
      <c r="N1762" s="417"/>
      <c r="O1762" s="417"/>
      <c r="P1762" s="462"/>
      <c r="Q1762" s="333"/>
      <c r="R1762" s="333"/>
      <c r="S1762" s="373"/>
      <c r="T1762" s="373"/>
      <c r="U1762" s="373"/>
      <c r="V1762" s="373"/>
      <c r="W1762" s="346"/>
      <c r="X1762" s="373"/>
      <c r="Y1762" s="373"/>
      <c r="Z1762" s="373"/>
      <c r="AA1762" s="373"/>
      <c r="AB1762" s="373"/>
    </row>
    <row r="1763" spans="1:28" ht="12.75" customHeight="1" x14ac:dyDescent="0.3">
      <c r="A1763" s="425" t="s">
        <v>4924</v>
      </c>
      <c r="B1763" s="376">
        <v>45580</v>
      </c>
      <c r="C1763" s="333" t="s">
        <v>4917</v>
      </c>
      <c r="D1763" s="332">
        <v>1918</v>
      </c>
      <c r="E1763" s="623" t="s">
        <v>4921</v>
      </c>
      <c r="F1763" s="624">
        <v>585872502302</v>
      </c>
      <c r="G1763" s="372" t="s">
        <v>4923</v>
      </c>
      <c r="H1763" s="372">
        <v>1</v>
      </c>
      <c r="I1763" s="372" t="s">
        <v>4909</v>
      </c>
      <c r="J1763" s="372" t="s">
        <v>4838</v>
      </c>
      <c r="K1763" s="333" t="s">
        <v>32</v>
      </c>
      <c r="L1763" s="333"/>
      <c r="M1763" s="333"/>
      <c r="N1763" s="417"/>
      <c r="O1763" s="417"/>
      <c r="P1763" s="462"/>
      <c r="Q1763" s="333"/>
      <c r="R1763" s="333"/>
      <c r="S1763" s="373"/>
      <c r="T1763" s="373"/>
      <c r="U1763" s="373"/>
      <c r="V1763" s="373"/>
      <c r="W1763" s="346"/>
      <c r="X1763" s="373"/>
      <c r="Y1763" s="373"/>
      <c r="Z1763" s="373"/>
      <c r="AA1763" s="373"/>
      <c r="AB1763" s="373"/>
    </row>
    <row r="1764" spans="1:28" ht="12.75" customHeight="1" x14ac:dyDescent="0.25">
      <c r="A1764" s="425" t="s">
        <v>4925</v>
      </c>
      <c r="B1764" s="376">
        <v>45581</v>
      </c>
      <c r="C1764" s="333" t="s">
        <v>26</v>
      </c>
      <c r="D1764" s="333" t="s">
        <v>4926</v>
      </c>
      <c r="E1764" s="415">
        <v>4074770</v>
      </c>
      <c r="F1764" s="374">
        <v>2372281</v>
      </c>
      <c r="G1764" s="372" t="s">
        <v>4927</v>
      </c>
      <c r="H1764" s="372">
        <v>2</v>
      </c>
      <c r="I1764" s="372" t="s">
        <v>4928</v>
      </c>
      <c r="J1764" s="372" t="s">
        <v>4875</v>
      </c>
      <c r="K1764" s="333" t="s">
        <v>32</v>
      </c>
      <c r="L1764" s="333"/>
      <c r="M1764" s="333"/>
      <c r="N1764" s="417"/>
      <c r="O1764" s="417"/>
      <c r="P1764" s="462"/>
      <c r="Q1764" s="333"/>
      <c r="R1764" s="333"/>
      <c r="S1764" s="373"/>
      <c r="T1764" s="373"/>
      <c r="U1764" s="373"/>
      <c r="V1764" s="373"/>
      <c r="W1764" s="346"/>
      <c r="X1764" s="373"/>
      <c r="Y1764" s="373"/>
      <c r="Z1764" s="373"/>
      <c r="AA1764" s="373"/>
      <c r="AB1764" s="373"/>
    </row>
    <row r="1765" spans="1:28" ht="12.75" customHeight="1" x14ac:dyDescent="0.25">
      <c r="A1765" s="600" t="s">
        <v>4929</v>
      </c>
      <c r="B1765" s="376">
        <v>45581</v>
      </c>
      <c r="C1765" s="333" t="s">
        <v>26</v>
      </c>
      <c r="D1765" s="333" t="s">
        <v>4926</v>
      </c>
      <c r="E1765" s="333">
        <v>4073459</v>
      </c>
      <c r="F1765" s="374" t="s">
        <v>4930</v>
      </c>
      <c r="G1765" s="372" t="s">
        <v>4931</v>
      </c>
      <c r="H1765" s="372">
        <v>1</v>
      </c>
      <c r="I1765" s="372" t="s">
        <v>4932</v>
      </c>
      <c r="J1765" s="372" t="s">
        <v>4838</v>
      </c>
      <c r="K1765" s="333" t="s">
        <v>32</v>
      </c>
      <c r="L1765" s="333"/>
      <c r="M1765" s="333"/>
      <c r="N1765" s="417"/>
      <c r="O1765" s="417"/>
      <c r="P1765" s="462"/>
      <c r="Q1765" s="333"/>
      <c r="R1765" s="333"/>
      <c r="S1765" s="373"/>
      <c r="T1765" s="373"/>
      <c r="U1765" s="373"/>
      <c r="V1765" s="373"/>
      <c r="W1765" s="346"/>
      <c r="X1765" s="373"/>
      <c r="Y1765" s="373"/>
      <c r="Z1765" s="373"/>
      <c r="AA1765" s="373"/>
      <c r="AB1765" s="373"/>
    </row>
    <row r="1766" spans="1:28" ht="12.75" customHeight="1" x14ac:dyDescent="0.25">
      <c r="A1766" s="558" t="s">
        <v>4933</v>
      </c>
      <c r="B1766" s="376">
        <v>45581</v>
      </c>
      <c r="C1766" s="333" t="s">
        <v>3540</v>
      </c>
      <c r="D1766" s="333" t="s">
        <v>4934</v>
      </c>
      <c r="E1766" s="333">
        <v>16376</v>
      </c>
      <c r="F1766" s="374" t="s">
        <v>4935</v>
      </c>
      <c r="G1766" s="372" t="s">
        <v>4936</v>
      </c>
      <c r="H1766" s="372">
        <v>1</v>
      </c>
      <c r="I1766" s="372">
        <v>46</v>
      </c>
      <c r="J1766" s="372" t="s">
        <v>4937</v>
      </c>
      <c r="K1766" s="333" t="s">
        <v>32</v>
      </c>
      <c r="L1766" s="333"/>
      <c r="M1766" s="333"/>
      <c r="N1766" s="417"/>
      <c r="O1766" s="417"/>
      <c r="P1766" s="462"/>
      <c r="Q1766" s="333"/>
      <c r="R1766" s="333"/>
      <c r="S1766" s="373"/>
      <c r="T1766" s="373"/>
      <c r="U1766" s="373"/>
      <c r="V1766" s="373"/>
      <c r="W1766" s="346"/>
      <c r="X1766" s="373"/>
      <c r="Y1766" s="373"/>
      <c r="Z1766" s="373"/>
      <c r="AA1766" s="373"/>
      <c r="AB1766" s="373"/>
    </row>
    <row r="1767" spans="1:28" ht="12.75" customHeight="1" x14ac:dyDescent="0.25">
      <c r="A1767" s="558" t="s">
        <v>4938</v>
      </c>
      <c r="B1767" s="376">
        <v>45581</v>
      </c>
      <c r="C1767" s="333" t="s">
        <v>26</v>
      </c>
      <c r="D1767" s="333" t="s">
        <v>4926</v>
      </c>
      <c r="E1767" s="333">
        <v>4074774</v>
      </c>
      <c r="F1767" s="374">
        <v>2285718</v>
      </c>
      <c r="G1767" s="372" t="s">
        <v>4939</v>
      </c>
      <c r="H1767" s="372">
        <v>2</v>
      </c>
      <c r="I1767" s="372" t="s">
        <v>4928</v>
      </c>
      <c r="J1767" s="372" t="s">
        <v>4875</v>
      </c>
      <c r="K1767" s="333" t="s">
        <v>32</v>
      </c>
      <c r="L1767" s="333"/>
      <c r="M1767" s="333"/>
      <c r="N1767" s="417"/>
      <c r="O1767" s="417"/>
      <c r="P1767" s="462"/>
      <c r="Q1767" s="333"/>
      <c r="R1767" s="333"/>
      <c r="S1767" s="373"/>
      <c r="T1767" s="373"/>
      <c r="U1767" s="373"/>
      <c r="V1767" s="373"/>
      <c r="W1767" s="346"/>
      <c r="X1767" s="373"/>
      <c r="Y1767" s="373"/>
      <c r="Z1767" s="373"/>
      <c r="AA1767" s="373"/>
      <c r="AB1767" s="373"/>
    </row>
    <row r="1768" spans="1:28" ht="12.75" customHeight="1" x14ac:dyDescent="0.25">
      <c r="A1768" s="558" t="s">
        <v>4940</v>
      </c>
      <c r="B1768" s="376">
        <v>45581</v>
      </c>
      <c r="C1768" s="333" t="s">
        <v>26</v>
      </c>
      <c r="D1768" s="333" t="s">
        <v>4941</v>
      </c>
      <c r="E1768" s="333" t="s">
        <v>4942</v>
      </c>
      <c r="F1768" s="374" t="s">
        <v>4943</v>
      </c>
      <c r="G1768" s="372" t="s">
        <v>4944</v>
      </c>
      <c r="H1768" s="372">
        <v>2</v>
      </c>
      <c r="I1768" s="372" t="s">
        <v>4727</v>
      </c>
      <c r="J1768" s="372" t="s">
        <v>4838</v>
      </c>
      <c r="K1768" s="333"/>
      <c r="L1768" s="333"/>
      <c r="M1768" s="333"/>
      <c r="N1768" s="417"/>
      <c r="O1768" s="417"/>
      <c r="P1768" s="462"/>
      <c r="Q1768" s="333"/>
      <c r="R1768" s="333"/>
      <c r="S1768" s="373"/>
      <c r="T1768" s="373"/>
      <c r="U1768" s="373"/>
      <c r="V1768" s="373"/>
      <c r="W1768" s="346"/>
      <c r="X1768" s="373"/>
      <c r="Y1768" s="373"/>
      <c r="Z1768" s="373"/>
      <c r="AA1768" s="373"/>
      <c r="AB1768" s="373"/>
    </row>
    <row r="1769" spans="1:28" ht="12.75" customHeight="1" x14ac:dyDescent="0.25">
      <c r="A1769" s="558" t="s">
        <v>4945</v>
      </c>
      <c r="B1769" s="376">
        <v>45582</v>
      </c>
      <c r="C1769" s="333" t="s">
        <v>26</v>
      </c>
      <c r="D1769" s="333" t="s">
        <v>4926</v>
      </c>
      <c r="E1769" s="333">
        <v>4074774</v>
      </c>
      <c r="F1769" s="374">
        <v>2116382</v>
      </c>
      <c r="G1769" s="372" t="s">
        <v>4946</v>
      </c>
      <c r="H1769" s="372">
        <v>1</v>
      </c>
      <c r="I1769" s="372" t="s">
        <v>4928</v>
      </c>
      <c r="J1769" s="372" t="s">
        <v>4937</v>
      </c>
      <c r="K1769" s="333" t="s">
        <v>32</v>
      </c>
      <c r="L1769" s="333"/>
      <c r="M1769" s="333"/>
      <c r="N1769" s="417"/>
      <c r="O1769" s="417"/>
      <c r="P1769" s="462"/>
      <c r="Q1769" s="333"/>
      <c r="R1769" s="333"/>
      <c r="S1769" s="373"/>
      <c r="T1769" s="373"/>
      <c r="U1769" s="373"/>
      <c r="V1769" s="373"/>
      <c r="W1769" s="346"/>
      <c r="X1769" s="373"/>
      <c r="Y1769" s="373"/>
      <c r="Z1769" s="373"/>
      <c r="AA1769" s="373"/>
      <c r="AB1769" s="373"/>
    </row>
    <row r="1770" spans="1:28" ht="12.75" customHeight="1" x14ac:dyDescent="0.25">
      <c r="A1770" s="558" t="s">
        <v>4947</v>
      </c>
      <c r="B1770" s="376">
        <v>45582</v>
      </c>
      <c r="C1770" s="333" t="s">
        <v>3540</v>
      </c>
      <c r="D1770" s="333" t="s">
        <v>4934</v>
      </c>
      <c r="E1770" s="333"/>
      <c r="F1770" s="374" t="s">
        <v>2188</v>
      </c>
      <c r="G1770" s="372" t="s">
        <v>4948</v>
      </c>
      <c r="H1770" s="372">
        <v>1</v>
      </c>
      <c r="I1770" s="372">
        <v>46</v>
      </c>
      <c r="J1770" s="372" t="s">
        <v>4849</v>
      </c>
      <c r="K1770" s="333" t="s">
        <v>69</v>
      </c>
      <c r="L1770" s="333"/>
      <c r="M1770" s="333"/>
      <c r="N1770" s="417"/>
      <c r="O1770" s="417"/>
      <c r="P1770" s="462"/>
      <c r="Q1770" s="333"/>
      <c r="R1770" s="333"/>
      <c r="S1770" s="373"/>
      <c r="T1770" s="373"/>
      <c r="U1770" s="373"/>
      <c r="V1770" s="373"/>
      <c r="W1770" s="346"/>
      <c r="X1770" s="373"/>
      <c r="Y1770" s="373"/>
      <c r="Z1770" s="373"/>
      <c r="AA1770" s="373"/>
      <c r="AB1770" s="373"/>
    </row>
    <row r="1771" spans="1:28" ht="12.75" customHeight="1" x14ac:dyDescent="0.25">
      <c r="A1771" s="558" t="s">
        <v>4950</v>
      </c>
      <c r="B1771" s="376"/>
      <c r="C1771" s="333"/>
      <c r="D1771" s="333"/>
      <c r="E1771" s="333"/>
      <c r="F1771" s="374"/>
      <c r="G1771" s="372"/>
      <c r="H1771" s="372"/>
      <c r="I1771" s="372"/>
      <c r="J1771" s="372"/>
      <c r="K1771" s="333"/>
      <c r="L1771" s="333"/>
      <c r="M1771" s="333"/>
      <c r="N1771" s="417"/>
      <c r="O1771" s="417"/>
      <c r="P1771" s="462"/>
      <c r="Q1771" s="333"/>
      <c r="R1771" s="333"/>
      <c r="S1771" s="373"/>
      <c r="T1771" s="373"/>
      <c r="U1771" s="373"/>
      <c r="V1771" s="373"/>
      <c r="W1771" s="346"/>
      <c r="X1771" s="373"/>
      <c r="Y1771" s="373"/>
      <c r="Z1771" s="373"/>
      <c r="AA1771" s="373"/>
      <c r="AB1771" s="373"/>
    </row>
    <row r="1772" spans="1:28" ht="12.75" customHeight="1" x14ac:dyDescent="0.25">
      <c r="A1772" s="558" t="s">
        <v>4951</v>
      </c>
      <c r="B1772" s="376"/>
      <c r="C1772" s="333"/>
      <c r="D1772" s="333"/>
      <c r="E1772" s="333"/>
      <c r="F1772" s="374"/>
      <c r="G1772" s="372"/>
      <c r="H1772" s="372"/>
      <c r="I1772" s="372"/>
      <c r="J1772" s="372"/>
      <c r="K1772" s="333"/>
      <c r="L1772" s="333"/>
      <c r="M1772" s="333"/>
      <c r="N1772" s="417"/>
      <c r="O1772" s="417"/>
      <c r="P1772" s="462"/>
      <c r="Q1772" s="333"/>
      <c r="R1772" s="333"/>
      <c r="S1772" s="373"/>
      <c r="T1772" s="373"/>
      <c r="U1772" s="373"/>
      <c r="V1772" s="373"/>
      <c r="W1772" s="346"/>
      <c r="X1772" s="373"/>
      <c r="Y1772" s="373"/>
      <c r="Z1772" s="373"/>
      <c r="AA1772" s="373"/>
      <c r="AB1772" s="373"/>
    </row>
    <row r="1773" spans="1:28" ht="12.75" customHeight="1" x14ac:dyDescent="0.25">
      <c r="A1773" s="558" t="s">
        <v>4952</v>
      </c>
      <c r="B1773" s="376"/>
      <c r="C1773" s="333"/>
      <c r="D1773" s="333"/>
      <c r="E1773" s="333"/>
      <c r="F1773" s="374"/>
      <c r="G1773" s="372"/>
      <c r="H1773" s="372"/>
      <c r="I1773" s="372"/>
      <c r="J1773" s="333"/>
      <c r="K1773" s="333"/>
      <c r="L1773" s="333"/>
      <c r="M1773" s="333"/>
      <c r="N1773" s="417"/>
      <c r="O1773" s="417"/>
      <c r="P1773" s="462"/>
      <c r="Q1773" s="333"/>
      <c r="R1773" s="333"/>
      <c r="S1773" s="373"/>
      <c r="T1773" s="373"/>
      <c r="U1773" s="373"/>
      <c r="V1773" s="373"/>
      <c r="W1773" s="346"/>
      <c r="X1773" s="373"/>
      <c r="Y1773" s="373"/>
      <c r="Z1773" s="373"/>
      <c r="AA1773" s="373"/>
      <c r="AB1773" s="373"/>
    </row>
    <row r="1774" spans="1:28" ht="12.75" customHeight="1" x14ac:dyDescent="0.25">
      <c r="A1774" s="558" t="s">
        <v>4953</v>
      </c>
      <c r="B1774" s="376"/>
      <c r="C1774" s="333"/>
      <c r="D1774" s="333"/>
      <c r="E1774" s="333"/>
      <c r="F1774" s="374"/>
      <c r="G1774" s="372"/>
      <c r="H1774" s="372"/>
      <c r="I1774" s="372"/>
      <c r="J1774" s="333"/>
      <c r="K1774" s="333"/>
      <c r="L1774" s="333"/>
      <c r="M1774" s="333"/>
      <c r="N1774" s="417"/>
      <c r="O1774" s="417"/>
      <c r="P1774" s="462"/>
      <c r="Q1774" s="333"/>
      <c r="R1774" s="333"/>
      <c r="S1774" s="373"/>
      <c r="T1774" s="373"/>
      <c r="U1774" s="373"/>
      <c r="V1774" s="373"/>
      <c r="W1774" s="346"/>
      <c r="X1774" s="373"/>
      <c r="Y1774" s="373"/>
      <c r="Z1774" s="373"/>
      <c r="AA1774" s="373"/>
      <c r="AB1774" s="373"/>
    </row>
    <row r="1775" spans="1:28" ht="12.75" customHeight="1" x14ac:dyDescent="0.25">
      <c r="A1775" s="558" t="s">
        <v>4954</v>
      </c>
      <c r="B1775" s="376"/>
      <c r="C1775" s="333"/>
      <c r="D1775" s="333"/>
      <c r="E1775" s="333"/>
      <c r="F1775" s="374"/>
      <c r="G1775" s="372"/>
      <c r="H1775" s="372"/>
      <c r="I1775" s="372"/>
      <c r="J1775" s="333"/>
      <c r="K1775" s="333"/>
      <c r="L1775" s="333"/>
      <c r="M1775" s="333"/>
      <c r="N1775" s="417"/>
      <c r="O1775" s="417"/>
      <c r="P1775" s="462"/>
      <c r="Q1775" s="333"/>
      <c r="R1775" s="333"/>
      <c r="S1775" s="373"/>
      <c r="T1775" s="373"/>
      <c r="U1775" s="373"/>
      <c r="V1775" s="373"/>
      <c r="W1775" s="346"/>
      <c r="X1775" s="373"/>
      <c r="Y1775" s="373"/>
      <c r="Z1775" s="373"/>
      <c r="AA1775" s="373"/>
      <c r="AB1775" s="373"/>
    </row>
    <row r="1776" spans="1:28" ht="12.75" customHeight="1" x14ac:dyDescent="0.25">
      <c r="A1776" s="558" t="s">
        <v>4955</v>
      </c>
      <c r="B1776" s="376"/>
      <c r="C1776" s="333"/>
      <c r="D1776" s="333"/>
      <c r="E1776" s="333"/>
      <c r="F1776" s="374"/>
      <c r="G1776" s="372"/>
      <c r="H1776" s="372"/>
      <c r="I1776" s="372"/>
      <c r="J1776" s="333"/>
      <c r="K1776" s="333"/>
      <c r="L1776" s="333"/>
      <c r="M1776" s="333"/>
      <c r="N1776" s="417"/>
      <c r="O1776" s="417"/>
      <c r="P1776" s="462"/>
      <c r="Q1776" s="333"/>
      <c r="R1776" s="333"/>
      <c r="S1776" s="373"/>
      <c r="T1776" s="373"/>
      <c r="U1776" s="373"/>
      <c r="V1776" s="373"/>
      <c r="W1776" s="346"/>
      <c r="X1776" s="373"/>
      <c r="Y1776" s="373"/>
      <c r="Z1776" s="373"/>
      <c r="AA1776" s="373"/>
      <c r="AB1776" s="373"/>
    </row>
    <row r="1777" spans="1:28" ht="12.75" customHeight="1" x14ac:dyDescent="0.25">
      <c r="A1777" s="558" t="s">
        <v>4956</v>
      </c>
      <c r="B1777" s="376"/>
      <c r="C1777" s="333"/>
      <c r="D1777" s="333"/>
      <c r="E1777" s="333"/>
      <c r="F1777" s="374"/>
      <c r="G1777" s="372"/>
      <c r="H1777" s="372"/>
      <c r="I1777" s="372"/>
      <c r="J1777" s="333"/>
      <c r="K1777" s="333"/>
      <c r="L1777" s="333"/>
      <c r="M1777" s="333"/>
      <c r="N1777" s="417"/>
      <c r="O1777" s="417"/>
      <c r="P1777" s="462"/>
      <c r="Q1777" s="333"/>
      <c r="R1777" s="333"/>
      <c r="S1777" s="373"/>
      <c r="T1777" s="373"/>
      <c r="U1777" s="373"/>
      <c r="V1777" s="373"/>
      <c r="W1777" s="346"/>
      <c r="X1777" s="373"/>
      <c r="Y1777" s="373"/>
      <c r="Z1777" s="373"/>
      <c r="AA1777" s="373"/>
      <c r="AB1777" s="373"/>
    </row>
    <row r="1778" spans="1:28" ht="12.75" customHeight="1" x14ac:dyDescent="0.25">
      <c r="A1778" s="558" t="s">
        <v>4957</v>
      </c>
      <c r="B1778" s="376"/>
      <c r="C1778" s="333"/>
      <c r="D1778" s="333"/>
      <c r="E1778" s="333"/>
      <c r="F1778" s="374"/>
      <c r="G1778" s="372"/>
      <c r="H1778" s="372"/>
      <c r="I1778" s="372"/>
      <c r="J1778" s="333"/>
      <c r="K1778" s="333"/>
      <c r="L1778" s="333"/>
      <c r="M1778" s="333"/>
      <c r="N1778" s="417"/>
      <c r="O1778" s="417"/>
      <c r="P1778" s="462"/>
      <c r="Q1778" s="333"/>
      <c r="R1778" s="333"/>
      <c r="S1778" s="373"/>
      <c r="T1778" s="373"/>
      <c r="U1778" s="373"/>
      <c r="V1778" s="373"/>
      <c r="W1778" s="346"/>
      <c r="X1778" s="373"/>
      <c r="Y1778" s="373"/>
      <c r="Z1778" s="373"/>
      <c r="AA1778" s="373"/>
      <c r="AB1778" s="373"/>
    </row>
    <row r="1779" spans="1:28" ht="12.75" customHeight="1" x14ac:dyDescent="0.25">
      <c r="A1779" s="558" t="s">
        <v>4958</v>
      </c>
      <c r="B1779" s="376"/>
      <c r="C1779" s="333"/>
      <c r="D1779" s="333"/>
      <c r="E1779" s="333"/>
      <c r="F1779" s="374"/>
      <c r="G1779" s="372"/>
      <c r="H1779" s="372"/>
      <c r="I1779" s="372"/>
      <c r="J1779" s="333"/>
      <c r="K1779" s="333"/>
      <c r="L1779" s="333"/>
      <c r="M1779" s="333"/>
      <c r="N1779" s="417"/>
      <c r="O1779" s="417"/>
      <c r="P1779" s="462"/>
      <c r="Q1779" s="333"/>
      <c r="R1779" s="333"/>
      <c r="S1779" s="373"/>
      <c r="T1779" s="373"/>
      <c r="U1779" s="373"/>
      <c r="V1779" s="373"/>
      <c r="W1779" s="346"/>
      <c r="X1779" s="373"/>
      <c r="Y1779" s="373"/>
      <c r="Z1779" s="373"/>
      <c r="AA1779" s="373"/>
      <c r="AB1779" s="373"/>
    </row>
    <row r="1780" spans="1:28" ht="12.75" customHeight="1" x14ac:dyDescent="0.25">
      <c r="A1780" s="558" t="s">
        <v>4959</v>
      </c>
      <c r="B1780" s="376"/>
      <c r="C1780" s="333"/>
      <c r="D1780" s="333"/>
      <c r="E1780" s="333"/>
      <c r="F1780" s="374"/>
      <c r="G1780" s="372"/>
      <c r="H1780" s="372"/>
      <c r="I1780" s="372"/>
      <c r="J1780" s="333"/>
      <c r="K1780" s="333"/>
      <c r="L1780" s="333"/>
      <c r="M1780" s="333"/>
      <c r="N1780" s="417"/>
      <c r="O1780" s="417"/>
      <c r="P1780" s="462"/>
      <c r="Q1780" s="333"/>
      <c r="R1780" s="333"/>
      <c r="S1780" s="373"/>
      <c r="T1780" s="373"/>
      <c r="U1780" s="373"/>
      <c r="V1780" s="373"/>
      <c r="W1780" s="346"/>
      <c r="X1780" s="373"/>
      <c r="Y1780" s="373"/>
      <c r="Z1780" s="373"/>
      <c r="AA1780" s="373"/>
      <c r="AB1780" s="373"/>
    </row>
    <row r="1781" spans="1:28" ht="12.75" customHeight="1" x14ac:dyDescent="0.25">
      <c r="A1781" s="558" t="s">
        <v>4960</v>
      </c>
      <c r="B1781" s="376"/>
      <c r="C1781" s="333"/>
      <c r="D1781" s="333"/>
      <c r="E1781" s="333"/>
      <c r="F1781" s="374"/>
      <c r="G1781" s="372"/>
      <c r="H1781" s="372"/>
      <c r="I1781" s="372"/>
      <c r="J1781" s="333"/>
      <c r="K1781" s="333"/>
      <c r="L1781" s="333"/>
      <c r="M1781" s="333"/>
      <c r="N1781" s="417"/>
      <c r="O1781" s="417"/>
      <c r="P1781" s="462"/>
      <c r="Q1781" s="333"/>
      <c r="R1781" s="333"/>
      <c r="S1781" s="373"/>
      <c r="T1781" s="373"/>
      <c r="U1781" s="373"/>
      <c r="V1781" s="373"/>
      <c r="W1781" s="346"/>
      <c r="X1781" s="373"/>
      <c r="Y1781" s="373"/>
      <c r="Z1781" s="373"/>
      <c r="AA1781" s="373"/>
      <c r="AB1781" s="373"/>
    </row>
    <row r="1782" spans="1:28" ht="12.75" customHeight="1" x14ac:dyDescent="0.25">
      <c r="A1782" s="558" t="s">
        <v>4961</v>
      </c>
      <c r="B1782" s="376"/>
      <c r="C1782" s="333"/>
      <c r="D1782" s="333"/>
      <c r="E1782" s="333"/>
      <c r="F1782" s="374"/>
      <c r="G1782" s="372"/>
      <c r="H1782" s="372"/>
      <c r="I1782" s="372"/>
      <c r="J1782" s="333"/>
      <c r="K1782" s="333"/>
      <c r="L1782" s="333"/>
      <c r="M1782" s="333"/>
      <c r="N1782" s="417"/>
      <c r="O1782" s="417"/>
      <c r="P1782" s="462"/>
      <c r="Q1782" s="333"/>
      <c r="R1782" s="333"/>
      <c r="S1782" s="373"/>
      <c r="T1782" s="373"/>
      <c r="U1782" s="373"/>
      <c r="V1782" s="373"/>
      <c r="W1782" s="346"/>
      <c r="X1782" s="373"/>
      <c r="Y1782" s="373"/>
      <c r="Z1782" s="373"/>
      <c r="AA1782" s="373"/>
      <c r="AB1782" s="373"/>
    </row>
    <row r="1783" spans="1:28" ht="12.75" customHeight="1" x14ac:dyDescent="0.25">
      <c r="A1783" s="558" t="s">
        <v>4962</v>
      </c>
      <c r="B1783" s="376"/>
      <c r="C1783" s="333"/>
      <c r="D1783" s="333"/>
      <c r="E1783" s="333"/>
      <c r="F1783" s="374"/>
      <c r="G1783" s="372"/>
      <c r="H1783" s="372"/>
      <c r="I1783" s="372"/>
      <c r="J1783" s="333"/>
      <c r="K1783" s="333"/>
      <c r="L1783" s="333"/>
      <c r="M1783" s="333"/>
      <c r="N1783" s="417"/>
      <c r="O1783" s="417"/>
      <c r="P1783" s="462"/>
      <c r="Q1783" s="333"/>
      <c r="R1783" s="333"/>
      <c r="S1783" s="373"/>
      <c r="T1783" s="373"/>
      <c r="U1783" s="373"/>
      <c r="V1783" s="373"/>
      <c r="W1783" s="346"/>
      <c r="X1783" s="373"/>
      <c r="Y1783" s="373"/>
      <c r="Z1783" s="373"/>
      <c r="AA1783" s="373"/>
      <c r="AB1783" s="373"/>
    </row>
    <row r="1784" spans="1:28" ht="12.75" customHeight="1" x14ac:dyDescent="0.25">
      <c r="A1784" s="558" t="s">
        <v>4963</v>
      </c>
      <c r="B1784" s="376"/>
      <c r="C1784" s="333"/>
      <c r="D1784" s="333"/>
      <c r="E1784" s="333"/>
      <c r="F1784" s="374"/>
      <c r="G1784" s="372"/>
      <c r="H1784" s="372"/>
      <c r="I1784" s="372"/>
      <c r="J1784" s="333"/>
      <c r="K1784" s="333"/>
      <c r="L1784" s="333"/>
      <c r="M1784" s="333"/>
      <c r="N1784" s="417"/>
      <c r="O1784" s="417"/>
      <c r="P1784" s="462"/>
      <c r="Q1784" s="333"/>
      <c r="R1784" s="333"/>
      <c r="S1784" s="373"/>
      <c r="T1784" s="373"/>
      <c r="U1784" s="373"/>
      <c r="V1784" s="373"/>
      <c r="W1784" s="346"/>
      <c r="X1784" s="373"/>
      <c r="Y1784" s="373"/>
      <c r="Z1784" s="373"/>
      <c r="AA1784" s="373"/>
      <c r="AB1784" s="373"/>
    </row>
    <row r="1785" spans="1:28" ht="12.75" customHeight="1" x14ac:dyDescent="0.25">
      <c r="A1785" s="558" t="s">
        <v>4964</v>
      </c>
      <c r="B1785" s="376"/>
      <c r="C1785" s="333"/>
      <c r="D1785" s="333"/>
      <c r="E1785" s="333"/>
      <c r="F1785" s="374"/>
      <c r="G1785" s="372"/>
      <c r="H1785" s="372"/>
      <c r="I1785" s="372"/>
      <c r="J1785" s="333"/>
      <c r="K1785" s="333"/>
      <c r="L1785" s="333"/>
      <c r="M1785" s="333"/>
      <c r="N1785" s="417"/>
      <c r="O1785" s="417"/>
      <c r="P1785" s="462"/>
      <c r="Q1785" s="333"/>
      <c r="R1785" s="333"/>
      <c r="S1785" s="373"/>
      <c r="T1785" s="373"/>
      <c r="U1785" s="373"/>
      <c r="V1785" s="373"/>
      <c r="W1785" s="346"/>
      <c r="X1785" s="373"/>
      <c r="Y1785" s="373"/>
      <c r="Z1785" s="373"/>
      <c r="AA1785" s="373"/>
      <c r="AB1785" s="373"/>
    </row>
    <row r="1786" spans="1:28" ht="12.75" customHeight="1" x14ac:dyDescent="0.25">
      <c r="A1786" s="558" t="s">
        <v>4965</v>
      </c>
      <c r="B1786" s="376"/>
      <c r="C1786" s="333"/>
      <c r="D1786" s="333"/>
      <c r="E1786" s="333"/>
      <c r="F1786" s="374"/>
      <c r="G1786" s="372"/>
      <c r="H1786" s="372"/>
      <c r="I1786" s="372"/>
      <c r="J1786" s="333"/>
      <c r="K1786" s="333"/>
      <c r="L1786" s="333"/>
      <c r="M1786" s="333"/>
      <c r="N1786" s="417"/>
      <c r="O1786" s="417"/>
      <c r="P1786" s="462"/>
      <c r="Q1786" s="333"/>
      <c r="R1786" s="333"/>
      <c r="S1786" s="373"/>
      <c r="T1786" s="373"/>
      <c r="U1786" s="373"/>
      <c r="V1786" s="373"/>
      <c r="W1786" s="346"/>
      <c r="X1786" s="373"/>
      <c r="Y1786" s="373"/>
      <c r="Z1786" s="373"/>
      <c r="AA1786" s="373"/>
      <c r="AB1786" s="373"/>
    </row>
    <row r="1787" spans="1:28" ht="12.75" customHeight="1" x14ac:dyDescent="0.25">
      <c r="A1787" s="558" t="s">
        <v>4966</v>
      </c>
      <c r="B1787" s="376"/>
      <c r="C1787" s="333"/>
      <c r="D1787" s="333"/>
      <c r="E1787" s="333"/>
      <c r="F1787" s="374"/>
      <c r="G1787" s="372"/>
      <c r="H1787" s="372"/>
      <c r="I1787" s="372"/>
      <c r="J1787" s="333"/>
      <c r="K1787" s="333"/>
      <c r="L1787" s="333"/>
      <c r="M1787" s="333"/>
      <c r="N1787" s="417"/>
      <c r="O1787" s="417"/>
      <c r="P1787" s="462"/>
      <c r="Q1787" s="333"/>
      <c r="R1787" s="333"/>
      <c r="S1787" s="373"/>
      <c r="T1787" s="373"/>
      <c r="U1787" s="373"/>
      <c r="V1787" s="373"/>
      <c r="W1787" s="346"/>
      <c r="X1787" s="373"/>
      <c r="Y1787" s="373"/>
      <c r="Z1787" s="373"/>
      <c r="AA1787" s="373"/>
      <c r="AB1787" s="373"/>
    </row>
    <row r="1788" spans="1:28" ht="12.75" customHeight="1" x14ac:dyDescent="0.25">
      <c r="A1788" s="558" t="s">
        <v>4967</v>
      </c>
      <c r="B1788" s="376"/>
      <c r="C1788" s="333"/>
      <c r="D1788" s="333"/>
      <c r="E1788" s="333"/>
      <c r="F1788" s="374"/>
      <c r="G1788" s="372"/>
      <c r="H1788" s="372"/>
      <c r="I1788" s="372"/>
      <c r="J1788" s="333"/>
      <c r="K1788" s="333"/>
      <c r="L1788" s="333"/>
      <c r="M1788" s="333"/>
      <c r="N1788" s="417"/>
      <c r="O1788" s="417"/>
      <c r="P1788" s="462"/>
      <c r="Q1788" s="333"/>
      <c r="R1788" s="333"/>
      <c r="S1788" s="373"/>
      <c r="T1788" s="373"/>
      <c r="U1788" s="373"/>
      <c r="V1788" s="373"/>
      <c r="W1788" s="346"/>
      <c r="X1788" s="373"/>
      <c r="Y1788" s="373"/>
      <c r="Z1788" s="373"/>
      <c r="AA1788" s="373"/>
      <c r="AB1788" s="373"/>
    </row>
    <row r="1789" spans="1:28" ht="12.75" customHeight="1" x14ac:dyDescent="0.25">
      <c r="A1789" s="558" t="s">
        <v>4968</v>
      </c>
      <c r="B1789" s="376"/>
      <c r="C1789" s="333"/>
      <c r="D1789" s="333"/>
      <c r="E1789" s="333"/>
      <c r="F1789" s="374"/>
      <c r="G1789" s="372"/>
      <c r="H1789" s="372"/>
      <c r="I1789" s="372"/>
      <c r="J1789" s="333"/>
      <c r="K1789" s="333"/>
      <c r="L1789" s="333"/>
      <c r="M1789" s="333"/>
      <c r="N1789" s="417"/>
      <c r="O1789" s="417"/>
      <c r="P1789" s="462"/>
      <c r="Q1789" s="333"/>
      <c r="R1789" s="333"/>
      <c r="S1789" s="373"/>
      <c r="T1789" s="373"/>
      <c r="U1789" s="373"/>
      <c r="V1789" s="373"/>
      <c r="W1789" s="346"/>
      <c r="X1789" s="373"/>
      <c r="Y1789" s="373"/>
      <c r="Z1789" s="373"/>
      <c r="AA1789" s="373"/>
      <c r="AB1789" s="373"/>
    </row>
    <row r="1790" spans="1:28" ht="12.75" customHeight="1" x14ac:dyDescent="0.25">
      <c r="A1790" s="558" t="s">
        <v>4969</v>
      </c>
      <c r="B1790" s="376"/>
      <c r="C1790" s="333"/>
      <c r="D1790" s="333"/>
      <c r="E1790" s="333"/>
      <c r="F1790" s="374"/>
      <c r="G1790" s="372"/>
      <c r="H1790" s="372"/>
      <c r="I1790" s="372"/>
      <c r="J1790" s="333"/>
      <c r="K1790" s="333"/>
      <c r="L1790" s="333"/>
      <c r="M1790" s="333"/>
      <c r="N1790" s="417"/>
      <c r="O1790" s="417"/>
      <c r="P1790" s="462"/>
      <c r="Q1790" s="333"/>
      <c r="R1790" s="333"/>
      <c r="S1790" s="373"/>
      <c r="T1790" s="373"/>
      <c r="U1790" s="373"/>
      <c r="V1790" s="373"/>
      <c r="W1790" s="346"/>
      <c r="X1790" s="373"/>
      <c r="Y1790" s="373"/>
      <c r="Z1790" s="373"/>
      <c r="AA1790" s="373"/>
      <c r="AB1790" s="373"/>
    </row>
    <row r="1791" spans="1:28" ht="12.75" customHeight="1" x14ac:dyDescent="0.25">
      <c r="A1791" s="558" t="s">
        <v>4970</v>
      </c>
      <c r="B1791" s="376"/>
      <c r="C1791" s="333"/>
      <c r="D1791" s="333"/>
      <c r="E1791" s="333"/>
      <c r="F1791" s="374"/>
      <c r="G1791" s="372"/>
      <c r="H1791" s="372"/>
      <c r="I1791" s="372"/>
      <c r="J1791" s="333"/>
      <c r="K1791" s="333"/>
      <c r="L1791" s="333"/>
      <c r="M1791" s="333"/>
      <c r="N1791" s="417"/>
      <c r="O1791" s="417"/>
      <c r="P1791" s="462"/>
      <c r="Q1791" s="333"/>
      <c r="R1791" s="333"/>
      <c r="S1791" s="373"/>
      <c r="T1791" s="373"/>
      <c r="U1791" s="373"/>
      <c r="V1791" s="373"/>
      <c r="W1791" s="346"/>
      <c r="X1791" s="373"/>
      <c r="Y1791" s="373"/>
      <c r="Z1791" s="373"/>
      <c r="AA1791" s="373"/>
      <c r="AB1791" s="373"/>
    </row>
    <row r="1792" spans="1:28" ht="12.75" customHeight="1" x14ac:dyDescent="0.25">
      <c r="A1792" s="558" t="s">
        <v>4971</v>
      </c>
      <c r="B1792" s="376"/>
      <c r="C1792" s="333"/>
      <c r="D1792" s="333"/>
      <c r="E1792" s="333"/>
      <c r="F1792" s="374"/>
      <c r="G1792" s="372"/>
      <c r="H1792" s="372"/>
      <c r="I1792" s="372"/>
      <c r="J1792" s="333"/>
      <c r="K1792" s="333"/>
      <c r="L1792" s="333"/>
      <c r="M1792" s="333"/>
      <c r="N1792" s="417"/>
      <c r="O1792" s="417"/>
      <c r="P1792" s="462"/>
      <c r="Q1792" s="333"/>
      <c r="R1792" s="333"/>
      <c r="S1792" s="373"/>
      <c r="T1792" s="373"/>
      <c r="U1792" s="373"/>
      <c r="V1792" s="373"/>
      <c r="W1792" s="346"/>
      <c r="X1792" s="373"/>
      <c r="Y1792" s="373"/>
      <c r="Z1792" s="373"/>
      <c r="AA1792" s="373"/>
      <c r="AB1792" s="373"/>
    </row>
    <row r="1793" spans="1:28" ht="12.75" customHeight="1" x14ac:dyDescent="0.25">
      <c r="A1793" s="558" t="s">
        <v>4972</v>
      </c>
      <c r="B1793" s="376"/>
      <c r="C1793" s="333"/>
      <c r="D1793" s="333"/>
      <c r="E1793" s="333"/>
      <c r="F1793" s="374"/>
      <c r="G1793" s="372"/>
      <c r="H1793" s="372"/>
      <c r="I1793" s="372"/>
      <c r="J1793" s="372"/>
      <c r="K1793" s="333"/>
      <c r="L1793" s="333"/>
      <c r="M1793" s="333"/>
      <c r="N1793" s="417"/>
      <c r="O1793" s="417"/>
      <c r="P1793" s="462"/>
      <c r="Q1793" s="333"/>
      <c r="R1793" s="333"/>
      <c r="S1793" s="373"/>
      <c r="T1793" s="373"/>
      <c r="U1793" s="373"/>
      <c r="V1793" s="373"/>
      <c r="W1793" s="346"/>
      <c r="X1793" s="373"/>
      <c r="Y1793" s="373"/>
      <c r="Z1793" s="373"/>
      <c r="AA1793" s="373"/>
      <c r="AB1793" s="373"/>
    </row>
    <row r="1794" spans="1:28" ht="12.75" customHeight="1" x14ac:dyDescent="0.25">
      <c r="A1794" s="558" t="s">
        <v>4973</v>
      </c>
      <c r="B1794" s="376"/>
      <c r="C1794" s="333"/>
      <c r="D1794" s="333"/>
      <c r="E1794" s="333"/>
      <c r="F1794" s="374"/>
      <c r="G1794" s="372"/>
      <c r="H1794" s="372"/>
      <c r="I1794" s="372"/>
      <c r="J1794" s="372"/>
      <c r="K1794" s="333"/>
      <c r="L1794" s="333"/>
      <c r="M1794" s="333"/>
      <c r="N1794" s="417"/>
      <c r="O1794" s="417"/>
      <c r="P1794" s="462"/>
      <c r="Q1794" s="333"/>
      <c r="R1794" s="333"/>
      <c r="S1794" s="373"/>
      <c r="T1794" s="373"/>
      <c r="U1794" s="373"/>
      <c r="V1794" s="373"/>
      <c r="W1794" s="346"/>
      <c r="X1794" s="373"/>
      <c r="Y1794" s="373"/>
      <c r="Z1794" s="373"/>
      <c r="AA1794" s="373"/>
      <c r="AB1794" s="373"/>
    </row>
    <row r="1795" spans="1:28" ht="12.75" customHeight="1" x14ac:dyDescent="0.25">
      <c r="A1795" s="558" t="s">
        <v>4974</v>
      </c>
      <c r="B1795" s="376"/>
      <c r="C1795" s="333"/>
      <c r="D1795" s="333"/>
      <c r="E1795" s="333"/>
      <c r="F1795" s="374"/>
      <c r="G1795" s="372"/>
      <c r="H1795" s="372"/>
      <c r="I1795" s="372"/>
      <c r="J1795" s="372"/>
      <c r="K1795" s="333"/>
      <c r="L1795" s="333"/>
      <c r="M1795" s="333"/>
      <c r="N1795" s="417"/>
      <c r="O1795" s="417"/>
      <c r="P1795" s="462"/>
      <c r="Q1795" s="333"/>
      <c r="R1795" s="333"/>
      <c r="S1795" s="373"/>
      <c r="T1795" s="373"/>
      <c r="U1795" s="373"/>
      <c r="V1795" s="373"/>
      <c r="W1795" s="346"/>
      <c r="X1795" s="373"/>
      <c r="Y1795" s="373"/>
      <c r="Z1795" s="373"/>
      <c r="AA1795" s="373"/>
      <c r="AB1795" s="373"/>
    </row>
    <row r="1796" spans="1:28" ht="12.75" customHeight="1" x14ac:dyDescent="0.25">
      <c r="A1796" s="558" t="s">
        <v>4975</v>
      </c>
      <c r="B1796" s="376"/>
      <c r="C1796" s="333"/>
      <c r="D1796" s="333"/>
      <c r="E1796" s="333"/>
      <c r="F1796" s="374"/>
      <c r="G1796" s="372"/>
      <c r="H1796" s="372"/>
      <c r="I1796" s="372"/>
      <c r="J1796" s="372"/>
      <c r="K1796" s="333"/>
      <c r="L1796" s="333"/>
      <c r="M1796" s="333"/>
      <c r="N1796" s="417"/>
      <c r="O1796" s="417"/>
      <c r="P1796" s="462"/>
      <c r="Q1796" s="333"/>
      <c r="R1796" s="333"/>
      <c r="S1796" s="373"/>
      <c r="T1796" s="373"/>
      <c r="U1796" s="373"/>
      <c r="V1796" s="373"/>
      <c r="W1796" s="346"/>
      <c r="X1796" s="373"/>
      <c r="Y1796" s="373"/>
      <c r="Z1796" s="373"/>
      <c r="AA1796" s="373"/>
      <c r="AB1796" s="373"/>
    </row>
    <row r="1797" spans="1:28" ht="12.75" customHeight="1" x14ac:dyDescent="0.25">
      <c r="A1797" s="558" t="s">
        <v>4976</v>
      </c>
      <c r="B1797" s="376"/>
      <c r="C1797" s="333"/>
      <c r="D1797" s="333"/>
      <c r="E1797" s="333"/>
      <c r="F1797" s="374"/>
      <c r="G1797" s="372"/>
      <c r="H1797" s="372"/>
      <c r="I1797" s="372"/>
      <c r="J1797" s="372"/>
      <c r="K1797" s="333"/>
      <c r="L1797" s="333"/>
      <c r="M1797" s="333"/>
      <c r="N1797" s="417"/>
      <c r="O1797" s="417"/>
      <c r="P1797" s="462"/>
      <c r="Q1797" s="333"/>
      <c r="R1797" s="333"/>
      <c r="S1797" s="373"/>
      <c r="T1797" s="373"/>
      <c r="U1797" s="373"/>
      <c r="V1797" s="373"/>
      <c r="W1797" s="346"/>
      <c r="X1797" s="373"/>
      <c r="Y1797" s="373"/>
      <c r="Z1797" s="373"/>
      <c r="AA1797" s="373"/>
      <c r="AB1797" s="373"/>
    </row>
    <row r="1798" spans="1:28" ht="12.75" customHeight="1" x14ac:dyDescent="0.25">
      <c r="A1798" s="558" t="s">
        <v>4977</v>
      </c>
      <c r="B1798" s="376"/>
      <c r="C1798" s="333"/>
      <c r="D1798" s="333"/>
      <c r="E1798" s="333"/>
      <c r="F1798" s="374"/>
      <c r="G1798" s="372"/>
      <c r="H1798" s="372"/>
      <c r="I1798" s="372"/>
      <c r="J1798" s="372"/>
      <c r="K1798" s="333"/>
      <c r="L1798" s="333"/>
      <c r="M1798" s="333"/>
      <c r="N1798" s="417"/>
      <c r="O1798" s="417"/>
      <c r="P1798" s="462"/>
      <c r="Q1798" s="333"/>
      <c r="R1798" s="333"/>
      <c r="S1798" s="373"/>
      <c r="T1798" s="373"/>
      <c r="U1798" s="373"/>
      <c r="V1798" s="373"/>
      <c r="W1798" s="346"/>
      <c r="X1798" s="373"/>
      <c r="Y1798" s="373"/>
      <c r="Z1798" s="373"/>
      <c r="AA1798" s="373"/>
      <c r="AB1798" s="373"/>
    </row>
    <row r="1799" spans="1:28" ht="12.75" customHeight="1" x14ac:dyDescent="0.25">
      <c r="A1799" s="558" t="s">
        <v>4978</v>
      </c>
      <c r="B1799" s="376"/>
      <c r="C1799" s="333"/>
      <c r="D1799" s="333"/>
      <c r="E1799" s="333"/>
      <c r="F1799" s="374"/>
      <c r="G1799" s="372"/>
      <c r="H1799" s="372"/>
      <c r="I1799" s="372"/>
      <c r="J1799" s="372"/>
      <c r="K1799" s="333"/>
      <c r="L1799" s="333"/>
      <c r="M1799" s="333"/>
      <c r="N1799" s="417"/>
      <c r="O1799" s="417"/>
      <c r="P1799" s="462"/>
      <c r="Q1799" s="333"/>
      <c r="R1799" s="333"/>
      <c r="S1799" s="373"/>
      <c r="T1799" s="373"/>
      <c r="U1799" s="373"/>
      <c r="V1799" s="373"/>
      <c r="W1799" s="346"/>
      <c r="X1799" s="373"/>
      <c r="Y1799" s="373"/>
      <c r="Z1799" s="373"/>
      <c r="AA1799" s="373"/>
      <c r="AB1799" s="373"/>
    </row>
    <row r="1800" spans="1:28" ht="12.75" customHeight="1" x14ac:dyDescent="0.25">
      <c r="A1800" s="558" t="s">
        <v>4979</v>
      </c>
      <c r="B1800" s="376"/>
      <c r="C1800" s="333"/>
      <c r="D1800" s="333"/>
      <c r="E1800" s="333"/>
      <c r="F1800" s="374"/>
      <c r="G1800" s="372"/>
      <c r="H1800" s="372"/>
      <c r="I1800" s="372"/>
      <c r="J1800" s="372"/>
      <c r="K1800" s="333"/>
      <c r="L1800" s="333"/>
      <c r="M1800" s="333"/>
      <c r="N1800" s="417"/>
      <c r="O1800" s="417"/>
      <c r="P1800" s="462"/>
      <c r="Q1800" s="333"/>
      <c r="R1800" s="333"/>
      <c r="S1800" s="373"/>
      <c r="T1800" s="373"/>
      <c r="U1800" s="373"/>
      <c r="V1800" s="373"/>
      <c r="W1800" s="346"/>
      <c r="X1800" s="373"/>
      <c r="Y1800" s="373"/>
      <c r="Z1800" s="373"/>
      <c r="AA1800" s="373"/>
      <c r="AB1800" s="373"/>
    </row>
    <row r="1801" spans="1:28" ht="12.75" customHeight="1" x14ac:dyDescent="0.25">
      <c r="A1801" s="558" t="s">
        <v>4980</v>
      </c>
      <c r="B1801" s="376"/>
      <c r="C1801" s="333"/>
      <c r="D1801" s="333"/>
      <c r="E1801" s="333"/>
      <c r="F1801" s="374"/>
      <c r="G1801" s="372"/>
      <c r="H1801" s="372"/>
      <c r="I1801" s="372"/>
      <c r="J1801" s="372"/>
      <c r="K1801" s="333"/>
      <c r="L1801" s="333"/>
      <c r="M1801" s="333"/>
      <c r="N1801" s="417"/>
      <c r="O1801" s="417"/>
      <c r="P1801" s="462"/>
      <c r="Q1801" s="333"/>
      <c r="R1801" s="333"/>
      <c r="S1801" s="373"/>
      <c r="T1801" s="373"/>
      <c r="U1801" s="373"/>
      <c r="V1801" s="373"/>
      <c r="W1801" s="346"/>
      <c r="X1801" s="373"/>
      <c r="Y1801" s="373"/>
      <c r="Z1801" s="373"/>
      <c r="AA1801" s="373"/>
      <c r="AB1801" s="373"/>
    </row>
    <row r="1802" spans="1:28" ht="12.75" customHeight="1" x14ac:dyDescent="0.25">
      <c r="A1802" s="558" t="s">
        <v>4981</v>
      </c>
      <c r="B1802" s="376"/>
      <c r="C1802" s="333"/>
      <c r="D1802" s="333"/>
      <c r="E1802" s="333"/>
      <c r="F1802" s="374"/>
      <c r="G1802" s="372"/>
      <c r="H1802" s="372"/>
      <c r="I1802" s="372"/>
      <c r="J1802" s="372"/>
      <c r="K1802" s="333"/>
      <c r="L1802" s="333"/>
      <c r="M1802" s="333"/>
      <c r="N1802" s="417"/>
      <c r="O1802" s="417"/>
      <c r="P1802" s="462"/>
      <c r="Q1802" s="333"/>
      <c r="R1802" s="333"/>
      <c r="S1802" s="373"/>
      <c r="T1802" s="373"/>
      <c r="U1802" s="373"/>
      <c r="V1802" s="373"/>
      <c r="W1802" s="346"/>
      <c r="X1802" s="373"/>
      <c r="Y1802" s="373"/>
      <c r="Z1802" s="373"/>
      <c r="AA1802" s="373"/>
      <c r="AB1802" s="373"/>
    </row>
    <row r="1803" spans="1:28" ht="12.75" customHeight="1" x14ac:dyDescent="0.25">
      <c r="A1803" s="558" t="s">
        <v>4982</v>
      </c>
      <c r="B1803" s="376"/>
      <c r="C1803" s="333"/>
      <c r="D1803" s="333"/>
      <c r="E1803" s="333"/>
      <c r="F1803" s="374"/>
      <c r="G1803" s="372"/>
      <c r="H1803" s="372"/>
      <c r="I1803" s="372"/>
      <c r="J1803" s="372"/>
      <c r="K1803" s="333"/>
      <c r="L1803" s="333"/>
      <c r="M1803" s="333"/>
      <c r="N1803" s="417"/>
      <c r="O1803" s="417"/>
      <c r="P1803" s="462"/>
      <c r="Q1803" s="333"/>
      <c r="R1803" s="333"/>
      <c r="S1803" s="373"/>
      <c r="T1803" s="373"/>
      <c r="U1803" s="373"/>
      <c r="V1803" s="373"/>
      <c r="W1803" s="346"/>
      <c r="X1803" s="373"/>
      <c r="Y1803" s="373"/>
      <c r="Z1803" s="373"/>
      <c r="AA1803" s="373"/>
      <c r="AB1803" s="373"/>
    </row>
    <row r="1804" spans="1:28" ht="12.75" customHeight="1" x14ac:dyDescent="0.25">
      <c r="A1804" s="558" t="s">
        <v>4983</v>
      </c>
      <c r="B1804" s="376"/>
      <c r="C1804" s="333"/>
      <c r="D1804" s="333"/>
      <c r="E1804" s="333"/>
      <c r="F1804" s="374"/>
      <c r="G1804" s="372"/>
      <c r="H1804" s="372"/>
      <c r="I1804" s="372"/>
      <c r="J1804" s="372"/>
      <c r="K1804" s="333"/>
      <c r="L1804" s="333"/>
      <c r="M1804" s="333"/>
      <c r="N1804" s="417"/>
      <c r="O1804" s="417"/>
      <c r="P1804" s="462"/>
      <c r="Q1804" s="333"/>
      <c r="R1804" s="333"/>
      <c r="S1804" s="373"/>
      <c r="T1804" s="373"/>
      <c r="U1804" s="373"/>
      <c r="V1804" s="373"/>
      <c r="W1804" s="346"/>
      <c r="X1804" s="373"/>
      <c r="Y1804" s="373"/>
      <c r="Z1804" s="373"/>
      <c r="AA1804" s="373"/>
      <c r="AB1804" s="373"/>
    </row>
    <row r="1805" spans="1:28" ht="12.75" customHeight="1" x14ac:dyDescent="0.25">
      <c r="A1805" s="558" t="s">
        <v>4984</v>
      </c>
      <c r="B1805" s="376"/>
      <c r="C1805" s="333"/>
      <c r="D1805" s="333"/>
      <c r="E1805" s="333"/>
      <c r="F1805" s="374"/>
      <c r="G1805" s="372"/>
      <c r="H1805" s="372"/>
      <c r="I1805" s="372"/>
      <c r="J1805" s="372"/>
      <c r="K1805" s="333"/>
      <c r="L1805" s="333"/>
      <c r="M1805" s="333"/>
      <c r="N1805" s="417"/>
      <c r="O1805" s="417"/>
      <c r="P1805" s="462"/>
      <c r="Q1805" s="333"/>
      <c r="R1805" s="333"/>
      <c r="S1805" s="373"/>
      <c r="T1805" s="373"/>
      <c r="U1805" s="373"/>
      <c r="V1805" s="373"/>
      <c r="W1805" s="346"/>
      <c r="X1805" s="373"/>
      <c r="Y1805" s="373"/>
      <c r="Z1805" s="373"/>
      <c r="AA1805" s="373"/>
      <c r="AB1805" s="373"/>
    </row>
    <row r="1806" spans="1:28" ht="12.75" customHeight="1" x14ac:dyDescent="0.25">
      <c r="A1806" s="558" t="s">
        <v>4985</v>
      </c>
      <c r="B1806" s="376"/>
      <c r="C1806" s="333"/>
      <c r="D1806" s="333"/>
      <c r="E1806" s="333"/>
      <c r="F1806" s="374"/>
      <c r="G1806" s="372"/>
      <c r="H1806" s="372"/>
      <c r="I1806" s="372"/>
      <c r="J1806" s="372"/>
      <c r="K1806" s="333"/>
      <c r="L1806" s="333"/>
      <c r="M1806" s="333"/>
      <c r="N1806" s="417"/>
      <c r="O1806" s="417"/>
      <c r="P1806" s="462"/>
      <c r="Q1806" s="333"/>
      <c r="R1806" s="333"/>
      <c r="S1806" s="373"/>
      <c r="T1806" s="373"/>
      <c r="U1806" s="373"/>
      <c r="V1806" s="373"/>
      <c r="W1806" s="346"/>
      <c r="X1806" s="373"/>
      <c r="Y1806" s="373"/>
      <c r="Z1806" s="373"/>
      <c r="AA1806" s="373"/>
      <c r="AB1806" s="373"/>
    </row>
    <row r="1807" spans="1:28" ht="12.75" customHeight="1" x14ac:dyDescent="0.25">
      <c r="A1807" s="558" t="s">
        <v>4986</v>
      </c>
      <c r="B1807" s="376"/>
      <c r="C1807" s="333"/>
      <c r="D1807" s="333"/>
      <c r="E1807" s="333"/>
      <c r="F1807" s="374"/>
      <c r="G1807" s="372"/>
      <c r="H1807" s="372"/>
      <c r="I1807" s="372"/>
      <c r="J1807" s="372"/>
      <c r="K1807" s="333"/>
      <c r="L1807" s="333"/>
      <c r="M1807" s="333"/>
      <c r="N1807" s="417"/>
      <c r="O1807" s="417"/>
      <c r="P1807" s="462"/>
      <c r="Q1807" s="333"/>
      <c r="R1807" s="333"/>
      <c r="S1807" s="373"/>
      <c r="T1807" s="373"/>
      <c r="U1807" s="373"/>
      <c r="V1807" s="373"/>
      <c r="W1807" s="346"/>
      <c r="X1807" s="373"/>
      <c r="Y1807" s="373"/>
      <c r="Z1807" s="373"/>
      <c r="AA1807" s="373"/>
      <c r="AB1807" s="373"/>
    </row>
    <row r="1808" spans="1:28" ht="12.75" customHeight="1" x14ac:dyDescent="0.25">
      <c r="A1808" s="558" t="s">
        <v>4987</v>
      </c>
      <c r="B1808" s="376"/>
      <c r="C1808" s="333"/>
      <c r="D1808" s="333"/>
      <c r="E1808" s="333"/>
      <c r="F1808" s="374"/>
      <c r="G1808" s="372"/>
      <c r="H1808" s="372"/>
      <c r="I1808" s="372"/>
      <c r="J1808" s="372"/>
      <c r="K1808" s="333"/>
      <c r="L1808" s="333"/>
      <c r="M1808" s="333"/>
      <c r="N1808" s="417"/>
      <c r="O1808" s="417"/>
      <c r="P1808" s="462"/>
      <c r="Q1808" s="333"/>
      <c r="R1808" s="333"/>
      <c r="S1808" s="373"/>
      <c r="T1808" s="373"/>
      <c r="U1808" s="373"/>
      <c r="V1808" s="373"/>
      <c r="W1808" s="346"/>
      <c r="X1808" s="373"/>
      <c r="Y1808" s="373"/>
      <c r="Z1808" s="373"/>
      <c r="AA1808" s="373"/>
      <c r="AB1808" s="373"/>
    </row>
    <row r="1809" spans="1:28" ht="12.75" customHeight="1" x14ac:dyDescent="0.25">
      <c r="A1809" s="558" t="s">
        <v>4988</v>
      </c>
      <c r="B1809" s="376"/>
      <c r="C1809" s="333"/>
      <c r="D1809" s="333"/>
      <c r="E1809" s="333"/>
      <c r="F1809" s="374"/>
      <c r="G1809" s="372"/>
      <c r="H1809" s="372"/>
      <c r="I1809" s="372"/>
      <c r="J1809" s="372"/>
      <c r="K1809" s="333"/>
      <c r="L1809" s="333"/>
      <c r="M1809" s="333"/>
      <c r="N1809" s="417"/>
      <c r="O1809" s="417"/>
      <c r="P1809" s="462"/>
      <c r="Q1809" s="333"/>
      <c r="R1809" s="333"/>
      <c r="S1809" s="373"/>
      <c r="T1809" s="373"/>
      <c r="U1809" s="373"/>
      <c r="V1809" s="373"/>
      <c r="W1809" s="346"/>
      <c r="X1809" s="373"/>
      <c r="Y1809" s="373"/>
      <c r="Z1809" s="373"/>
      <c r="AA1809" s="373"/>
      <c r="AB1809" s="373"/>
    </row>
    <row r="1810" spans="1:28" ht="12.75" customHeight="1" x14ac:dyDescent="0.25">
      <c r="A1810" s="558" t="s">
        <v>4989</v>
      </c>
      <c r="B1810" s="376"/>
      <c r="C1810" s="333"/>
      <c r="D1810" s="333"/>
      <c r="E1810" s="333"/>
      <c r="F1810" s="374"/>
      <c r="G1810" s="372"/>
      <c r="H1810" s="372"/>
      <c r="I1810" s="372"/>
      <c r="J1810" s="372"/>
      <c r="K1810" s="333"/>
      <c r="L1810" s="333"/>
      <c r="M1810" s="333"/>
      <c r="N1810" s="417"/>
      <c r="O1810" s="417"/>
      <c r="P1810" s="462"/>
      <c r="Q1810" s="333"/>
      <c r="R1810" s="333"/>
      <c r="S1810" s="373"/>
      <c r="T1810" s="373"/>
      <c r="U1810" s="373"/>
      <c r="V1810" s="373"/>
      <c r="W1810" s="346"/>
      <c r="X1810" s="373"/>
      <c r="Y1810" s="373"/>
      <c r="Z1810" s="373"/>
      <c r="AA1810" s="373"/>
      <c r="AB1810" s="373"/>
    </row>
    <row r="1811" spans="1:28" ht="12.75" customHeight="1" x14ac:dyDescent="0.25">
      <c r="A1811" s="558" t="s">
        <v>4990</v>
      </c>
      <c r="B1811" s="376"/>
      <c r="C1811" s="333"/>
      <c r="D1811" s="333"/>
      <c r="E1811" s="333"/>
      <c r="F1811" s="374"/>
      <c r="G1811" s="372"/>
      <c r="H1811" s="372"/>
      <c r="I1811" s="372"/>
      <c r="J1811" s="372"/>
      <c r="K1811" s="333"/>
      <c r="L1811" s="333"/>
      <c r="M1811" s="333"/>
      <c r="N1811" s="417"/>
      <c r="O1811" s="417"/>
      <c r="P1811" s="462"/>
      <c r="Q1811" s="333"/>
      <c r="R1811" s="333"/>
      <c r="S1811" s="373"/>
      <c r="T1811" s="373"/>
      <c r="U1811" s="373"/>
      <c r="V1811" s="373"/>
      <c r="W1811" s="346"/>
      <c r="X1811" s="373"/>
      <c r="Y1811" s="373"/>
      <c r="Z1811" s="373"/>
      <c r="AA1811" s="373"/>
      <c r="AB1811" s="373"/>
    </row>
    <row r="1812" spans="1:28" ht="12.75" customHeight="1" x14ac:dyDescent="0.25">
      <c r="A1812" s="558" t="s">
        <v>4991</v>
      </c>
      <c r="B1812" s="376"/>
      <c r="C1812" s="333"/>
      <c r="D1812" s="333"/>
      <c r="E1812" s="333"/>
      <c r="F1812" s="374"/>
      <c r="G1812" s="372"/>
      <c r="H1812" s="372"/>
      <c r="I1812" s="372"/>
      <c r="J1812" s="372"/>
      <c r="K1812" s="333"/>
      <c r="L1812" s="333"/>
      <c r="M1812" s="333"/>
      <c r="N1812" s="417"/>
      <c r="O1812" s="417"/>
      <c r="P1812" s="462"/>
      <c r="Q1812" s="333"/>
      <c r="R1812" s="333"/>
      <c r="S1812" s="373"/>
      <c r="T1812" s="373"/>
      <c r="U1812" s="373"/>
      <c r="V1812" s="373"/>
      <c r="W1812" s="346"/>
      <c r="X1812" s="373"/>
      <c r="Y1812" s="373"/>
      <c r="Z1812" s="373"/>
      <c r="AA1812" s="373"/>
      <c r="AB1812" s="373"/>
    </row>
    <row r="1813" spans="1:28" ht="12.75" customHeight="1" x14ac:dyDescent="0.25">
      <c r="A1813" s="558" t="s">
        <v>4992</v>
      </c>
      <c r="B1813" s="376"/>
      <c r="C1813" s="333"/>
      <c r="D1813" s="333"/>
      <c r="E1813" s="333"/>
      <c r="F1813" s="374"/>
      <c r="G1813" s="372"/>
      <c r="H1813" s="372"/>
      <c r="I1813" s="372"/>
      <c r="J1813" s="372"/>
      <c r="K1813" s="333"/>
      <c r="L1813" s="333"/>
      <c r="M1813" s="333"/>
      <c r="N1813" s="417"/>
      <c r="O1813" s="417"/>
      <c r="P1813" s="462"/>
      <c r="Q1813" s="333"/>
      <c r="R1813" s="333"/>
      <c r="S1813" s="373"/>
      <c r="T1813" s="373"/>
      <c r="U1813" s="373"/>
      <c r="V1813" s="373"/>
      <c r="W1813" s="346"/>
      <c r="X1813" s="373"/>
      <c r="Y1813" s="373"/>
      <c r="Z1813" s="373"/>
      <c r="AA1813" s="373"/>
      <c r="AB1813" s="373"/>
    </row>
    <row r="1814" spans="1:28" ht="12.75" customHeight="1" x14ac:dyDescent="0.25">
      <c r="A1814" s="558" t="s">
        <v>4993</v>
      </c>
      <c r="B1814" s="376"/>
      <c r="C1814" s="333"/>
      <c r="D1814" s="333"/>
      <c r="E1814" s="333"/>
      <c r="F1814" s="374"/>
      <c r="G1814" s="372"/>
      <c r="H1814" s="372"/>
      <c r="I1814" s="372"/>
      <c r="J1814" s="372"/>
      <c r="K1814" s="333"/>
      <c r="L1814" s="333"/>
      <c r="M1814" s="333"/>
      <c r="N1814" s="417"/>
      <c r="O1814" s="417"/>
      <c r="P1814" s="462"/>
      <c r="Q1814" s="333"/>
      <c r="R1814" s="333"/>
      <c r="S1814" s="373"/>
      <c r="T1814" s="373"/>
      <c r="U1814" s="373"/>
      <c r="V1814" s="373"/>
      <c r="W1814" s="346"/>
      <c r="X1814" s="373"/>
      <c r="Y1814" s="373"/>
      <c r="Z1814" s="373"/>
      <c r="AA1814" s="373"/>
      <c r="AB1814" s="373"/>
    </row>
    <row r="1815" spans="1:28" ht="12.75" customHeight="1" x14ac:dyDescent="0.25">
      <c r="A1815" s="558" t="s">
        <v>4994</v>
      </c>
      <c r="B1815" s="376"/>
      <c r="C1815" s="333"/>
      <c r="D1815" s="333"/>
      <c r="E1815" s="333"/>
      <c r="F1815" s="374"/>
      <c r="G1815" s="372"/>
      <c r="H1815" s="372"/>
      <c r="I1815" s="372"/>
      <c r="J1815" s="372"/>
      <c r="K1815" s="333"/>
      <c r="L1815" s="333"/>
      <c r="M1815" s="333"/>
      <c r="N1815" s="417"/>
      <c r="O1815" s="417"/>
      <c r="P1815" s="462"/>
      <c r="Q1815" s="333"/>
      <c r="R1815" s="333"/>
      <c r="S1815" s="373"/>
      <c r="T1815" s="373"/>
      <c r="U1815" s="373"/>
      <c r="V1815" s="373"/>
      <c r="W1815" s="346"/>
      <c r="X1815" s="373"/>
      <c r="Y1815" s="373"/>
      <c r="Z1815" s="373"/>
      <c r="AA1815" s="373"/>
      <c r="AB1815" s="373"/>
    </row>
    <row r="1816" spans="1:28" ht="12.75" customHeight="1" x14ac:dyDescent="0.25">
      <c r="A1816" s="558" t="s">
        <v>4995</v>
      </c>
      <c r="B1816" s="376"/>
      <c r="C1816" s="333"/>
      <c r="D1816" s="333"/>
      <c r="E1816" s="333"/>
      <c r="F1816" s="374"/>
      <c r="G1816" s="372"/>
      <c r="H1816" s="372"/>
      <c r="I1816" s="372"/>
      <c r="J1816" s="372"/>
      <c r="K1816" s="333"/>
      <c r="L1816" s="333"/>
      <c r="M1816" s="333"/>
      <c r="N1816" s="417"/>
      <c r="O1816" s="417"/>
      <c r="P1816" s="462"/>
      <c r="Q1816" s="333"/>
      <c r="R1816" s="333"/>
      <c r="S1816" s="373"/>
      <c r="T1816" s="373"/>
      <c r="U1816" s="373"/>
      <c r="V1816" s="373"/>
      <c r="W1816" s="346"/>
      <c r="X1816" s="373"/>
      <c r="Y1816" s="373"/>
      <c r="Z1816" s="373"/>
      <c r="AA1816" s="373"/>
      <c r="AB1816" s="373"/>
    </row>
    <row r="1817" spans="1:28" ht="12.75" customHeight="1" x14ac:dyDescent="0.25">
      <c r="A1817" s="558" t="s">
        <v>4996</v>
      </c>
      <c r="B1817" s="376"/>
      <c r="C1817" s="333"/>
      <c r="D1817" s="333"/>
      <c r="E1817" s="333"/>
      <c r="F1817" s="374"/>
      <c r="G1817" s="372"/>
      <c r="H1817" s="372"/>
      <c r="I1817" s="372"/>
      <c r="J1817" s="372"/>
      <c r="K1817" s="333"/>
      <c r="L1817" s="333"/>
      <c r="M1817" s="333"/>
      <c r="N1817" s="417"/>
      <c r="O1817" s="417"/>
      <c r="P1817" s="462"/>
      <c r="Q1817" s="333"/>
      <c r="R1817" s="333"/>
      <c r="S1817" s="373"/>
      <c r="T1817" s="373"/>
      <c r="U1817" s="373"/>
      <c r="V1817" s="373"/>
      <c r="W1817" s="346"/>
      <c r="X1817" s="373"/>
      <c r="Y1817" s="373"/>
      <c r="Z1817" s="373"/>
      <c r="AA1817" s="373"/>
      <c r="AB1817" s="373"/>
    </row>
    <row r="1818" spans="1:28" ht="12.75" customHeight="1" x14ac:dyDescent="0.25">
      <c r="A1818" s="558" t="s">
        <v>4997</v>
      </c>
      <c r="B1818" s="376"/>
      <c r="C1818" s="333"/>
      <c r="D1818" s="333"/>
      <c r="E1818" s="333"/>
      <c r="F1818" s="374"/>
      <c r="G1818" s="372"/>
      <c r="H1818" s="372"/>
      <c r="I1818" s="372"/>
      <c r="J1818" s="372"/>
      <c r="K1818" s="333"/>
      <c r="L1818" s="333"/>
      <c r="M1818" s="333"/>
      <c r="N1818" s="417"/>
      <c r="O1818" s="417"/>
      <c r="P1818" s="462"/>
      <c r="Q1818" s="333"/>
      <c r="R1818" s="333"/>
      <c r="S1818" s="373"/>
      <c r="T1818" s="373"/>
      <c r="U1818" s="373"/>
      <c r="V1818" s="373"/>
      <c r="W1818" s="346"/>
      <c r="X1818" s="373"/>
      <c r="Y1818" s="373"/>
      <c r="Z1818" s="373"/>
      <c r="AA1818" s="373"/>
      <c r="AB1818" s="373"/>
    </row>
    <row r="1819" spans="1:28" ht="12.75" customHeight="1" x14ac:dyDescent="0.25">
      <c r="A1819" s="558" t="s">
        <v>4998</v>
      </c>
      <c r="B1819" s="376"/>
      <c r="C1819" s="333"/>
      <c r="D1819" s="333"/>
      <c r="E1819" s="333"/>
      <c r="F1819" s="374"/>
      <c r="G1819" s="372"/>
      <c r="H1819" s="372"/>
      <c r="I1819" s="372"/>
      <c r="J1819" s="372"/>
      <c r="K1819" s="333"/>
      <c r="L1819" s="333"/>
      <c r="M1819" s="333"/>
      <c r="N1819" s="417"/>
      <c r="O1819" s="417"/>
      <c r="P1819" s="462"/>
      <c r="Q1819" s="333"/>
      <c r="R1819" s="333"/>
      <c r="S1819" s="373"/>
      <c r="T1819" s="373"/>
      <c r="U1819" s="373"/>
      <c r="V1819" s="373"/>
      <c r="W1819" s="346"/>
      <c r="X1819" s="373"/>
      <c r="Y1819" s="373"/>
      <c r="Z1819" s="373"/>
      <c r="AA1819" s="373"/>
      <c r="AB1819" s="373"/>
    </row>
    <row r="1820" spans="1:28" ht="12.75" customHeight="1" x14ac:dyDescent="0.25">
      <c r="A1820" s="558" t="s">
        <v>4999</v>
      </c>
      <c r="B1820" s="376"/>
      <c r="C1820" s="333"/>
      <c r="D1820" s="333"/>
      <c r="E1820" s="333"/>
      <c r="F1820" s="374"/>
      <c r="G1820" s="372"/>
      <c r="H1820" s="372"/>
      <c r="I1820" s="372"/>
      <c r="J1820" s="372"/>
      <c r="K1820" s="333"/>
      <c r="L1820" s="333"/>
      <c r="M1820" s="333"/>
      <c r="N1820" s="417"/>
      <c r="O1820" s="417"/>
      <c r="P1820" s="462"/>
      <c r="Q1820" s="333"/>
      <c r="R1820" s="333"/>
      <c r="S1820" s="373"/>
      <c r="T1820" s="373"/>
      <c r="U1820" s="373"/>
      <c r="V1820" s="373"/>
      <c r="W1820" s="346"/>
      <c r="X1820" s="373"/>
      <c r="Y1820" s="373"/>
      <c r="Z1820" s="373"/>
      <c r="AA1820" s="373"/>
      <c r="AB1820" s="373"/>
    </row>
    <row r="1821" spans="1:28" ht="12.75" customHeight="1" x14ac:dyDescent="0.25">
      <c r="A1821" s="558" t="s">
        <v>5000</v>
      </c>
      <c r="B1821" s="376"/>
      <c r="C1821" s="333"/>
      <c r="D1821" s="333"/>
      <c r="E1821" s="333"/>
      <c r="F1821" s="374"/>
      <c r="G1821" s="372"/>
      <c r="H1821" s="372"/>
      <c r="I1821" s="372"/>
      <c r="J1821" s="372"/>
      <c r="K1821" s="333"/>
      <c r="L1821" s="333"/>
      <c r="M1821" s="333"/>
      <c r="N1821" s="417"/>
      <c r="O1821" s="417"/>
      <c r="P1821" s="462"/>
      <c r="Q1821" s="333"/>
      <c r="R1821" s="333"/>
      <c r="S1821" s="373"/>
      <c r="T1821" s="373"/>
      <c r="U1821" s="373"/>
      <c r="V1821" s="373"/>
      <c r="W1821" s="346"/>
      <c r="X1821" s="373"/>
      <c r="Y1821" s="373"/>
      <c r="Z1821" s="373"/>
      <c r="AA1821" s="373"/>
      <c r="AB1821" s="373"/>
    </row>
    <row r="1822" spans="1:28" ht="12.75" customHeight="1" x14ac:dyDescent="0.25">
      <c r="A1822" s="558" t="s">
        <v>5001</v>
      </c>
      <c r="B1822" s="376"/>
      <c r="C1822" s="333"/>
      <c r="D1822" s="333"/>
      <c r="E1822" s="333"/>
      <c r="F1822" s="374"/>
      <c r="G1822" s="372"/>
      <c r="H1822" s="372"/>
      <c r="I1822" s="372"/>
      <c r="J1822" s="372"/>
      <c r="K1822" s="333"/>
      <c r="L1822" s="333"/>
      <c r="M1822" s="333"/>
      <c r="N1822" s="417"/>
      <c r="O1822" s="417"/>
      <c r="P1822" s="462"/>
      <c r="Q1822" s="333"/>
      <c r="R1822" s="333"/>
      <c r="S1822" s="373"/>
      <c r="T1822" s="373"/>
      <c r="U1822" s="373"/>
      <c r="V1822" s="373"/>
      <c r="W1822" s="346"/>
      <c r="X1822" s="373"/>
      <c r="Y1822" s="373"/>
      <c r="Z1822" s="373"/>
      <c r="AA1822" s="373"/>
      <c r="AB1822" s="373"/>
    </row>
    <row r="1823" spans="1:28" ht="12.75" customHeight="1" x14ac:dyDescent="0.25">
      <c r="A1823" s="558" t="s">
        <v>5002</v>
      </c>
      <c r="B1823" s="376"/>
      <c r="C1823" s="333"/>
      <c r="D1823" s="333"/>
      <c r="E1823" s="333"/>
      <c r="F1823" s="374"/>
      <c r="G1823" s="372"/>
      <c r="H1823" s="372"/>
      <c r="I1823" s="372"/>
      <c r="J1823" s="372"/>
      <c r="K1823" s="333"/>
      <c r="L1823" s="333"/>
      <c r="M1823" s="333"/>
      <c r="N1823" s="417"/>
      <c r="O1823" s="417"/>
      <c r="P1823" s="462"/>
      <c r="Q1823" s="333"/>
      <c r="R1823" s="333"/>
      <c r="S1823" s="373"/>
      <c r="T1823" s="373"/>
      <c r="U1823" s="373"/>
      <c r="V1823" s="373"/>
      <c r="W1823" s="346"/>
      <c r="X1823" s="373"/>
      <c r="Y1823" s="373"/>
      <c r="Z1823" s="373"/>
      <c r="AA1823" s="373"/>
      <c r="AB1823" s="373"/>
    </row>
    <row r="1824" spans="1:28" ht="12.75" customHeight="1" x14ac:dyDescent="0.25">
      <c r="A1824" s="558" t="s">
        <v>5003</v>
      </c>
      <c r="B1824" s="376"/>
      <c r="C1824" s="333"/>
      <c r="D1824" s="333"/>
      <c r="E1824" s="333"/>
      <c r="F1824" s="374"/>
      <c r="G1824" s="372"/>
      <c r="H1824" s="372"/>
      <c r="I1824" s="372"/>
      <c r="J1824" s="372"/>
      <c r="K1824" s="333"/>
      <c r="L1824" s="333"/>
      <c r="M1824" s="333"/>
      <c r="N1824" s="417"/>
      <c r="O1824" s="417"/>
      <c r="P1824" s="462"/>
      <c r="Q1824" s="333"/>
      <c r="R1824" s="333"/>
      <c r="S1824" s="373"/>
      <c r="T1824" s="373"/>
      <c r="U1824" s="373"/>
      <c r="V1824" s="373"/>
      <c r="W1824" s="346"/>
      <c r="X1824" s="373"/>
      <c r="Y1824" s="373"/>
      <c r="Z1824" s="373"/>
      <c r="AA1824" s="373"/>
      <c r="AB1824" s="373"/>
    </row>
    <row r="1825" spans="1:28" ht="12.75" customHeight="1" x14ac:dyDescent="0.25">
      <c r="A1825" s="558" t="s">
        <v>5004</v>
      </c>
      <c r="B1825" s="376"/>
      <c r="C1825" s="333"/>
      <c r="D1825" s="333"/>
      <c r="E1825" s="333"/>
      <c r="F1825" s="374"/>
      <c r="G1825" s="372"/>
      <c r="H1825" s="372"/>
      <c r="I1825" s="372"/>
      <c r="J1825" s="372"/>
      <c r="K1825" s="333"/>
      <c r="L1825" s="333"/>
      <c r="M1825" s="333"/>
      <c r="N1825" s="417"/>
      <c r="O1825" s="417"/>
      <c r="P1825" s="462"/>
      <c r="Q1825" s="333"/>
      <c r="R1825" s="333"/>
      <c r="S1825" s="373"/>
      <c r="T1825" s="373"/>
      <c r="U1825" s="373"/>
      <c r="V1825" s="373"/>
      <c r="W1825" s="346"/>
      <c r="X1825" s="373"/>
      <c r="Y1825" s="373"/>
      <c r="Z1825" s="373"/>
      <c r="AA1825" s="373"/>
      <c r="AB1825" s="373"/>
    </row>
    <row r="1826" spans="1:28" ht="12.75" customHeight="1" x14ac:dyDescent="0.25">
      <c r="A1826" s="558" t="s">
        <v>5005</v>
      </c>
      <c r="B1826" s="376"/>
      <c r="C1826" s="333"/>
      <c r="D1826" s="333"/>
      <c r="E1826" s="333"/>
      <c r="F1826" s="374"/>
      <c r="G1826" s="372"/>
      <c r="H1826" s="372"/>
      <c r="I1826" s="372"/>
      <c r="J1826" s="372"/>
      <c r="K1826" s="333"/>
      <c r="L1826" s="333"/>
      <c r="M1826" s="333"/>
      <c r="N1826" s="417"/>
      <c r="O1826" s="417"/>
      <c r="P1826" s="462"/>
      <c r="Q1826" s="333"/>
      <c r="R1826" s="333"/>
      <c r="S1826" s="373"/>
      <c r="T1826" s="373"/>
      <c r="U1826" s="373"/>
      <c r="V1826" s="373"/>
      <c r="W1826" s="346"/>
      <c r="X1826" s="373"/>
      <c r="Y1826" s="373"/>
      <c r="Z1826" s="373"/>
      <c r="AA1826" s="373"/>
      <c r="AB1826" s="373"/>
    </row>
    <row r="1827" spans="1:28" ht="12.75" customHeight="1" x14ac:dyDescent="0.25">
      <c r="A1827" s="558" t="s">
        <v>5006</v>
      </c>
      <c r="B1827" s="376"/>
      <c r="C1827" s="333"/>
      <c r="D1827" s="333"/>
      <c r="E1827" s="333"/>
      <c r="F1827" s="374"/>
      <c r="G1827" s="372"/>
      <c r="H1827" s="372"/>
      <c r="I1827" s="372"/>
      <c r="J1827" s="372"/>
      <c r="K1827" s="333"/>
      <c r="L1827" s="333"/>
      <c r="M1827" s="333"/>
      <c r="N1827" s="417"/>
      <c r="O1827" s="417"/>
      <c r="P1827" s="462"/>
      <c r="Q1827" s="333"/>
      <c r="R1827" s="333"/>
      <c r="S1827" s="373"/>
      <c r="T1827" s="373"/>
      <c r="U1827" s="373"/>
      <c r="V1827" s="373"/>
      <c r="W1827" s="346"/>
      <c r="X1827" s="373"/>
      <c r="Y1827" s="373"/>
      <c r="Z1827" s="373"/>
      <c r="AA1827" s="373"/>
      <c r="AB1827" s="373"/>
    </row>
    <row r="1828" spans="1:28" ht="12.75" customHeight="1" x14ac:dyDescent="0.25">
      <c r="A1828" s="558" t="s">
        <v>5007</v>
      </c>
      <c r="B1828" s="376"/>
      <c r="C1828" s="333"/>
      <c r="D1828" s="333"/>
      <c r="E1828" s="333"/>
      <c r="F1828" s="374"/>
      <c r="G1828" s="372"/>
      <c r="H1828" s="372"/>
      <c r="I1828" s="372"/>
      <c r="J1828" s="372"/>
      <c r="K1828" s="333"/>
      <c r="L1828" s="333"/>
      <c r="M1828" s="333"/>
      <c r="N1828" s="417"/>
      <c r="O1828" s="417"/>
      <c r="P1828" s="462"/>
      <c r="Q1828" s="333"/>
      <c r="R1828" s="333"/>
      <c r="S1828" s="373"/>
      <c r="T1828" s="373"/>
      <c r="U1828" s="373"/>
      <c r="V1828" s="373"/>
      <c r="W1828" s="346"/>
      <c r="X1828" s="373"/>
      <c r="Y1828" s="373"/>
      <c r="Z1828" s="373"/>
      <c r="AA1828" s="373"/>
      <c r="AB1828" s="373"/>
    </row>
    <row r="1829" spans="1:28" ht="12.75" customHeight="1" x14ac:dyDescent="0.25">
      <c r="A1829" s="558" t="s">
        <v>5008</v>
      </c>
      <c r="B1829" s="376"/>
      <c r="C1829" s="333"/>
      <c r="D1829" s="333"/>
      <c r="E1829" s="333"/>
      <c r="F1829" s="374"/>
      <c r="G1829" s="372"/>
      <c r="H1829" s="372"/>
      <c r="I1829" s="372"/>
      <c r="J1829" s="372"/>
      <c r="K1829" s="333"/>
      <c r="L1829" s="333"/>
      <c r="M1829" s="333"/>
      <c r="N1829" s="417"/>
      <c r="O1829" s="417"/>
      <c r="P1829" s="462"/>
      <c r="Q1829" s="333"/>
      <c r="R1829" s="333"/>
      <c r="S1829" s="373"/>
      <c r="T1829" s="373"/>
      <c r="U1829" s="373"/>
      <c r="V1829" s="373"/>
      <c r="W1829" s="346"/>
      <c r="X1829" s="373"/>
      <c r="Y1829" s="373"/>
      <c r="Z1829" s="373"/>
      <c r="AA1829" s="373"/>
      <c r="AB1829" s="373"/>
    </row>
    <row r="1830" spans="1:28" ht="12.75" customHeight="1" x14ac:dyDescent="0.25">
      <c r="A1830" s="558" t="s">
        <v>5009</v>
      </c>
      <c r="B1830" s="376"/>
      <c r="C1830" s="333"/>
      <c r="D1830" s="333"/>
      <c r="E1830" s="333"/>
      <c r="F1830" s="374"/>
      <c r="G1830" s="372"/>
      <c r="H1830" s="372"/>
      <c r="I1830" s="372"/>
      <c r="J1830" s="372"/>
      <c r="K1830" s="333"/>
      <c r="L1830" s="333"/>
      <c r="M1830" s="333"/>
      <c r="N1830" s="417"/>
      <c r="O1830" s="417"/>
      <c r="P1830" s="462"/>
      <c r="Q1830" s="333"/>
      <c r="R1830" s="333"/>
      <c r="S1830" s="373"/>
      <c r="T1830" s="373"/>
      <c r="U1830" s="373"/>
      <c r="V1830" s="373"/>
      <c r="W1830" s="346"/>
      <c r="X1830" s="373"/>
      <c r="Y1830" s="373"/>
      <c r="Z1830" s="373"/>
      <c r="AA1830" s="373"/>
      <c r="AB1830" s="373"/>
    </row>
    <row r="1831" spans="1:28" ht="12.75" customHeight="1" x14ac:dyDescent="0.25">
      <c r="A1831" s="558" t="s">
        <v>5010</v>
      </c>
      <c r="B1831" s="376"/>
      <c r="C1831" s="333"/>
      <c r="D1831" s="333"/>
      <c r="E1831" s="333"/>
      <c r="F1831" s="374"/>
      <c r="G1831" s="372"/>
      <c r="H1831" s="372"/>
      <c r="I1831" s="372"/>
      <c r="J1831" s="372"/>
      <c r="K1831" s="333"/>
      <c r="L1831" s="333"/>
      <c r="M1831" s="333"/>
      <c r="N1831" s="417"/>
      <c r="O1831" s="417"/>
      <c r="P1831" s="462"/>
      <c r="Q1831" s="333"/>
      <c r="R1831" s="333"/>
      <c r="S1831" s="373"/>
      <c r="T1831" s="373"/>
      <c r="U1831" s="373"/>
      <c r="V1831" s="373"/>
      <c r="W1831" s="346"/>
      <c r="X1831" s="373"/>
      <c r="Y1831" s="373"/>
      <c r="Z1831" s="373"/>
      <c r="AA1831" s="373"/>
      <c r="AB1831" s="373"/>
    </row>
    <row r="1832" spans="1:28" ht="12.75" customHeight="1" x14ac:dyDescent="0.25">
      <c r="A1832" s="558" t="s">
        <v>5011</v>
      </c>
      <c r="B1832" s="376"/>
      <c r="C1832" s="333"/>
      <c r="D1832" s="333"/>
      <c r="E1832" s="333"/>
      <c r="F1832" s="374"/>
      <c r="G1832" s="372"/>
      <c r="H1832" s="372"/>
      <c r="I1832" s="372"/>
      <c r="J1832" s="372"/>
      <c r="K1832" s="333"/>
      <c r="L1832" s="333"/>
      <c r="M1832" s="333"/>
      <c r="N1832" s="417"/>
      <c r="O1832" s="417"/>
      <c r="P1832" s="462"/>
      <c r="Q1832" s="333"/>
      <c r="R1832" s="333"/>
      <c r="S1832" s="373"/>
      <c r="T1832" s="373"/>
      <c r="U1832" s="373"/>
      <c r="V1832" s="373"/>
      <c r="W1832" s="346"/>
      <c r="X1832" s="373"/>
      <c r="Y1832" s="373"/>
      <c r="Z1832" s="373"/>
      <c r="AA1832" s="373"/>
      <c r="AB1832" s="373"/>
    </row>
    <row r="1833" spans="1:28" ht="12.75" customHeight="1" x14ac:dyDescent="0.25">
      <c r="A1833" s="558" t="s">
        <v>5012</v>
      </c>
      <c r="B1833" s="376"/>
      <c r="C1833" s="333"/>
      <c r="D1833" s="333"/>
      <c r="E1833" s="333"/>
      <c r="F1833" s="374"/>
      <c r="G1833" s="372"/>
      <c r="H1833" s="372"/>
      <c r="I1833" s="372"/>
      <c r="J1833" s="372"/>
      <c r="K1833" s="333"/>
      <c r="L1833" s="333"/>
      <c r="M1833" s="333"/>
      <c r="N1833" s="417"/>
      <c r="O1833" s="417"/>
      <c r="P1833" s="462"/>
      <c r="Q1833" s="333"/>
      <c r="R1833" s="333"/>
      <c r="S1833" s="373"/>
      <c r="T1833" s="373"/>
      <c r="U1833" s="373"/>
      <c r="V1833" s="373"/>
      <c r="W1833" s="346"/>
      <c r="X1833" s="373"/>
      <c r="Y1833" s="373"/>
      <c r="Z1833" s="373"/>
      <c r="AA1833" s="373"/>
      <c r="AB1833" s="373"/>
    </row>
    <row r="1834" spans="1:28" ht="12.75" customHeight="1" x14ac:dyDescent="0.25">
      <c r="A1834" s="558" t="s">
        <v>5013</v>
      </c>
      <c r="B1834" s="376"/>
      <c r="C1834" s="333"/>
      <c r="D1834" s="333"/>
      <c r="E1834" s="333"/>
      <c r="F1834" s="374"/>
      <c r="G1834" s="372"/>
      <c r="H1834" s="372"/>
      <c r="I1834" s="372"/>
      <c r="J1834" s="372"/>
      <c r="K1834" s="333"/>
      <c r="L1834" s="333"/>
      <c r="M1834" s="333"/>
      <c r="N1834" s="417"/>
      <c r="O1834" s="417"/>
      <c r="P1834" s="462"/>
      <c r="Q1834" s="333"/>
      <c r="R1834" s="333"/>
      <c r="S1834" s="373"/>
      <c r="T1834" s="373"/>
      <c r="U1834" s="373"/>
      <c r="V1834" s="373"/>
      <c r="W1834" s="346"/>
      <c r="X1834" s="373"/>
      <c r="Y1834" s="373"/>
      <c r="Z1834" s="373"/>
      <c r="AA1834" s="373"/>
      <c r="AB1834" s="373"/>
    </row>
    <row r="1835" spans="1:28" ht="12.75" customHeight="1" x14ac:dyDescent="0.25">
      <c r="A1835" s="558" t="s">
        <v>5014</v>
      </c>
      <c r="B1835" s="376"/>
      <c r="C1835" s="333"/>
      <c r="D1835" s="333"/>
      <c r="E1835" s="333"/>
      <c r="F1835" s="374"/>
      <c r="G1835" s="372"/>
      <c r="H1835" s="372"/>
      <c r="I1835" s="372"/>
      <c r="J1835" s="372"/>
      <c r="K1835" s="333"/>
      <c r="L1835" s="333"/>
      <c r="M1835" s="333"/>
      <c r="N1835" s="417"/>
      <c r="O1835" s="417"/>
      <c r="P1835" s="462"/>
      <c r="Q1835" s="333"/>
      <c r="R1835" s="333"/>
      <c r="S1835" s="373"/>
      <c r="T1835" s="373"/>
      <c r="U1835" s="373"/>
      <c r="V1835" s="373"/>
      <c r="W1835" s="346"/>
      <c r="X1835" s="373"/>
      <c r="Y1835" s="373"/>
      <c r="Z1835" s="373"/>
      <c r="AA1835" s="373"/>
      <c r="AB1835" s="373"/>
    </row>
    <row r="1836" spans="1:28" ht="12.75" customHeight="1" x14ac:dyDescent="0.25">
      <c r="A1836" s="558" t="s">
        <v>5015</v>
      </c>
      <c r="B1836" s="376"/>
      <c r="C1836" s="333"/>
      <c r="D1836" s="333"/>
      <c r="E1836" s="333"/>
      <c r="F1836" s="374"/>
      <c r="G1836" s="372"/>
      <c r="H1836" s="372"/>
      <c r="I1836" s="372"/>
      <c r="J1836" s="372"/>
      <c r="K1836" s="333"/>
      <c r="L1836" s="333"/>
      <c r="M1836" s="333"/>
      <c r="N1836" s="417"/>
      <c r="O1836" s="417"/>
      <c r="P1836" s="462"/>
      <c r="Q1836" s="333"/>
      <c r="R1836" s="333"/>
      <c r="S1836" s="373"/>
      <c r="T1836" s="373"/>
      <c r="U1836" s="373"/>
      <c r="V1836" s="373"/>
      <c r="W1836" s="346"/>
      <c r="X1836" s="373"/>
      <c r="Y1836" s="373"/>
      <c r="Z1836" s="373"/>
      <c r="AA1836" s="373"/>
      <c r="AB1836" s="373"/>
    </row>
    <row r="1837" spans="1:28" ht="12.75" customHeight="1" x14ac:dyDescent="0.25">
      <c r="A1837" s="558" t="s">
        <v>5016</v>
      </c>
      <c r="B1837" s="376"/>
      <c r="C1837" s="333"/>
      <c r="D1837" s="333"/>
      <c r="E1837" s="333"/>
      <c r="F1837" s="374"/>
      <c r="G1837" s="372"/>
      <c r="H1837" s="372"/>
      <c r="I1837" s="372"/>
      <c r="J1837" s="372"/>
      <c r="K1837" s="333"/>
      <c r="L1837" s="333"/>
      <c r="M1837" s="333"/>
      <c r="N1837" s="417"/>
      <c r="O1837" s="417"/>
      <c r="P1837" s="462"/>
      <c r="Q1837" s="333"/>
      <c r="R1837" s="333"/>
      <c r="S1837" s="373"/>
      <c r="T1837" s="373"/>
      <c r="U1837" s="373"/>
      <c r="V1837" s="373"/>
      <c r="W1837" s="346"/>
      <c r="X1837" s="373"/>
      <c r="Y1837" s="373"/>
      <c r="Z1837" s="373"/>
      <c r="AA1837" s="373"/>
      <c r="AB1837" s="373"/>
    </row>
    <row r="1838" spans="1:28" ht="12.75" customHeight="1" x14ac:dyDescent="0.25">
      <c r="A1838" s="558" t="s">
        <v>5017</v>
      </c>
      <c r="B1838" s="376"/>
      <c r="C1838" s="333"/>
      <c r="D1838" s="333"/>
      <c r="E1838" s="333"/>
      <c r="F1838" s="374"/>
      <c r="G1838" s="372"/>
      <c r="H1838" s="372"/>
      <c r="I1838" s="372"/>
      <c r="J1838" s="372"/>
      <c r="K1838" s="333"/>
      <c r="L1838" s="333"/>
      <c r="M1838" s="333"/>
      <c r="N1838" s="417"/>
      <c r="O1838" s="417"/>
      <c r="P1838" s="462"/>
      <c r="Q1838" s="333"/>
      <c r="R1838" s="333"/>
      <c r="S1838" s="373"/>
      <c r="T1838" s="373"/>
      <c r="U1838" s="373"/>
      <c r="V1838" s="373"/>
      <c r="W1838" s="346"/>
      <c r="X1838" s="373"/>
      <c r="Y1838" s="373"/>
      <c r="Z1838" s="373"/>
      <c r="AA1838" s="373"/>
      <c r="AB1838" s="373"/>
    </row>
    <row r="1839" spans="1:28" ht="12.75" customHeight="1" x14ac:dyDescent="0.25">
      <c r="A1839" s="558" t="s">
        <v>5018</v>
      </c>
      <c r="B1839" s="376"/>
      <c r="C1839" s="333"/>
      <c r="D1839" s="333"/>
      <c r="E1839" s="333"/>
      <c r="F1839" s="374"/>
      <c r="G1839" s="372"/>
      <c r="H1839" s="372"/>
      <c r="I1839" s="372"/>
      <c r="J1839" s="372"/>
      <c r="K1839" s="333"/>
      <c r="L1839" s="333"/>
      <c r="M1839" s="333"/>
      <c r="N1839" s="417"/>
      <c r="O1839" s="417"/>
      <c r="P1839" s="462"/>
      <c r="Q1839" s="333"/>
      <c r="R1839" s="333"/>
      <c r="S1839" s="373"/>
      <c r="T1839" s="373"/>
      <c r="U1839" s="373"/>
      <c r="V1839" s="373"/>
      <c r="W1839" s="346"/>
      <c r="X1839" s="373"/>
      <c r="Y1839" s="373"/>
      <c r="Z1839" s="373"/>
      <c r="AA1839" s="373"/>
      <c r="AB1839" s="373"/>
    </row>
    <row r="1840" spans="1:28" ht="12.75" customHeight="1" x14ac:dyDescent="0.25">
      <c r="A1840" s="558" t="s">
        <v>5019</v>
      </c>
      <c r="B1840" s="376"/>
      <c r="C1840" s="333"/>
      <c r="D1840" s="333"/>
      <c r="E1840" s="333"/>
      <c r="F1840" s="374"/>
      <c r="G1840" s="372"/>
      <c r="H1840" s="372"/>
      <c r="I1840" s="372"/>
      <c r="J1840" s="372"/>
      <c r="K1840" s="333"/>
      <c r="L1840" s="333"/>
      <c r="M1840" s="333"/>
      <c r="N1840" s="417"/>
      <c r="O1840" s="417"/>
      <c r="P1840" s="462"/>
      <c r="Q1840" s="333"/>
      <c r="R1840" s="333"/>
      <c r="S1840" s="373"/>
      <c r="T1840" s="373"/>
      <c r="U1840" s="373"/>
      <c r="V1840" s="373"/>
      <c r="W1840" s="346"/>
      <c r="X1840" s="373"/>
      <c r="Y1840" s="373"/>
      <c r="Z1840" s="373"/>
      <c r="AA1840" s="373"/>
      <c r="AB1840" s="373"/>
    </row>
    <row r="1841" spans="1:30" ht="12.75" customHeight="1" x14ac:dyDescent="0.25">
      <c r="A1841" s="558" t="s">
        <v>5020</v>
      </c>
      <c r="B1841" s="376"/>
      <c r="C1841" s="333"/>
      <c r="D1841" s="333"/>
      <c r="E1841" s="333"/>
      <c r="F1841" s="374"/>
      <c r="G1841" s="372"/>
      <c r="H1841" s="372"/>
      <c r="I1841" s="372"/>
      <c r="J1841" s="372"/>
      <c r="K1841" s="333"/>
      <c r="L1841" s="333"/>
      <c r="M1841" s="333"/>
      <c r="N1841" s="417"/>
      <c r="O1841" s="417"/>
      <c r="P1841" s="462"/>
      <c r="Q1841" s="333"/>
      <c r="R1841" s="333"/>
      <c r="S1841" s="373"/>
      <c r="T1841" s="373"/>
      <c r="U1841" s="373"/>
      <c r="V1841" s="373"/>
      <c r="W1841" s="346"/>
      <c r="X1841" s="373"/>
      <c r="Y1841" s="373"/>
      <c r="Z1841" s="373"/>
      <c r="AA1841" s="373"/>
      <c r="AB1841" s="373"/>
    </row>
    <row r="1842" spans="1:30" ht="12.75" customHeight="1" x14ac:dyDescent="0.25">
      <c r="A1842" s="558" t="s">
        <v>5021</v>
      </c>
      <c r="B1842" s="376"/>
      <c r="C1842" s="333"/>
      <c r="D1842" s="333"/>
      <c r="E1842" s="333"/>
      <c r="F1842" s="374"/>
      <c r="G1842" s="372"/>
      <c r="H1842" s="372"/>
      <c r="I1842" s="372"/>
      <c r="J1842" s="372"/>
      <c r="K1842" s="333"/>
      <c r="L1842" s="333"/>
      <c r="M1842" s="333"/>
      <c r="N1842" s="417"/>
      <c r="O1842" s="417"/>
      <c r="P1842" s="462"/>
      <c r="Q1842" s="333"/>
      <c r="R1842" s="333"/>
      <c r="S1842" s="373"/>
      <c r="T1842" s="373"/>
      <c r="U1842" s="373"/>
      <c r="V1842" s="373"/>
      <c r="W1842" s="346"/>
      <c r="X1842" s="373"/>
      <c r="Y1842" s="373"/>
      <c r="Z1842" s="373"/>
      <c r="AA1842" s="373"/>
      <c r="AB1842" s="373"/>
    </row>
    <row r="1843" spans="1:30" ht="12.75" customHeight="1" x14ac:dyDescent="0.25">
      <c r="A1843" s="558" t="s">
        <v>5022</v>
      </c>
      <c r="B1843" s="376"/>
      <c r="C1843" s="333"/>
      <c r="D1843" s="333"/>
      <c r="E1843" s="333"/>
      <c r="F1843" s="374"/>
      <c r="G1843" s="372"/>
      <c r="H1843" s="372"/>
      <c r="I1843" s="372"/>
      <c r="J1843" s="372"/>
      <c r="K1843" s="333"/>
      <c r="L1843" s="333"/>
      <c r="M1843" s="333"/>
      <c r="N1843" s="417"/>
      <c r="O1843" s="417"/>
      <c r="P1843" s="462"/>
      <c r="Q1843" s="333"/>
      <c r="R1843" s="333"/>
      <c r="S1843" s="373"/>
      <c r="T1843" s="373"/>
      <c r="U1843" s="373"/>
      <c r="V1843" s="373"/>
      <c r="W1843" s="346"/>
      <c r="X1843" s="373"/>
      <c r="Y1843" s="373"/>
      <c r="Z1843" s="373"/>
      <c r="AA1843" s="373"/>
      <c r="AB1843" s="373"/>
    </row>
    <row r="1844" spans="1:30" ht="12.75" customHeight="1" x14ac:dyDescent="0.25">
      <c r="A1844" s="558" t="s">
        <v>5023</v>
      </c>
      <c r="B1844" s="376"/>
      <c r="C1844" s="333"/>
      <c r="D1844" s="333"/>
      <c r="E1844" s="333"/>
      <c r="F1844" s="374"/>
      <c r="G1844" s="372"/>
      <c r="H1844" s="372"/>
      <c r="I1844" s="372"/>
      <c r="J1844" s="372"/>
      <c r="K1844" s="333"/>
      <c r="L1844" s="333"/>
      <c r="M1844" s="333"/>
      <c r="N1844" s="417"/>
      <c r="O1844" s="417"/>
      <c r="P1844" s="462"/>
      <c r="Q1844" s="333"/>
      <c r="R1844" s="333"/>
      <c r="S1844" s="373"/>
      <c r="T1844" s="373"/>
      <c r="U1844" s="373"/>
      <c r="V1844" s="373"/>
      <c r="W1844" s="346"/>
      <c r="X1844" s="373"/>
      <c r="Y1844" s="373"/>
      <c r="Z1844" s="373"/>
      <c r="AA1844" s="373"/>
      <c r="AB1844" s="373"/>
    </row>
    <row r="1845" spans="1:30" ht="12.75" customHeight="1" x14ac:dyDescent="0.25">
      <c r="A1845" s="558" t="s">
        <v>5024</v>
      </c>
      <c r="B1845" s="376"/>
      <c r="C1845" s="333"/>
      <c r="D1845" s="333"/>
      <c r="E1845" s="333"/>
      <c r="F1845" s="374"/>
      <c r="G1845" s="372"/>
      <c r="H1845" s="372"/>
      <c r="I1845" s="372"/>
      <c r="J1845" s="372"/>
      <c r="K1845" s="333"/>
      <c r="L1845" s="333"/>
      <c r="M1845" s="333"/>
      <c r="N1845" s="417"/>
      <c r="O1845" s="417"/>
      <c r="P1845" s="462"/>
      <c r="Q1845" s="333"/>
      <c r="R1845" s="333"/>
      <c r="S1845" s="373"/>
      <c r="T1845" s="373"/>
      <c r="U1845" s="373"/>
      <c r="V1845" s="373"/>
      <c r="W1845" s="346"/>
      <c r="X1845" s="373"/>
      <c r="Y1845" s="373"/>
      <c r="Z1845" s="373"/>
      <c r="AA1845" s="373"/>
      <c r="AB1845" s="373"/>
    </row>
    <row r="1846" spans="1:30" ht="12.75" customHeight="1" x14ac:dyDescent="0.25">
      <c r="A1846" s="573" t="s">
        <v>5025</v>
      </c>
      <c r="B1846" s="363"/>
      <c r="C1846" s="364"/>
      <c r="D1846" s="364"/>
      <c r="E1846" s="333"/>
      <c r="F1846" s="365"/>
      <c r="G1846" s="366"/>
      <c r="H1846" s="366"/>
      <c r="I1846" s="366"/>
      <c r="J1846" s="366"/>
      <c r="K1846" s="364"/>
      <c r="L1846" s="364"/>
      <c r="M1846" s="364"/>
      <c r="N1846" s="485"/>
      <c r="O1846" s="485"/>
      <c r="P1846" s="491"/>
      <c r="Q1846" s="364"/>
      <c r="R1846" s="364"/>
      <c r="S1846" s="369"/>
      <c r="T1846" s="369"/>
      <c r="U1846" s="369"/>
      <c r="V1846" s="369"/>
      <c r="W1846" s="370"/>
      <c r="X1846" s="369"/>
      <c r="Y1846" s="369"/>
      <c r="Z1846" s="369"/>
      <c r="AA1846" s="369"/>
      <c r="AB1846" s="369"/>
    </row>
    <row r="1847" spans="1:30" s="373" customFormat="1" ht="12.75" customHeight="1" x14ac:dyDescent="0.25">
      <c r="A1847" s="333">
        <v>1694</v>
      </c>
      <c r="L1847" s="333"/>
      <c r="M1847" s="333"/>
      <c r="N1847" s="417"/>
      <c r="O1847" s="417"/>
      <c r="P1847" s="462"/>
      <c r="Q1847" s="333"/>
      <c r="R1847" s="333"/>
      <c r="W1847" s="346"/>
      <c r="AD1847" s="423"/>
    </row>
    <row r="1848" spans="1:30" s="373" customFormat="1" ht="12.75" customHeight="1" x14ac:dyDescent="0.25">
      <c r="A1848" s="333">
        <v>1695</v>
      </c>
      <c r="L1848" s="333"/>
      <c r="M1848" s="333"/>
      <c r="N1848" s="417"/>
      <c r="O1848" s="417"/>
      <c r="P1848" s="462"/>
      <c r="Q1848" s="333"/>
      <c r="R1848" s="333"/>
      <c r="W1848" s="346"/>
      <c r="AD1848" s="423"/>
    </row>
    <row r="1849" spans="1:30" s="373" customFormat="1" ht="12.75" customHeight="1" x14ac:dyDescent="0.25">
      <c r="A1849" s="364">
        <v>1696</v>
      </c>
      <c r="L1849" s="364"/>
      <c r="M1849" s="364"/>
      <c r="N1849" s="485"/>
      <c r="O1849" s="485"/>
      <c r="P1849" s="491"/>
      <c r="Q1849" s="333"/>
      <c r="R1849" s="333"/>
      <c r="W1849" s="346"/>
      <c r="AD1849" s="423"/>
    </row>
    <row r="1850" spans="1:30" s="373" customFormat="1" ht="12.75" customHeight="1" x14ac:dyDescent="0.25">
      <c r="A1850" s="333">
        <v>1697</v>
      </c>
      <c r="L1850" s="333"/>
      <c r="M1850" s="333"/>
      <c r="N1850" s="417"/>
      <c r="O1850" s="417"/>
      <c r="P1850" s="462"/>
      <c r="Q1850" s="396"/>
      <c r="R1850" s="333"/>
      <c r="W1850" s="346"/>
      <c r="AD1850" s="423"/>
    </row>
    <row r="1851" spans="1:30" s="373" customFormat="1" ht="12.75" customHeight="1" x14ac:dyDescent="0.25">
      <c r="A1851" s="415">
        <v>1695</v>
      </c>
      <c r="L1851" s="415"/>
      <c r="M1851" s="415"/>
      <c r="N1851" s="541"/>
      <c r="O1851" s="541"/>
      <c r="P1851" s="502"/>
      <c r="Q1851" s="333"/>
      <c r="R1851" s="333"/>
      <c r="W1851" s="346"/>
      <c r="AD1851" s="423"/>
    </row>
    <row r="1852" spans="1:30" s="373" customFormat="1" ht="12.75" customHeight="1" x14ac:dyDescent="0.25">
      <c r="A1852" s="333">
        <v>1696</v>
      </c>
      <c r="L1852" s="333"/>
      <c r="M1852" s="333"/>
      <c r="N1852" s="417"/>
      <c r="O1852" s="417"/>
      <c r="P1852" s="462"/>
      <c r="Q1852" s="333"/>
      <c r="R1852" s="333"/>
      <c r="W1852" s="346"/>
      <c r="AD1852" s="423"/>
    </row>
    <row r="1853" spans="1:30" s="373" customFormat="1" ht="12.75" customHeight="1" x14ac:dyDescent="0.25">
      <c r="A1853" s="333">
        <v>1697</v>
      </c>
      <c r="L1853" s="333"/>
      <c r="M1853" s="333"/>
      <c r="N1853" s="417"/>
      <c r="O1853" s="417"/>
      <c r="P1853" s="462"/>
      <c r="Q1853" s="333"/>
      <c r="R1853" s="333"/>
      <c r="W1853" s="346"/>
      <c r="AD1853" s="423"/>
    </row>
    <row r="1854" spans="1:30" s="373" customFormat="1" ht="12.75" customHeight="1" x14ac:dyDescent="0.25">
      <c r="A1854" s="333">
        <v>1698</v>
      </c>
      <c r="L1854" s="333"/>
      <c r="M1854" s="333"/>
      <c r="N1854" s="417"/>
      <c r="O1854" s="417"/>
      <c r="P1854" s="462"/>
      <c r="Q1854" s="333"/>
      <c r="R1854" s="333"/>
      <c r="W1854" s="346"/>
      <c r="AD1854" s="423"/>
    </row>
    <row r="1855" spans="1:30" s="373" customFormat="1" ht="12.75" customHeight="1" x14ac:dyDescent="0.25">
      <c r="A1855" s="333">
        <v>1699</v>
      </c>
      <c r="L1855" s="333"/>
      <c r="M1855" s="333"/>
      <c r="N1855" s="417"/>
      <c r="O1855" s="417"/>
      <c r="P1855" s="462"/>
      <c r="Q1855" s="333"/>
      <c r="R1855" s="333"/>
      <c r="W1855" s="346"/>
      <c r="AD1855" s="423"/>
    </row>
    <row r="1856" spans="1:30" s="369" customFormat="1" ht="12.75" customHeight="1" x14ac:dyDescent="0.25">
      <c r="A1856" s="364">
        <v>1700</v>
      </c>
      <c r="L1856" s="364"/>
      <c r="M1856" s="364"/>
      <c r="N1856" s="485"/>
      <c r="O1856" s="485"/>
      <c r="P1856" s="491"/>
      <c r="Q1856" s="364"/>
      <c r="R1856" s="364"/>
      <c r="W1856" s="370"/>
      <c r="AD1856" s="608"/>
    </row>
    <row r="1857" spans="1:30" s="373" customFormat="1" ht="12.75" customHeight="1" x14ac:dyDescent="0.25">
      <c r="A1857" s="333">
        <v>1701</v>
      </c>
      <c r="L1857" s="364"/>
      <c r="M1857" s="364"/>
      <c r="N1857" s="485"/>
      <c r="O1857" s="485"/>
      <c r="P1857" s="491"/>
      <c r="Q1857" s="333"/>
      <c r="R1857" s="333"/>
      <c r="W1857" s="346"/>
      <c r="AD1857" s="423"/>
    </row>
    <row r="1858" spans="1:30" s="373" customFormat="1" ht="12.75" customHeight="1" x14ac:dyDescent="0.25">
      <c r="A1858" s="332">
        <v>1702</v>
      </c>
      <c r="L1858" s="333"/>
      <c r="M1858" s="333"/>
      <c r="N1858" s="417"/>
      <c r="O1858" s="417"/>
      <c r="P1858" s="462"/>
      <c r="Q1858" s="396"/>
      <c r="R1858" s="333"/>
      <c r="W1858" s="346"/>
      <c r="AD1858" s="423"/>
    </row>
    <row r="1859" spans="1:30" s="373" customFormat="1" ht="12.75" customHeight="1" x14ac:dyDescent="0.25">
      <c r="A1859" s="333">
        <v>1703</v>
      </c>
      <c r="L1859" s="586"/>
      <c r="M1859" s="586"/>
      <c r="N1859" s="609"/>
      <c r="O1859" s="609"/>
      <c r="P1859" s="590"/>
      <c r="Q1859" s="333"/>
      <c r="R1859" s="333"/>
      <c r="W1859" s="346"/>
      <c r="AD1859" s="423"/>
    </row>
    <row r="1860" spans="1:30" s="373" customFormat="1" ht="12.75" customHeight="1" x14ac:dyDescent="0.25">
      <c r="A1860" s="368">
        <v>1703</v>
      </c>
      <c r="L1860" s="364"/>
      <c r="M1860" s="364"/>
      <c r="N1860" s="485"/>
      <c r="O1860" s="485"/>
      <c r="P1860" s="491"/>
      <c r="Q1860" s="542"/>
      <c r="R1860" s="364"/>
      <c r="S1860" s="369"/>
      <c r="T1860" s="369"/>
      <c r="U1860" s="369"/>
      <c r="V1860" s="369"/>
      <c r="W1860" s="370"/>
      <c r="X1860" s="369"/>
      <c r="Y1860" s="369"/>
      <c r="Z1860" s="369"/>
      <c r="AA1860" s="369"/>
      <c r="AD1860" s="423"/>
    </row>
    <row r="1861" spans="1:30" s="373" customFormat="1" ht="12.75" customHeight="1" x14ac:dyDescent="0.25">
      <c r="A1861" s="333">
        <v>1704</v>
      </c>
      <c r="L1861" s="333"/>
      <c r="M1861" s="333"/>
      <c r="N1861" s="417"/>
      <c r="O1861" s="417"/>
      <c r="P1861" s="462"/>
      <c r="Q1861" s="333"/>
      <c r="R1861" s="333"/>
      <c r="W1861" s="346"/>
      <c r="AB1861" s="416"/>
      <c r="AD1861" s="423"/>
    </row>
    <row r="1862" spans="1:30" s="373" customFormat="1" ht="12.75" customHeight="1" x14ac:dyDescent="0.25">
      <c r="A1862" s="437"/>
      <c r="B1862" s="501"/>
      <c r="C1862" s="415"/>
      <c r="D1862" s="415"/>
      <c r="E1862" s="429"/>
      <c r="F1862" s="427"/>
      <c r="G1862" s="428"/>
      <c r="H1862" s="428"/>
      <c r="I1862" s="428"/>
      <c r="J1862" s="428"/>
      <c r="K1862" s="415"/>
      <c r="L1862" s="415"/>
      <c r="M1862" s="415"/>
      <c r="N1862" s="541"/>
      <c r="O1862" s="541"/>
      <c r="P1862" s="502"/>
      <c r="Q1862" s="540"/>
      <c r="R1862" s="415"/>
      <c r="S1862" s="424"/>
      <c r="T1862" s="424"/>
      <c r="U1862" s="424"/>
      <c r="V1862" s="424"/>
      <c r="W1862" s="430"/>
      <c r="X1862" s="424"/>
      <c r="Y1862" s="424"/>
      <c r="Z1862" s="424"/>
      <c r="AA1862" s="424"/>
      <c r="AD1862" s="423"/>
    </row>
    <row r="1863" spans="1:30" s="373" customFormat="1" ht="12.75" customHeight="1" x14ac:dyDescent="0.25">
      <c r="A1863" s="415"/>
      <c r="B1863" s="501"/>
      <c r="C1863" s="415"/>
      <c r="D1863" s="415"/>
      <c r="E1863" s="429"/>
      <c r="F1863" s="427"/>
      <c r="G1863" s="428"/>
      <c r="H1863" s="428"/>
      <c r="I1863" s="428"/>
      <c r="J1863" s="428"/>
      <c r="K1863" s="415"/>
      <c r="L1863" s="415"/>
      <c r="M1863" s="415"/>
      <c r="N1863" s="541"/>
      <c r="O1863" s="541"/>
      <c r="P1863" s="502"/>
      <c r="Q1863" s="333"/>
      <c r="R1863" s="333"/>
      <c r="W1863" s="346"/>
      <c r="AD1863" s="423"/>
    </row>
    <row r="1864" spans="1:30" s="373" customFormat="1" ht="12.75" customHeight="1" x14ac:dyDescent="0.25">
      <c r="A1864" s="333"/>
      <c r="B1864" s="376"/>
      <c r="C1864" s="333"/>
      <c r="D1864" s="333"/>
      <c r="E1864" s="429"/>
      <c r="F1864" s="374"/>
      <c r="G1864" s="372"/>
      <c r="H1864" s="372"/>
      <c r="I1864" s="372"/>
      <c r="J1864" s="372"/>
      <c r="K1864" s="333"/>
      <c r="L1864" s="333"/>
      <c r="M1864" s="333"/>
      <c r="N1864" s="417"/>
      <c r="O1864" s="417"/>
      <c r="P1864" s="462"/>
      <c r="Q1864" s="333"/>
      <c r="R1864" s="333"/>
      <c r="W1864" s="346"/>
      <c r="AD1864" s="423"/>
    </row>
    <row r="1865" spans="1:30" s="373" customFormat="1" ht="12.75" customHeight="1" x14ac:dyDescent="0.25">
      <c r="A1865" s="333"/>
      <c r="B1865" s="376"/>
      <c r="C1865" s="333"/>
      <c r="D1865" s="333"/>
      <c r="E1865" s="429"/>
      <c r="F1865" s="374"/>
      <c r="G1865" s="372"/>
      <c r="H1865" s="372"/>
      <c r="I1865" s="372"/>
      <c r="J1865" s="372"/>
      <c r="K1865" s="333"/>
      <c r="L1865" s="333"/>
      <c r="M1865" s="333"/>
      <c r="N1865" s="417"/>
      <c r="O1865" s="417"/>
      <c r="P1865" s="462"/>
      <c r="Q1865" s="333"/>
      <c r="R1865" s="333"/>
      <c r="W1865" s="346"/>
      <c r="AD1865" s="423"/>
    </row>
    <row r="1866" spans="1:30" s="373" customFormat="1" ht="12.75" customHeight="1" x14ac:dyDescent="0.25">
      <c r="A1866" s="333"/>
      <c r="B1866" s="376"/>
      <c r="C1866" s="333"/>
      <c r="D1866" s="333"/>
      <c r="E1866" s="429"/>
      <c r="F1866" s="374"/>
      <c r="G1866" s="372"/>
      <c r="H1866" s="372"/>
      <c r="I1866" s="372"/>
      <c r="J1866" s="372"/>
      <c r="K1866" s="333"/>
      <c r="L1866" s="333"/>
      <c r="M1866" s="333"/>
      <c r="N1866" s="417"/>
      <c r="O1866" s="417"/>
      <c r="P1866" s="462"/>
      <c r="Q1866" s="333"/>
      <c r="R1866" s="333"/>
      <c r="W1866" s="346"/>
      <c r="AD1866" s="423"/>
    </row>
    <row r="1867" spans="1:30" s="373" customFormat="1" ht="12.75" customHeight="1" x14ac:dyDescent="0.25">
      <c r="A1867" s="333"/>
      <c r="B1867" s="376"/>
      <c r="C1867" s="333"/>
      <c r="D1867" s="333"/>
      <c r="E1867" s="429"/>
      <c r="F1867" s="374"/>
      <c r="G1867" s="372"/>
      <c r="H1867" s="372"/>
      <c r="I1867" s="372"/>
      <c r="J1867" s="372"/>
      <c r="K1867" s="333"/>
      <c r="L1867" s="333"/>
      <c r="M1867" s="333"/>
      <c r="N1867" s="417"/>
      <c r="O1867" s="417"/>
      <c r="P1867" s="462"/>
      <c r="Q1867" s="333"/>
      <c r="R1867" s="333"/>
      <c r="W1867" s="346"/>
      <c r="AD1867" s="423"/>
    </row>
    <row r="1868" spans="1:30" s="373" customFormat="1" ht="12.75" customHeight="1" x14ac:dyDescent="0.25">
      <c r="A1868" s="333"/>
      <c r="B1868" s="376"/>
      <c r="C1868" s="333"/>
      <c r="D1868" s="333"/>
      <c r="E1868" s="429"/>
      <c r="F1868" s="374"/>
      <c r="G1868" s="372"/>
      <c r="H1868" s="372"/>
      <c r="I1868" s="372"/>
      <c r="J1868" s="372"/>
      <c r="K1868" s="333"/>
      <c r="L1868" s="333"/>
      <c r="M1868" s="333"/>
      <c r="N1868" s="417"/>
      <c r="O1868" s="417"/>
      <c r="P1868" s="462"/>
      <c r="Q1868" s="333"/>
      <c r="R1868" s="333"/>
      <c r="W1868" s="346"/>
      <c r="AD1868" s="423"/>
    </row>
    <row r="1869" spans="1:30" s="373" customFormat="1" ht="12.75" customHeight="1" x14ac:dyDescent="0.25">
      <c r="A1869" s="333"/>
      <c r="B1869" s="376"/>
      <c r="C1869" s="333"/>
      <c r="D1869" s="333"/>
      <c r="E1869" s="429"/>
      <c r="F1869" s="374"/>
      <c r="G1869" s="372"/>
      <c r="H1869" s="372"/>
      <c r="I1869" s="372"/>
      <c r="J1869" s="372"/>
      <c r="K1869" s="333"/>
      <c r="L1869" s="333"/>
      <c r="M1869" s="333"/>
      <c r="N1869" s="417"/>
      <c r="O1869" s="417"/>
      <c r="P1869" s="462"/>
      <c r="Q1869" s="333"/>
      <c r="R1869" s="333"/>
      <c r="W1869" s="346"/>
      <c r="AD1869" s="423"/>
    </row>
    <row r="1870" spans="1:30" s="373" customFormat="1" ht="12.75" customHeight="1" x14ac:dyDescent="0.25">
      <c r="A1870" s="333"/>
      <c r="B1870" s="376"/>
      <c r="C1870" s="333"/>
      <c r="D1870" s="333"/>
      <c r="E1870" s="429"/>
      <c r="F1870" s="374"/>
      <c r="G1870" s="372"/>
      <c r="H1870" s="372"/>
      <c r="I1870" s="372"/>
      <c r="J1870" s="372"/>
      <c r="K1870" s="333"/>
      <c r="L1870" s="333"/>
      <c r="M1870" s="333"/>
      <c r="N1870" s="417"/>
      <c r="O1870" s="417"/>
      <c r="P1870" s="462"/>
      <c r="Q1870" s="333"/>
      <c r="R1870" s="333"/>
      <c r="W1870" s="346"/>
      <c r="AD1870" s="423"/>
    </row>
    <row r="1871" spans="1:30" s="373" customFormat="1" ht="12.75" customHeight="1" x14ac:dyDescent="0.25">
      <c r="A1871" s="333"/>
      <c r="B1871" s="376"/>
      <c r="C1871" s="333"/>
      <c r="D1871" s="333"/>
      <c r="E1871" s="429"/>
      <c r="F1871" s="374"/>
      <c r="G1871" s="372"/>
      <c r="H1871" s="372"/>
      <c r="I1871" s="372"/>
      <c r="J1871" s="372"/>
      <c r="K1871" s="333"/>
      <c r="L1871" s="333"/>
      <c r="M1871" s="333"/>
      <c r="N1871" s="417"/>
      <c r="O1871" s="417"/>
      <c r="P1871" s="462"/>
      <c r="Q1871" s="333"/>
      <c r="R1871" s="333"/>
      <c r="W1871" s="346"/>
      <c r="AD1871" s="423"/>
    </row>
    <row r="1872" spans="1:30" s="373" customFormat="1" ht="12.75" customHeight="1" x14ac:dyDescent="0.25">
      <c r="A1872" s="333"/>
      <c r="B1872" s="376"/>
      <c r="C1872" s="333"/>
      <c r="D1872" s="333"/>
      <c r="E1872" s="429"/>
      <c r="F1872" s="374"/>
      <c r="G1872" s="372"/>
      <c r="H1872" s="372"/>
      <c r="I1872" s="372"/>
      <c r="J1872" s="372"/>
      <c r="K1872" s="333"/>
      <c r="L1872" s="333"/>
      <c r="M1872" s="333"/>
      <c r="N1872" s="417"/>
      <c r="O1872" s="417"/>
      <c r="P1872" s="462"/>
      <c r="Q1872" s="333"/>
      <c r="R1872" s="333"/>
      <c r="W1872" s="346"/>
      <c r="AD1872" s="423"/>
    </row>
    <row r="1873" spans="1:30" ht="12.75" customHeight="1" x14ac:dyDescent="0.25">
      <c r="A1873" s="600"/>
      <c r="Q1873" s="415"/>
      <c r="R1873" s="415"/>
      <c r="S1873" s="424"/>
      <c r="T1873" s="424"/>
      <c r="U1873" s="424"/>
      <c r="V1873" s="424"/>
      <c r="W1873" s="430"/>
      <c r="X1873" s="424"/>
      <c r="Y1873" s="424"/>
      <c r="Z1873" s="601"/>
      <c r="AA1873" s="424"/>
      <c r="AB1873" s="424"/>
      <c r="AD1873" s="338"/>
    </row>
    <row r="1874" spans="1:30" s="373" customFormat="1" ht="12.75" customHeight="1" x14ac:dyDescent="0.25">
      <c r="A1874" s="333"/>
      <c r="Q1874" s="333"/>
      <c r="R1874" s="333"/>
      <c r="W1874" s="346"/>
      <c r="AD1874" s="423"/>
    </row>
    <row r="1875" spans="1:30" s="373" customFormat="1" ht="12.75" customHeight="1" x14ac:dyDescent="0.25">
      <c r="A1875" s="333"/>
      <c r="Q1875" s="333"/>
      <c r="R1875" s="333"/>
      <c r="W1875" s="346"/>
      <c r="AD1875" s="423"/>
    </row>
    <row r="1883" spans="1:30" ht="12.75" customHeight="1" x14ac:dyDescent="0.25">
      <c r="A1883" s="364">
        <v>1742</v>
      </c>
    </row>
    <row r="1884" spans="1:30" ht="12.75" customHeight="1" x14ac:dyDescent="0.25">
      <c r="A1884" s="333">
        <v>1705</v>
      </c>
      <c r="Q1884" s="333"/>
      <c r="R1884" s="333"/>
      <c r="S1884" s="373"/>
      <c r="T1884" s="373"/>
      <c r="U1884" s="373"/>
      <c r="V1884" s="373"/>
      <c r="W1884" s="346"/>
      <c r="X1884" s="373"/>
      <c r="Y1884" s="373"/>
      <c r="Z1884" s="373"/>
      <c r="AA1884" s="373"/>
    </row>
    <row r="1885" spans="1:30" ht="12.75" customHeight="1" x14ac:dyDescent="0.25">
      <c r="A1885" s="333">
        <v>1706</v>
      </c>
      <c r="Q1885" s="333"/>
      <c r="R1885" s="333"/>
      <c r="S1885" s="373"/>
      <c r="T1885" s="373"/>
      <c r="U1885" s="373"/>
      <c r="V1885" s="373"/>
      <c r="W1885" s="346"/>
      <c r="X1885" s="373"/>
      <c r="Y1885" s="373"/>
      <c r="Z1885" s="373"/>
      <c r="AA1885" s="373"/>
    </row>
    <row r="1886" spans="1:30" ht="12.75" customHeight="1" x14ac:dyDescent="0.25">
      <c r="A1886" s="333">
        <v>1707</v>
      </c>
      <c r="Q1886" s="333"/>
      <c r="R1886" s="333"/>
      <c r="S1886" s="373"/>
      <c r="T1886" s="373"/>
      <c r="U1886" s="373"/>
      <c r="V1886" s="373"/>
      <c r="W1886" s="346"/>
      <c r="X1886" s="373"/>
      <c r="Y1886" s="373"/>
      <c r="Z1886" s="373"/>
      <c r="AA1886" s="373"/>
    </row>
    <row r="1887" spans="1:30" ht="12.75" customHeight="1" x14ac:dyDescent="0.25">
      <c r="A1887" s="333">
        <v>1708</v>
      </c>
      <c r="Q1887" s="333"/>
      <c r="R1887" s="333"/>
      <c r="S1887" s="373"/>
      <c r="T1887" s="373"/>
      <c r="U1887" s="373"/>
      <c r="V1887" s="373"/>
      <c r="W1887" s="346"/>
      <c r="X1887" s="373"/>
      <c r="Y1887" s="373"/>
      <c r="Z1887" s="373"/>
      <c r="AA1887" s="373"/>
    </row>
    <row r="1888" spans="1:30" ht="12.75" customHeight="1" x14ac:dyDescent="0.25">
      <c r="A1888" s="333">
        <v>1709</v>
      </c>
      <c r="Q1888" s="333"/>
      <c r="R1888" s="333"/>
      <c r="S1888" s="373"/>
      <c r="T1888" s="373"/>
      <c r="U1888" s="373"/>
      <c r="V1888" s="373"/>
      <c r="W1888" s="346"/>
      <c r="X1888" s="373"/>
      <c r="Y1888" s="373"/>
      <c r="Z1888" s="373"/>
      <c r="AA1888" s="373"/>
    </row>
    <row r="1889" spans="1:27" ht="12.75" customHeight="1" x14ac:dyDescent="0.25">
      <c r="A1889" s="333">
        <v>1710</v>
      </c>
      <c r="Q1889" s="333"/>
      <c r="R1889" s="333"/>
      <c r="S1889" s="373"/>
      <c r="T1889" s="373"/>
      <c r="U1889" s="373"/>
      <c r="V1889" s="373"/>
      <c r="W1889" s="346"/>
      <c r="X1889" s="373"/>
      <c r="Y1889" s="373"/>
      <c r="Z1889" s="373"/>
      <c r="AA1889" s="373"/>
    </row>
    <row r="1890" spans="1:27" ht="12.75" customHeight="1" x14ac:dyDescent="0.25">
      <c r="A1890" s="333">
        <v>1711</v>
      </c>
      <c r="Q1890" s="333"/>
      <c r="R1890" s="333"/>
      <c r="S1890" s="373"/>
      <c r="T1890" s="373"/>
      <c r="U1890" s="373"/>
      <c r="V1890" s="373"/>
      <c r="W1890" s="346"/>
      <c r="X1890" s="373"/>
      <c r="Y1890" s="373"/>
      <c r="Z1890" s="373"/>
      <c r="AA1890" s="373"/>
    </row>
    <row r="1891" spans="1:27" ht="12.75" customHeight="1" x14ac:dyDescent="0.25">
      <c r="A1891" s="333">
        <v>1712</v>
      </c>
      <c r="Q1891" s="333"/>
      <c r="R1891" s="333"/>
      <c r="S1891" s="373"/>
      <c r="T1891" s="373"/>
      <c r="U1891" s="373"/>
      <c r="V1891" s="373"/>
      <c r="W1891" s="346"/>
      <c r="X1891" s="373"/>
      <c r="Y1891" s="373"/>
      <c r="Z1891" s="373"/>
      <c r="AA1891" s="373"/>
    </row>
    <row r="1892" spans="1:27" ht="12.75" customHeight="1" x14ac:dyDescent="0.25">
      <c r="A1892" s="333">
        <v>1713</v>
      </c>
      <c r="Q1892" s="333"/>
      <c r="R1892" s="333"/>
      <c r="S1892" s="373"/>
      <c r="T1892" s="373"/>
      <c r="U1892" s="373"/>
      <c r="V1892" s="373"/>
      <c r="W1892" s="346"/>
      <c r="X1892" s="373"/>
      <c r="Y1892" s="373"/>
      <c r="Z1892" s="373"/>
      <c r="AA1892" s="373"/>
    </row>
    <row r="1893" spans="1:27" ht="12.75" customHeight="1" x14ac:dyDescent="0.25">
      <c r="A1893" s="333">
        <v>1714</v>
      </c>
      <c r="Q1893" s="333"/>
      <c r="R1893" s="333"/>
      <c r="S1893" s="373"/>
      <c r="T1893" s="373"/>
      <c r="U1893" s="373"/>
      <c r="V1893" s="373"/>
      <c r="W1893" s="346"/>
      <c r="X1893" s="373"/>
      <c r="Y1893" s="373"/>
      <c r="Z1893" s="373"/>
      <c r="AA1893" s="373"/>
    </row>
    <row r="1894" spans="1:27" ht="12.75" customHeight="1" x14ac:dyDescent="0.25">
      <c r="A1894" s="333"/>
      <c r="L1894" s="364"/>
      <c r="M1894" s="333"/>
      <c r="N1894" s="417"/>
      <c r="O1894" s="417"/>
      <c r="P1894" s="462"/>
      <c r="Q1894" s="333"/>
      <c r="R1894" s="333"/>
      <c r="S1894" s="373"/>
      <c r="T1894" s="373"/>
      <c r="U1894" s="373"/>
      <c r="V1894" s="373"/>
      <c r="W1894" s="346"/>
      <c r="X1894" s="373"/>
      <c r="Y1894" s="373"/>
      <c r="Z1894" s="373"/>
      <c r="AA1894" s="373"/>
    </row>
    <row r="1895" spans="1:27" ht="12.75" customHeight="1" x14ac:dyDescent="0.3">
      <c r="A1895" s="332"/>
      <c r="B1895" s="501"/>
      <c r="C1895" s="415"/>
      <c r="D1895" s="415"/>
      <c r="E1895" s="625"/>
      <c r="F1895" s="427"/>
      <c r="G1895" s="428"/>
      <c r="H1895" s="372"/>
      <c r="I1895" s="428"/>
      <c r="J1895" s="621"/>
      <c r="K1895" s="368"/>
      <c r="L1895" s="333"/>
      <c r="M1895" s="396"/>
      <c r="N1895" s="417"/>
      <c r="O1895" s="417"/>
      <c r="P1895" s="462"/>
      <c r="Q1895" s="333"/>
      <c r="R1895" s="333"/>
      <c r="S1895" s="373"/>
      <c r="T1895" s="373"/>
      <c r="U1895" s="373"/>
      <c r="V1895" s="373"/>
      <c r="W1895" s="346"/>
      <c r="X1895" s="373"/>
      <c r="Y1895" s="373"/>
      <c r="Z1895" s="373"/>
      <c r="AA1895" s="373"/>
    </row>
    <row r="1896" spans="1:27" ht="12.75" customHeight="1" x14ac:dyDescent="0.3">
      <c r="A1896" s="333"/>
      <c r="B1896" s="501"/>
      <c r="C1896" s="415"/>
      <c r="D1896" s="415"/>
      <c r="E1896" s="623"/>
      <c r="F1896" s="427"/>
      <c r="G1896" s="428"/>
      <c r="H1896" s="428"/>
      <c r="I1896" s="428"/>
      <c r="J1896" s="428"/>
      <c r="K1896" s="415"/>
      <c r="L1896" s="415"/>
      <c r="M1896" s="333"/>
      <c r="N1896" s="417"/>
      <c r="O1896" s="417"/>
      <c r="P1896" s="462"/>
      <c r="Q1896" s="333"/>
      <c r="R1896" s="333"/>
      <c r="S1896" s="373"/>
      <c r="T1896" s="373"/>
      <c r="U1896" s="373"/>
      <c r="V1896" s="373"/>
      <c r="W1896" s="346"/>
      <c r="X1896" s="373"/>
      <c r="Y1896" s="373"/>
      <c r="Z1896" s="373"/>
      <c r="AA1896" s="373"/>
    </row>
    <row r="1897" spans="1:27" ht="12.75" customHeight="1" x14ac:dyDescent="0.3">
      <c r="A1897" s="333"/>
      <c r="B1897" s="376"/>
      <c r="C1897" s="333"/>
      <c r="D1897" s="332"/>
      <c r="E1897" s="625"/>
      <c r="F1897" s="624"/>
      <c r="G1897" s="372"/>
      <c r="H1897" s="372"/>
      <c r="I1897" s="372"/>
      <c r="J1897" s="372"/>
      <c r="K1897" s="333"/>
      <c r="L1897" s="333"/>
      <c r="M1897" s="333"/>
      <c r="N1897" s="417"/>
      <c r="O1897" s="417"/>
      <c r="P1897" s="462"/>
      <c r="Q1897" s="333"/>
      <c r="R1897" s="333"/>
      <c r="S1897" s="373"/>
      <c r="T1897" s="373"/>
      <c r="U1897" s="373"/>
      <c r="V1897" s="373"/>
      <c r="W1897" s="346"/>
      <c r="X1897" s="373"/>
      <c r="Y1897" s="373"/>
      <c r="Z1897" s="373"/>
      <c r="AA1897" s="373"/>
    </row>
    <row r="1898" spans="1:27" ht="12.75" customHeight="1" x14ac:dyDescent="0.3">
      <c r="A1898" s="333"/>
      <c r="B1898" s="376"/>
      <c r="C1898" s="333"/>
      <c r="D1898" s="332"/>
      <c r="E1898" s="623"/>
      <c r="F1898" s="624"/>
      <c r="G1898" s="372"/>
      <c r="H1898" s="372"/>
      <c r="I1898" s="372"/>
      <c r="J1898" s="372"/>
      <c r="K1898" s="333"/>
      <c r="L1898" s="333"/>
      <c r="M1898" s="333"/>
      <c r="N1898" s="417"/>
      <c r="O1898" s="417"/>
      <c r="P1898" s="462"/>
      <c r="Q1898" s="333"/>
      <c r="R1898" s="333"/>
      <c r="S1898" s="373"/>
      <c r="T1898" s="373"/>
      <c r="U1898" s="373"/>
      <c r="V1898" s="373"/>
      <c r="W1898" s="346"/>
      <c r="X1898" s="373"/>
      <c r="Y1898" s="373"/>
      <c r="Z1898" s="373"/>
      <c r="AA1898" s="373"/>
    </row>
    <row r="1899" spans="1:27" ht="12.75" customHeight="1" x14ac:dyDescent="0.25">
      <c r="A1899" s="333"/>
      <c r="B1899" s="376"/>
      <c r="C1899" s="333"/>
      <c r="D1899" s="333"/>
      <c r="E1899" s="415"/>
      <c r="F1899" s="374"/>
      <c r="G1899" s="372"/>
      <c r="H1899" s="372"/>
      <c r="I1899" s="372"/>
      <c r="J1899" s="372"/>
      <c r="K1899" s="333"/>
      <c r="L1899" s="333"/>
      <c r="M1899" s="333"/>
      <c r="N1899" s="417"/>
      <c r="O1899" s="417"/>
      <c r="P1899" s="462"/>
      <c r="Q1899" s="333"/>
      <c r="R1899" s="333"/>
      <c r="S1899" s="373"/>
      <c r="T1899" s="373"/>
      <c r="U1899" s="373"/>
      <c r="V1899" s="373"/>
      <c r="W1899" s="346"/>
      <c r="X1899" s="373"/>
      <c r="Y1899" s="373"/>
      <c r="Z1899" s="373"/>
      <c r="AA1899" s="373"/>
    </row>
    <row r="1900" spans="1:27" ht="12.75" customHeight="1" x14ac:dyDescent="0.25">
      <c r="A1900" s="333"/>
      <c r="B1900" s="376"/>
      <c r="C1900" s="333"/>
      <c r="D1900" s="333"/>
      <c r="E1900" s="333"/>
      <c r="F1900" s="374"/>
      <c r="G1900" s="372"/>
      <c r="H1900" s="372"/>
      <c r="I1900" s="372"/>
      <c r="J1900" s="372"/>
      <c r="K1900" s="333"/>
      <c r="L1900" s="333"/>
      <c r="M1900" s="333"/>
      <c r="N1900" s="417"/>
      <c r="O1900" s="417"/>
      <c r="P1900" s="462"/>
      <c r="Q1900" s="333"/>
      <c r="R1900" s="333"/>
      <c r="S1900" s="373"/>
      <c r="T1900" s="373"/>
      <c r="U1900" s="373"/>
      <c r="V1900" s="373"/>
      <c r="W1900" s="346"/>
      <c r="X1900" s="373"/>
      <c r="Y1900" s="373"/>
      <c r="Z1900" s="373"/>
      <c r="AA1900" s="373"/>
    </row>
    <row r="1901" spans="1:27" ht="12.75" customHeight="1" x14ac:dyDescent="0.25">
      <c r="A1901" s="333"/>
      <c r="B1901" s="376"/>
      <c r="C1901" s="333"/>
      <c r="D1901" s="333"/>
      <c r="E1901" s="333"/>
      <c r="F1901" s="374"/>
      <c r="G1901" s="372"/>
      <c r="H1901" s="372"/>
      <c r="I1901" s="372"/>
      <c r="J1901" s="372"/>
      <c r="K1901" s="333"/>
      <c r="L1901" s="333"/>
      <c r="M1901" s="333"/>
      <c r="N1901" s="417"/>
      <c r="O1901" s="417"/>
      <c r="P1901" s="462"/>
      <c r="Q1901" s="333"/>
      <c r="R1901" s="333"/>
      <c r="S1901" s="373"/>
      <c r="T1901" s="373"/>
      <c r="U1901" s="373"/>
      <c r="V1901" s="373"/>
      <c r="W1901" s="346"/>
      <c r="X1901" s="373"/>
      <c r="Y1901" s="373"/>
      <c r="Z1901" s="373"/>
      <c r="AA1901" s="373"/>
    </row>
    <row r="1902" spans="1:27" ht="12.75" customHeight="1" x14ac:dyDescent="0.25">
      <c r="A1902" s="333"/>
      <c r="B1902" s="376"/>
      <c r="C1902" s="333"/>
      <c r="D1902" s="333"/>
      <c r="E1902" s="333"/>
      <c r="F1902" s="374"/>
      <c r="G1902" s="372"/>
      <c r="H1902" s="372"/>
      <c r="I1902" s="372"/>
      <c r="J1902" s="372"/>
      <c r="K1902" s="333"/>
      <c r="L1902" s="333"/>
      <c r="M1902" s="333"/>
      <c r="N1902" s="417"/>
      <c r="O1902" s="417"/>
      <c r="P1902" s="462"/>
      <c r="Q1902" s="333"/>
      <c r="R1902" s="333"/>
      <c r="S1902" s="373"/>
      <c r="T1902" s="373"/>
      <c r="U1902" s="373"/>
      <c r="V1902" s="373"/>
      <c r="W1902" s="346"/>
      <c r="X1902" s="373"/>
      <c r="Y1902" s="373"/>
      <c r="Z1902" s="373"/>
      <c r="AA1902" s="373"/>
    </row>
    <row r="1903" spans="1:27" ht="12.75" customHeight="1" x14ac:dyDescent="0.25">
      <c r="A1903" s="333"/>
      <c r="B1903" s="376"/>
      <c r="C1903" s="333"/>
      <c r="D1903" s="333"/>
      <c r="E1903" s="333"/>
      <c r="F1903" s="374"/>
      <c r="G1903" s="372"/>
      <c r="H1903" s="372"/>
      <c r="I1903" s="372"/>
      <c r="J1903" s="372"/>
      <c r="K1903" s="333"/>
      <c r="L1903" s="333"/>
      <c r="M1903" s="333"/>
      <c r="N1903" s="417"/>
      <c r="O1903" s="417"/>
      <c r="P1903" s="462"/>
      <c r="Q1903" s="333"/>
      <c r="R1903" s="333"/>
      <c r="S1903" s="373"/>
      <c r="T1903" s="373"/>
      <c r="U1903" s="373"/>
      <c r="V1903" s="373"/>
      <c r="W1903" s="346"/>
      <c r="X1903" s="373"/>
      <c r="Y1903" s="373"/>
      <c r="Z1903" s="373"/>
      <c r="AA1903" s="373"/>
    </row>
    <row r="1904" spans="1:27" ht="12.75" customHeight="1" x14ac:dyDescent="0.25">
      <c r="A1904" s="333"/>
      <c r="B1904" s="376"/>
      <c r="C1904" s="333"/>
      <c r="D1904" s="333"/>
      <c r="E1904" s="333"/>
      <c r="F1904" s="374"/>
      <c r="G1904" s="372"/>
      <c r="H1904" s="372"/>
      <c r="I1904" s="372"/>
      <c r="J1904" s="372"/>
      <c r="K1904" s="333"/>
      <c r="L1904" s="333"/>
      <c r="M1904" s="333"/>
      <c r="N1904" s="417"/>
      <c r="O1904" s="417"/>
      <c r="P1904" s="462"/>
      <c r="Q1904" s="333"/>
      <c r="R1904" s="333"/>
      <c r="S1904" s="373"/>
      <c r="T1904" s="373"/>
      <c r="U1904" s="373"/>
      <c r="V1904" s="373"/>
      <c r="W1904" s="346"/>
      <c r="X1904" s="373"/>
      <c r="Y1904" s="373"/>
      <c r="Z1904" s="373"/>
      <c r="AA1904" s="373"/>
    </row>
    <row r="1905" spans="1:27" ht="12.75" customHeight="1" x14ac:dyDescent="0.25">
      <c r="A1905" s="333"/>
      <c r="B1905" s="376"/>
      <c r="C1905" s="333"/>
      <c r="D1905" s="333"/>
      <c r="E1905" s="333"/>
      <c r="F1905" s="374"/>
      <c r="G1905" s="372"/>
      <c r="H1905" s="372"/>
      <c r="I1905" s="372"/>
      <c r="J1905" s="372"/>
      <c r="K1905" s="333"/>
      <c r="L1905" s="333"/>
      <c r="M1905" s="333"/>
      <c r="N1905" s="417"/>
      <c r="O1905" s="417"/>
      <c r="P1905" s="462"/>
      <c r="Q1905" s="333"/>
      <c r="R1905" s="333"/>
      <c r="S1905" s="373"/>
      <c r="T1905" s="373"/>
      <c r="U1905" s="373"/>
      <c r="V1905" s="373"/>
      <c r="W1905" s="346"/>
      <c r="X1905" s="373"/>
      <c r="Y1905" s="373"/>
      <c r="Z1905" s="373"/>
      <c r="AA1905" s="373"/>
    </row>
    <row r="1906" spans="1:27" ht="12.75" customHeight="1" x14ac:dyDescent="0.25">
      <c r="A1906" s="333"/>
      <c r="B1906" s="376"/>
      <c r="C1906" s="333"/>
      <c r="D1906" s="333"/>
      <c r="E1906" s="333"/>
      <c r="F1906" s="374"/>
      <c r="G1906" s="372"/>
      <c r="H1906" s="372"/>
      <c r="I1906" s="372"/>
      <c r="J1906" s="372"/>
      <c r="K1906" s="333"/>
      <c r="L1906" s="333"/>
      <c r="M1906" s="333"/>
      <c r="N1906" s="417"/>
      <c r="O1906" s="417"/>
      <c r="P1906" s="462"/>
      <c r="Q1906" s="333"/>
      <c r="R1906" s="333"/>
      <c r="S1906" s="373"/>
      <c r="T1906" s="373"/>
      <c r="U1906" s="373"/>
      <c r="V1906" s="373"/>
      <c r="W1906" s="346"/>
      <c r="X1906" s="373"/>
      <c r="Y1906" s="373"/>
      <c r="Z1906" s="373"/>
      <c r="AA1906" s="373"/>
    </row>
    <row r="1907" spans="1:27" ht="12.75" customHeight="1" x14ac:dyDescent="0.25">
      <c r="A1907" s="333"/>
      <c r="B1907" s="376"/>
      <c r="C1907" s="333"/>
      <c r="D1907" s="333"/>
      <c r="E1907" s="333"/>
      <c r="F1907" s="374"/>
      <c r="G1907" s="372"/>
      <c r="H1907" s="372"/>
      <c r="I1907" s="372"/>
      <c r="J1907" s="372"/>
      <c r="K1907" s="333"/>
      <c r="L1907" s="333"/>
      <c r="M1907" s="333"/>
      <c r="N1907" s="417"/>
      <c r="O1907" s="417"/>
      <c r="P1907" s="462"/>
      <c r="Q1907" s="333"/>
      <c r="R1907" s="333"/>
      <c r="S1907" s="373"/>
      <c r="T1907" s="373"/>
      <c r="U1907" s="373"/>
      <c r="V1907" s="373"/>
      <c r="W1907" s="346"/>
      <c r="X1907" s="373"/>
      <c r="Y1907" s="373"/>
      <c r="Z1907" s="373"/>
      <c r="AA1907" s="373"/>
    </row>
  </sheetData>
  <autoFilter ref="A1:BB1903" xr:uid="{65063E1E-F3D0-4697-9959-15EC73D25652}"/>
  <mergeCells count="2">
    <mergeCell ref="AK207:AL207"/>
    <mergeCell ref="AK209:AK210"/>
  </mergeCells>
  <dataValidations count="2">
    <dataValidation allowBlank="1" showInputMessage="1" showErrorMessage="1" sqref="N2:O399 F1541:F1543" xr:uid="{0D0EC354-F8E2-4A2F-BAA1-BAA43059AA8E}"/>
    <dataValidation type="list" allowBlank="1" showInputMessage="1" showErrorMessage="1" sqref="L2:M434" xr:uid="{BB530784-4983-4264-BE6D-0D10C6FA8D9F}">
      <formula1>#REF!</formula1>
    </dataValidation>
  </dataValidations>
  <pageMargins left="0.7" right="0.7" top="0.75" bottom="0.75" header="0.3" footer="0.3"/>
  <pageSetup paperSize="9" scale="47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9">
        <x14:dataValidation type="list" allowBlank="1" showInputMessage="1" showErrorMessage="1" xr:uid="{586A8D0B-B63B-4548-B7A0-01CC82FFC335}">
          <x14:formula1>
            <xm:f>LIST!$B$3:$B$8</xm:f>
          </x14:formula1>
          <xm:sqref>J159:J166 J62:J85 J89:J157 J2:J60</xm:sqref>
        </x14:dataValidation>
        <x14:dataValidation type="list" allowBlank="1" showInputMessage="1" showErrorMessage="1" xr:uid="{9D0A651D-DA76-405D-BD1F-E61A9075F785}">
          <x14:formula1>
            <xm:f>LIST!$F$3:$F$11</xm:f>
          </x14:formula1>
          <xm:sqref>C111:C113 C120 C122 C126:C1239 C22:C93 C1731:C1734</xm:sqref>
        </x14:dataValidation>
        <x14:dataValidation type="list" allowBlank="1" showInputMessage="1" showErrorMessage="1" xr:uid="{3C5758F6-0FE9-4B54-9371-319DEABBB3BF}">
          <x14:formula1>
            <xm:f>LIST!$J$3:$J$31</xm:f>
          </x14:formula1>
          <xm:sqref>D210:D233</xm:sqref>
        </x14:dataValidation>
        <x14:dataValidation type="list" allowBlank="1" showInputMessage="1" showErrorMessage="1" xr:uid="{E66F55FE-67AC-49BE-8DED-162614D6A4E7}">
          <x14:formula1>
            <xm:f>LIST!$B$2:$B$8</xm:f>
          </x14:formula1>
          <xm:sqref>J167:J285</xm:sqref>
        </x14:dataValidation>
        <x14:dataValidation type="list" allowBlank="1" showInputMessage="1" showErrorMessage="1" xr:uid="{B26CCC2F-3AD0-46A0-9FD1-0BEBFF820CA7}">
          <x14:formula1>
            <xm:f>LIST!$J$3:$J$33</xm:f>
          </x14:formula1>
          <xm:sqref>D234:D279</xm:sqref>
        </x14:dataValidation>
        <x14:dataValidation type="list" allowBlank="1" showInputMessage="1" showErrorMessage="1" xr:uid="{84D0DBA6-1140-4683-92ED-427C936D30C8}">
          <x14:formula1>
            <xm:f>LIST!$J$3:$J$34</xm:f>
          </x14:formula1>
          <xm:sqref>D280:D282</xm:sqref>
        </x14:dataValidation>
        <x14:dataValidation type="list" allowBlank="1" showInputMessage="1" showErrorMessage="1" xr:uid="{17A19AE8-628B-41EC-8D34-8C44223B5462}">
          <x14:formula1>
            <xm:f>LIST!$J$3:$J$35</xm:f>
          </x14:formula1>
          <xm:sqref>D283:D303</xm:sqref>
        </x14:dataValidation>
        <x14:dataValidation type="list" allowBlank="1" showInputMessage="1" showErrorMessage="1" xr:uid="{01F9D773-CD13-49CD-A867-1D4900BC3F93}">
          <x14:formula1>
            <xm:f>LIST!$J$3:$J$37</xm:f>
          </x14:formula1>
          <xm:sqref>D304:D310</xm:sqref>
        </x14:dataValidation>
        <x14:dataValidation type="list" allowBlank="1" showInputMessage="1" showErrorMessage="1" xr:uid="{EB163ABA-A163-45C0-9A62-2D85A3447734}">
          <x14:formula1>
            <xm:f>LIST!$J$3:$J$38</xm:f>
          </x14:formula1>
          <xm:sqref>D311</xm:sqref>
        </x14:dataValidation>
        <x14:dataValidation type="list" allowBlank="1" showInputMessage="1" showErrorMessage="1" xr:uid="{BD9BB347-4693-4781-972A-410823FBC32D}">
          <x14:formula1>
            <xm:f>LIST!$J$3:$J$39</xm:f>
          </x14:formula1>
          <xm:sqref>D353:D354</xm:sqref>
        </x14:dataValidation>
        <x14:dataValidation type="list" allowBlank="1" showInputMessage="1" showErrorMessage="1" xr:uid="{B5CF16A7-ABC7-4E15-95D9-76B88F7A0537}">
          <x14:formula1>
            <xm:f>LIST!$J$2:$J$41</xm:f>
          </x14:formula1>
          <xm:sqref>F399 D395:D401</xm:sqref>
        </x14:dataValidation>
        <x14:dataValidation type="list" allowBlank="1" showInputMessage="1" showErrorMessage="1" xr:uid="{8A4A68E8-AC14-47BB-9B66-121BCC1A92F7}">
          <x14:formula1>
            <xm:f>LIST!$J$2:$J$44</xm:f>
          </x14:formula1>
          <xm:sqref>D494 D445:D472</xm:sqref>
        </x14:dataValidation>
        <x14:dataValidation type="list" allowBlank="1" showInputMessage="1" showErrorMessage="1" xr:uid="{F9C243BF-A93E-40A3-A0E1-B9D6E6B6123E}">
          <x14:formula1>
            <xm:f>LIST!$J$2:$J$45</xm:f>
          </x14:formula1>
          <xm:sqref>D473:D493</xm:sqref>
        </x14:dataValidation>
        <x14:dataValidation type="list" allowBlank="1" showInputMessage="1" showErrorMessage="1" xr:uid="{93F9B494-BDF6-4A30-95AB-5BB7F64A0733}">
          <x14:formula1>
            <xm:f>LIST!$J$2:$J$48</xm:f>
          </x14:formula1>
          <xm:sqref>D495:D504</xm:sqref>
        </x14:dataValidation>
        <x14:dataValidation type="list" allowBlank="1" showInputMessage="1" showErrorMessage="1" xr:uid="{1FEAD513-CABB-4898-994A-408DCD918EE4}">
          <x14:formula1>
            <xm:f>LIST!$B$2:$B$9</xm:f>
          </x14:formula1>
          <xm:sqref>J728:J845 J286:J726</xm:sqref>
        </x14:dataValidation>
        <x14:dataValidation type="list" allowBlank="1" showInputMessage="1" showErrorMessage="1" xr:uid="{0F975909-52BC-4C28-88EC-FE45A2CF52C8}">
          <x14:formula1>
            <xm:f>LIST!$J$3:$J$41</xm:f>
          </x14:formula1>
          <xm:sqref>D355:D394</xm:sqref>
        </x14:dataValidation>
        <x14:dataValidation type="list" allowBlank="1" showInputMessage="1" showErrorMessage="1" xr:uid="{4E37F68A-66B2-44AA-903F-F19321F17FF5}">
          <x14:formula1>
            <xm:f>LIST!$B$2:$B$13</xm:f>
          </x14:formula1>
          <xm:sqref>J846:J887 J1100:J1116 J1118:J1683 J1727:J1745 J1895 J1757 J1773:J1792 J1760</xm:sqref>
        </x14:dataValidation>
        <x14:dataValidation type="list" allowBlank="1" showInputMessage="1" showErrorMessage="1" xr:uid="{BCDD8DAC-766D-4165-ACED-BB9CB93A449D}">
          <x14:formula1>
            <xm:f>LIST!$J$2:$J$50</xm:f>
          </x14:formula1>
          <xm:sqref>D534:D581</xm:sqref>
        </x14:dataValidation>
        <x14:dataValidation type="list" allowBlank="1" showInputMessage="1" showErrorMessage="1" xr:uid="{8887F973-6493-4248-A83F-43C7368B23F5}">
          <x14:formula1>
            <xm:f>LIST!$J$2:$J$52</xm:f>
          </x14:formula1>
          <xm:sqref>D854:D918</xm:sqref>
        </x14:dataValidation>
        <x14:dataValidation type="list" allowBlank="1" showInputMessage="1" showErrorMessage="1" xr:uid="{86B5E702-A300-442D-A3F8-CFD578120F01}">
          <x14:formula1>
            <xm:f>LIST!$E$3:$E$4</xm:f>
          </x14:formula1>
          <xm:sqref>L963:P963 K2:K1116 K1745 K1118:K1683</xm:sqref>
        </x14:dataValidation>
        <x14:dataValidation type="list" allowBlank="1" showInputMessage="1" showErrorMessage="1" xr:uid="{EF96C644-2F9E-4F16-9262-7458BE699F19}">
          <x14:formula1>
            <xm:f>LIST!$J$2:$J$55</xm:f>
          </x14:formula1>
          <xm:sqref>D1041:D1080 D1010:D1039 D1082:D1176</xm:sqref>
        </x14:dataValidation>
        <x14:dataValidation type="list" allowBlank="1" showInputMessage="1" showErrorMessage="1" xr:uid="{55C3B1C1-65A2-4FC6-876A-2DE933DC3CAC}">
          <x14:formula1>
            <xm:f>LIST!$J$2:$J$49</xm:f>
          </x14:formula1>
          <xm:sqref>D505:D533</xm:sqref>
        </x14:dataValidation>
        <x14:dataValidation type="list" allowBlank="1" showInputMessage="1" showErrorMessage="1" xr:uid="{4CD4638A-A03E-43C3-80CB-327E87E61DF6}">
          <x14:formula1>
            <xm:f>LIST!$J$2:$J$42</xm:f>
          </x14:formula1>
          <xm:sqref>D402:D444</xm:sqref>
        </x14:dataValidation>
        <x14:dataValidation type="list" allowBlank="1" showInputMessage="1" showErrorMessage="1" xr:uid="{73543127-BC7F-4181-82B1-7A543459D26B}">
          <x14:formula1>
            <xm:f>LIST!$J$4:$J$39</xm:f>
          </x14:formula1>
          <xm:sqref>D312:D352</xm:sqref>
        </x14:dataValidation>
        <x14:dataValidation type="list" allowBlank="1" showInputMessage="1" showErrorMessage="1" xr:uid="{D2C898B4-D851-4E59-9ADC-2D23F1FC16B4}">
          <x14:formula1>
            <xm:f>LIST!$J$2:$J$56</xm:f>
          </x14:formula1>
          <xm:sqref>D1081</xm:sqref>
        </x14:dataValidation>
        <x14:dataValidation type="list" allowBlank="1" showInputMessage="1" showErrorMessage="1" xr:uid="{4136FC4E-E263-4735-9665-D3890055A1AF}">
          <x14:formula1>
            <xm:f>LIST!$J$2:$J$51</xm:f>
          </x14:formula1>
          <xm:sqref>D582:D853</xm:sqref>
        </x14:dataValidation>
        <x14:dataValidation type="list" allowBlank="1" showInputMessage="1" showErrorMessage="1" xr:uid="{90F22C46-28B2-467E-A910-AF1251ABF2D3}">
          <x14:formula1>
            <xm:f>LIST!$J$2:$J$57</xm:f>
          </x14:formula1>
          <xm:sqref>D1040 D1227:D1239 D1177:D1224</xm:sqref>
        </x14:dataValidation>
        <x14:dataValidation type="list" allowBlank="1" showInputMessage="1" showErrorMessage="1" xr:uid="{01D9178C-7273-425A-9FFD-9D2B9508D4FA}">
          <x14:formula1>
            <xm:f>LIST!$J$2:$J$58</xm:f>
          </x14:formula1>
          <xm:sqref>D1225:D1226 D1240</xm:sqref>
        </x14:dataValidation>
        <x14:dataValidation type="list" allowBlank="1" showInputMessage="1" showErrorMessage="1" xr:uid="{BE9ED946-53C6-46DF-946D-F9343E7286D7}">
          <x14:formula1>
            <xm:f>LIST!$J$2:$J$60</xm:f>
          </x14:formula1>
          <xm:sqref>D1241:D1295</xm:sqref>
        </x14:dataValidation>
        <x14:dataValidation type="list" allowBlank="1" showInputMessage="1" showErrorMessage="1" xr:uid="{9FD57FA9-808C-48B7-9E2F-21F182820A98}">
          <x14:formula1>
            <xm:f>LIST!$J$2:$J$61</xm:f>
          </x14:formula1>
          <xm:sqref>D1296:D1409 D1411:D1427 D1544:D1548 D1550:D1580 D1430:D1540</xm:sqref>
        </x14:dataValidation>
        <x14:dataValidation type="list" allowBlank="1" showInputMessage="1" showErrorMessage="1" xr:uid="{EECEE50B-5F41-4D80-ABBC-DC7CD70CD10C}">
          <x14:formula1>
            <xm:f>LIST!$J$2:$J$54</xm:f>
          </x14:formula1>
          <xm:sqref>D977:D1009</xm:sqref>
        </x14:dataValidation>
        <x14:dataValidation type="list" allowBlank="1" showInputMessage="1" showErrorMessage="1" xr:uid="{D6A5A74C-890F-4869-85FD-C52B84D9664D}">
          <x14:formula1>
            <xm:f>LIST!$J$2:$J$53</xm:f>
          </x14:formula1>
          <xm:sqref>D919:D976</xm:sqref>
        </x14:dataValidation>
        <x14:dataValidation type="list" allowBlank="1" showInputMessage="1" showErrorMessage="1" xr:uid="{F135B2A7-8FE9-4CCB-88BD-FD57026D7511}">
          <x14:formula1>
            <xm:f>LIST!$B$2:$B$14</xm:f>
          </x14:formula1>
          <xm:sqref>J888:J1099</xm:sqref>
        </x14:dataValidation>
        <x14:dataValidation type="list" allowBlank="1" showInputMessage="1" showErrorMessage="1" xr:uid="{24C4B7DE-8B30-4633-987A-96B8EAEF081A}">
          <x14:formula1>
            <xm:f>LIST!$H$3:$H$5</xm:f>
          </x14:formula1>
          <xm:sqref>Q2:Q161</xm:sqref>
        </x14:dataValidation>
        <x14:dataValidation type="list" allowBlank="1" showInputMessage="1" showErrorMessage="1" xr:uid="{9850DED1-0D32-41A6-8B31-922785F4558D}">
          <x14:formula1>
            <xm:f>LIST!$F$32:$F$33</xm:f>
          </x14:formula1>
          <xm:sqref>AA2:AA793</xm:sqref>
        </x14:dataValidation>
        <x14:dataValidation type="list" allowBlank="1" showInputMessage="1" showErrorMessage="1" xr:uid="{DB87BC39-E22B-4B5B-91B9-3D869F575F10}">
          <x14:formula1>
            <xm:f>LIST!$J$2:$J$64</xm:f>
          </x14:formula1>
          <xm:sqref>D1428:D1429</xm:sqref>
        </x14:dataValidation>
        <x14:dataValidation type="list" allowBlank="1" showInputMessage="1" showErrorMessage="1" xr:uid="{528F201C-B90B-4555-9D0D-E2A1BC3AB671}">
          <x14:formula1>
            <xm:f>LIST!$J$2:$J$62</xm:f>
          </x14:formula1>
          <xm:sqref>D1541:E1543 D1731:D1734 D1755:D1756</xm:sqref>
        </x14:dataValidation>
        <x14:dataValidation type="list" allowBlank="1" showInputMessage="1" showErrorMessage="1" xr:uid="{91F69188-A314-4F31-9355-E8591FE53A07}">
          <x14:formula1>
            <xm:f>LIST!$F$3:$F$13</xm:f>
          </x14:formula1>
          <xm:sqref>C1240:C1694 C1726:C1746 C1757:C1758 C1773:C1822</xm:sqref>
        </x14:dataValidation>
        <x14:dataValidation type="list" allowBlank="1" showInputMessage="1" showErrorMessage="1" xr:uid="{96E30698-4370-4483-8E82-A73F68AFBC2D}">
          <x14:formula1>
            <xm:f>LIST!$J$2:$J$63</xm:f>
          </x14:formula1>
          <xm:sqref>D1581:D1683 D1726:D1730 D1745:D1746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AD4C-B062-4670-AFE5-66E807B0B714}">
  <dimension ref="A1:L195"/>
  <sheetViews>
    <sheetView topLeftCell="D1" zoomScale="85" workbookViewId="0">
      <pane ySplit="1" topLeftCell="A55" activePane="bottomLeft" state="frozen"/>
      <selection activeCell="D1" sqref="D1"/>
      <selection pane="bottomLeft" activeCell="A55" sqref="A55"/>
    </sheetView>
  </sheetViews>
  <sheetFormatPr defaultColWidth="9.1796875" defaultRowHeight="15" customHeight="1" x14ac:dyDescent="0.25"/>
  <cols>
    <col min="1" max="1" width="6.453125" style="4" customWidth="1"/>
    <col min="2" max="2" width="11.54296875" style="123" customWidth="1"/>
    <col min="3" max="3" width="11" style="2" customWidth="1"/>
    <col min="4" max="4" width="11.7265625" style="2" customWidth="1"/>
    <col min="5" max="5" width="13.453125" style="9" bestFit="1" customWidth="1"/>
    <col min="6" max="6" width="35.26953125" style="7" customWidth="1"/>
    <col min="7" max="7" width="9.1796875" style="7"/>
    <col min="8" max="8" width="16.453125" style="7" customWidth="1"/>
    <col min="9" max="9" width="14.26953125" style="8" bestFit="1" customWidth="1"/>
    <col min="10" max="10" width="13" style="8" bestFit="1" customWidth="1"/>
    <col min="11" max="11" width="13" style="124" customWidth="1"/>
    <col min="12" max="12" width="9.1796875" style="7"/>
    <col min="13" max="13" width="19.26953125" style="7" customWidth="1"/>
    <col min="14" max="16384" width="9.1796875" style="7"/>
  </cols>
  <sheetData>
    <row r="1" spans="1:12" s="5" customFormat="1" ht="15" customHeight="1" x14ac:dyDescent="0.25">
      <c r="A1" s="3" t="s">
        <v>5026</v>
      </c>
      <c r="B1" s="3" t="s">
        <v>5027</v>
      </c>
      <c r="C1" s="4" t="s">
        <v>5028</v>
      </c>
      <c r="D1" s="4" t="s">
        <v>5029</v>
      </c>
      <c r="E1" s="10" t="s">
        <v>5030</v>
      </c>
      <c r="F1" s="5" t="s">
        <v>5031</v>
      </c>
      <c r="G1" s="5" t="s">
        <v>5032</v>
      </c>
      <c r="H1" s="5" t="s">
        <v>5033</v>
      </c>
      <c r="I1" s="6" t="s">
        <v>5034</v>
      </c>
      <c r="J1" s="6" t="s">
        <v>5035</v>
      </c>
      <c r="K1" s="6"/>
      <c r="L1" s="5" t="s">
        <v>5036</v>
      </c>
    </row>
    <row r="2" spans="1:12" ht="15" customHeight="1" x14ac:dyDescent="0.25">
      <c r="A2" s="4">
        <v>1</v>
      </c>
      <c r="B2" s="4" t="s">
        <v>5037</v>
      </c>
      <c r="C2" s="2" t="s">
        <v>5038</v>
      </c>
      <c r="D2" s="2" t="s">
        <v>5039</v>
      </c>
      <c r="E2" s="9" t="s">
        <v>5040</v>
      </c>
      <c r="F2" s="7" t="s">
        <v>5041</v>
      </c>
      <c r="G2" s="7">
        <v>6</v>
      </c>
      <c r="K2" s="124" t="e">
        <f>VLOOKUP(E2,CLAIMS!F:K,5,FALSE)</f>
        <v>#N/A</v>
      </c>
      <c r="L2" s="7" t="s">
        <v>5042</v>
      </c>
    </row>
    <row r="3" spans="1:12" ht="15" customHeight="1" x14ac:dyDescent="0.25">
      <c r="B3" s="4" t="s">
        <v>5037</v>
      </c>
      <c r="C3" s="2" t="s">
        <v>5038</v>
      </c>
      <c r="D3" s="2" t="s">
        <v>5039</v>
      </c>
      <c r="E3" s="9" t="s">
        <v>1472</v>
      </c>
      <c r="F3" s="7" t="s">
        <v>5043</v>
      </c>
      <c r="G3" s="7">
        <v>2</v>
      </c>
      <c r="K3" s="124" t="str">
        <f>VLOOKUP(E3,CLAIMS!F:K,5,FALSE)</f>
        <v>Short Shipment</v>
      </c>
    </row>
    <row r="4" spans="1:12" ht="15" customHeight="1" x14ac:dyDescent="0.25">
      <c r="B4" s="4" t="s">
        <v>5037</v>
      </c>
      <c r="C4" s="2" t="s">
        <v>5038</v>
      </c>
      <c r="D4" s="2" t="s">
        <v>5039</v>
      </c>
      <c r="E4" s="9" t="s">
        <v>1345</v>
      </c>
      <c r="F4" s="7" t="s">
        <v>5044</v>
      </c>
      <c r="G4" s="7">
        <v>6</v>
      </c>
      <c r="K4" s="124" t="str">
        <f>VLOOKUP(E4,CLAIMS!F:K,5,FALSE)</f>
        <v>Short Shipment</v>
      </c>
    </row>
    <row r="5" spans="1:12" ht="15" customHeight="1" x14ac:dyDescent="0.25">
      <c r="B5" s="4" t="s">
        <v>5037</v>
      </c>
      <c r="C5" s="2" t="s">
        <v>5038</v>
      </c>
      <c r="D5" s="2" t="s">
        <v>5039</v>
      </c>
      <c r="E5" s="9" t="s">
        <v>1455</v>
      </c>
      <c r="F5" s="7" t="s">
        <v>5045</v>
      </c>
      <c r="G5" s="7">
        <v>24</v>
      </c>
      <c r="K5" s="124" t="str">
        <f>VLOOKUP(E5,CLAIMS!F:K,5,FALSE)</f>
        <v>Short Shipment</v>
      </c>
    </row>
    <row r="6" spans="1:12" ht="15" customHeight="1" x14ac:dyDescent="0.25">
      <c r="B6" s="4" t="s">
        <v>5037</v>
      </c>
      <c r="C6" s="2" t="s">
        <v>5038</v>
      </c>
      <c r="D6" s="2" t="s">
        <v>5039</v>
      </c>
      <c r="E6" s="9" t="s">
        <v>1463</v>
      </c>
      <c r="F6" s="7" t="s">
        <v>5046</v>
      </c>
      <c r="G6" s="7">
        <v>1</v>
      </c>
      <c r="K6" s="124" t="str">
        <f>VLOOKUP(E6,CLAIMS!F:K,5,FALSE)</f>
        <v>Wrong Shipment</v>
      </c>
    </row>
    <row r="7" spans="1:12" ht="15" customHeight="1" x14ac:dyDescent="0.25">
      <c r="B7" s="4" t="s">
        <v>5037</v>
      </c>
      <c r="C7" s="2" t="s">
        <v>5038</v>
      </c>
      <c r="D7" s="2" t="s">
        <v>5039</v>
      </c>
      <c r="E7" s="9" t="s">
        <v>5047</v>
      </c>
      <c r="F7" s="7" t="s">
        <v>5048</v>
      </c>
      <c r="G7" s="7">
        <v>320</v>
      </c>
      <c r="K7" s="124" t="e">
        <f>VLOOKUP(E7,CLAIMS!F:K,5,FALSE)</f>
        <v>#N/A</v>
      </c>
      <c r="L7" s="7" t="s">
        <v>5042</v>
      </c>
    </row>
    <row r="8" spans="1:12" ht="15" customHeight="1" x14ac:dyDescent="0.25">
      <c r="B8" s="4" t="s">
        <v>5037</v>
      </c>
      <c r="C8" s="2" t="s">
        <v>5038</v>
      </c>
      <c r="D8" s="2" t="s">
        <v>5039</v>
      </c>
      <c r="E8" s="9" t="s">
        <v>1285</v>
      </c>
      <c r="F8" s="7" t="s">
        <v>5049</v>
      </c>
      <c r="G8" s="7">
        <v>6</v>
      </c>
      <c r="K8" s="124" t="str">
        <f>VLOOKUP(E8,CLAIMS!F:K,5,FALSE)</f>
        <v>Not Supplied</v>
      </c>
    </row>
    <row r="9" spans="1:12" ht="15" customHeight="1" x14ac:dyDescent="0.25">
      <c r="B9" s="4" t="s">
        <v>5037</v>
      </c>
      <c r="C9" s="2" t="s">
        <v>5038</v>
      </c>
      <c r="D9" s="2" t="s">
        <v>5039</v>
      </c>
      <c r="E9" s="9" t="s">
        <v>5050</v>
      </c>
      <c r="F9" s="7" t="s">
        <v>5051</v>
      </c>
      <c r="G9" s="7">
        <v>24</v>
      </c>
      <c r="K9" s="124" t="e">
        <f>VLOOKUP(E9,CLAIMS!F:K,5,FALSE)</f>
        <v>#N/A</v>
      </c>
      <c r="L9" s="7" t="s">
        <v>5042</v>
      </c>
    </row>
    <row r="10" spans="1:12" ht="15" customHeight="1" x14ac:dyDescent="0.25">
      <c r="B10" s="4" t="s">
        <v>5037</v>
      </c>
      <c r="C10" s="2" t="s">
        <v>5038</v>
      </c>
      <c r="D10" s="2" t="s">
        <v>5039</v>
      </c>
      <c r="E10" s="9" t="s">
        <v>5052</v>
      </c>
      <c r="F10" s="7" t="s">
        <v>5053</v>
      </c>
      <c r="G10" s="7">
        <v>6</v>
      </c>
      <c r="K10" s="124" t="e">
        <f>VLOOKUP(E10,CLAIMS!F:K,5,FALSE)</f>
        <v>#N/A</v>
      </c>
      <c r="L10" s="7" t="s">
        <v>5042</v>
      </c>
    </row>
    <row r="11" spans="1:12" ht="15" customHeight="1" x14ac:dyDescent="0.25">
      <c r="B11" s="4" t="s">
        <v>5037</v>
      </c>
      <c r="C11" s="2" t="s">
        <v>5038</v>
      </c>
      <c r="D11" s="2" t="s">
        <v>5039</v>
      </c>
      <c r="E11" s="9" t="s">
        <v>1269</v>
      </c>
      <c r="F11" s="7" t="s">
        <v>5054</v>
      </c>
      <c r="G11" s="7">
        <v>1</v>
      </c>
      <c r="K11" s="124" t="str">
        <f>VLOOKUP(E11,CLAIMS!F:K,5,FALSE)</f>
        <v>Short Shipment</v>
      </c>
    </row>
    <row r="12" spans="1:12" ht="15" customHeight="1" x14ac:dyDescent="0.25">
      <c r="B12" s="4" t="s">
        <v>5037</v>
      </c>
      <c r="C12" s="2" t="s">
        <v>5038</v>
      </c>
      <c r="D12" s="2" t="s">
        <v>5039</v>
      </c>
      <c r="E12" s="9" t="s">
        <v>5055</v>
      </c>
      <c r="F12" s="7" t="s">
        <v>5056</v>
      </c>
      <c r="G12" s="7">
        <v>1</v>
      </c>
      <c r="K12" s="124" t="e">
        <f>VLOOKUP(E12,CLAIMS!F:K,5,FALSE)</f>
        <v>#N/A</v>
      </c>
      <c r="L12" s="7" t="s">
        <v>5042</v>
      </c>
    </row>
    <row r="13" spans="1:12" ht="15" customHeight="1" x14ac:dyDescent="0.25">
      <c r="B13" s="4" t="s">
        <v>5037</v>
      </c>
      <c r="C13" s="2" t="s">
        <v>5038</v>
      </c>
      <c r="D13" s="2" t="s">
        <v>5039</v>
      </c>
      <c r="E13" s="9" t="s">
        <v>5057</v>
      </c>
      <c r="F13" s="7" t="s">
        <v>2403</v>
      </c>
      <c r="G13" s="7">
        <v>24</v>
      </c>
      <c r="K13" s="124" t="e">
        <f>VLOOKUP(E13,CLAIMS!F:K,5,FALSE)</f>
        <v>#N/A</v>
      </c>
      <c r="L13" s="7" t="s">
        <v>5042</v>
      </c>
    </row>
    <row r="14" spans="1:12" ht="15" customHeight="1" x14ac:dyDescent="0.25">
      <c r="B14" s="4" t="s">
        <v>5037</v>
      </c>
      <c r="C14" s="2" t="s">
        <v>5038</v>
      </c>
      <c r="D14" s="2" t="s">
        <v>5039</v>
      </c>
      <c r="E14" s="9" t="s">
        <v>5058</v>
      </c>
      <c r="F14" s="7" t="s">
        <v>5059</v>
      </c>
      <c r="G14" s="7">
        <v>6</v>
      </c>
      <c r="K14" s="124" t="e">
        <f>VLOOKUP(E14,CLAIMS!F:K,5,FALSE)</f>
        <v>#N/A</v>
      </c>
      <c r="L14" s="7" t="s">
        <v>5042</v>
      </c>
    </row>
    <row r="15" spans="1:12" ht="15" customHeight="1" x14ac:dyDescent="0.25">
      <c r="B15" s="4" t="s">
        <v>5037</v>
      </c>
      <c r="C15" s="2" t="s">
        <v>5038</v>
      </c>
      <c r="D15" s="2" t="s">
        <v>5039</v>
      </c>
      <c r="E15" s="11" t="s">
        <v>1405</v>
      </c>
      <c r="F15" s="7" t="s">
        <v>5060</v>
      </c>
      <c r="G15" s="7">
        <v>24</v>
      </c>
      <c r="K15" s="124" t="str">
        <f>VLOOKUP(E15,CLAIMS!F:K,5,FALSE)</f>
        <v>Short Shipment</v>
      </c>
    </row>
    <row r="16" spans="1:12" ht="15" customHeight="1" x14ac:dyDescent="0.25">
      <c r="B16" s="4" t="s">
        <v>5037</v>
      </c>
      <c r="C16" s="2" t="s">
        <v>5038</v>
      </c>
      <c r="D16" s="2" t="s">
        <v>5039</v>
      </c>
      <c r="E16" s="9" t="s">
        <v>5061</v>
      </c>
      <c r="F16" s="7" t="s">
        <v>5062</v>
      </c>
      <c r="G16" s="7">
        <v>1</v>
      </c>
      <c r="K16" s="124" t="e">
        <f>VLOOKUP(E16,CLAIMS!F:K,5,FALSE)</f>
        <v>#N/A</v>
      </c>
      <c r="L16" s="7" t="s">
        <v>5042</v>
      </c>
    </row>
    <row r="17" spans="2:12" ht="15" customHeight="1" x14ac:dyDescent="0.25">
      <c r="B17" s="4" t="s">
        <v>5037</v>
      </c>
      <c r="C17" s="2" t="s">
        <v>5038</v>
      </c>
      <c r="D17" s="2" t="s">
        <v>5039</v>
      </c>
      <c r="E17" s="9" t="s">
        <v>5063</v>
      </c>
      <c r="F17" s="7" t="s">
        <v>5064</v>
      </c>
      <c r="G17" s="7">
        <v>1</v>
      </c>
      <c r="K17" s="124" t="e">
        <f>VLOOKUP(E17,CLAIMS!F:K,5,FALSE)</f>
        <v>#N/A</v>
      </c>
      <c r="L17" s="7" t="s">
        <v>5042</v>
      </c>
    </row>
    <row r="18" spans="2:12" ht="15" customHeight="1" x14ac:dyDescent="0.25">
      <c r="B18" s="4" t="s">
        <v>5037</v>
      </c>
      <c r="C18" s="2" t="s">
        <v>5038</v>
      </c>
      <c r="D18" s="2" t="s">
        <v>5039</v>
      </c>
      <c r="E18" s="9" t="s">
        <v>5065</v>
      </c>
      <c r="F18" s="7" t="s">
        <v>5066</v>
      </c>
      <c r="G18" s="7">
        <v>1</v>
      </c>
      <c r="K18" s="124" t="e">
        <f>VLOOKUP(E18,CLAIMS!F:K,5,FALSE)</f>
        <v>#N/A</v>
      </c>
      <c r="L18" s="7" t="s">
        <v>5042</v>
      </c>
    </row>
    <row r="19" spans="2:12" ht="15" customHeight="1" x14ac:dyDescent="0.25">
      <c r="B19" s="4" t="s">
        <v>5037</v>
      </c>
      <c r="C19" s="2" t="s">
        <v>5038</v>
      </c>
      <c r="D19" s="2" t="s">
        <v>5039</v>
      </c>
      <c r="E19" s="9" t="s">
        <v>5067</v>
      </c>
      <c r="F19" s="7" t="s">
        <v>5068</v>
      </c>
      <c r="G19" s="7">
        <v>1</v>
      </c>
      <c r="K19" s="124" t="e">
        <f>VLOOKUP(E19,CLAIMS!F:K,5,FALSE)</f>
        <v>#N/A</v>
      </c>
      <c r="L19" s="7" t="s">
        <v>5042</v>
      </c>
    </row>
    <row r="20" spans="2:12" ht="15" customHeight="1" x14ac:dyDescent="0.25">
      <c r="B20" s="4" t="s">
        <v>5069</v>
      </c>
      <c r="C20" s="2" t="s">
        <v>5038</v>
      </c>
      <c r="D20" s="2" t="s">
        <v>5070</v>
      </c>
      <c r="E20" s="9" t="s">
        <v>1492</v>
      </c>
      <c r="F20" s="7" t="s">
        <v>5071</v>
      </c>
      <c r="G20" s="7">
        <v>8</v>
      </c>
      <c r="J20" s="8" t="s">
        <v>5072</v>
      </c>
      <c r="K20" s="124" t="str">
        <f>VLOOKUP(E20,CLAIMS!F:K,5,FALSE)</f>
        <v>Line Damage</v>
      </c>
    </row>
    <row r="21" spans="2:12" ht="15" customHeight="1" x14ac:dyDescent="0.25">
      <c r="B21" s="4" t="s">
        <v>5073</v>
      </c>
      <c r="C21" s="2" t="s">
        <v>5038</v>
      </c>
      <c r="D21" s="2" t="s">
        <v>5070</v>
      </c>
      <c r="E21" s="9" t="s">
        <v>5074</v>
      </c>
      <c r="F21" s="7" t="s">
        <v>5075</v>
      </c>
      <c r="G21" s="7">
        <v>1</v>
      </c>
      <c r="J21" s="8">
        <v>332</v>
      </c>
      <c r="K21" s="124" t="e">
        <f>VLOOKUP(E21,CLAIMS!F:K,5,FALSE)</f>
        <v>#N/A</v>
      </c>
      <c r="L21" s="7" t="s">
        <v>5042</v>
      </c>
    </row>
    <row r="22" spans="2:12" ht="15" customHeight="1" x14ac:dyDescent="0.25">
      <c r="B22" s="4" t="s">
        <v>5076</v>
      </c>
      <c r="C22" s="2" t="s">
        <v>5038</v>
      </c>
      <c r="D22" s="2" t="s">
        <v>5070</v>
      </c>
      <c r="E22" s="9" t="s">
        <v>1497</v>
      </c>
      <c r="F22" s="7" t="s">
        <v>1498</v>
      </c>
      <c r="G22" s="7">
        <v>1</v>
      </c>
      <c r="J22" s="8">
        <v>332</v>
      </c>
      <c r="K22" s="124" t="str">
        <f>VLOOKUP(E22,CLAIMS!F:K,5,FALSE)</f>
        <v>Line Damage</v>
      </c>
    </row>
    <row r="23" spans="2:12" ht="15" customHeight="1" x14ac:dyDescent="0.25">
      <c r="B23" s="4" t="s">
        <v>5077</v>
      </c>
      <c r="C23" s="2" t="s">
        <v>5038</v>
      </c>
      <c r="D23" s="2" t="s">
        <v>5070</v>
      </c>
      <c r="E23" s="9" t="s">
        <v>5078</v>
      </c>
      <c r="F23" s="7" t="s">
        <v>3648</v>
      </c>
      <c r="G23" s="7">
        <v>4</v>
      </c>
      <c r="J23" s="8">
        <v>332</v>
      </c>
      <c r="K23" s="124" t="e">
        <f>VLOOKUP(E23,CLAIMS!F:K,5,FALSE)</f>
        <v>#N/A</v>
      </c>
      <c r="L23" s="7" t="s">
        <v>5042</v>
      </c>
    </row>
    <row r="24" spans="2:12" ht="15" customHeight="1" x14ac:dyDescent="0.25">
      <c r="B24" s="4" t="s">
        <v>5079</v>
      </c>
      <c r="C24" s="2" t="s">
        <v>5038</v>
      </c>
      <c r="D24" s="2" t="s">
        <v>5070</v>
      </c>
      <c r="E24" s="9" t="s">
        <v>1552</v>
      </c>
      <c r="F24" s="7" t="s">
        <v>1553</v>
      </c>
      <c r="G24" s="7">
        <v>8</v>
      </c>
      <c r="J24" s="8" t="s">
        <v>5072</v>
      </c>
      <c r="K24" s="124" t="str">
        <f>VLOOKUP(E24,CLAIMS!F:K,5,FALSE)</f>
        <v>Line Loss</v>
      </c>
    </row>
    <row r="25" spans="2:12" ht="15" customHeight="1" x14ac:dyDescent="0.25">
      <c r="B25" s="4" t="s">
        <v>5080</v>
      </c>
      <c r="C25" s="2" t="s">
        <v>5038</v>
      </c>
      <c r="D25" s="2" t="s">
        <v>5070</v>
      </c>
      <c r="E25" s="9" t="s">
        <v>5081</v>
      </c>
      <c r="F25" s="7" t="s">
        <v>4541</v>
      </c>
      <c r="G25" s="7">
        <v>7</v>
      </c>
      <c r="J25" s="8">
        <v>332</v>
      </c>
      <c r="K25" s="124" t="e">
        <f>VLOOKUP(E25,CLAIMS!F:K,5,FALSE)</f>
        <v>#N/A</v>
      </c>
      <c r="L25" s="7" t="s">
        <v>5042</v>
      </c>
    </row>
    <row r="26" spans="2:12" ht="15" customHeight="1" x14ac:dyDescent="0.25">
      <c r="B26" s="4" t="s">
        <v>5082</v>
      </c>
      <c r="C26" s="2" t="s">
        <v>5038</v>
      </c>
      <c r="D26" s="2" t="s">
        <v>5070</v>
      </c>
      <c r="E26" s="9" t="s">
        <v>5083</v>
      </c>
      <c r="F26" s="7" t="s">
        <v>1785</v>
      </c>
      <c r="G26" s="7">
        <v>4</v>
      </c>
      <c r="J26" s="8">
        <v>332</v>
      </c>
      <c r="K26" s="124" t="e">
        <f>VLOOKUP(E26,CLAIMS!F:K,5,FALSE)</f>
        <v>#N/A</v>
      </c>
      <c r="L26" s="7" t="s">
        <v>5042</v>
      </c>
    </row>
    <row r="27" spans="2:12" ht="15" customHeight="1" x14ac:dyDescent="0.25">
      <c r="B27" s="4" t="s">
        <v>5084</v>
      </c>
      <c r="C27" s="2" t="s">
        <v>5038</v>
      </c>
      <c r="D27" s="2" t="s">
        <v>5070</v>
      </c>
      <c r="E27" s="9" t="s">
        <v>5085</v>
      </c>
      <c r="F27" s="7" t="s">
        <v>5086</v>
      </c>
      <c r="G27" s="7">
        <v>20</v>
      </c>
      <c r="J27" s="8">
        <v>332</v>
      </c>
      <c r="K27" s="124" t="e">
        <f>VLOOKUP(E27,CLAIMS!F:K,5,FALSE)</f>
        <v>#N/A</v>
      </c>
      <c r="L27" s="7" t="s">
        <v>5042</v>
      </c>
    </row>
    <row r="28" spans="2:12" ht="15" customHeight="1" x14ac:dyDescent="0.25">
      <c r="B28" s="4" t="s">
        <v>5087</v>
      </c>
      <c r="C28" s="2" t="s">
        <v>5038</v>
      </c>
      <c r="D28" s="2" t="s">
        <v>5070</v>
      </c>
      <c r="E28" s="9" t="s">
        <v>5088</v>
      </c>
      <c r="F28" s="7" t="s">
        <v>1785</v>
      </c>
      <c r="G28" s="7">
        <v>2</v>
      </c>
      <c r="J28" s="8">
        <v>332</v>
      </c>
      <c r="K28" s="124" t="e">
        <f>VLOOKUP(E28,CLAIMS!F:K,5,FALSE)</f>
        <v>#N/A</v>
      </c>
      <c r="L28" s="7" t="s">
        <v>5042</v>
      </c>
    </row>
    <row r="29" spans="2:12" ht="15" customHeight="1" x14ac:dyDescent="0.25">
      <c r="B29" s="4" t="s">
        <v>5089</v>
      </c>
      <c r="C29" s="2" t="s">
        <v>5038</v>
      </c>
      <c r="D29" s="2" t="s">
        <v>5070</v>
      </c>
      <c r="E29" s="9" t="s">
        <v>1503</v>
      </c>
      <c r="F29" s="7" t="s">
        <v>1504</v>
      </c>
      <c r="G29" s="7">
        <v>4</v>
      </c>
      <c r="J29" s="8">
        <v>332</v>
      </c>
      <c r="K29" s="124" t="str">
        <f>VLOOKUP(E29,CLAIMS!F:K,5,FALSE)</f>
        <v>Wrong Shipment</v>
      </c>
    </row>
    <row r="30" spans="2:12" ht="15" customHeight="1" x14ac:dyDescent="0.25">
      <c r="B30" s="4" t="s">
        <v>5090</v>
      </c>
      <c r="C30" s="2" t="s">
        <v>5038</v>
      </c>
      <c r="D30" s="2" t="s">
        <v>5070</v>
      </c>
      <c r="E30" s="9" t="s">
        <v>5091</v>
      </c>
      <c r="F30" s="7" t="s">
        <v>5092</v>
      </c>
      <c r="G30" s="7">
        <v>3</v>
      </c>
      <c r="J30" s="8">
        <v>332</v>
      </c>
      <c r="K30" s="124" t="e">
        <f>VLOOKUP(E30,CLAIMS!F:K,5,FALSE)</f>
        <v>#N/A</v>
      </c>
      <c r="L30" s="7" t="s">
        <v>5042</v>
      </c>
    </row>
    <row r="31" spans="2:12" ht="15" customHeight="1" x14ac:dyDescent="0.25">
      <c r="B31" s="4" t="s">
        <v>5093</v>
      </c>
      <c r="C31" s="2" t="s">
        <v>5038</v>
      </c>
      <c r="D31" s="2" t="s">
        <v>5070</v>
      </c>
      <c r="E31" s="9" t="s">
        <v>1480</v>
      </c>
      <c r="F31" s="7" t="s">
        <v>5094</v>
      </c>
      <c r="G31" s="7">
        <v>4</v>
      </c>
      <c r="J31" s="8">
        <v>332</v>
      </c>
      <c r="K31" s="124" t="str">
        <f>VLOOKUP(E31,CLAIMS!F:K,5,FALSE)</f>
        <v>Pack Damage</v>
      </c>
    </row>
    <row r="32" spans="2:12" ht="15" customHeight="1" x14ac:dyDescent="0.25">
      <c r="B32" s="4" t="s">
        <v>5095</v>
      </c>
      <c r="C32" s="2" t="s">
        <v>5038</v>
      </c>
      <c r="D32" s="2" t="s">
        <v>5070</v>
      </c>
      <c r="E32" s="9" t="s">
        <v>5096</v>
      </c>
      <c r="F32" s="7" t="s">
        <v>5097</v>
      </c>
      <c r="G32" s="7">
        <v>4</v>
      </c>
      <c r="J32" s="8">
        <v>332</v>
      </c>
      <c r="K32" s="124" t="e">
        <f>VLOOKUP(E32,CLAIMS!F:K,5,FALSE)</f>
        <v>#N/A</v>
      </c>
      <c r="L32" s="7" t="s">
        <v>5042</v>
      </c>
    </row>
    <row r="33" spans="2:12" ht="15" customHeight="1" x14ac:dyDescent="0.25">
      <c r="B33" s="4" t="s">
        <v>5098</v>
      </c>
      <c r="C33" s="2" t="s">
        <v>5038</v>
      </c>
      <c r="D33" s="2" t="s">
        <v>5070</v>
      </c>
      <c r="E33" s="9" t="s">
        <v>5099</v>
      </c>
      <c r="F33" s="7" t="s">
        <v>1613</v>
      </c>
      <c r="G33" s="7">
        <v>14</v>
      </c>
      <c r="J33" s="8">
        <v>332</v>
      </c>
      <c r="K33" s="124" t="e">
        <f>VLOOKUP(E33,CLAIMS!F:K,5,FALSE)</f>
        <v>#N/A</v>
      </c>
      <c r="L33" s="7" t="s">
        <v>5042</v>
      </c>
    </row>
    <row r="34" spans="2:12" ht="15" customHeight="1" x14ac:dyDescent="0.25">
      <c r="B34" s="4" t="s">
        <v>5100</v>
      </c>
      <c r="C34" s="2" t="s">
        <v>5038</v>
      </c>
      <c r="D34" s="2" t="s">
        <v>5070</v>
      </c>
      <c r="E34" s="9" t="s">
        <v>1538</v>
      </c>
      <c r="F34" s="7" t="s">
        <v>1539</v>
      </c>
      <c r="G34" s="7">
        <v>2</v>
      </c>
      <c r="J34" s="8">
        <v>332</v>
      </c>
      <c r="K34" s="124" t="str">
        <f>VLOOKUP(E34,CLAIMS!F:K,5,FALSE)</f>
        <v>Line Damage</v>
      </c>
    </row>
    <row r="35" spans="2:12" ht="15" customHeight="1" x14ac:dyDescent="0.25">
      <c r="B35" s="4" t="s">
        <v>5101</v>
      </c>
      <c r="C35" s="2" t="s">
        <v>5038</v>
      </c>
      <c r="D35" s="2" t="s">
        <v>5070</v>
      </c>
      <c r="E35" s="9" t="s">
        <v>5102</v>
      </c>
      <c r="F35" s="7" t="s">
        <v>5103</v>
      </c>
      <c r="G35" s="7">
        <v>1</v>
      </c>
      <c r="J35" s="8">
        <v>332</v>
      </c>
      <c r="K35" s="124" t="e">
        <f>VLOOKUP(E35,CLAIMS!F:K,5,FALSE)</f>
        <v>#N/A</v>
      </c>
      <c r="L35" s="7" t="s">
        <v>5042</v>
      </c>
    </row>
    <row r="36" spans="2:12" ht="15" customHeight="1" x14ac:dyDescent="0.25">
      <c r="B36" s="4" t="s">
        <v>5104</v>
      </c>
      <c r="C36" s="2" t="s">
        <v>5038</v>
      </c>
      <c r="D36" s="2" t="s">
        <v>5070</v>
      </c>
      <c r="E36" s="9" t="s">
        <v>1484</v>
      </c>
      <c r="F36" s="7" t="s">
        <v>5105</v>
      </c>
      <c r="G36" s="7">
        <v>4</v>
      </c>
      <c r="J36" s="8">
        <v>332</v>
      </c>
      <c r="K36" s="124" t="str">
        <f>VLOOKUP(E36,CLAIMS!F:K,5,FALSE)</f>
        <v>Wrong Shipment</v>
      </c>
    </row>
    <row r="37" spans="2:12" ht="15" customHeight="1" x14ac:dyDescent="0.25">
      <c r="B37" s="4" t="s">
        <v>5106</v>
      </c>
      <c r="C37" s="2" t="s">
        <v>5038</v>
      </c>
      <c r="D37" s="2" t="s">
        <v>5070</v>
      </c>
      <c r="E37" s="9" t="s">
        <v>1500</v>
      </c>
      <c r="F37" s="7" t="s">
        <v>5107</v>
      </c>
      <c r="G37" s="7">
        <v>1</v>
      </c>
      <c r="J37" s="8">
        <v>332</v>
      </c>
      <c r="K37" s="124" t="str">
        <f>VLOOKUP(E37,CLAIMS!F:K,5,FALSE)</f>
        <v>Manufacturer Error</v>
      </c>
    </row>
    <row r="38" spans="2:12" ht="15" customHeight="1" x14ac:dyDescent="0.25">
      <c r="B38" s="4" t="s">
        <v>5108</v>
      </c>
      <c r="C38" s="2" t="s">
        <v>5038</v>
      </c>
      <c r="D38" s="2" t="s">
        <v>5070</v>
      </c>
      <c r="E38" s="9" t="s">
        <v>5109</v>
      </c>
      <c r="F38" s="7" t="s">
        <v>1785</v>
      </c>
      <c r="G38" s="7">
        <v>4</v>
      </c>
      <c r="J38" s="8">
        <v>332</v>
      </c>
      <c r="K38" s="124" t="e">
        <f>VLOOKUP(E38,CLAIMS!F:K,5,FALSE)</f>
        <v>#N/A</v>
      </c>
      <c r="L38" s="7" t="s">
        <v>5042</v>
      </c>
    </row>
    <row r="39" spans="2:12" ht="15" customHeight="1" x14ac:dyDescent="0.25">
      <c r="B39" s="4" t="s">
        <v>5110</v>
      </c>
      <c r="C39" s="2" t="s">
        <v>5038</v>
      </c>
      <c r="D39" s="2" t="s">
        <v>5070</v>
      </c>
      <c r="E39" s="9" t="s">
        <v>5111</v>
      </c>
      <c r="F39" s="7" t="s">
        <v>5112</v>
      </c>
      <c r="G39" s="7">
        <v>1</v>
      </c>
      <c r="J39" s="8">
        <v>332</v>
      </c>
      <c r="K39" s="124" t="e">
        <f>VLOOKUP(E39,CLAIMS!F:K,5,FALSE)</f>
        <v>#N/A</v>
      </c>
      <c r="L39" s="7" t="s">
        <v>5042</v>
      </c>
    </row>
    <row r="40" spans="2:12" ht="15" customHeight="1" x14ac:dyDescent="0.25">
      <c r="B40" s="4" t="s">
        <v>5113</v>
      </c>
      <c r="C40" s="2" t="s">
        <v>5038</v>
      </c>
      <c r="D40" s="2" t="s">
        <v>5070</v>
      </c>
      <c r="E40" s="9" t="s">
        <v>5114</v>
      </c>
      <c r="F40" s="7" t="s">
        <v>5115</v>
      </c>
      <c r="G40" s="7">
        <v>32</v>
      </c>
      <c r="J40" s="8">
        <v>332</v>
      </c>
      <c r="K40" s="124" t="e">
        <f>VLOOKUP(E40,CLAIMS!F:K,5,FALSE)</f>
        <v>#N/A</v>
      </c>
      <c r="L40" s="7" t="s">
        <v>5042</v>
      </c>
    </row>
    <row r="41" spans="2:12" ht="15" customHeight="1" x14ac:dyDescent="0.25">
      <c r="B41" s="4" t="s">
        <v>5116</v>
      </c>
      <c r="C41" s="2" t="s">
        <v>5038</v>
      </c>
      <c r="D41" s="2" t="s">
        <v>5070</v>
      </c>
      <c r="E41" s="9" t="s">
        <v>5117</v>
      </c>
      <c r="F41" s="7" t="s">
        <v>5118</v>
      </c>
      <c r="G41" s="7">
        <v>1</v>
      </c>
      <c r="J41" s="8">
        <v>332</v>
      </c>
      <c r="K41" s="124" t="e">
        <f>VLOOKUP(E41,CLAIMS!F:K,5,FALSE)</f>
        <v>#N/A</v>
      </c>
      <c r="L41" s="7" t="s">
        <v>5042</v>
      </c>
    </row>
    <row r="42" spans="2:12" ht="15" customHeight="1" x14ac:dyDescent="0.25">
      <c r="B42" s="4" t="s">
        <v>5119</v>
      </c>
      <c r="C42" s="2" t="s">
        <v>5038</v>
      </c>
      <c r="D42" s="2" t="s">
        <v>5070</v>
      </c>
      <c r="E42" s="9" t="s">
        <v>5120</v>
      </c>
      <c r="F42" s="7" t="s">
        <v>5121</v>
      </c>
      <c r="G42" s="7">
        <v>1</v>
      </c>
      <c r="J42" s="8">
        <v>332</v>
      </c>
      <c r="K42" s="124" t="e">
        <f>VLOOKUP(E42,CLAIMS!F:K,5,FALSE)</f>
        <v>#N/A</v>
      </c>
      <c r="L42" s="7" t="s">
        <v>5042</v>
      </c>
    </row>
    <row r="43" spans="2:12" ht="15" customHeight="1" x14ac:dyDescent="0.25">
      <c r="B43" s="4" t="s">
        <v>5122</v>
      </c>
      <c r="C43" s="2" t="s">
        <v>5038</v>
      </c>
      <c r="D43" s="2" t="s">
        <v>5070</v>
      </c>
      <c r="E43" s="9" t="s">
        <v>5123</v>
      </c>
      <c r="F43" s="7" t="s">
        <v>5124</v>
      </c>
      <c r="G43" s="7">
        <v>1</v>
      </c>
      <c r="J43" s="8">
        <v>332</v>
      </c>
      <c r="K43" s="124" t="e">
        <f>VLOOKUP(E43,CLAIMS!F:K,5,FALSE)</f>
        <v>#N/A</v>
      </c>
      <c r="L43" s="7" t="s">
        <v>5042</v>
      </c>
    </row>
    <row r="44" spans="2:12" ht="15" customHeight="1" x14ac:dyDescent="0.25">
      <c r="B44" s="4" t="s">
        <v>5125</v>
      </c>
      <c r="C44" s="2" t="s">
        <v>4917</v>
      </c>
      <c r="D44" s="2">
        <v>2516</v>
      </c>
      <c r="E44" s="9">
        <v>25768116332</v>
      </c>
      <c r="F44" s="7" t="s">
        <v>5126</v>
      </c>
      <c r="G44" s="7">
        <v>1</v>
      </c>
      <c r="I44" s="8">
        <v>1</v>
      </c>
      <c r="J44" s="8">
        <v>2</v>
      </c>
      <c r="K44" s="124" t="e">
        <f>VLOOKUP(E44,CLAIMS!F:K,5,FALSE)</f>
        <v>#N/A</v>
      </c>
      <c r="L44" s="7" t="s">
        <v>5042</v>
      </c>
    </row>
    <row r="45" spans="2:12" ht="15" customHeight="1" x14ac:dyDescent="0.25">
      <c r="B45" s="4" t="s">
        <v>5127</v>
      </c>
      <c r="C45" s="2" t="s">
        <v>4917</v>
      </c>
      <c r="D45" s="2">
        <v>2516</v>
      </c>
      <c r="E45" s="9">
        <v>16442800603</v>
      </c>
      <c r="F45" s="7" t="s">
        <v>5128</v>
      </c>
      <c r="G45" s="7">
        <v>12</v>
      </c>
      <c r="I45" s="8">
        <v>1</v>
      </c>
      <c r="J45" s="8">
        <v>2</v>
      </c>
      <c r="K45" s="124" t="e">
        <f>VLOOKUP(E45,CLAIMS!F:K,5,FALSE)</f>
        <v>#N/A</v>
      </c>
      <c r="L45" s="7" t="s">
        <v>5042</v>
      </c>
    </row>
    <row r="46" spans="2:12" ht="15" customHeight="1" x14ac:dyDescent="0.25">
      <c r="B46" s="4" t="s">
        <v>5129</v>
      </c>
      <c r="C46" s="2" t="s">
        <v>4917</v>
      </c>
      <c r="D46" s="2">
        <v>2516</v>
      </c>
      <c r="E46" s="9">
        <v>263243700169</v>
      </c>
      <c r="F46" s="7" t="s">
        <v>5130</v>
      </c>
      <c r="G46" s="7">
        <v>1</v>
      </c>
      <c r="I46" s="8">
        <v>1</v>
      </c>
      <c r="J46" s="8">
        <v>2</v>
      </c>
      <c r="K46" s="124" t="str">
        <f>VLOOKUP(E46,CLAIMS!F:K,5,FALSE)</f>
        <v>Manufacturer Error</v>
      </c>
    </row>
    <row r="47" spans="2:12" ht="15" customHeight="1" x14ac:dyDescent="0.25">
      <c r="B47" s="4" t="s">
        <v>5131</v>
      </c>
      <c r="C47" s="2" t="s">
        <v>4917</v>
      </c>
      <c r="D47" s="2">
        <v>2516</v>
      </c>
      <c r="E47" s="9">
        <v>263258408204</v>
      </c>
      <c r="F47" s="7" t="s">
        <v>5132</v>
      </c>
      <c r="G47" s="7">
        <v>1</v>
      </c>
      <c r="I47" s="8">
        <v>1</v>
      </c>
      <c r="J47" s="8">
        <v>2</v>
      </c>
      <c r="K47" s="124" t="str">
        <f>VLOOKUP(E47,CLAIMS!F:K,5,FALSE)</f>
        <v>Line Damage</v>
      </c>
    </row>
    <row r="48" spans="2:12" ht="15" customHeight="1" x14ac:dyDescent="0.25">
      <c r="B48" s="4"/>
      <c r="C48" s="2" t="s">
        <v>5133</v>
      </c>
      <c r="D48" s="2" t="s">
        <v>83</v>
      </c>
      <c r="E48" s="9" t="s">
        <v>4341</v>
      </c>
      <c r="F48" s="7" t="s">
        <v>4342</v>
      </c>
      <c r="G48" s="7">
        <v>2</v>
      </c>
      <c r="K48" s="124" t="str">
        <f>VLOOKUP(E48,CLAIMS!F:K,5,FALSE)</f>
        <v>Line Loss</v>
      </c>
    </row>
    <row r="49" spans="2:11" ht="15" customHeight="1" x14ac:dyDescent="0.25">
      <c r="B49" s="4"/>
      <c r="C49" s="2" t="s">
        <v>5133</v>
      </c>
      <c r="D49" s="2" t="s">
        <v>4340</v>
      </c>
      <c r="E49" s="9" t="s">
        <v>831</v>
      </c>
      <c r="F49" s="7" t="s">
        <v>5134</v>
      </c>
      <c r="G49" s="7">
        <v>1</v>
      </c>
      <c r="K49" s="124" t="str">
        <f>VLOOKUP(E49,CLAIMS!F:K,5,FALSE)</f>
        <v>Pack Damage</v>
      </c>
    </row>
    <row r="50" spans="2:11" ht="15" customHeight="1" x14ac:dyDescent="0.25">
      <c r="B50" s="4"/>
      <c r="C50" s="2" t="s">
        <v>5133</v>
      </c>
      <c r="D50" s="2" t="s">
        <v>4340</v>
      </c>
      <c r="E50" s="9" t="s">
        <v>3884</v>
      </c>
      <c r="F50" s="7" t="s">
        <v>5135</v>
      </c>
      <c r="G50" s="7">
        <v>1</v>
      </c>
      <c r="K50" s="124" t="str">
        <f>VLOOKUP(E50,CLAIMS!F:K,5,FALSE)</f>
        <v>Line Loss</v>
      </c>
    </row>
    <row r="51" spans="2:11" ht="15" customHeight="1" x14ac:dyDescent="0.25">
      <c r="B51" s="4"/>
      <c r="C51" s="2" t="s">
        <v>5133</v>
      </c>
      <c r="D51" s="2" t="s">
        <v>4340</v>
      </c>
      <c r="E51" s="142" t="s">
        <v>4344</v>
      </c>
      <c r="F51" s="7" t="s">
        <v>4345</v>
      </c>
      <c r="G51" s="7">
        <v>1</v>
      </c>
      <c r="K51" s="124" t="str">
        <f>VLOOKUP(E51,CLAIMS!F:K,5,FALSE)</f>
        <v>Line Loss</v>
      </c>
    </row>
    <row r="52" spans="2:11" ht="15" customHeight="1" x14ac:dyDescent="0.25">
      <c r="B52" s="4"/>
      <c r="C52" s="2" t="s">
        <v>5133</v>
      </c>
      <c r="D52" s="2" t="s">
        <v>4340</v>
      </c>
      <c r="E52" s="9" t="s">
        <v>3163</v>
      </c>
      <c r="F52" s="7" t="s">
        <v>5136</v>
      </c>
      <c r="G52" s="7">
        <v>1</v>
      </c>
      <c r="K52" s="124" t="str">
        <f>VLOOKUP(E52,CLAIMS!F:K,5,FALSE)</f>
        <v>Line Damage</v>
      </c>
    </row>
    <row r="53" spans="2:11" ht="15" customHeight="1" x14ac:dyDescent="0.25">
      <c r="B53" s="4"/>
      <c r="C53" s="2" t="s">
        <v>5133</v>
      </c>
      <c r="D53" s="2" t="s">
        <v>4340</v>
      </c>
      <c r="E53" s="9" t="s">
        <v>3890</v>
      </c>
      <c r="F53" s="7" t="s">
        <v>5137</v>
      </c>
      <c r="G53" s="7">
        <v>1</v>
      </c>
      <c r="K53" s="124" t="str">
        <f>VLOOKUP(E53,CLAIMS!F:K,5,FALSE)</f>
        <v>Line Loss</v>
      </c>
    </row>
    <row r="54" spans="2:11" ht="15" customHeight="1" x14ac:dyDescent="0.25">
      <c r="B54" s="4"/>
      <c r="C54" s="2" t="s">
        <v>5133</v>
      </c>
      <c r="D54" s="2" t="s">
        <v>4340</v>
      </c>
      <c r="E54" s="9" t="s">
        <v>3206</v>
      </c>
      <c r="F54" s="7" t="s">
        <v>1416</v>
      </c>
      <c r="G54" s="7">
        <v>1</v>
      </c>
      <c r="K54" s="124" t="str">
        <f>VLOOKUP(E54,CLAIMS!F:K,5,FALSE)</f>
        <v>Line Damage</v>
      </c>
    </row>
    <row r="55" spans="2:11" ht="15" customHeight="1" x14ac:dyDescent="0.25">
      <c r="B55" s="4"/>
      <c r="C55" s="2" t="s">
        <v>5133</v>
      </c>
      <c r="D55" s="2" t="s">
        <v>4340</v>
      </c>
      <c r="E55" s="9" t="s">
        <v>3893</v>
      </c>
      <c r="F55" s="2" t="s">
        <v>5138</v>
      </c>
      <c r="G55" s="7">
        <v>1</v>
      </c>
      <c r="K55" s="124" t="str">
        <f>VLOOKUP(E55,CLAIMS!F:K,5,FALSE)</f>
        <v>Line Damage</v>
      </c>
    </row>
    <row r="56" spans="2:11" ht="15" customHeight="1" x14ac:dyDescent="0.25">
      <c r="B56" s="4"/>
      <c r="C56" s="2" t="s">
        <v>5133</v>
      </c>
      <c r="D56" s="2" t="s">
        <v>4340</v>
      </c>
      <c r="E56" s="9" t="s">
        <v>3857</v>
      </c>
      <c r="F56" s="7" t="s">
        <v>5139</v>
      </c>
      <c r="G56" s="7">
        <v>2</v>
      </c>
      <c r="K56" s="124" t="str">
        <f>VLOOKUP(E56,CLAIMS!F:K,5,FALSE)</f>
        <v>Line Loss</v>
      </c>
    </row>
    <row r="57" spans="2:11" ht="15" customHeight="1" x14ac:dyDescent="0.25">
      <c r="B57" s="4"/>
      <c r="C57" s="2" t="s">
        <v>5133</v>
      </c>
      <c r="D57" s="2" t="s">
        <v>4340</v>
      </c>
      <c r="E57" s="7" t="s">
        <v>3950</v>
      </c>
      <c r="F57" s="7" t="s">
        <v>5140</v>
      </c>
      <c r="G57" s="7">
        <v>1</v>
      </c>
      <c r="K57" s="124" t="str">
        <f>VLOOKUP(E57,CLAIMS!F:K,5,FALSE)</f>
        <v>Manufacturer Error</v>
      </c>
    </row>
    <row r="58" spans="2:11" ht="15" customHeight="1" x14ac:dyDescent="0.25">
      <c r="B58" s="4"/>
      <c r="C58" s="2" t="s">
        <v>5133</v>
      </c>
      <c r="D58" s="2" t="s">
        <v>4340</v>
      </c>
      <c r="E58" s="9" t="s">
        <v>4101</v>
      </c>
      <c r="F58" s="7" t="s">
        <v>5141</v>
      </c>
      <c r="G58" s="7">
        <v>1</v>
      </c>
      <c r="K58" s="124" t="str">
        <f>VLOOKUP(E58,CLAIMS!F:K,5,FALSE)</f>
        <v>Line Damage</v>
      </c>
    </row>
    <row r="59" spans="2:11" ht="15" customHeight="1" x14ac:dyDescent="0.25">
      <c r="B59" s="4"/>
      <c r="C59" s="2" t="s">
        <v>5133</v>
      </c>
      <c r="D59" s="2" t="s">
        <v>4340</v>
      </c>
      <c r="E59" s="9" t="s">
        <v>3887</v>
      </c>
      <c r="F59" s="7" t="s">
        <v>5142</v>
      </c>
      <c r="G59" s="7">
        <v>1</v>
      </c>
      <c r="K59" s="124" t="str">
        <f>VLOOKUP(E59,CLAIMS!F:K,5,FALSE)</f>
        <v>Line Damage</v>
      </c>
    </row>
    <row r="60" spans="2:11" ht="15" customHeight="1" x14ac:dyDescent="0.25">
      <c r="B60" s="4"/>
      <c r="C60" s="2" t="s">
        <v>5133</v>
      </c>
      <c r="D60" s="2" t="s">
        <v>4340</v>
      </c>
      <c r="E60" s="9" t="s">
        <v>4106</v>
      </c>
      <c r="F60" s="7" t="s">
        <v>5143</v>
      </c>
      <c r="G60" s="7">
        <v>1</v>
      </c>
      <c r="K60" s="124" t="str">
        <f>VLOOKUP(E60,CLAIMS!F:K,5,FALSE)</f>
        <v>Line Damage</v>
      </c>
    </row>
    <row r="61" spans="2:11" ht="15" customHeight="1" x14ac:dyDescent="0.25">
      <c r="B61" s="4"/>
      <c r="C61" s="2" t="s">
        <v>5133</v>
      </c>
      <c r="D61" s="2" t="s">
        <v>4340</v>
      </c>
      <c r="E61" s="9" t="s">
        <v>3939</v>
      </c>
      <c r="F61" s="7" t="s">
        <v>5144</v>
      </c>
      <c r="G61" s="7">
        <v>1</v>
      </c>
      <c r="K61" s="124" t="str">
        <f>VLOOKUP(E61,CLAIMS!F:K,5,FALSE)</f>
        <v>Wrong Shipment</v>
      </c>
    </row>
    <row r="62" spans="2:11" ht="15" customHeight="1" x14ac:dyDescent="0.25">
      <c r="B62" s="4"/>
      <c r="C62" s="2" t="s">
        <v>5133</v>
      </c>
      <c r="D62" s="2" t="s">
        <v>4340</v>
      </c>
      <c r="E62" s="9" t="s">
        <v>4098</v>
      </c>
      <c r="F62" s="7" t="s">
        <v>5048</v>
      </c>
      <c r="G62" s="7">
        <v>2</v>
      </c>
      <c r="K62" s="124" t="str">
        <f>VLOOKUP(E62,CLAIMS!F:K,5,FALSE)</f>
        <v>Line Damage</v>
      </c>
    </row>
    <row r="63" spans="2:11" ht="15" customHeight="1" x14ac:dyDescent="0.25">
      <c r="B63" s="4"/>
      <c r="C63" s="2" t="s">
        <v>5133</v>
      </c>
      <c r="D63" s="2" t="s">
        <v>4340</v>
      </c>
      <c r="E63" s="9" t="s">
        <v>4109</v>
      </c>
      <c r="F63" s="7" t="s">
        <v>2403</v>
      </c>
      <c r="G63" s="7">
        <v>1</v>
      </c>
      <c r="K63" s="124" t="str">
        <f>VLOOKUP(E63,CLAIMS!F:K,5,FALSE)</f>
        <v>Line Damage</v>
      </c>
    </row>
    <row r="64" spans="2:11" ht="15" customHeight="1" x14ac:dyDescent="0.25">
      <c r="B64" s="4"/>
      <c r="C64" s="2" t="s">
        <v>5133</v>
      </c>
      <c r="D64" s="2" t="s">
        <v>4340</v>
      </c>
      <c r="E64" s="9" t="s">
        <v>4111</v>
      </c>
      <c r="F64" s="7" t="s">
        <v>1181</v>
      </c>
      <c r="G64" s="7">
        <v>1</v>
      </c>
      <c r="K64" s="124" t="str">
        <f>VLOOKUP(E64,CLAIMS!F:K,5,FALSE)</f>
        <v>Line Damage</v>
      </c>
    </row>
    <row r="65" spans="1:12" ht="15" customHeight="1" x14ac:dyDescent="0.25">
      <c r="B65" s="4"/>
      <c r="C65" s="2" t="s">
        <v>5133</v>
      </c>
      <c r="D65" s="2" t="s">
        <v>4340</v>
      </c>
      <c r="E65" s="9" t="s">
        <v>2240</v>
      </c>
      <c r="F65" s="7" t="s">
        <v>5145</v>
      </c>
      <c r="G65" s="7">
        <v>1</v>
      </c>
      <c r="K65" s="124" t="str">
        <f>VLOOKUP(E65,CLAIMS!F:K,5,FALSE)</f>
        <v>Line Damage</v>
      </c>
    </row>
    <row r="66" spans="1:12" ht="15" customHeight="1" x14ac:dyDescent="0.25">
      <c r="B66" s="4"/>
      <c r="C66" s="2" t="s">
        <v>5133</v>
      </c>
      <c r="D66" s="2" t="s">
        <v>4340</v>
      </c>
      <c r="E66" s="9" t="s">
        <v>1887</v>
      </c>
      <c r="F66" s="7" t="s">
        <v>5146</v>
      </c>
      <c r="G66" s="7">
        <v>1</v>
      </c>
      <c r="K66" s="124" t="str">
        <f>VLOOKUP(E66,CLAIMS!F:K,5,FALSE)</f>
        <v>Line Damage</v>
      </c>
    </row>
    <row r="67" spans="1:12" ht="15" customHeight="1" x14ac:dyDescent="0.25">
      <c r="B67" s="4"/>
      <c r="C67" s="2" t="s">
        <v>5133</v>
      </c>
      <c r="D67" s="2" t="s">
        <v>4340</v>
      </c>
      <c r="F67" s="7" t="s">
        <v>4347</v>
      </c>
      <c r="G67" s="7">
        <v>1</v>
      </c>
      <c r="K67" s="124" t="e">
        <f>VLOOKUP(E67,CLAIMS!F:K,5,FALSE)</f>
        <v>#N/A</v>
      </c>
    </row>
    <row r="68" spans="1:12" ht="15" customHeight="1" x14ac:dyDescent="0.25">
      <c r="A68" s="112"/>
      <c r="B68" s="122"/>
      <c r="C68" s="1" t="s">
        <v>5147</v>
      </c>
      <c r="D68" s="2" t="s">
        <v>4340</v>
      </c>
      <c r="E68" s="113" t="s">
        <v>5148</v>
      </c>
      <c r="F68" s="114" t="s">
        <v>5149</v>
      </c>
      <c r="G68" s="114">
        <v>1</v>
      </c>
      <c r="H68" s="114"/>
      <c r="I68" s="115"/>
      <c r="J68" s="115"/>
      <c r="K68" s="115" t="e">
        <f>VLOOKUP(E68,CLAIMS!F:K,5,FALSE)</f>
        <v>#N/A</v>
      </c>
      <c r="L68" s="114" t="s">
        <v>5042</v>
      </c>
    </row>
    <row r="69" spans="1:12" ht="15" customHeight="1" x14ac:dyDescent="0.25">
      <c r="C69" s="1" t="s">
        <v>5147</v>
      </c>
      <c r="D69" s="2" t="s">
        <v>4340</v>
      </c>
      <c r="E69" s="9" t="s">
        <v>1828</v>
      </c>
      <c r="F69" s="7" t="s">
        <v>5150</v>
      </c>
      <c r="G69" s="7">
        <v>1</v>
      </c>
      <c r="K69" s="124" t="str">
        <f>VLOOKUP(E69,CLAIMS!F:K,5,FALSE)</f>
        <v>EOL</v>
      </c>
      <c r="L69" s="7" t="s">
        <v>5151</v>
      </c>
    </row>
    <row r="70" spans="1:12" ht="15" customHeight="1" x14ac:dyDescent="0.25">
      <c r="C70" s="1" t="s">
        <v>5147</v>
      </c>
      <c r="D70" s="2" t="s">
        <v>4340</v>
      </c>
      <c r="E70" s="9" t="s">
        <v>5152</v>
      </c>
      <c r="F70" s="7" t="s">
        <v>5153</v>
      </c>
      <c r="G70" s="7">
        <v>1</v>
      </c>
      <c r="K70" s="124" t="e">
        <f>VLOOKUP(E70,CLAIMS!F:K,5,FALSE)</f>
        <v>#N/A</v>
      </c>
    </row>
    <row r="71" spans="1:12" s="114" customFormat="1" ht="15" customHeight="1" x14ac:dyDescent="0.25">
      <c r="A71" s="112"/>
      <c r="B71" s="122"/>
      <c r="C71" s="1" t="s">
        <v>5147</v>
      </c>
      <c r="D71" s="2" t="s">
        <v>4340</v>
      </c>
      <c r="E71" s="113" t="s">
        <v>5154</v>
      </c>
      <c r="F71" s="114" t="s">
        <v>5155</v>
      </c>
      <c r="G71" s="114">
        <v>4</v>
      </c>
      <c r="I71" s="115"/>
      <c r="J71" s="115"/>
      <c r="K71" s="115" t="e">
        <f>VLOOKUP(E71,CLAIMS!F:K,5,FALSE)</f>
        <v>#N/A</v>
      </c>
    </row>
    <row r="72" spans="1:12" s="114" customFormat="1" ht="15" customHeight="1" x14ac:dyDescent="0.25">
      <c r="A72" s="112"/>
      <c r="B72" s="122"/>
      <c r="C72" s="1" t="s">
        <v>5147</v>
      </c>
      <c r="D72" s="2" t="s">
        <v>4340</v>
      </c>
      <c r="E72" s="113" t="s">
        <v>5156</v>
      </c>
      <c r="F72" s="114" t="s">
        <v>1785</v>
      </c>
      <c r="G72" s="114">
        <v>7</v>
      </c>
      <c r="I72" s="115"/>
      <c r="J72" s="115"/>
      <c r="K72" s="115" t="e">
        <f>VLOOKUP(E72,CLAIMS!F:K,5,FALSE)</f>
        <v>#N/A</v>
      </c>
    </row>
    <row r="73" spans="1:12" ht="15" customHeight="1" x14ac:dyDescent="0.25">
      <c r="A73" s="112"/>
      <c r="B73" s="122"/>
      <c r="C73" s="1" t="s">
        <v>5147</v>
      </c>
      <c r="D73" s="2" t="s">
        <v>4340</v>
      </c>
      <c r="E73" s="113" t="s">
        <v>5157</v>
      </c>
      <c r="F73" s="114" t="s">
        <v>5158</v>
      </c>
      <c r="G73" s="114">
        <v>10</v>
      </c>
      <c r="H73" s="114"/>
      <c r="I73" s="115"/>
      <c r="J73" s="115"/>
      <c r="K73" s="115" t="e">
        <f>VLOOKUP(E73,CLAIMS!F:K,5,FALSE)</f>
        <v>#N/A</v>
      </c>
      <c r="L73" s="114"/>
    </row>
    <row r="74" spans="1:12" s="114" customFormat="1" ht="15" customHeight="1" x14ac:dyDescent="0.25">
      <c r="A74" s="4"/>
      <c r="B74" s="123"/>
      <c r="C74" s="1" t="s">
        <v>5147</v>
      </c>
      <c r="D74" s="2" t="s">
        <v>4340</v>
      </c>
      <c r="E74" s="9" t="s">
        <v>2559</v>
      </c>
      <c r="F74" s="7" t="s">
        <v>5159</v>
      </c>
      <c r="G74" s="7">
        <v>10</v>
      </c>
      <c r="H74" s="7"/>
      <c r="I74" s="8"/>
      <c r="J74" s="8"/>
      <c r="K74" s="124" t="str">
        <f>VLOOKUP(E74,CLAIMS!F:K,5,FALSE)</f>
        <v>Wrong Shipment</v>
      </c>
      <c r="L74" s="7"/>
    </row>
    <row r="75" spans="1:12" ht="15" customHeight="1" x14ac:dyDescent="0.25">
      <c r="A75" s="112"/>
      <c r="B75" s="122"/>
      <c r="C75" s="1" t="s">
        <v>5147</v>
      </c>
      <c r="D75" s="2" t="s">
        <v>4340</v>
      </c>
      <c r="E75" s="113" t="s">
        <v>5160</v>
      </c>
      <c r="F75" s="114" t="s">
        <v>5161</v>
      </c>
      <c r="G75" s="114">
        <v>20</v>
      </c>
      <c r="H75" s="114"/>
      <c r="I75" s="115"/>
      <c r="J75" s="115"/>
      <c r="K75" s="115" t="e">
        <f>VLOOKUP(E75,CLAIMS!F:K,5,FALSE)</f>
        <v>#N/A</v>
      </c>
      <c r="L75" s="114"/>
    </row>
    <row r="76" spans="1:12" ht="15" customHeight="1" x14ac:dyDescent="0.25">
      <c r="A76" s="112"/>
      <c r="B76" s="122"/>
      <c r="C76" s="1" t="s">
        <v>5147</v>
      </c>
      <c r="D76" s="2" t="s">
        <v>4340</v>
      </c>
      <c r="E76" s="113" t="s">
        <v>5162</v>
      </c>
      <c r="F76" s="114" t="s">
        <v>5163</v>
      </c>
      <c r="G76" s="114">
        <v>20</v>
      </c>
      <c r="H76" s="114"/>
      <c r="I76" s="115"/>
      <c r="J76" s="115"/>
      <c r="K76" s="115" t="e">
        <f>VLOOKUP(E76,CLAIMS!F:K,5,FALSE)</f>
        <v>#N/A</v>
      </c>
      <c r="L76" s="114"/>
    </row>
    <row r="77" spans="1:12" s="114" customFormat="1" ht="15" customHeight="1" x14ac:dyDescent="0.25">
      <c r="A77" s="112"/>
      <c r="B77" s="122"/>
      <c r="C77" s="1" t="s">
        <v>5147</v>
      </c>
      <c r="D77" s="2" t="s">
        <v>4340</v>
      </c>
      <c r="E77" s="113" t="s">
        <v>5164</v>
      </c>
      <c r="F77" s="114" t="s">
        <v>5165</v>
      </c>
      <c r="G77" s="114">
        <v>70</v>
      </c>
      <c r="I77" s="115"/>
      <c r="J77" s="115"/>
      <c r="K77" s="115" t="e">
        <f>VLOOKUP(E77,CLAIMS!F:K,5,FALSE)</f>
        <v>#N/A</v>
      </c>
    </row>
    <row r="78" spans="1:12" ht="15" customHeight="1" x14ac:dyDescent="0.25">
      <c r="A78" s="112"/>
      <c r="B78" s="122"/>
      <c r="C78" s="1" t="s">
        <v>5147</v>
      </c>
      <c r="D78" s="2" t="s">
        <v>4340</v>
      </c>
      <c r="E78" s="113" t="s">
        <v>5166</v>
      </c>
      <c r="F78" s="114" t="s">
        <v>5071</v>
      </c>
      <c r="G78" s="114">
        <v>1</v>
      </c>
      <c r="H78" s="114"/>
      <c r="I78" s="115"/>
      <c r="J78" s="115"/>
      <c r="K78" s="115" t="e">
        <f>VLOOKUP(E78,CLAIMS!F:K,5,FALSE)</f>
        <v>#N/A</v>
      </c>
      <c r="L78" s="114"/>
    </row>
    <row r="79" spans="1:12" ht="15" customHeight="1" x14ac:dyDescent="0.25">
      <c r="A79" s="112"/>
      <c r="B79" s="122"/>
      <c r="C79" s="1" t="s">
        <v>5147</v>
      </c>
      <c r="D79" s="2" t="s">
        <v>4340</v>
      </c>
      <c r="E79" s="113" t="s">
        <v>5167</v>
      </c>
      <c r="F79" s="114" t="s">
        <v>5168</v>
      </c>
      <c r="G79" s="114">
        <v>10</v>
      </c>
      <c r="H79" s="114"/>
      <c r="I79" s="115"/>
      <c r="J79" s="115"/>
      <c r="K79" s="115" t="e">
        <f>VLOOKUP(E79,CLAIMS!F:K,5,FALSE)</f>
        <v>#N/A</v>
      </c>
      <c r="L79" s="114"/>
    </row>
    <row r="80" spans="1:12" ht="15" customHeight="1" x14ac:dyDescent="0.25">
      <c r="A80" s="112"/>
      <c r="B80" s="122"/>
      <c r="C80" s="1" t="s">
        <v>5147</v>
      </c>
      <c r="D80" s="2" t="s">
        <v>4340</v>
      </c>
      <c r="E80" s="113" t="s">
        <v>5169</v>
      </c>
      <c r="F80" s="114" t="s">
        <v>5170</v>
      </c>
      <c r="G80" s="114">
        <v>10</v>
      </c>
      <c r="H80" s="114"/>
      <c r="I80" s="115"/>
      <c r="J80" s="115"/>
      <c r="K80" s="115" t="e">
        <f>VLOOKUP(E80,CLAIMS!F:K,5,FALSE)</f>
        <v>#N/A</v>
      </c>
      <c r="L80" s="114"/>
    </row>
    <row r="81" spans="1:12" s="114" customFormat="1" ht="15" customHeight="1" x14ac:dyDescent="0.25">
      <c r="A81" s="112"/>
      <c r="B81" s="122"/>
      <c r="C81" s="1" t="s">
        <v>5147</v>
      </c>
      <c r="D81" s="2" t="s">
        <v>4340</v>
      </c>
      <c r="E81" s="113" t="s">
        <v>5171</v>
      </c>
      <c r="F81" s="114" t="s">
        <v>5172</v>
      </c>
      <c r="G81" s="114">
        <v>10</v>
      </c>
      <c r="I81" s="115"/>
      <c r="J81" s="115"/>
      <c r="K81" s="115" t="e">
        <f>VLOOKUP(E81,CLAIMS!F:K,5,FALSE)</f>
        <v>#N/A</v>
      </c>
    </row>
    <row r="82" spans="1:12" ht="15" customHeight="1" x14ac:dyDescent="0.25">
      <c r="A82" s="112"/>
      <c r="B82" s="122"/>
      <c r="C82" s="1" t="s">
        <v>5147</v>
      </c>
      <c r="D82" s="2" t="s">
        <v>4340</v>
      </c>
      <c r="E82" s="113" t="s">
        <v>5173</v>
      </c>
      <c r="F82" s="114" t="s">
        <v>1613</v>
      </c>
      <c r="G82" s="114">
        <v>40</v>
      </c>
      <c r="H82" s="114"/>
      <c r="I82" s="115"/>
      <c r="J82" s="115"/>
      <c r="K82" s="115" t="e">
        <f>VLOOKUP(E82,CLAIMS!F:K,5,FALSE)</f>
        <v>#N/A</v>
      </c>
      <c r="L82" s="114"/>
    </row>
    <row r="83" spans="1:12" ht="15" customHeight="1" x14ac:dyDescent="0.25">
      <c r="A83" s="112"/>
      <c r="B83" s="122"/>
      <c r="C83" s="1" t="s">
        <v>5147</v>
      </c>
      <c r="D83" s="2" t="s">
        <v>4340</v>
      </c>
      <c r="E83" s="113" t="s">
        <v>5174</v>
      </c>
      <c r="F83" s="114" t="s">
        <v>1613</v>
      </c>
      <c r="G83" s="114">
        <v>130</v>
      </c>
      <c r="H83" s="114"/>
      <c r="I83" s="115"/>
      <c r="J83" s="115"/>
      <c r="K83" s="115" t="e">
        <f>VLOOKUP(E83,CLAIMS!F:K,5,FALSE)</f>
        <v>#N/A</v>
      </c>
      <c r="L83" s="114"/>
    </row>
    <row r="84" spans="1:12" ht="15" customHeight="1" x14ac:dyDescent="0.25">
      <c r="C84" s="1" t="s">
        <v>5147</v>
      </c>
      <c r="D84" s="2" t="s">
        <v>4340</v>
      </c>
      <c r="E84" s="9" t="s">
        <v>1784</v>
      </c>
      <c r="F84" s="7" t="s">
        <v>1785</v>
      </c>
      <c r="G84" s="7">
        <v>81</v>
      </c>
      <c r="K84" s="124" t="str">
        <f>VLOOKUP(E84,CLAIMS!F:K,5,FALSE)</f>
        <v>BOM Error</v>
      </c>
    </row>
    <row r="85" spans="1:12" ht="15" customHeight="1" x14ac:dyDescent="0.25">
      <c r="A85" s="112"/>
      <c r="B85" s="122"/>
      <c r="C85" s="1" t="s">
        <v>5147</v>
      </c>
      <c r="D85" s="2" t="s">
        <v>4340</v>
      </c>
      <c r="E85" s="113" t="s">
        <v>5175</v>
      </c>
      <c r="F85" s="114" t="s">
        <v>5176</v>
      </c>
      <c r="G85" s="114">
        <v>1</v>
      </c>
      <c r="H85" s="114"/>
      <c r="I85" s="115"/>
      <c r="J85" s="115"/>
      <c r="K85" s="115" t="e">
        <f>VLOOKUP(E85,CLAIMS!F:K,5,FALSE)</f>
        <v>#N/A</v>
      </c>
      <c r="L85" s="114"/>
    </row>
    <row r="86" spans="1:12" ht="15" customHeight="1" x14ac:dyDescent="0.25">
      <c r="C86" s="1" t="s">
        <v>5147</v>
      </c>
      <c r="D86" s="2" t="s">
        <v>4340</v>
      </c>
      <c r="E86" s="9" t="s">
        <v>5177</v>
      </c>
      <c r="F86" s="7" t="s">
        <v>2354</v>
      </c>
      <c r="G86" s="7">
        <v>1</v>
      </c>
      <c r="K86" s="124" t="e">
        <f>VLOOKUP(E86,CLAIMS!F:K,5,FALSE)</f>
        <v>#N/A</v>
      </c>
    </row>
    <row r="87" spans="1:12" s="114" customFormat="1" ht="15" customHeight="1" x14ac:dyDescent="0.25">
      <c r="A87" s="4"/>
      <c r="B87" s="123"/>
      <c r="C87" s="1" t="s">
        <v>5147</v>
      </c>
      <c r="D87" s="2" t="s">
        <v>4340</v>
      </c>
      <c r="E87" s="140" t="s">
        <v>1800</v>
      </c>
      <c r="F87" s="141" t="s">
        <v>5178</v>
      </c>
      <c r="G87" s="141">
        <v>10</v>
      </c>
      <c r="H87" s="7"/>
      <c r="I87" s="8"/>
      <c r="J87" s="8"/>
      <c r="K87" s="124" t="str">
        <f>VLOOKUP(E87,CLAIMS!F:K,5,FALSE)</f>
        <v>Line Damage</v>
      </c>
      <c r="L87" s="7"/>
    </row>
    <row r="88" spans="1:12" ht="15" customHeight="1" x14ac:dyDescent="0.25">
      <c r="A88" s="112"/>
      <c r="B88" s="122"/>
      <c r="C88" s="1" t="s">
        <v>5147</v>
      </c>
      <c r="D88" s="2" t="s">
        <v>4340</v>
      </c>
      <c r="E88" s="113" t="s">
        <v>5179</v>
      </c>
      <c r="F88" s="114" t="s">
        <v>5180</v>
      </c>
      <c r="G88" s="114">
        <v>2</v>
      </c>
      <c r="H88" s="114"/>
      <c r="I88" s="115"/>
      <c r="J88" s="115"/>
      <c r="K88" s="115" t="e">
        <f>VLOOKUP(E88,CLAIMS!F:K,5,FALSE)</f>
        <v>#N/A</v>
      </c>
      <c r="L88" s="114"/>
    </row>
    <row r="89" spans="1:12" ht="15" customHeight="1" x14ac:dyDescent="0.25">
      <c r="A89" s="112"/>
      <c r="B89" s="122"/>
      <c r="C89" s="1" t="s">
        <v>5147</v>
      </c>
      <c r="D89" s="2" t="s">
        <v>4340</v>
      </c>
      <c r="E89" s="113" t="s">
        <v>5181</v>
      </c>
      <c r="F89" s="114" t="s">
        <v>1785</v>
      </c>
      <c r="G89" s="114">
        <v>1</v>
      </c>
      <c r="H89" s="114"/>
      <c r="I89" s="115"/>
      <c r="J89" s="115"/>
      <c r="K89" s="115" t="e">
        <f>VLOOKUP(E89,CLAIMS!F:K,5,FALSE)</f>
        <v>#N/A</v>
      </c>
      <c r="L89" s="114"/>
    </row>
    <row r="90" spans="1:12" s="114" customFormat="1" ht="15" customHeight="1" x14ac:dyDescent="0.25">
      <c r="A90" s="112"/>
      <c r="B90" s="122"/>
      <c r="C90" s="1" t="s">
        <v>5147</v>
      </c>
      <c r="D90" s="2" t="s">
        <v>4340</v>
      </c>
      <c r="E90" s="113" t="s">
        <v>5182</v>
      </c>
      <c r="F90" s="114" t="s">
        <v>5183</v>
      </c>
      <c r="G90" s="114">
        <v>1</v>
      </c>
      <c r="I90" s="115"/>
      <c r="J90" s="115"/>
      <c r="K90" s="115" t="e">
        <f>VLOOKUP(E90,CLAIMS!F:K,5,FALSE)</f>
        <v>#N/A</v>
      </c>
    </row>
    <row r="91" spans="1:12" s="114" customFormat="1" ht="15" customHeight="1" x14ac:dyDescent="0.25">
      <c r="A91" s="112"/>
      <c r="B91" s="122"/>
      <c r="C91" s="1" t="s">
        <v>5147</v>
      </c>
      <c r="D91" s="2" t="s">
        <v>4340</v>
      </c>
      <c r="E91" s="113" t="s">
        <v>5184</v>
      </c>
      <c r="F91" s="114" t="s">
        <v>5185</v>
      </c>
      <c r="G91" s="114">
        <v>1</v>
      </c>
      <c r="I91" s="115"/>
      <c r="J91" s="115"/>
      <c r="K91" s="115" t="e">
        <f>VLOOKUP(E91,CLAIMS!F:K,5,FALSE)</f>
        <v>#N/A</v>
      </c>
    </row>
    <row r="92" spans="1:12" s="114" customFormat="1" ht="15" customHeight="1" x14ac:dyDescent="0.25">
      <c r="A92" s="112"/>
      <c r="B92" s="122"/>
      <c r="C92" s="1" t="s">
        <v>5147</v>
      </c>
      <c r="D92" s="2" t="s">
        <v>4340</v>
      </c>
      <c r="E92" s="113" t="s">
        <v>5186</v>
      </c>
      <c r="F92" s="114" t="s">
        <v>5187</v>
      </c>
      <c r="G92" s="114">
        <v>1</v>
      </c>
      <c r="I92" s="115"/>
      <c r="J92" s="115"/>
      <c r="K92" s="115" t="e">
        <f>VLOOKUP(E92,CLAIMS!F:K,5,FALSE)</f>
        <v>#N/A</v>
      </c>
    </row>
    <row r="93" spans="1:12" ht="15" customHeight="1" x14ac:dyDescent="0.25">
      <c r="C93" s="1" t="s">
        <v>5147</v>
      </c>
      <c r="D93" s="2" t="s">
        <v>4340</v>
      </c>
      <c r="E93" s="9" t="s">
        <v>1815</v>
      </c>
      <c r="F93" s="7" t="s">
        <v>5188</v>
      </c>
      <c r="G93" s="7">
        <v>1</v>
      </c>
      <c r="K93" s="124" t="str">
        <f>VLOOKUP(E93,CLAIMS!F:K,5,FALSE)</f>
        <v>Short Shipment</v>
      </c>
    </row>
    <row r="94" spans="1:12" s="114" customFormat="1" ht="15" customHeight="1" x14ac:dyDescent="0.25">
      <c r="A94" s="4"/>
      <c r="B94" s="123"/>
      <c r="C94" s="1" t="s">
        <v>5147</v>
      </c>
      <c r="D94" s="2" t="s">
        <v>4340</v>
      </c>
      <c r="E94" s="9" t="s">
        <v>1821</v>
      </c>
      <c r="F94" s="7" t="s">
        <v>5189</v>
      </c>
      <c r="G94" s="7">
        <v>1</v>
      </c>
      <c r="H94" s="7"/>
      <c r="I94" s="8"/>
      <c r="J94" s="8"/>
      <c r="K94" s="124" t="str">
        <f>VLOOKUP(E94,CLAIMS!F:K,5,FALSE)</f>
        <v>Short Shipment</v>
      </c>
      <c r="L94" s="7"/>
    </row>
    <row r="95" spans="1:12" s="114" customFormat="1" ht="15" customHeight="1" x14ac:dyDescent="0.25">
      <c r="A95" s="4"/>
      <c r="B95" s="123"/>
      <c r="C95" s="1" t="s">
        <v>5147</v>
      </c>
      <c r="D95" s="2" t="s">
        <v>4340</v>
      </c>
      <c r="E95" s="9" t="s">
        <v>1818</v>
      </c>
      <c r="F95" s="7" t="s">
        <v>5190</v>
      </c>
      <c r="G95" s="7">
        <v>3</v>
      </c>
      <c r="H95" s="7"/>
      <c r="I95" s="8"/>
      <c r="J95" s="8"/>
      <c r="K95" s="124" t="str">
        <f>VLOOKUP(E95,CLAIMS!F:K,5,FALSE)</f>
        <v>Short Shipment</v>
      </c>
      <c r="L95" s="7"/>
    </row>
    <row r="96" spans="1:12" s="114" customFormat="1" ht="15" customHeight="1" x14ac:dyDescent="0.25">
      <c r="A96" s="112"/>
      <c r="B96" s="122"/>
      <c r="C96" s="1" t="s">
        <v>5147</v>
      </c>
      <c r="D96" s="2" t="s">
        <v>4340</v>
      </c>
      <c r="E96" s="113" t="s">
        <v>5191</v>
      </c>
      <c r="F96" s="114" t="s">
        <v>5192</v>
      </c>
      <c r="G96" s="114">
        <v>1</v>
      </c>
      <c r="I96" s="115"/>
      <c r="J96" s="115"/>
      <c r="K96" s="115" t="e">
        <f>VLOOKUP(E96,CLAIMS!F:K,5,FALSE)</f>
        <v>#N/A</v>
      </c>
    </row>
    <row r="97" spans="1:12" s="114" customFormat="1" ht="15" customHeight="1" x14ac:dyDescent="0.25">
      <c r="A97" s="112"/>
      <c r="B97" s="122"/>
      <c r="C97" s="1" t="s">
        <v>5147</v>
      </c>
      <c r="D97" s="2" t="s">
        <v>4340</v>
      </c>
      <c r="E97" s="113" t="s">
        <v>5193</v>
      </c>
      <c r="F97" s="114" t="s">
        <v>5194</v>
      </c>
      <c r="G97" s="114">
        <v>4</v>
      </c>
      <c r="I97" s="115"/>
      <c r="J97" s="115"/>
      <c r="K97" s="115" t="e">
        <f>VLOOKUP(E97,CLAIMS!F:K,5,FALSE)</f>
        <v>#N/A</v>
      </c>
    </row>
    <row r="98" spans="1:12" s="114" customFormat="1" ht="15" customHeight="1" x14ac:dyDescent="0.25">
      <c r="A98" s="4"/>
      <c r="B98" s="123"/>
      <c r="C98" s="1" t="s">
        <v>5147</v>
      </c>
      <c r="D98" s="2" t="s">
        <v>4340</v>
      </c>
      <c r="E98" s="140" t="s">
        <v>1795</v>
      </c>
      <c r="F98" s="141" t="s">
        <v>5195</v>
      </c>
      <c r="G98" s="141">
        <v>2</v>
      </c>
      <c r="H98" s="7"/>
      <c r="I98" s="8"/>
      <c r="J98" s="8"/>
      <c r="K98" s="124" t="str">
        <f>VLOOKUP(E98,CLAIMS!F:K,5,FALSE)</f>
        <v>Line Damage</v>
      </c>
      <c r="L98" s="7"/>
    </row>
    <row r="99" spans="1:12" s="196" customFormat="1" ht="15" customHeight="1" x14ac:dyDescent="0.25">
      <c r="C99" s="196" t="s">
        <v>4832</v>
      </c>
      <c r="D99" s="2" t="s">
        <v>36</v>
      </c>
      <c r="E99" s="196" t="s">
        <v>435</v>
      </c>
      <c r="F99" s="196" t="s">
        <v>5196</v>
      </c>
      <c r="G99" s="196">
        <v>1</v>
      </c>
    </row>
    <row r="100" spans="1:12" ht="15" customHeight="1" x14ac:dyDescent="0.25">
      <c r="A100" s="7"/>
      <c r="B100" s="7"/>
      <c r="C100" s="7" t="s">
        <v>4832</v>
      </c>
      <c r="D100" s="2" t="s">
        <v>36</v>
      </c>
      <c r="E100" s="7" t="s">
        <v>2021</v>
      </c>
      <c r="F100" s="7" t="s">
        <v>5197</v>
      </c>
      <c r="G100" s="7">
        <v>1</v>
      </c>
      <c r="I100" s="7"/>
      <c r="J100" s="7"/>
      <c r="K100" s="7"/>
    </row>
    <row r="101" spans="1:12" ht="15" customHeight="1" x14ac:dyDescent="0.25">
      <c r="A101" s="7"/>
      <c r="B101" s="7"/>
      <c r="C101" s="7" t="s">
        <v>4832</v>
      </c>
      <c r="D101" s="2" t="s">
        <v>36</v>
      </c>
      <c r="E101" s="7" t="s">
        <v>4201</v>
      </c>
      <c r="F101" s="7" t="s">
        <v>5198</v>
      </c>
      <c r="G101" s="7">
        <v>1</v>
      </c>
      <c r="I101" s="7"/>
      <c r="J101" s="7"/>
      <c r="K101" s="7"/>
    </row>
    <row r="102" spans="1:12" ht="15" customHeight="1" x14ac:dyDescent="0.25">
      <c r="A102" s="7"/>
      <c r="B102" s="7"/>
      <c r="C102" s="7" t="s">
        <v>4832</v>
      </c>
      <c r="D102" s="2" t="s">
        <v>36</v>
      </c>
      <c r="E102" s="7" t="s">
        <v>4122</v>
      </c>
      <c r="F102" s="7" t="s">
        <v>5199</v>
      </c>
      <c r="G102" s="7">
        <v>1</v>
      </c>
      <c r="I102" s="7"/>
      <c r="J102" s="7"/>
      <c r="K102" s="7"/>
    </row>
    <row r="103" spans="1:12" ht="15" customHeight="1" x14ac:dyDescent="0.25">
      <c r="C103" s="7" t="s">
        <v>4832</v>
      </c>
      <c r="D103" s="2" t="s">
        <v>36</v>
      </c>
      <c r="E103" s="9" t="s">
        <v>2046</v>
      </c>
      <c r="F103" s="7" t="s">
        <v>5200</v>
      </c>
      <c r="G103" s="7">
        <v>1</v>
      </c>
      <c r="K103" s="8"/>
    </row>
    <row r="104" spans="1:12" ht="15" customHeight="1" x14ac:dyDescent="0.25">
      <c r="A104" s="7"/>
      <c r="B104" s="7"/>
      <c r="C104" s="7" t="s">
        <v>4832</v>
      </c>
      <c r="D104" s="2" t="s">
        <v>36</v>
      </c>
      <c r="E104" s="7" t="s">
        <v>5201</v>
      </c>
      <c r="F104" s="7" t="s">
        <v>5202</v>
      </c>
      <c r="G104" s="7">
        <v>1</v>
      </c>
      <c r="I104" s="7"/>
      <c r="J104" s="7"/>
      <c r="K104" s="7"/>
    </row>
    <row r="105" spans="1:12" ht="15" customHeight="1" x14ac:dyDescent="0.25">
      <c r="C105" s="7" t="s">
        <v>4832</v>
      </c>
      <c r="D105" s="2" t="s">
        <v>36</v>
      </c>
      <c r="E105" s="9" t="s">
        <v>4214</v>
      </c>
      <c r="F105" s="7" t="s">
        <v>5203</v>
      </c>
      <c r="G105" s="7">
        <v>1</v>
      </c>
      <c r="K105" s="8"/>
    </row>
    <row r="106" spans="1:12" ht="15" customHeight="1" x14ac:dyDescent="0.25">
      <c r="C106" s="7" t="s">
        <v>4832</v>
      </c>
      <c r="D106" s="2" t="s">
        <v>36</v>
      </c>
      <c r="E106" s="9" t="s">
        <v>4284</v>
      </c>
      <c r="F106" s="7" t="s">
        <v>5204</v>
      </c>
      <c r="G106" s="7">
        <v>1</v>
      </c>
      <c r="K106" s="8"/>
    </row>
    <row r="107" spans="1:12" ht="15" customHeight="1" x14ac:dyDescent="0.25">
      <c r="A107" s="7"/>
      <c r="B107" s="7"/>
      <c r="C107" s="7" t="s">
        <v>4832</v>
      </c>
      <c r="D107" s="2" t="s">
        <v>36</v>
      </c>
      <c r="E107" s="7" t="s">
        <v>5205</v>
      </c>
      <c r="F107" s="7" t="s">
        <v>5206</v>
      </c>
      <c r="G107" s="7">
        <v>1</v>
      </c>
      <c r="I107" s="7"/>
      <c r="J107" s="7"/>
      <c r="K107" s="7"/>
    </row>
    <row r="108" spans="1:12" ht="15" customHeight="1" x14ac:dyDescent="0.25">
      <c r="A108" s="7"/>
      <c r="B108" s="7"/>
      <c r="C108" s="7" t="s">
        <v>4832</v>
      </c>
      <c r="D108" s="2" t="s">
        <v>36</v>
      </c>
      <c r="E108" s="7" t="s">
        <v>5207</v>
      </c>
      <c r="F108" s="7" t="s">
        <v>5208</v>
      </c>
      <c r="G108" s="7">
        <v>1</v>
      </c>
      <c r="I108" s="7"/>
      <c r="J108" s="7"/>
      <c r="K108" s="7"/>
    </row>
    <row r="109" spans="1:12" s="114" customFormat="1" ht="15" customHeight="1" x14ac:dyDescent="0.25">
      <c r="C109" s="114" t="s">
        <v>4832</v>
      </c>
      <c r="D109" s="2" t="s">
        <v>36</v>
      </c>
      <c r="E109" s="114" t="s">
        <v>5209</v>
      </c>
      <c r="F109" s="114" t="s">
        <v>5210</v>
      </c>
      <c r="G109" s="114">
        <v>20</v>
      </c>
    </row>
    <row r="110" spans="1:12" ht="15" customHeight="1" x14ac:dyDescent="0.25">
      <c r="A110" s="7"/>
      <c r="B110" s="7"/>
      <c r="C110" s="7" t="s">
        <v>4832</v>
      </c>
      <c r="D110" s="2" t="s">
        <v>36</v>
      </c>
      <c r="E110" s="7" t="s">
        <v>4197</v>
      </c>
      <c r="F110" s="7" t="s">
        <v>5211</v>
      </c>
      <c r="G110" s="7">
        <v>1</v>
      </c>
      <c r="I110" s="7"/>
      <c r="J110" s="7"/>
      <c r="K110" s="7"/>
    </row>
    <row r="111" spans="1:12" ht="15" customHeight="1" x14ac:dyDescent="0.25">
      <c r="A111" s="7"/>
      <c r="B111" s="7"/>
      <c r="C111" s="7" t="s">
        <v>4832</v>
      </c>
      <c r="D111" s="2" t="s">
        <v>36</v>
      </c>
      <c r="E111" s="7" t="s">
        <v>3925</v>
      </c>
      <c r="F111" s="7" t="s">
        <v>5212</v>
      </c>
      <c r="G111" s="7">
        <v>1</v>
      </c>
      <c r="I111" s="7"/>
      <c r="J111" s="7"/>
      <c r="K111" s="7"/>
    </row>
    <row r="112" spans="1:12" ht="15" customHeight="1" x14ac:dyDescent="0.25">
      <c r="C112" s="7" t="s">
        <v>4832</v>
      </c>
      <c r="D112" s="2" t="s">
        <v>36</v>
      </c>
      <c r="F112" s="7" t="s">
        <v>5213</v>
      </c>
      <c r="G112" s="7">
        <v>1</v>
      </c>
      <c r="K112" s="8"/>
    </row>
    <row r="113" spans="1:11" ht="15" customHeight="1" x14ac:dyDescent="0.25">
      <c r="C113" s="7" t="s">
        <v>4832</v>
      </c>
      <c r="D113" s="2" t="s">
        <v>36</v>
      </c>
      <c r="F113" s="7" t="s">
        <v>5214</v>
      </c>
      <c r="G113" s="7">
        <v>1</v>
      </c>
      <c r="K113" s="8"/>
    </row>
    <row r="114" spans="1:11" s="199" customFormat="1" ht="15" customHeight="1" x14ac:dyDescent="0.25">
      <c r="A114" s="197"/>
      <c r="B114" s="198"/>
      <c r="C114" s="199" t="s">
        <v>5215</v>
      </c>
      <c r="D114" s="2" t="s">
        <v>880</v>
      </c>
      <c r="E114" s="200" t="s">
        <v>5216</v>
      </c>
      <c r="F114" s="199" t="s">
        <v>5217</v>
      </c>
      <c r="G114" s="199">
        <v>5</v>
      </c>
      <c r="I114" s="201"/>
      <c r="J114" s="201"/>
      <c r="K114" s="201"/>
    </row>
    <row r="115" spans="1:11" s="114" customFormat="1" ht="15" customHeight="1" x14ac:dyDescent="0.25">
      <c r="C115" s="114" t="s">
        <v>5215</v>
      </c>
      <c r="D115" s="2" t="s">
        <v>880</v>
      </c>
      <c r="E115" s="114" t="s">
        <v>881</v>
      </c>
      <c r="F115" s="114" t="s">
        <v>5218</v>
      </c>
      <c r="G115" s="114">
        <v>6</v>
      </c>
    </row>
    <row r="116" spans="1:11" s="199" customFormat="1" ht="15" customHeight="1" x14ac:dyDescent="0.25">
      <c r="C116" s="199" t="s">
        <v>5215</v>
      </c>
      <c r="D116" s="2" t="s">
        <v>880</v>
      </c>
      <c r="E116" s="199" t="s">
        <v>5219</v>
      </c>
      <c r="F116" s="199" t="s">
        <v>5220</v>
      </c>
      <c r="G116" s="199">
        <v>1</v>
      </c>
    </row>
    <row r="117" spans="1:11" s="199" customFormat="1" ht="15" customHeight="1" x14ac:dyDescent="0.25">
      <c r="A117" s="197"/>
      <c r="B117" s="198"/>
      <c r="C117" s="199" t="s">
        <v>5215</v>
      </c>
      <c r="D117" s="2" t="s">
        <v>880</v>
      </c>
      <c r="E117" s="200" t="s">
        <v>5221</v>
      </c>
      <c r="F117" s="199" t="s">
        <v>5222</v>
      </c>
      <c r="G117" s="199">
        <v>6</v>
      </c>
      <c r="I117" s="201"/>
      <c r="J117" s="201"/>
      <c r="K117" s="201"/>
    </row>
    <row r="118" spans="1:11" s="199" customFormat="1" ht="15" customHeight="1" x14ac:dyDescent="0.25">
      <c r="A118" s="197"/>
      <c r="B118" s="198"/>
      <c r="C118" s="199" t="s">
        <v>5215</v>
      </c>
      <c r="D118" s="2" t="s">
        <v>880</v>
      </c>
      <c r="E118" s="200" t="s">
        <v>5223</v>
      </c>
      <c r="F118" s="199" t="s">
        <v>5224</v>
      </c>
      <c r="G118" s="199">
        <v>4</v>
      </c>
      <c r="I118" s="201"/>
      <c r="J118" s="201"/>
      <c r="K118" s="201"/>
    </row>
    <row r="119" spans="1:11" s="199" customFormat="1" ht="15" customHeight="1" x14ac:dyDescent="0.25">
      <c r="A119" s="197"/>
      <c r="B119" s="198"/>
      <c r="C119" s="199" t="s">
        <v>5215</v>
      </c>
      <c r="D119" s="2" t="s">
        <v>880</v>
      </c>
      <c r="E119" s="200" t="s">
        <v>5225</v>
      </c>
      <c r="F119" s="199" t="s">
        <v>5226</v>
      </c>
      <c r="G119" s="199">
        <v>3</v>
      </c>
      <c r="I119" s="201"/>
      <c r="J119" s="201"/>
      <c r="K119" s="201"/>
    </row>
    <row r="120" spans="1:11" s="199" customFormat="1" ht="15" customHeight="1" x14ac:dyDescent="0.25">
      <c r="A120" s="197"/>
      <c r="B120" s="198"/>
      <c r="C120" s="199" t="s">
        <v>5215</v>
      </c>
      <c r="D120" s="2" t="s">
        <v>880</v>
      </c>
      <c r="E120" s="200" t="s">
        <v>5227</v>
      </c>
      <c r="F120" s="199" t="s">
        <v>5228</v>
      </c>
      <c r="G120" s="199">
        <v>1</v>
      </c>
      <c r="I120" s="201"/>
      <c r="J120" s="201"/>
      <c r="K120" s="201"/>
    </row>
    <row r="121" spans="1:11" s="199" customFormat="1" ht="15" customHeight="1" x14ac:dyDescent="0.25">
      <c r="A121" s="197"/>
      <c r="B121" s="198"/>
      <c r="C121" s="199" t="s">
        <v>5215</v>
      </c>
      <c r="D121" s="2" t="s">
        <v>880</v>
      </c>
      <c r="E121" s="200" t="s">
        <v>3446</v>
      </c>
      <c r="F121" s="199" t="s">
        <v>5229</v>
      </c>
      <c r="G121" s="199">
        <v>1</v>
      </c>
      <c r="I121" s="201"/>
      <c r="J121" s="201"/>
      <c r="K121" s="201"/>
    </row>
    <row r="122" spans="1:11" s="114" customFormat="1" ht="15" customHeight="1" x14ac:dyDescent="0.25">
      <c r="A122" s="112"/>
      <c r="B122" s="122"/>
      <c r="C122" s="114" t="s">
        <v>5215</v>
      </c>
      <c r="D122" s="2" t="s">
        <v>880</v>
      </c>
      <c r="E122" s="113" t="s">
        <v>5230</v>
      </c>
      <c r="F122" s="114" t="s">
        <v>5231</v>
      </c>
      <c r="G122" s="7">
        <v>4</v>
      </c>
      <c r="I122" s="115"/>
      <c r="J122" s="115"/>
      <c r="K122" s="115"/>
    </row>
    <row r="123" spans="1:11" s="199" customFormat="1" ht="15" customHeight="1" x14ac:dyDescent="0.25">
      <c r="A123" s="197"/>
      <c r="B123" s="198"/>
      <c r="C123" s="199" t="s">
        <v>5215</v>
      </c>
      <c r="D123" s="2" t="s">
        <v>880</v>
      </c>
      <c r="E123" s="200" t="s">
        <v>5232</v>
      </c>
      <c r="F123" s="199" t="s">
        <v>5233</v>
      </c>
      <c r="G123" s="199">
        <v>1</v>
      </c>
      <c r="I123" s="201"/>
      <c r="J123" s="201"/>
      <c r="K123" s="201"/>
    </row>
    <row r="124" spans="1:11" s="199" customFormat="1" ht="15" customHeight="1" x14ac:dyDescent="0.25">
      <c r="A124" s="197"/>
      <c r="B124" s="198"/>
      <c r="C124" s="199" t="s">
        <v>5215</v>
      </c>
      <c r="D124" s="2" t="s">
        <v>880</v>
      </c>
      <c r="E124" s="200" t="s">
        <v>5234</v>
      </c>
      <c r="F124" s="199" t="s">
        <v>5235</v>
      </c>
      <c r="G124" s="199">
        <v>2</v>
      </c>
      <c r="I124" s="201"/>
      <c r="J124" s="201"/>
      <c r="K124" s="201"/>
    </row>
    <row r="125" spans="1:11" s="199" customFormat="1" ht="15" customHeight="1" x14ac:dyDescent="0.25">
      <c r="A125" s="197"/>
      <c r="B125" s="198"/>
      <c r="C125" s="199" t="s">
        <v>5215</v>
      </c>
      <c r="D125" s="2" t="s">
        <v>880</v>
      </c>
      <c r="E125" s="200" t="s">
        <v>5236</v>
      </c>
      <c r="F125" s="199" t="s">
        <v>5237</v>
      </c>
      <c r="G125" s="199">
        <v>7</v>
      </c>
      <c r="I125" s="201"/>
      <c r="J125" s="201"/>
      <c r="K125" s="201"/>
    </row>
    <row r="126" spans="1:11" s="199" customFormat="1" ht="15" customHeight="1" x14ac:dyDescent="0.25">
      <c r="A126" s="197"/>
      <c r="B126" s="198"/>
      <c r="C126" s="199" t="s">
        <v>5215</v>
      </c>
      <c r="D126" s="2" t="s">
        <v>880</v>
      </c>
      <c r="E126" s="200" t="s">
        <v>5238</v>
      </c>
      <c r="F126" s="199" t="s">
        <v>5239</v>
      </c>
      <c r="G126" s="199">
        <v>1</v>
      </c>
      <c r="I126" s="201"/>
      <c r="J126" s="201"/>
      <c r="K126" s="201"/>
    </row>
    <row r="127" spans="1:11" s="199" customFormat="1" ht="15" customHeight="1" x14ac:dyDescent="0.25">
      <c r="A127" s="197"/>
      <c r="B127" s="198"/>
      <c r="C127" s="199" t="s">
        <v>5215</v>
      </c>
      <c r="D127" s="2" t="s">
        <v>880</v>
      </c>
      <c r="E127" s="200" t="s">
        <v>5240</v>
      </c>
      <c r="F127" s="199" t="s">
        <v>5241</v>
      </c>
      <c r="G127" s="199">
        <v>1</v>
      </c>
      <c r="I127" s="201"/>
      <c r="J127" s="201"/>
      <c r="K127" s="201"/>
    </row>
    <row r="128" spans="1:11" s="199" customFormat="1" ht="15" customHeight="1" x14ac:dyDescent="0.25">
      <c r="A128" s="197"/>
      <c r="B128" s="198"/>
      <c r="C128" s="199" t="s">
        <v>5215</v>
      </c>
      <c r="D128" s="2" t="s">
        <v>880</v>
      </c>
      <c r="E128" s="200" t="s">
        <v>5242</v>
      </c>
      <c r="F128" s="199" t="s">
        <v>5243</v>
      </c>
      <c r="G128" s="199">
        <v>18</v>
      </c>
      <c r="I128" s="201"/>
      <c r="J128" s="201"/>
      <c r="K128" s="201"/>
    </row>
    <row r="129" spans="1:11" s="199" customFormat="1" ht="15" customHeight="1" x14ac:dyDescent="0.25">
      <c r="A129" s="197"/>
      <c r="B129" s="198"/>
      <c r="C129" s="199" t="s">
        <v>5215</v>
      </c>
      <c r="D129" s="2" t="s">
        <v>880</v>
      </c>
      <c r="E129" s="200" t="s">
        <v>5244</v>
      </c>
      <c r="F129" s="199" t="s">
        <v>5245</v>
      </c>
      <c r="G129" s="199">
        <v>1</v>
      </c>
      <c r="I129" s="201"/>
      <c r="J129" s="201"/>
      <c r="K129" s="201"/>
    </row>
    <row r="130" spans="1:11" s="199" customFormat="1" ht="15" customHeight="1" x14ac:dyDescent="0.25">
      <c r="A130" s="197"/>
      <c r="B130" s="198"/>
      <c r="C130" s="199" t="s">
        <v>5215</v>
      </c>
      <c r="D130" s="2" t="s">
        <v>880</v>
      </c>
      <c r="E130" s="200" t="s">
        <v>5246</v>
      </c>
      <c r="F130" s="199" t="s">
        <v>5247</v>
      </c>
      <c r="G130" s="199">
        <v>6</v>
      </c>
      <c r="I130" s="201"/>
      <c r="J130" s="201"/>
      <c r="K130" s="201"/>
    </row>
    <row r="131" spans="1:11" s="199" customFormat="1" ht="15" customHeight="1" x14ac:dyDescent="0.25">
      <c r="A131" s="197"/>
      <c r="B131" s="198"/>
      <c r="C131" s="199" t="s">
        <v>5215</v>
      </c>
      <c r="D131" s="2" t="s">
        <v>880</v>
      </c>
      <c r="E131" s="200" t="s">
        <v>5248</v>
      </c>
      <c r="F131" s="199" t="s">
        <v>5249</v>
      </c>
      <c r="G131" s="199">
        <v>1</v>
      </c>
      <c r="I131" s="201"/>
      <c r="J131" s="201"/>
      <c r="K131" s="201"/>
    </row>
    <row r="132" spans="1:11" s="199" customFormat="1" ht="15" customHeight="1" x14ac:dyDescent="0.25">
      <c r="A132" s="197"/>
      <c r="B132" s="198"/>
      <c r="C132" s="199" t="s">
        <v>5215</v>
      </c>
      <c r="D132" s="2" t="s">
        <v>880</v>
      </c>
      <c r="E132" s="200" t="s">
        <v>5250</v>
      </c>
      <c r="F132" s="199" t="s">
        <v>5251</v>
      </c>
      <c r="G132" s="199">
        <v>1</v>
      </c>
      <c r="I132" s="201"/>
      <c r="J132" s="201"/>
      <c r="K132" s="201"/>
    </row>
    <row r="133" spans="1:11" s="199" customFormat="1" ht="15" customHeight="1" x14ac:dyDescent="0.25">
      <c r="A133" s="197"/>
      <c r="B133" s="198"/>
      <c r="C133" s="199" t="s">
        <v>5215</v>
      </c>
      <c r="D133" s="2" t="s">
        <v>880</v>
      </c>
      <c r="E133" s="200" t="s">
        <v>5252</v>
      </c>
      <c r="F133" s="199" t="s">
        <v>5253</v>
      </c>
      <c r="G133" s="199">
        <v>1</v>
      </c>
      <c r="I133" s="201"/>
      <c r="J133" s="201"/>
      <c r="K133" s="201"/>
    </row>
    <row r="134" spans="1:11" ht="15" customHeight="1" x14ac:dyDescent="0.25">
      <c r="C134" s="7" t="s">
        <v>5215</v>
      </c>
      <c r="D134" s="2" t="s">
        <v>880</v>
      </c>
      <c r="E134" s="9" t="s">
        <v>5254</v>
      </c>
      <c r="F134" s="7" t="s">
        <v>5255</v>
      </c>
      <c r="G134" s="7">
        <v>1</v>
      </c>
    </row>
    <row r="135" spans="1:11" ht="15" customHeight="1" x14ac:dyDescent="0.25">
      <c r="C135" s="7" t="s">
        <v>5215</v>
      </c>
      <c r="D135" s="2" t="s">
        <v>880</v>
      </c>
      <c r="E135" s="9" t="s">
        <v>5256</v>
      </c>
      <c r="F135" s="7" t="s">
        <v>5257</v>
      </c>
      <c r="G135" s="7">
        <v>1</v>
      </c>
    </row>
    <row r="136" spans="1:11" ht="15" customHeight="1" x14ac:dyDescent="0.25">
      <c r="C136" s="7" t="s">
        <v>5215</v>
      </c>
      <c r="D136" s="2" t="s">
        <v>880</v>
      </c>
      <c r="E136" s="9" t="s">
        <v>5258</v>
      </c>
      <c r="F136" s="7" t="s">
        <v>5259</v>
      </c>
      <c r="G136" s="7">
        <v>1</v>
      </c>
    </row>
    <row r="137" spans="1:11" ht="15" customHeight="1" x14ac:dyDescent="0.25">
      <c r="C137" s="7" t="s">
        <v>5215</v>
      </c>
      <c r="D137" s="2" t="s">
        <v>880</v>
      </c>
      <c r="E137" s="9" t="s">
        <v>5260</v>
      </c>
      <c r="F137" s="7" t="s">
        <v>5261</v>
      </c>
      <c r="G137" s="7">
        <v>1</v>
      </c>
    </row>
    <row r="138" spans="1:11" ht="15" customHeight="1" x14ac:dyDescent="0.25">
      <c r="C138" s="7" t="s">
        <v>5215</v>
      </c>
      <c r="D138" s="2" t="s">
        <v>880</v>
      </c>
      <c r="E138" s="9" t="s">
        <v>5262</v>
      </c>
      <c r="F138" s="143" t="s">
        <v>5263</v>
      </c>
      <c r="G138" s="7">
        <v>1</v>
      </c>
    </row>
    <row r="139" spans="1:11" ht="15" customHeight="1" x14ac:dyDescent="0.25">
      <c r="C139" s="7" t="s">
        <v>5215</v>
      </c>
      <c r="D139" s="2" t="s">
        <v>880</v>
      </c>
      <c r="E139" s="9" t="s">
        <v>5264</v>
      </c>
      <c r="F139" s="7" t="s">
        <v>5249</v>
      </c>
      <c r="G139" s="7">
        <v>6</v>
      </c>
    </row>
    <row r="140" spans="1:11" ht="15" customHeight="1" x14ac:dyDescent="0.25">
      <c r="C140" s="7" t="s">
        <v>5215</v>
      </c>
      <c r="D140" s="2" t="s">
        <v>880</v>
      </c>
      <c r="E140" s="9" t="s">
        <v>5265</v>
      </c>
      <c r="F140" s="7" t="s">
        <v>5068</v>
      </c>
      <c r="G140" s="7">
        <v>1</v>
      </c>
    </row>
    <row r="141" spans="1:11" ht="15" customHeight="1" x14ac:dyDescent="0.25">
      <c r="C141" s="7" t="s">
        <v>5215</v>
      </c>
      <c r="D141" s="2" t="s">
        <v>880</v>
      </c>
      <c r="E141" s="9" t="s">
        <v>5266</v>
      </c>
      <c r="F141" s="7" t="s">
        <v>5267</v>
      </c>
      <c r="G141" s="7">
        <v>1</v>
      </c>
    </row>
    <row r="142" spans="1:11" ht="15" customHeight="1" x14ac:dyDescent="0.25">
      <c r="C142" s="7" t="s">
        <v>5215</v>
      </c>
      <c r="D142" s="2" t="s">
        <v>880</v>
      </c>
      <c r="E142" s="9" t="s">
        <v>5268</v>
      </c>
      <c r="F142" s="7" t="s">
        <v>5269</v>
      </c>
      <c r="G142" s="7">
        <v>3</v>
      </c>
    </row>
    <row r="143" spans="1:11" ht="15" customHeight="1" x14ac:dyDescent="0.25">
      <c r="C143" s="7" t="s">
        <v>5215</v>
      </c>
      <c r="D143" s="2" t="s">
        <v>880</v>
      </c>
      <c r="E143" s="9" t="s">
        <v>5270</v>
      </c>
      <c r="F143" s="7" t="s">
        <v>5271</v>
      </c>
      <c r="G143" s="7">
        <v>1</v>
      </c>
    </row>
    <row r="144" spans="1:11" ht="15" customHeight="1" x14ac:dyDescent="0.25">
      <c r="C144" s="7" t="s">
        <v>5215</v>
      </c>
      <c r="D144" s="2" t="s">
        <v>880</v>
      </c>
      <c r="E144" s="9" t="s">
        <v>887</v>
      </c>
      <c r="F144" s="7" t="s">
        <v>5272</v>
      </c>
      <c r="G144" s="7">
        <v>2</v>
      </c>
    </row>
    <row r="145" spans="3:7" ht="15" customHeight="1" x14ac:dyDescent="0.25">
      <c r="C145" s="7" t="s">
        <v>5215</v>
      </c>
      <c r="D145" s="2" t="s">
        <v>880</v>
      </c>
      <c r="E145" s="9" t="s">
        <v>5273</v>
      </c>
      <c r="F145" s="7" t="s">
        <v>5274</v>
      </c>
      <c r="G145" s="7">
        <v>1</v>
      </c>
    </row>
    <row r="146" spans="3:7" ht="15" customHeight="1" x14ac:dyDescent="0.25">
      <c r="C146" s="7" t="s">
        <v>5215</v>
      </c>
      <c r="D146" s="2" t="s">
        <v>880</v>
      </c>
      <c r="E146" s="9" t="s">
        <v>5275</v>
      </c>
      <c r="F146" s="7" t="s">
        <v>1297</v>
      </c>
      <c r="G146" s="7">
        <v>1</v>
      </c>
    </row>
    <row r="147" spans="3:7" ht="15" customHeight="1" x14ac:dyDescent="0.25">
      <c r="C147" s="7" t="s">
        <v>5215</v>
      </c>
      <c r="D147" s="2" t="s">
        <v>880</v>
      </c>
      <c r="E147" s="9" t="s">
        <v>909</v>
      </c>
      <c r="F147" s="7" t="s">
        <v>5276</v>
      </c>
      <c r="G147" s="7">
        <v>2</v>
      </c>
    </row>
    <row r="148" spans="3:7" ht="15" customHeight="1" x14ac:dyDescent="0.25">
      <c r="C148" s="7" t="s">
        <v>5215</v>
      </c>
      <c r="D148" s="2" t="s">
        <v>880</v>
      </c>
      <c r="E148" s="9" t="s">
        <v>5277</v>
      </c>
      <c r="F148" s="7" t="s">
        <v>5278</v>
      </c>
      <c r="G148" s="7">
        <v>5</v>
      </c>
    </row>
    <row r="149" spans="3:7" ht="15" customHeight="1" x14ac:dyDescent="0.25">
      <c r="C149" s="7" t="s">
        <v>5215</v>
      </c>
      <c r="D149" s="2" t="s">
        <v>880</v>
      </c>
      <c r="E149" s="9" t="s">
        <v>1076</v>
      </c>
      <c r="F149" s="7" t="s">
        <v>5279</v>
      </c>
      <c r="G149" s="7">
        <v>1</v>
      </c>
    </row>
    <row r="150" spans="3:7" ht="15" customHeight="1" x14ac:dyDescent="0.25">
      <c r="C150" s="7" t="s">
        <v>5215</v>
      </c>
      <c r="D150" s="2" t="s">
        <v>880</v>
      </c>
      <c r="E150" s="9" t="s">
        <v>5280</v>
      </c>
      <c r="F150" s="7" t="s">
        <v>5281</v>
      </c>
      <c r="G150" s="7">
        <v>2</v>
      </c>
    </row>
    <row r="151" spans="3:7" ht="15" customHeight="1" x14ac:dyDescent="0.25">
      <c r="C151" s="7" t="s">
        <v>5215</v>
      </c>
      <c r="D151" s="2" t="s">
        <v>880</v>
      </c>
      <c r="E151" s="9" t="s">
        <v>5282</v>
      </c>
      <c r="F151" s="7" t="s">
        <v>5283</v>
      </c>
      <c r="G151" s="7">
        <v>1</v>
      </c>
    </row>
    <row r="152" spans="3:7" ht="15" customHeight="1" x14ac:dyDescent="0.25">
      <c r="C152" s="7" t="s">
        <v>5215</v>
      </c>
      <c r="D152" s="2" t="s">
        <v>880</v>
      </c>
      <c r="E152" s="9" t="s">
        <v>5284</v>
      </c>
      <c r="F152" s="7" t="s">
        <v>5285</v>
      </c>
      <c r="G152" s="7">
        <v>6</v>
      </c>
    </row>
    <row r="153" spans="3:7" ht="15" customHeight="1" x14ac:dyDescent="0.25">
      <c r="C153" s="7" t="s">
        <v>5215</v>
      </c>
      <c r="D153" s="2" t="s">
        <v>880</v>
      </c>
      <c r="E153" s="9" t="s">
        <v>5286</v>
      </c>
      <c r="F153" s="7" t="s">
        <v>231</v>
      </c>
      <c r="G153" s="7">
        <v>1</v>
      </c>
    </row>
    <row r="154" spans="3:7" ht="15" customHeight="1" x14ac:dyDescent="0.25">
      <c r="C154" s="7" t="s">
        <v>5215</v>
      </c>
      <c r="D154" s="2" t="s">
        <v>880</v>
      </c>
      <c r="E154" s="9" t="s">
        <v>5287</v>
      </c>
      <c r="F154" s="7" t="s">
        <v>5288</v>
      </c>
      <c r="G154" s="7">
        <v>2</v>
      </c>
    </row>
    <row r="155" spans="3:7" ht="15" customHeight="1" x14ac:dyDescent="0.25">
      <c r="C155" s="7" t="s">
        <v>5215</v>
      </c>
      <c r="D155" s="2" t="s">
        <v>880</v>
      </c>
      <c r="E155" s="9" t="s">
        <v>5289</v>
      </c>
      <c r="F155" s="7" t="s">
        <v>5290</v>
      </c>
      <c r="G155" s="7">
        <v>4</v>
      </c>
    </row>
    <row r="156" spans="3:7" ht="15" customHeight="1" x14ac:dyDescent="0.25">
      <c r="C156" s="7" t="s">
        <v>5215</v>
      </c>
      <c r="D156" s="2" t="s">
        <v>880</v>
      </c>
      <c r="E156" s="9" t="s">
        <v>5291</v>
      </c>
      <c r="F156" s="7" t="s">
        <v>5292</v>
      </c>
      <c r="G156" s="7">
        <v>1</v>
      </c>
    </row>
    <row r="157" spans="3:7" ht="15" customHeight="1" x14ac:dyDescent="0.25">
      <c r="C157" s="7" t="s">
        <v>5215</v>
      </c>
      <c r="D157" s="2" t="s">
        <v>880</v>
      </c>
      <c r="E157" s="9" t="s">
        <v>5293</v>
      </c>
      <c r="F157" s="7" t="s">
        <v>5249</v>
      </c>
      <c r="G157" s="7">
        <v>1</v>
      </c>
    </row>
    <row r="158" spans="3:7" ht="15" customHeight="1" x14ac:dyDescent="0.25">
      <c r="C158" s="7" t="s">
        <v>5215</v>
      </c>
      <c r="D158" s="2" t="s">
        <v>880</v>
      </c>
      <c r="E158" s="9" t="s">
        <v>5294</v>
      </c>
      <c r="F158" s="7" t="s">
        <v>5249</v>
      </c>
      <c r="G158" s="7">
        <v>1</v>
      </c>
    </row>
    <row r="159" spans="3:7" ht="15" customHeight="1" x14ac:dyDescent="0.25">
      <c r="C159" s="7" t="s">
        <v>5215</v>
      </c>
      <c r="D159" s="2" t="s">
        <v>880</v>
      </c>
      <c r="E159" s="9" t="s">
        <v>915</v>
      </c>
      <c r="F159" s="7" t="s">
        <v>5295</v>
      </c>
      <c r="G159" s="7">
        <v>24</v>
      </c>
    </row>
    <row r="160" spans="3:7" ht="15" customHeight="1" x14ac:dyDescent="0.25">
      <c r="C160" s="7" t="s">
        <v>5215</v>
      </c>
      <c r="D160" s="2" t="s">
        <v>880</v>
      </c>
      <c r="E160" s="9" t="s">
        <v>922</v>
      </c>
      <c r="F160" s="7" t="s">
        <v>5296</v>
      </c>
      <c r="G160" s="7">
        <v>1</v>
      </c>
    </row>
    <row r="161" spans="1:11" ht="15" customHeight="1" x14ac:dyDescent="0.25">
      <c r="C161" s="7" t="s">
        <v>5215</v>
      </c>
      <c r="D161" s="2" t="s">
        <v>880</v>
      </c>
      <c r="E161" s="9" t="s">
        <v>5297</v>
      </c>
      <c r="F161" s="7" t="s">
        <v>5298</v>
      </c>
      <c r="G161" s="7">
        <v>1</v>
      </c>
    </row>
    <row r="162" spans="1:11" ht="15" customHeight="1" x14ac:dyDescent="0.25">
      <c r="C162" s="7" t="s">
        <v>5215</v>
      </c>
      <c r="D162" s="2" t="s">
        <v>880</v>
      </c>
      <c r="E162" s="9" t="s">
        <v>5299</v>
      </c>
      <c r="F162" s="7" t="s">
        <v>5300</v>
      </c>
      <c r="G162" s="7">
        <v>1</v>
      </c>
    </row>
    <row r="163" spans="1:11" ht="15" customHeight="1" x14ac:dyDescent="0.25">
      <c r="C163" s="7" t="s">
        <v>5215</v>
      </c>
      <c r="D163" s="2" t="s">
        <v>880</v>
      </c>
      <c r="E163" s="9" t="s">
        <v>5301</v>
      </c>
      <c r="F163" s="7" t="s">
        <v>5302</v>
      </c>
      <c r="G163" s="7">
        <v>1</v>
      </c>
    </row>
    <row r="164" spans="1:11" ht="15" customHeight="1" x14ac:dyDescent="0.25">
      <c r="C164" s="7" t="s">
        <v>5215</v>
      </c>
      <c r="D164" s="2" t="s">
        <v>880</v>
      </c>
    </row>
    <row r="165" spans="1:11" ht="15" customHeight="1" x14ac:dyDescent="0.25">
      <c r="C165" s="7" t="s">
        <v>5215</v>
      </c>
      <c r="D165" s="2" t="s">
        <v>880</v>
      </c>
    </row>
    <row r="166" spans="1:11" ht="15" customHeight="1" x14ac:dyDescent="0.25">
      <c r="C166" s="7" t="s">
        <v>5215</v>
      </c>
      <c r="D166" s="2" t="s">
        <v>880</v>
      </c>
    </row>
    <row r="167" spans="1:11" ht="15" customHeight="1" x14ac:dyDescent="0.25">
      <c r="C167" s="7" t="s">
        <v>5215</v>
      </c>
      <c r="D167" s="2" t="s">
        <v>880</v>
      </c>
    </row>
    <row r="168" spans="1:11" ht="15" customHeight="1" x14ac:dyDescent="0.25">
      <c r="C168" s="7" t="s">
        <v>5215</v>
      </c>
      <c r="D168" s="2" t="s">
        <v>880</v>
      </c>
    </row>
    <row r="169" spans="1:11" ht="15" customHeight="1" x14ac:dyDescent="0.25">
      <c r="C169" s="7" t="s">
        <v>5215</v>
      </c>
      <c r="D169" s="2" t="s">
        <v>880</v>
      </c>
    </row>
    <row r="170" spans="1:11" ht="15" customHeight="1" x14ac:dyDescent="0.25">
      <c r="C170" s="7" t="s">
        <v>5215</v>
      </c>
      <c r="D170" s="2" t="s">
        <v>880</v>
      </c>
    </row>
    <row r="171" spans="1:11" ht="15" customHeight="1" x14ac:dyDescent="0.25">
      <c r="C171" s="7" t="s">
        <v>5215</v>
      </c>
      <c r="D171" s="2" t="s">
        <v>880</v>
      </c>
    </row>
    <row r="172" spans="1:11" ht="15" customHeight="1" x14ac:dyDescent="0.25">
      <c r="C172" s="7" t="s">
        <v>5215</v>
      </c>
      <c r="D172" s="2" t="s">
        <v>880</v>
      </c>
    </row>
    <row r="173" spans="1:11" s="213" customFormat="1" ht="15" customHeight="1" x14ac:dyDescent="0.25">
      <c r="A173" s="209">
        <v>1</v>
      </c>
      <c r="B173" s="210">
        <v>45509</v>
      </c>
      <c r="C173" s="211" t="s">
        <v>5133</v>
      </c>
      <c r="D173" s="211" t="s">
        <v>71</v>
      </c>
      <c r="E173" s="212" t="s">
        <v>3873</v>
      </c>
      <c r="F173" s="213" t="s">
        <v>5303</v>
      </c>
      <c r="G173" s="213">
        <v>1</v>
      </c>
      <c r="I173" s="214"/>
      <c r="J173" s="214"/>
      <c r="K173" s="214"/>
    </row>
    <row r="174" spans="1:11" s="213" customFormat="1" ht="15" customHeight="1" x14ac:dyDescent="0.25">
      <c r="A174" s="209">
        <v>2</v>
      </c>
      <c r="B174" s="210">
        <v>45509</v>
      </c>
      <c r="C174" s="211" t="s">
        <v>5133</v>
      </c>
      <c r="D174" s="211" t="s">
        <v>71</v>
      </c>
      <c r="E174" s="212" t="s">
        <v>2151</v>
      </c>
      <c r="F174" s="213" t="s">
        <v>631</v>
      </c>
      <c r="G174" s="213">
        <v>1</v>
      </c>
      <c r="I174" s="214"/>
      <c r="J174" s="214"/>
      <c r="K174" s="214"/>
    </row>
    <row r="175" spans="1:11" s="213" customFormat="1" ht="15" customHeight="1" x14ac:dyDescent="0.25">
      <c r="A175" s="209">
        <v>3</v>
      </c>
      <c r="B175" s="210">
        <v>45509</v>
      </c>
      <c r="C175" s="211" t="s">
        <v>5133</v>
      </c>
      <c r="D175" s="211" t="s">
        <v>71</v>
      </c>
      <c r="E175" s="213" t="s">
        <v>5304</v>
      </c>
      <c r="F175" s="213" t="s">
        <v>5305</v>
      </c>
      <c r="G175" s="213">
        <v>1</v>
      </c>
      <c r="I175" s="214"/>
      <c r="J175" s="214"/>
      <c r="K175" s="214"/>
    </row>
    <row r="176" spans="1:11" s="213" customFormat="1" ht="15" customHeight="1" x14ac:dyDescent="0.25">
      <c r="A176" s="209">
        <v>4</v>
      </c>
      <c r="B176" s="210">
        <v>45509</v>
      </c>
      <c r="C176" s="211" t="s">
        <v>5133</v>
      </c>
      <c r="D176" s="211" t="s">
        <v>71</v>
      </c>
      <c r="E176" s="212" t="s">
        <v>5306</v>
      </c>
      <c r="F176" s="215" t="s">
        <v>5307</v>
      </c>
      <c r="G176" s="213">
        <v>1</v>
      </c>
      <c r="I176" s="214"/>
      <c r="J176" s="214"/>
      <c r="K176" s="214"/>
    </row>
    <row r="177" spans="1:12" s="213" customFormat="1" ht="15" customHeight="1" x14ac:dyDescent="0.25">
      <c r="A177" s="209">
        <v>5</v>
      </c>
      <c r="B177" s="210">
        <v>45509</v>
      </c>
      <c r="C177" s="211" t="s">
        <v>5133</v>
      </c>
      <c r="D177" s="211" t="s">
        <v>71</v>
      </c>
      <c r="E177" s="113" t="s">
        <v>5308</v>
      </c>
      <c r="F177" s="213" t="s">
        <v>5307</v>
      </c>
      <c r="G177" s="213">
        <v>1</v>
      </c>
      <c r="I177" s="214"/>
      <c r="J177" s="214"/>
      <c r="K177" s="214"/>
    </row>
    <row r="178" spans="1:12" s="213" customFormat="1" ht="15" customHeight="1" x14ac:dyDescent="0.25">
      <c r="A178" s="209">
        <v>6</v>
      </c>
      <c r="B178" s="210">
        <v>45509</v>
      </c>
      <c r="C178" s="211" t="s">
        <v>5133</v>
      </c>
      <c r="D178" s="211" t="s">
        <v>71</v>
      </c>
      <c r="E178" s="113" t="s">
        <v>5309</v>
      </c>
      <c r="F178" s="213" t="s">
        <v>5310</v>
      </c>
      <c r="G178" s="213">
        <v>1</v>
      </c>
      <c r="I178" s="214"/>
      <c r="J178" s="214"/>
      <c r="K178" s="214"/>
    </row>
    <row r="179" spans="1:12" s="213" customFormat="1" ht="15" customHeight="1" x14ac:dyDescent="0.25">
      <c r="A179" s="209">
        <v>7</v>
      </c>
      <c r="B179" s="210">
        <v>45509</v>
      </c>
      <c r="C179" s="211" t="s">
        <v>5133</v>
      </c>
      <c r="D179" s="211" t="s">
        <v>71</v>
      </c>
      <c r="E179" s="216" t="s">
        <v>2724</v>
      </c>
      <c r="F179" s="213" t="s">
        <v>1785</v>
      </c>
      <c r="G179" s="213">
        <v>2</v>
      </c>
      <c r="I179" s="214"/>
      <c r="J179" s="214"/>
      <c r="K179" s="214"/>
    </row>
    <row r="180" spans="1:12" s="213" customFormat="1" ht="15" customHeight="1" x14ac:dyDescent="0.25">
      <c r="A180" s="209">
        <v>8</v>
      </c>
      <c r="B180" s="210">
        <v>45509</v>
      </c>
      <c r="C180" s="211" t="s">
        <v>5133</v>
      </c>
      <c r="D180" s="211" t="s">
        <v>71</v>
      </c>
      <c r="E180" s="212" t="s">
        <v>5311</v>
      </c>
      <c r="F180" s="213" t="s">
        <v>5312</v>
      </c>
      <c r="G180" s="213">
        <v>1</v>
      </c>
      <c r="I180" s="214"/>
      <c r="J180" s="214"/>
      <c r="K180" s="214"/>
    </row>
    <row r="181" spans="1:12" s="213" customFormat="1" ht="15" customHeight="1" x14ac:dyDescent="0.25">
      <c r="A181" s="209">
        <v>9</v>
      </c>
      <c r="B181" s="210">
        <v>45509</v>
      </c>
      <c r="C181" s="211" t="s">
        <v>5133</v>
      </c>
      <c r="D181" s="211" t="s">
        <v>71</v>
      </c>
      <c r="E181" s="212" t="s">
        <v>3001</v>
      </c>
      <c r="F181" s="213" t="s">
        <v>5313</v>
      </c>
      <c r="G181" s="213">
        <v>1</v>
      </c>
      <c r="I181" s="214"/>
      <c r="J181" s="214"/>
      <c r="K181" s="214"/>
    </row>
    <row r="182" spans="1:12" s="213" customFormat="1" ht="15" customHeight="1" x14ac:dyDescent="0.25">
      <c r="A182" s="209">
        <v>10</v>
      </c>
      <c r="B182" s="210">
        <v>45509</v>
      </c>
      <c r="C182" s="211" t="s">
        <v>5133</v>
      </c>
      <c r="D182" s="211" t="s">
        <v>71</v>
      </c>
      <c r="E182" s="212" t="s">
        <v>5314</v>
      </c>
      <c r="F182" s="213" t="s">
        <v>1227</v>
      </c>
      <c r="G182" s="213">
        <v>2</v>
      </c>
      <c r="I182" s="214"/>
      <c r="J182" s="214"/>
      <c r="K182" s="214"/>
    </row>
    <row r="183" spans="1:12" s="213" customFormat="1" ht="15" customHeight="1" x14ac:dyDescent="0.25">
      <c r="A183" s="209">
        <v>11</v>
      </c>
      <c r="B183" s="210">
        <v>45509</v>
      </c>
      <c r="C183" s="211" t="s">
        <v>5133</v>
      </c>
      <c r="D183" s="211" t="s">
        <v>71</v>
      </c>
      <c r="E183" s="212" t="s">
        <v>5315</v>
      </c>
      <c r="F183" s="213" t="s">
        <v>5316</v>
      </c>
      <c r="G183" s="213">
        <v>1</v>
      </c>
      <c r="I183" s="214"/>
      <c r="J183" s="214"/>
      <c r="K183" s="214"/>
    </row>
    <row r="184" spans="1:12" s="213" customFormat="1" ht="15" customHeight="1" x14ac:dyDescent="0.25">
      <c r="A184" s="209">
        <v>12</v>
      </c>
      <c r="B184" s="210">
        <v>45509</v>
      </c>
      <c r="C184" s="211" t="s">
        <v>5133</v>
      </c>
      <c r="D184" s="211" t="s">
        <v>71</v>
      </c>
      <c r="E184" s="212" t="s">
        <v>2087</v>
      </c>
      <c r="F184" s="213" t="s">
        <v>161</v>
      </c>
      <c r="G184" s="213">
        <v>1</v>
      </c>
      <c r="I184" s="214"/>
      <c r="J184" s="214"/>
      <c r="K184" s="214"/>
    </row>
    <row r="185" spans="1:12" s="213" customFormat="1" ht="15" customHeight="1" x14ac:dyDescent="0.25">
      <c r="A185" s="209">
        <v>13</v>
      </c>
      <c r="B185" s="210">
        <v>45509</v>
      </c>
      <c r="C185" s="211" t="s">
        <v>5133</v>
      </c>
      <c r="D185" s="211" t="s">
        <v>71</v>
      </c>
      <c r="E185" s="212" t="s">
        <v>5317</v>
      </c>
      <c r="F185" s="213" t="s">
        <v>1426</v>
      </c>
      <c r="G185" s="213">
        <v>1</v>
      </c>
      <c r="I185" s="214"/>
      <c r="J185" s="214"/>
      <c r="K185" s="214"/>
    </row>
    <row r="186" spans="1:12" s="213" customFormat="1" ht="15" customHeight="1" x14ac:dyDescent="0.25">
      <c r="A186" s="209">
        <v>14</v>
      </c>
      <c r="B186" s="210">
        <v>45509</v>
      </c>
      <c r="C186" s="211" t="s">
        <v>5133</v>
      </c>
      <c r="D186" s="211" t="s">
        <v>71</v>
      </c>
      <c r="E186" s="212" t="s">
        <v>5318</v>
      </c>
      <c r="F186" s="213" t="s">
        <v>5319</v>
      </c>
      <c r="G186" s="213">
        <v>1</v>
      </c>
      <c r="I186" s="214"/>
      <c r="J186" s="214"/>
      <c r="K186" s="214"/>
    </row>
    <row r="187" spans="1:12" s="213" customFormat="1" ht="15" customHeight="1" x14ac:dyDescent="0.25">
      <c r="A187" s="209">
        <v>15</v>
      </c>
      <c r="B187" s="210">
        <v>45509</v>
      </c>
      <c r="C187" s="211" t="s">
        <v>5133</v>
      </c>
      <c r="D187" s="211" t="s">
        <v>71</v>
      </c>
      <c r="E187" s="212" t="s">
        <v>2824</v>
      </c>
      <c r="F187" s="213" t="s">
        <v>5320</v>
      </c>
      <c r="G187" s="213">
        <v>1</v>
      </c>
      <c r="I187" s="214"/>
      <c r="J187" s="214"/>
      <c r="K187" s="214"/>
    </row>
    <row r="188" spans="1:12" s="213" customFormat="1" ht="15" customHeight="1" x14ac:dyDescent="0.25">
      <c r="A188" s="209">
        <v>16</v>
      </c>
      <c r="B188" s="210">
        <v>45509</v>
      </c>
      <c r="C188" s="211" t="s">
        <v>5133</v>
      </c>
      <c r="D188" s="211" t="s">
        <v>71</v>
      </c>
      <c r="E188" s="212" t="s">
        <v>3865</v>
      </c>
      <c r="F188" s="213" t="s">
        <v>5321</v>
      </c>
      <c r="G188" s="213">
        <v>1</v>
      </c>
      <c r="I188" s="214"/>
      <c r="J188" s="214"/>
      <c r="K188" s="214"/>
    </row>
    <row r="189" spans="1:12" s="213" customFormat="1" ht="15" customHeight="1" x14ac:dyDescent="0.25">
      <c r="A189" s="209">
        <v>17</v>
      </c>
      <c r="B189" s="210">
        <v>45509</v>
      </c>
      <c r="C189" s="211" t="s">
        <v>5133</v>
      </c>
      <c r="D189" s="211" t="s">
        <v>71</v>
      </c>
      <c r="E189" s="113" t="s">
        <v>5322</v>
      </c>
      <c r="F189" s="213" t="s">
        <v>2403</v>
      </c>
      <c r="G189" s="213">
        <v>1</v>
      </c>
      <c r="I189" s="214"/>
      <c r="J189" s="214"/>
      <c r="K189" s="214"/>
    </row>
    <row r="190" spans="1:12" s="213" customFormat="1" ht="15" customHeight="1" x14ac:dyDescent="0.25">
      <c r="A190" s="209">
        <v>18</v>
      </c>
      <c r="B190" s="210">
        <v>45509</v>
      </c>
      <c r="C190" s="211" t="s">
        <v>5133</v>
      </c>
      <c r="D190" s="211" t="s">
        <v>71</v>
      </c>
      <c r="E190" s="113" t="s">
        <v>5323</v>
      </c>
      <c r="F190" s="213" t="s">
        <v>5324</v>
      </c>
      <c r="G190" s="213">
        <v>1</v>
      </c>
      <c r="I190" s="214"/>
      <c r="J190" s="214"/>
      <c r="K190" s="214"/>
    </row>
    <row r="191" spans="1:12" s="213" customFormat="1" ht="15" customHeight="1" x14ac:dyDescent="0.25">
      <c r="A191" s="209">
        <v>19</v>
      </c>
      <c r="B191" s="210">
        <v>45509</v>
      </c>
      <c r="C191" s="211" t="s">
        <v>5133</v>
      </c>
      <c r="D191" s="211" t="s">
        <v>71</v>
      </c>
      <c r="E191" s="212" t="s">
        <v>1307</v>
      </c>
      <c r="F191" s="213" t="s">
        <v>1308</v>
      </c>
      <c r="G191" s="213">
        <v>1</v>
      </c>
      <c r="I191" s="214"/>
      <c r="J191" s="214"/>
      <c r="K191" s="214"/>
    </row>
    <row r="192" spans="1:12" s="213" customFormat="1" ht="15" customHeight="1" x14ac:dyDescent="0.25">
      <c r="A192" s="209">
        <v>20</v>
      </c>
      <c r="B192" s="210">
        <v>45509</v>
      </c>
      <c r="C192" s="211" t="s">
        <v>5133</v>
      </c>
      <c r="D192" s="211" t="s">
        <v>71</v>
      </c>
      <c r="E192" s="113" t="s">
        <v>3691</v>
      </c>
      <c r="F192" s="213" t="s">
        <v>5325</v>
      </c>
      <c r="G192" s="213">
        <v>1</v>
      </c>
      <c r="I192" s="214"/>
      <c r="J192" s="214"/>
      <c r="K192" s="214"/>
      <c r="L192" s="213" t="s">
        <v>5151</v>
      </c>
    </row>
    <row r="193" spans="1:12" s="213" customFormat="1" ht="15" customHeight="1" x14ac:dyDescent="0.25">
      <c r="A193" s="209">
        <v>21</v>
      </c>
      <c r="B193" s="210">
        <v>45509</v>
      </c>
      <c r="C193" s="211" t="s">
        <v>5133</v>
      </c>
      <c r="D193" s="211" t="s">
        <v>71</v>
      </c>
      <c r="E193" s="113" t="s">
        <v>4663</v>
      </c>
      <c r="F193" s="213" t="s">
        <v>1785</v>
      </c>
      <c r="G193" s="213">
        <v>1</v>
      </c>
      <c r="I193" s="214"/>
      <c r="J193" s="214"/>
      <c r="K193" s="214"/>
    </row>
    <row r="194" spans="1:12" s="213" customFormat="1" ht="15" customHeight="1" x14ac:dyDescent="0.25">
      <c r="A194" s="209">
        <v>22</v>
      </c>
      <c r="B194" s="210">
        <v>45509</v>
      </c>
      <c r="C194" s="211" t="s">
        <v>5133</v>
      </c>
      <c r="D194" s="211" t="s">
        <v>71</v>
      </c>
      <c r="E194" s="113" t="s">
        <v>5326</v>
      </c>
      <c r="F194" s="213" t="s">
        <v>5327</v>
      </c>
      <c r="G194" s="213">
        <v>1</v>
      </c>
      <c r="I194" s="214"/>
      <c r="J194" s="214"/>
      <c r="K194" s="214"/>
      <c r="L194" s="213" t="s">
        <v>5151</v>
      </c>
    </row>
    <row r="195" spans="1:12" s="213" customFormat="1" ht="15" customHeight="1" x14ac:dyDescent="0.25">
      <c r="A195" s="209">
        <v>23</v>
      </c>
      <c r="B195" s="210">
        <v>45509</v>
      </c>
      <c r="C195" s="211" t="s">
        <v>5133</v>
      </c>
      <c r="D195" s="211" t="s">
        <v>71</v>
      </c>
      <c r="E195" s="114" t="s">
        <v>5328</v>
      </c>
      <c r="F195" s="213" t="s">
        <v>161</v>
      </c>
      <c r="G195" s="213">
        <v>3</v>
      </c>
      <c r="I195" s="214"/>
      <c r="J195" s="214"/>
      <c r="K195" s="214"/>
      <c r="L195" s="213" t="s">
        <v>5151</v>
      </c>
    </row>
  </sheetData>
  <autoFilter ref="A1:M195" xr:uid="{16A1AD4C-B062-4670-AFE5-66E807B0B714}"/>
  <conditionalFormatting sqref="L2:L98 L118:L1048576">
    <cfRule type="cellIs" dxfId="10" priority="1" operator="equal">
      <formula>"CLAIMED"</formula>
    </cfRule>
    <cfRule type="containsText" dxfId="9" priority="2" operator="containsText" text="STORE">
      <formula>NOT(ISERROR(SEARCH("STORE",L2)))</formula>
    </cfRule>
    <cfRule type="cellIs" dxfId="8" priority="3" operator="equal">
      <formula>"CLAIMED"</formula>
    </cfRule>
    <cfRule type="containsText" dxfId="7" priority="4" operator="containsText" text="NOT CLAIMED">
      <formula>NOT(ISERROR(SEARCH("NOT CLAIMED",L2)))</formula>
    </cfRule>
  </conditionalFormatting>
  <dataValidations count="1">
    <dataValidation allowBlank="1" showInputMessage="1" showErrorMessage="1" sqref="E1:E57 E59:E98 E118:E194 E196:E1048576" xr:uid="{E0D8DEAF-83FF-465E-BEA5-839375D8BD03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10958C3-11B4-4B7C-89D3-5DE393F9F2A1}">
          <x14:formula1>
            <xm:f>LIST!$J$2:$J$62</xm:f>
          </x14:formula1>
          <xm:sqref>D2:D1048576</xm:sqref>
        </x14:dataValidation>
        <x14:dataValidation type="list" allowBlank="1" showInputMessage="1" showErrorMessage="1" xr:uid="{D8A5C464-62DF-41D6-B6B2-EE84F3E8C69B}">
          <x14:formula1>
            <xm:f>LIST!$M$2:$M$4</xm:f>
          </x14:formula1>
          <xm:sqref>L118:L1048576 L2:L98</xm:sqref>
        </x14:dataValidation>
        <x14:dataValidation type="list" allowBlank="1" showInputMessage="1" showErrorMessage="1" xr:uid="{C77BAB4F-5005-45B7-95CC-A378D000A2D3}">
          <x14:formula1>
            <xm:f>LIST!$A$1:$A$51</xm:f>
          </x14:formula1>
          <xm:sqref>C2:C98 C173:C1048576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FC0F-BE5F-413D-971A-01FFC0D327CC}">
  <dimension ref="A1:V1048576"/>
  <sheetViews>
    <sheetView zoomScale="85" workbookViewId="0">
      <pane ySplit="1" topLeftCell="A1632" activePane="bottomLeft" state="frozen"/>
      <selection pane="bottomLeft" activeCell="A2435" sqref="A2435"/>
    </sheetView>
  </sheetViews>
  <sheetFormatPr defaultColWidth="9.1796875" defaultRowHeight="11.25" customHeight="1" x14ac:dyDescent="0.35"/>
  <cols>
    <col min="1" max="1" width="9.7265625" style="33" bestFit="1" customWidth="1"/>
    <col min="2" max="2" width="11.81640625" style="35" bestFit="1" customWidth="1"/>
    <col min="3" max="3" width="17.7265625" style="272" customWidth="1"/>
    <col min="4" max="4" width="25.81640625" style="31" customWidth="1"/>
    <col min="5" max="5" width="6.7265625" style="33" customWidth="1"/>
    <col min="6" max="6" width="15.26953125" style="22" customWidth="1"/>
    <col min="7" max="7" width="10.7265625" style="21" customWidth="1"/>
    <col min="8" max="8" width="10.1796875" style="159" customWidth="1"/>
    <col min="9" max="9" width="19.453125" style="33" bestFit="1" customWidth="1"/>
    <col min="10" max="10" width="19.81640625" style="33" customWidth="1"/>
    <col min="11" max="11" width="16.54296875" style="33" customWidth="1"/>
    <col min="12" max="12" width="0" style="35" hidden="1" customWidth="1"/>
    <col min="13" max="13" width="17.54296875" style="33" customWidth="1"/>
    <col min="14" max="19" width="9.1796875" style="33" bestFit="1" customWidth="1"/>
    <col min="20" max="16384" width="9.1796875" style="33"/>
  </cols>
  <sheetData>
    <row r="1" spans="1:22" ht="11.25" customHeight="1" x14ac:dyDescent="0.35">
      <c r="A1" s="33" t="s">
        <v>5028</v>
      </c>
      <c r="B1" s="35" t="s">
        <v>5029</v>
      </c>
      <c r="C1" s="272" t="s">
        <v>5030</v>
      </c>
      <c r="D1" s="31" t="s">
        <v>5329</v>
      </c>
      <c r="E1" s="33" t="s">
        <v>5032</v>
      </c>
      <c r="F1" s="22" t="s">
        <v>5330</v>
      </c>
      <c r="G1" s="21" t="s">
        <v>5331</v>
      </c>
      <c r="H1" s="159" t="s">
        <v>5332</v>
      </c>
      <c r="I1" s="33" t="s">
        <v>5333</v>
      </c>
      <c r="J1" s="33" t="s">
        <v>5334</v>
      </c>
      <c r="K1" s="33" t="s">
        <v>5335</v>
      </c>
      <c r="L1" s="32"/>
    </row>
    <row r="2" spans="1:22" s="35" customFormat="1" ht="11.25" customHeight="1" x14ac:dyDescent="0.35">
      <c r="A2" s="33" t="s">
        <v>60</v>
      </c>
      <c r="B2" s="35" t="s">
        <v>5336</v>
      </c>
      <c r="C2" s="272" t="s">
        <v>5337</v>
      </c>
      <c r="D2" s="31" t="s">
        <v>2520</v>
      </c>
      <c r="E2" s="33">
        <v>5</v>
      </c>
      <c r="F2" s="22">
        <v>45026</v>
      </c>
      <c r="G2" s="33"/>
      <c r="H2" s="159" t="s">
        <v>4732</v>
      </c>
      <c r="I2" s="33"/>
      <c r="J2" s="33"/>
      <c r="K2" s="33" t="s">
        <v>5338</v>
      </c>
      <c r="L2" s="34"/>
      <c r="M2" s="34"/>
      <c r="N2" s="34"/>
      <c r="O2" s="272"/>
      <c r="P2" s="272" t="s">
        <v>5339</v>
      </c>
      <c r="R2" s="34"/>
      <c r="S2" s="34" t="e">
        <f>VLOOKUP(O2, A2:M2000, 4, FALSE)</f>
        <v>#N/A</v>
      </c>
      <c r="T2" s="34"/>
      <c r="U2" s="34"/>
      <c r="V2" s="34"/>
    </row>
    <row r="3" spans="1:22" s="35" customFormat="1" ht="11.25" customHeight="1" x14ac:dyDescent="0.35">
      <c r="A3" s="33" t="s">
        <v>5215</v>
      </c>
      <c r="C3" s="272" t="s">
        <v>5340</v>
      </c>
      <c r="D3" s="31" t="s">
        <v>5341</v>
      </c>
      <c r="E3" s="33">
        <v>1</v>
      </c>
      <c r="F3" s="22">
        <v>45038</v>
      </c>
      <c r="G3" s="33"/>
      <c r="H3" s="159" t="s">
        <v>4732</v>
      </c>
      <c r="I3" s="33"/>
      <c r="J3" s="33"/>
      <c r="K3" s="33" t="s">
        <v>5338</v>
      </c>
      <c r="L3" s="36"/>
      <c r="M3" s="35" t="s">
        <v>5342</v>
      </c>
      <c r="O3" s="272"/>
      <c r="S3" s="34" t="e">
        <f t="shared" ref="S3:S4" si="0">VLOOKUP(C3, A3:M2001, 4, FALSE)</f>
        <v>#N/A</v>
      </c>
    </row>
    <row r="4" spans="1:22" s="35" customFormat="1" ht="11.25" customHeight="1" x14ac:dyDescent="0.35">
      <c r="A4" s="33" t="s">
        <v>60</v>
      </c>
      <c r="C4" s="272" t="s">
        <v>5343</v>
      </c>
      <c r="D4" s="31" t="s">
        <v>5344</v>
      </c>
      <c r="E4" s="33">
        <v>1</v>
      </c>
      <c r="F4" s="22">
        <v>45038</v>
      </c>
      <c r="G4" s="33"/>
      <c r="H4" s="159" t="s">
        <v>4732</v>
      </c>
      <c r="I4" s="33"/>
      <c r="J4" s="33"/>
      <c r="K4" s="33" t="s">
        <v>5338</v>
      </c>
      <c r="L4" s="36"/>
      <c r="S4" s="34" t="e">
        <f t="shared" si="0"/>
        <v>#N/A</v>
      </c>
    </row>
    <row r="5" spans="1:22" s="35" customFormat="1" ht="11.25" customHeight="1" x14ac:dyDescent="0.35">
      <c r="A5" s="33" t="s">
        <v>60</v>
      </c>
      <c r="C5" s="272" t="s">
        <v>5345</v>
      </c>
      <c r="D5" s="31" t="s">
        <v>5346</v>
      </c>
      <c r="E5" s="33">
        <v>1</v>
      </c>
      <c r="F5" s="22">
        <v>45038</v>
      </c>
      <c r="G5" s="33"/>
      <c r="H5" s="159" t="s">
        <v>4732</v>
      </c>
      <c r="I5" s="33"/>
      <c r="J5" s="33"/>
      <c r="K5" s="33" t="s">
        <v>5338</v>
      </c>
      <c r="L5" s="37"/>
      <c r="M5" s="35" t="s">
        <v>5347</v>
      </c>
    </row>
    <row r="6" spans="1:22" s="35" customFormat="1" ht="11.25" customHeight="1" x14ac:dyDescent="0.35">
      <c r="A6" s="33" t="s">
        <v>60</v>
      </c>
      <c r="C6" s="272" t="s">
        <v>5348</v>
      </c>
      <c r="D6" s="31" t="s">
        <v>5346</v>
      </c>
      <c r="E6" s="33">
        <v>3</v>
      </c>
      <c r="F6" s="22">
        <v>45038</v>
      </c>
      <c r="G6" s="33"/>
      <c r="H6" s="159" t="s">
        <v>4732</v>
      </c>
      <c r="I6" s="33"/>
      <c r="J6" s="33"/>
      <c r="K6" s="33" t="s">
        <v>5338</v>
      </c>
      <c r="L6" s="37"/>
    </row>
    <row r="7" spans="1:22" s="35" customFormat="1" ht="11.25" customHeight="1" x14ac:dyDescent="0.35">
      <c r="A7" s="33" t="s">
        <v>60</v>
      </c>
      <c r="C7" s="272" t="s">
        <v>5349</v>
      </c>
      <c r="D7" s="31" t="s">
        <v>1613</v>
      </c>
      <c r="E7" s="33">
        <v>1</v>
      </c>
      <c r="F7" s="22">
        <v>45038</v>
      </c>
      <c r="G7" s="33"/>
      <c r="H7" s="159" t="s">
        <v>4732</v>
      </c>
      <c r="I7" s="33"/>
      <c r="J7" s="33"/>
      <c r="K7" s="33" t="s">
        <v>5338</v>
      </c>
    </row>
    <row r="8" spans="1:22" s="35" customFormat="1" ht="11.25" customHeight="1" x14ac:dyDescent="0.35">
      <c r="A8" s="33" t="s">
        <v>60</v>
      </c>
      <c r="C8" s="272" t="s">
        <v>5350</v>
      </c>
      <c r="D8" s="31" t="s">
        <v>1613</v>
      </c>
      <c r="E8" s="33">
        <v>1</v>
      </c>
      <c r="F8" s="22">
        <v>45038</v>
      </c>
      <c r="G8" s="33"/>
      <c r="H8" s="159" t="s">
        <v>4732</v>
      </c>
      <c r="I8" s="33"/>
      <c r="J8" s="33"/>
      <c r="K8" s="33" t="s">
        <v>5338</v>
      </c>
    </row>
    <row r="9" spans="1:22" s="35" customFormat="1" ht="11.25" customHeight="1" x14ac:dyDescent="0.35">
      <c r="A9" s="33" t="s">
        <v>60</v>
      </c>
      <c r="C9" s="272" t="s">
        <v>5351</v>
      </c>
      <c r="D9" s="31" t="s">
        <v>5352</v>
      </c>
      <c r="E9" s="33">
        <v>3</v>
      </c>
      <c r="F9" s="22">
        <v>45038</v>
      </c>
      <c r="G9" s="33"/>
      <c r="H9" s="159" t="s">
        <v>4732</v>
      </c>
      <c r="I9" s="33"/>
      <c r="J9" s="33"/>
      <c r="K9" s="33" t="s">
        <v>5338</v>
      </c>
    </row>
    <row r="10" spans="1:22" s="35" customFormat="1" ht="11.25" customHeight="1" x14ac:dyDescent="0.35">
      <c r="A10" s="33" t="s">
        <v>60</v>
      </c>
      <c r="C10" s="272" t="s">
        <v>5353</v>
      </c>
      <c r="D10" s="31" t="s">
        <v>5354</v>
      </c>
      <c r="E10" s="33">
        <v>1</v>
      </c>
      <c r="F10" s="22">
        <v>45038</v>
      </c>
      <c r="G10" s="33"/>
      <c r="H10" s="159" t="s">
        <v>4732</v>
      </c>
      <c r="I10" s="33"/>
      <c r="J10" s="33"/>
      <c r="K10" s="33" t="s">
        <v>5338</v>
      </c>
    </row>
    <row r="11" spans="1:22" s="35" customFormat="1" ht="11.25" customHeight="1" x14ac:dyDescent="0.35">
      <c r="A11" s="33" t="s">
        <v>60</v>
      </c>
      <c r="C11" s="272" t="s">
        <v>5355</v>
      </c>
      <c r="D11" s="31" t="s">
        <v>5356</v>
      </c>
      <c r="E11" s="33">
        <v>1</v>
      </c>
      <c r="F11" s="22">
        <v>45038</v>
      </c>
      <c r="G11" s="33"/>
      <c r="H11" s="159" t="s">
        <v>4732</v>
      </c>
      <c r="I11" s="33"/>
      <c r="J11" s="33"/>
      <c r="K11" s="33" t="s">
        <v>5338</v>
      </c>
    </row>
    <row r="12" spans="1:22" s="35" customFormat="1" ht="11.25" customHeight="1" x14ac:dyDescent="0.35">
      <c r="A12" s="33" t="s">
        <v>60</v>
      </c>
      <c r="C12" s="272" t="s">
        <v>5357</v>
      </c>
      <c r="D12" s="31" t="s">
        <v>5358</v>
      </c>
      <c r="E12" s="33">
        <v>1</v>
      </c>
      <c r="F12" s="22">
        <v>45038</v>
      </c>
      <c r="G12" s="33"/>
      <c r="H12" s="159" t="s">
        <v>4732</v>
      </c>
      <c r="I12" s="33"/>
      <c r="J12" s="33"/>
      <c r="K12" s="33" t="s">
        <v>5338</v>
      </c>
    </row>
    <row r="13" spans="1:22" s="35" customFormat="1" ht="11.25" customHeight="1" x14ac:dyDescent="0.35">
      <c r="A13" s="33" t="s">
        <v>60</v>
      </c>
      <c r="C13" s="272" t="s">
        <v>5359</v>
      </c>
      <c r="D13" s="31" t="s">
        <v>5358</v>
      </c>
      <c r="E13" s="33">
        <v>1</v>
      </c>
      <c r="F13" s="22">
        <v>45038</v>
      </c>
      <c r="G13" s="33"/>
      <c r="H13" s="159" t="s">
        <v>4732</v>
      </c>
      <c r="I13" s="33"/>
      <c r="J13" s="33"/>
      <c r="K13" s="33" t="s">
        <v>5338</v>
      </c>
    </row>
    <row r="14" spans="1:22" s="39" customFormat="1" ht="11.25" customHeight="1" x14ac:dyDescent="0.35">
      <c r="A14" s="38" t="s">
        <v>60</v>
      </c>
      <c r="C14" s="106" t="s">
        <v>5360</v>
      </c>
      <c r="D14" s="82" t="s">
        <v>5361</v>
      </c>
      <c r="E14" s="38">
        <v>48</v>
      </c>
      <c r="F14" s="26">
        <v>45132</v>
      </c>
      <c r="G14" s="38" t="s">
        <v>5362</v>
      </c>
      <c r="H14" s="160" t="s">
        <v>5363</v>
      </c>
      <c r="I14" s="38" t="s">
        <v>5364</v>
      </c>
      <c r="J14" s="38"/>
      <c r="K14" s="38" t="s">
        <v>5365</v>
      </c>
    </row>
    <row r="15" spans="1:22" s="35" customFormat="1" ht="11.25" customHeight="1" x14ac:dyDescent="0.35">
      <c r="A15" s="33" t="s">
        <v>60</v>
      </c>
      <c r="C15" s="272" t="s">
        <v>5366</v>
      </c>
      <c r="D15" s="31" t="s">
        <v>5367</v>
      </c>
      <c r="E15" s="33">
        <v>12</v>
      </c>
      <c r="F15" s="22">
        <v>45132</v>
      </c>
      <c r="G15" s="33"/>
      <c r="H15" s="159" t="s">
        <v>4732</v>
      </c>
      <c r="I15" s="33"/>
      <c r="J15" s="33"/>
      <c r="K15" s="33" t="s">
        <v>5338</v>
      </c>
    </row>
    <row r="16" spans="1:22" s="35" customFormat="1" ht="11.25" customHeight="1" x14ac:dyDescent="0.35">
      <c r="A16" s="33" t="s">
        <v>60</v>
      </c>
      <c r="C16" s="272" t="s">
        <v>5368</v>
      </c>
      <c r="D16" s="31" t="s">
        <v>5369</v>
      </c>
      <c r="E16" s="33">
        <v>12</v>
      </c>
      <c r="F16" s="22">
        <v>45132</v>
      </c>
      <c r="G16" s="33"/>
      <c r="H16" s="159" t="s">
        <v>4732</v>
      </c>
      <c r="I16" s="33"/>
      <c r="J16" s="33"/>
      <c r="K16" s="33" t="s">
        <v>5338</v>
      </c>
    </row>
    <row r="17" spans="1:11" s="35" customFormat="1" ht="11.25" customHeight="1" x14ac:dyDescent="0.35">
      <c r="A17" s="33" t="s">
        <v>60</v>
      </c>
      <c r="C17" s="272" t="s">
        <v>5370</v>
      </c>
      <c r="D17" s="31" t="s">
        <v>5371</v>
      </c>
      <c r="E17" s="33">
        <v>1</v>
      </c>
      <c r="F17" s="22">
        <v>45089</v>
      </c>
      <c r="G17" s="33"/>
      <c r="H17" s="159" t="s">
        <v>4732</v>
      </c>
      <c r="I17" s="33"/>
      <c r="J17" s="33"/>
      <c r="K17" s="33" t="s">
        <v>5338</v>
      </c>
    </row>
    <row r="18" spans="1:11" s="35" customFormat="1" ht="11.25" customHeight="1" x14ac:dyDescent="0.35">
      <c r="A18" s="33" t="s">
        <v>60</v>
      </c>
      <c r="C18" s="272" t="s">
        <v>5372</v>
      </c>
      <c r="D18" s="31" t="s">
        <v>1785</v>
      </c>
      <c r="E18" s="33">
        <v>1</v>
      </c>
      <c r="F18" s="22">
        <v>45089</v>
      </c>
      <c r="G18" s="33"/>
      <c r="H18" s="159" t="s">
        <v>4732</v>
      </c>
      <c r="I18" s="33"/>
      <c r="J18" s="33"/>
      <c r="K18" s="33" t="s">
        <v>5338</v>
      </c>
    </row>
    <row r="19" spans="1:11" s="35" customFormat="1" ht="11.25" customHeight="1" x14ac:dyDescent="0.35">
      <c r="A19" s="33" t="s">
        <v>60</v>
      </c>
      <c r="C19" s="272" t="s">
        <v>5373</v>
      </c>
      <c r="D19" s="31" t="s">
        <v>1785</v>
      </c>
      <c r="E19" s="33">
        <v>1</v>
      </c>
      <c r="F19" s="22">
        <v>45089</v>
      </c>
      <c r="G19" s="33"/>
      <c r="H19" s="159" t="s">
        <v>4732</v>
      </c>
      <c r="I19" s="33"/>
      <c r="J19" s="33"/>
      <c r="K19" s="33" t="s">
        <v>5338</v>
      </c>
    </row>
    <row r="20" spans="1:11" s="35" customFormat="1" ht="11.25" customHeight="1" x14ac:dyDescent="0.35">
      <c r="A20" s="33" t="s">
        <v>60</v>
      </c>
      <c r="C20" s="272" t="s">
        <v>5374</v>
      </c>
      <c r="D20" s="31" t="s">
        <v>5371</v>
      </c>
      <c r="E20" s="33">
        <v>6</v>
      </c>
      <c r="F20" s="22">
        <v>45089</v>
      </c>
      <c r="G20" s="33"/>
      <c r="H20" s="159" t="s">
        <v>4732</v>
      </c>
      <c r="I20" s="33"/>
      <c r="J20" s="33"/>
      <c r="K20" s="33" t="s">
        <v>5338</v>
      </c>
    </row>
    <row r="21" spans="1:11" s="35" customFormat="1" ht="11.25" customHeight="1" x14ac:dyDescent="0.35">
      <c r="A21" s="33" t="s">
        <v>60</v>
      </c>
      <c r="C21" s="272" t="s">
        <v>5375</v>
      </c>
      <c r="D21" s="31" t="s">
        <v>1785</v>
      </c>
      <c r="E21" s="33">
        <v>4</v>
      </c>
      <c r="F21" s="22">
        <v>45089</v>
      </c>
      <c r="G21" s="33"/>
      <c r="H21" s="159" t="s">
        <v>4732</v>
      </c>
      <c r="I21" s="33"/>
      <c r="J21" s="33"/>
      <c r="K21" s="33" t="s">
        <v>5338</v>
      </c>
    </row>
    <row r="22" spans="1:11" s="35" customFormat="1" ht="11.25" customHeight="1" x14ac:dyDescent="0.35">
      <c r="A22" s="33" t="s">
        <v>60</v>
      </c>
      <c r="C22" s="272" t="s">
        <v>5376</v>
      </c>
      <c r="D22" s="31" t="s">
        <v>1785</v>
      </c>
      <c r="E22" s="33">
        <v>1</v>
      </c>
      <c r="F22" s="22">
        <v>45089</v>
      </c>
      <c r="G22" s="33"/>
      <c r="H22" s="159" t="s">
        <v>4732</v>
      </c>
      <c r="I22" s="33"/>
      <c r="J22" s="33"/>
      <c r="K22" s="33" t="s">
        <v>5338</v>
      </c>
    </row>
    <row r="23" spans="1:11" s="35" customFormat="1" ht="11.25" customHeight="1" x14ac:dyDescent="0.35">
      <c r="A23" s="33" t="s">
        <v>60</v>
      </c>
      <c r="C23" s="272" t="s">
        <v>5377</v>
      </c>
      <c r="D23" s="31" t="s">
        <v>5378</v>
      </c>
      <c r="E23" s="33">
        <v>2</v>
      </c>
      <c r="F23" s="22">
        <v>45089</v>
      </c>
      <c r="G23" s="33"/>
      <c r="H23" s="159" t="s">
        <v>4732</v>
      </c>
      <c r="I23" s="33"/>
      <c r="J23" s="33"/>
      <c r="K23" s="33" t="s">
        <v>5338</v>
      </c>
    </row>
    <row r="24" spans="1:11" s="35" customFormat="1" ht="11.25" customHeight="1" x14ac:dyDescent="0.35">
      <c r="A24" s="33" t="s">
        <v>60</v>
      </c>
      <c r="C24" s="272" t="s">
        <v>5379</v>
      </c>
      <c r="D24" s="31" t="s">
        <v>5380</v>
      </c>
      <c r="E24" s="33">
        <v>3</v>
      </c>
      <c r="F24" s="22">
        <v>45089</v>
      </c>
      <c r="G24" s="33"/>
      <c r="H24" s="159" t="s">
        <v>4732</v>
      </c>
      <c r="I24" s="33"/>
      <c r="J24" s="33"/>
      <c r="K24" s="33" t="s">
        <v>5338</v>
      </c>
    </row>
    <row r="25" spans="1:11" s="35" customFormat="1" ht="11.25" customHeight="1" x14ac:dyDescent="0.35">
      <c r="A25" s="33" t="s">
        <v>60</v>
      </c>
      <c r="C25" s="272" t="s">
        <v>5381</v>
      </c>
      <c r="D25" s="31" t="s">
        <v>5382</v>
      </c>
      <c r="E25" s="33">
        <v>1</v>
      </c>
      <c r="F25" s="22">
        <v>45089</v>
      </c>
      <c r="G25" s="33"/>
      <c r="H25" s="159" t="s">
        <v>4732</v>
      </c>
      <c r="I25" s="33"/>
      <c r="J25" s="33"/>
      <c r="K25" s="33" t="s">
        <v>5338</v>
      </c>
    </row>
    <row r="26" spans="1:11" s="35" customFormat="1" ht="11.25" customHeight="1" x14ac:dyDescent="0.35">
      <c r="A26" s="33" t="s">
        <v>60</v>
      </c>
      <c r="C26" s="272" t="s">
        <v>5383</v>
      </c>
      <c r="D26" s="31" t="s">
        <v>1785</v>
      </c>
      <c r="E26" s="33">
        <v>2</v>
      </c>
      <c r="F26" s="22">
        <v>45089</v>
      </c>
      <c r="G26" s="33"/>
      <c r="H26" s="159" t="s">
        <v>4732</v>
      </c>
      <c r="I26" s="33"/>
      <c r="J26" s="33"/>
      <c r="K26" s="33" t="s">
        <v>5338</v>
      </c>
    </row>
    <row r="27" spans="1:11" s="35" customFormat="1" ht="11.25" customHeight="1" x14ac:dyDescent="0.35">
      <c r="A27" s="33" t="s">
        <v>60</v>
      </c>
      <c r="C27" s="272" t="s">
        <v>5384</v>
      </c>
      <c r="D27" s="31" t="s">
        <v>1785</v>
      </c>
      <c r="E27" s="33">
        <v>2</v>
      </c>
      <c r="F27" s="22">
        <v>45089</v>
      </c>
      <c r="G27" s="33"/>
      <c r="H27" s="159" t="s">
        <v>4732</v>
      </c>
      <c r="I27" s="33"/>
      <c r="J27" s="33"/>
      <c r="K27" s="33" t="s">
        <v>5338</v>
      </c>
    </row>
    <row r="28" spans="1:11" s="35" customFormat="1" ht="11.25" customHeight="1" x14ac:dyDescent="0.35">
      <c r="A28" s="33" t="s">
        <v>60</v>
      </c>
      <c r="C28" s="272" t="s">
        <v>5385</v>
      </c>
      <c r="D28" s="31" t="s">
        <v>5386</v>
      </c>
      <c r="E28" s="33">
        <v>2</v>
      </c>
      <c r="F28" s="22">
        <v>45089</v>
      </c>
      <c r="G28" s="33"/>
      <c r="H28" s="159" t="s">
        <v>4732</v>
      </c>
      <c r="I28" s="33"/>
      <c r="J28" s="33"/>
      <c r="K28" s="33" t="s">
        <v>5338</v>
      </c>
    </row>
    <row r="29" spans="1:11" s="39" customFormat="1" ht="11.25" customHeight="1" x14ac:dyDescent="0.35">
      <c r="A29" s="38" t="s">
        <v>60</v>
      </c>
      <c r="C29" s="106" t="s">
        <v>5387</v>
      </c>
      <c r="D29" s="82" t="s">
        <v>5388</v>
      </c>
      <c r="E29" s="38">
        <v>1</v>
      </c>
      <c r="F29" s="26">
        <v>45132</v>
      </c>
      <c r="G29" s="38">
        <v>1</v>
      </c>
      <c r="H29" s="160" t="s">
        <v>5389</v>
      </c>
      <c r="I29" s="38" t="s">
        <v>5390</v>
      </c>
      <c r="J29" s="38"/>
      <c r="K29" s="38" t="s">
        <v>5365</v>
      </c>
    </row>
    <row r="30" spans="1:11" s="35" customFormat="1" ht="11.25" customHeight="1" x14ac:dyDescent="0.35">
      <c r="A30" s="33" t="s">
        <v>60</v>
      </c>
      <c r="C30" s="272" t="s">
        <v>5391</v>
      </c>
      <c r="D30" s="31" t="s">
        <v>5392</v>
      </c>
      <c r="E30" s="33">
        <v>2</v>
      </c>
      <c r="F30" s="22">
        <v>45132</v>
      </c>
      <c r="G30" s="33"/>
      <c r="H30" s="159" t="s">
        <v>4732</v>
      </c>
      <c r="I30" s="33"/>
      <c r="J30" s="33"/>
      <c r="K30" s="33" t="s">
        <v>5338</v>
      </c>
    </row>
    <row r="31" spans="1:11" s="35" customFormat="1" ht="11.25" customHeight="1" x14ac:dyDescent="0.35">
      <c r="A31" s="33" t="s">
        <v>60</v>
      </c>
      <c r="C31" s="272" t="s">
        <v>5393</v>
      </c>
      <c r="D31" s="31" t="s">
        <v>5394</v>
      </c>
      <c r="E31" s="33">
        <v>1</v>
      </c>
      <c r="F31" s="22">
        <v>45132</v>
      </c>
      <c r="G31" s="33"/>
      <c r="H31" s="159" t="s">
        <v>4732</v>
      </c>
      <c r="I31" s="33"/>
      <c r="J31" s="33"/>
      <c r="K31" s="33" t="s">
        <v>5338</v>
      </c>
    </row>
    <row r="32" spans="1:11" s="39" customFormat="1" ht="11.25" customHeight="1" x14ac:dyDescent="0.35">
      <c r="A32" s="38" t="s">
        <v>60</v>
      </c>
      <c r="B32" s="39" t="s">
        <v>1479</v>
      </c>
      <c r="C32" s="106" t="s">
        <v>5395</v>
      </c>
      <c r="D32" s="82" t="s">
        <v>5396</v>
      </c>
      <c r="E32" s="38">
        <v>1</v>
      </c>
      <c r="F32" s="26">
        <v>45132</v>
      </c>
      <c r="G32" s="38">
        <v>1</v>
      </c>
      <c r="H32" s="160" t="s">
        <v>5397</v>
      </c>
      <c r="I32" s="38" t="s">
        <v>5398</v>
      </c>
      <c r="J32" s="38"/>
      <c r="K32" s="38" t="s">
        <v>5365</v>
      </c>
    </row>
    <row r="33" spans="1:11" s="35" customFormat="1" ht="11.25" customHeight="1" x14ac:dyDescent="0.35">
      <c r="A33" s="33" t="s">
        <v>60</v>
      </c>
      <c r="C33" s="272" t="s">
        <v>5399</v>
      </c>
      <c r="D33" s="31" t="s">
        <v>5400</v>
      </c>
      <c r="E33" s="33">
        <v>1</v>
      </c>
      <c r="F33" s="22">
        <v>45132</v>
      </c>
      <c r="G33" s="33"/>
      <c r="H33" s="159" t="s">
        <v>4732</v>
      </c>
      <c r="I33" s="33"/>
      <c r="J33" s="33">
        <f>SUBTOTAL(109,J3:J32)</f>
        <v>0</v>
      </c>
      <c r="K33" s="33" t="s">
        <v>5338</v>
      </c>
    </row>
    <row r="34" spans="1:11" s="39" customFormat="1" ht="11.25" customHeight="1" x14ac:dyDescent="0.35">
      <c r="A34" s="38" t="s">
        <v>60</v>
      </c>
      <c r="B34" s="39" t="s">
        <v>1479</v>
      </c>
      <c r="C34" s="106" t="s">
        <v>5091</v>
      </c>
      <c r="D34" s="82" t="s">
        <v>5092</v>
      </c>
      <c r="E34" s="38">
        <v>1</v>
      </c>
      <c r="F34" s="26">
        <v>45132</v>
      </c>
      <c r="G34" s="38"/>
      <c r="H34" s="160">
        <v>45205</v>
      </c>
      <c r="I34" s="38" t="s">
        <v>5401</v>
      </c>
      <c r="J34" s="38"/>
      <c r="K34" s="38" t="s">
        <v>5365</v>
      </c>
    </row>
    <row r="35" spans="1:11" s="35" customFormat="1" ht="11.25" customHeight="1" x14ac:dyDescent="0.35">
      <c r="A35" s="33" t="s">
        <v>60</v>
      </c>
      <c r="C35" s="272" t="s">
        <v>801</v>
      </c>
      <c r="D35" s="31" t="s">
        <v>5092</v>
      </c>
      <c r="E35" s="33">
        <v>3</v>
      </c>
      <c r="F35" s="22">
        <v>45132</v>
      </c>
      <c r="G35" s="33"/>
      <c r="H35" s="159" t="s">
        <v>4732</v>
      </c>
      <c r="I35" s="33"/>
      <c r="J35" s="33"/>
      <c r="K35" s="33" t="s">
        <v>5338</v>
      </c>
    </row>
    <row r="36" spans="1:11" s="39" customFormat="1" ht="11.25" customHeight="1" x14ac:dyDescent="0.35">
      <c r="A36" s="38" t="s">
        <v>60</v>
      </c>
      <c r="C36" s="106" t="s">
        <v>5402</v>
      </c>
      <c r="D36" s="82" t="s">
        <v>5279</v>
      </c>
      <c r="E36" s="38">
        <v>1</v>
      </c>
      <c r="F36" s="26">
        <v>45132</v>
      </c>
      <c r="G36" s="38">
        <v>1</v>
      </c>
      <c r="H36" s="160">
        <v>45205</v>
      </c>
      <c r="I36" s="38" t="s">
        <v>5401</v>
      </c>
      <c r="J36" s="38"/>
      <c r="K36" s="38" t="s">
        <v>5365</v>
      </c>
    </row>
    <row r="37" spans="1:11" s="39" customFormat="1" ht="11.25" customHeight="1" x14ac:dyDescent="0.35">
      <c r="A37" s="38" t="s">
        <v>60</v>
      </c>
      <c r="C37" s="106" t="s">
        <v>5403</v>
      </c>
      <c r="D37" s="82" t="s">
        <v>5404</v>
      </c>
      <c r="E37" s="38">
        <v>1</v>
      </c>
      <c r="F37" s="26">
        <v>45132</v>
      </c>
      <c r="G37" s="38">
        <v>1</v>
      </c>
      <c r="H37" s="160">
        <v>45205</v>
      </c>
      <c r="I37" s="38" t="s">
        <v>5401</v>
      </c>
      <c r="J37" s="38"/>
      <c r="K37" s="38" t="s">
        <v>5365</v>
      </c>
    </row>
    <row r="38" spans="1:11" s="39" customFormat="1" ht="11.25" customHeight="1" x14ac:dyDescent="0.35">
      <c r="A38" s="38" t="s">
        <v>60</v>
      </c>
      <c r="C38" s="106" t="s">
        <v>5405</v>
      </c>
      <c r="D38" s="82" t="s">
        <v>5406</v>
      </c>
      <c r="E38" s="38">
        <v>1</v>
      </c>
      <c r="F38" s="26">
        <v>45132</v>
      </c>
      <c r="G38" s="38">
        <v>1</v>
      </c>
      <c r="H38" s="160">
        <v>45205</v>
      </c>
      <c r="I38" s="38" t="s">
        <v>5401</v>
      </c>
      <c r="J38" s="38"/>
      <c r="K38" s="38" t="s">
        <v>5365</v>
      </c>
    </row>
    <row r="39" spans="1:11" s="35" customFormat="1" ht="11.25" customHeight="1" x14ac:dyDescent="0.35">
      <c r="A39" s="33" t="s">
        <v>60</v>
      </c>
      <c r="C39" s="272">
        <v>326333000</v>
      </c>
      <c r="D39" s="31" t="s">
        <v>1264</v>
      </c>
      <c r="E39" s="33">
        <v>8</v>
      </c>
      <c r="F39" s="22">
        <v>45132</v>
      </c>
      <c r="G39" s="33"/>
      <c r="H39" s="159" t="s">
        <v>4732</v>
      </c>
      <c r="I39" s="33"/>
      <c r="J39" s="33"/>
      <c r="K39" s="33" t="s">
        <v>5338</v>
      </c>
    </row>
    <row r="40" spans="1:11" s="35" customFormat="1" ht="11.25" customHeight="1" x14ac:dyDescent="0.35">
      <c r="A40" s="33" t="s">
        <v>60</v>
      </c>
      <c r="C40" s="272">
        <v>326332000</v>
      </c>
      <c r="D40" s="31" t="s">
        <v>1264</v>
      </c>
      <c r="E40" s="33">
        <v>8</v>
      </c>
      <c r="F40" s="22">
        <v>45132</v>
      </c>
      <c r="G40" s="33"/>
      <c r="H40" s="159" t="s">
        <v>4732</v>
      </c>
      <c r="I40" s="33"/>
      <c r="J40" s="33"/>
      <c r="K40" s="33" t="s">
        <v>5338</v>
      </c>
    </row>
    <row r="41" spans="1:11" s="39" customFormat="1" ht="11.25" customHeight="1" x14ac:dyDescent="0.35">
      <c r="A41" s="38" t="s">
        <v>60</v>
      </c>
      <c r="B41" s="39" t="s">
        <v>1479</v>
      </c>
      <c r="C41" s="106" t="s">
        <v>5407</v>
      </c>
      <c r="D41" s="82" t="s">
        <v>5408</v>
      </c>
      <c r="E41" s="38">
        <v>1</v>
      </c>
      <c r="F41" s="26">
        <v>45132</v>
      </c>
      <c r="G41" s="38">
        <v>1</v>
      </c>
      <c r="H41" s="160" t="s">
        <v>5409</v>
      </c>
      <c r="I41" s="38" t="s">
        <v>5401</v>
      </c>
      <c r="J41" s="38"/>
      <c r="K41" s="38" t="s">
        <v>5365</v>
      </c>
    </row>
    <row r="42" spans="1:11" s="39" customFormat="1" ht="11.25" customHeight="1" x14ac:dyDescent="0.35">
      <c r="A42" s="38" t="s">
        <v>60</v>
      </c>
      <c r="B42" s="39" t="s">
        <v>1555</v>
      </c>
      <c r="C42" s="106" t="s">
        <v>5410</v>
      </c>
      <c r="D42" s="82" t="s">
        <v>5411</v>
      </c>
      <c r="E42" s="38">
        <v>4</v>
      </c>
      <c r="F42" s="26">
        <v>45132</v>
      </c>
      <c r="G42" s="38">
        <v>4</v>
      </c>
      <c r="H42" s="160" t="s">
        <v>5412</v>
      </c>
      <c r="I42" s="38" t="s">
        <v>5413</v>
      </c>
      <c r="J42" s="38"/>
      <c r="K42" s="38" t="s">
        <v>5365</v>
      </c>
    </row>
    <row r="43" spans="1:11" s="39" customFormat="1" ht="11.25" customHeight="1" x14ac:dyDescent="0.35">
      <c r="A43" s="38" t="s">
        <v>60</v>
      </c>
      <c r="C43" s="106" t="s">
        <v>5414</v>
      </c>
      <c r="D43" s="82" t="s">
        <v>5415</v>
      </c>
      <c r="E43" s="38">
        <v>4</v>
      </c>
      <c r="F43" s="26">
        <v>45132</v>
      </c>
      <c r="G43" s="38">
        <v>4</v>
      </c>
      <c r="H43" s="160" t="s">
        <v>5416</v>
      </c>
      <c r="I43" s="38" t="s">
        <v>5401</v>
      </c>
      <c r="J43" s="38"/>
      <c r="K43" s="38" t="s">
        <v>5365</v>
      </c>
    </row>
    <row r="44" spans="1:11" s="35" customFormat="1" ht="11.25" customHeight="1" x14ac:dyDescent="0.35">
      <c r="A44" s="33" t="s">
        <v>60</v>
      </c>
      <c r="C44" s="272" t="s">
        <v>5417</v>
      </c>
      <c r="D44" s="31" t="s">
        <v>5418</v>
      </c>
      <c r="E44" s="33">
        <v>1</v>
      </c>
      <c r="F44" s="22">
        <v>45132</v>
      </c>
      <c r="G44" s="33"/>
      <c r="H44" s="159" t="s">
        <v>4732</v>
      </c>
      <c r="I44" s="33"/>
      <c r="J44" s="33"/>
      <c r="K44" s="33" t="s">
        <v>5338</v>
      </c>
    </row>
    <row r="45" spans="1:11" s="35" customFormat="1" ht="11.25" customHeight="1" x14ac:dyDescent="0.35">
      <c r="A45" s="33" t="s">
        <v>60</v>
      </c>
      <c r="C45" s="272" t="s">
        <v>5419</v>
      </c>
      <c r="D45" s="31" t="s">
        <v>5420</v>
      </c>
      <c r="E45" s="33">
        <v>12</v>
      </c>
      <c r="F45" s="22">
        <v>45132</v>
      </c>
      <c r="G45" s="33"/>
      <c r="H45" s="159" t="s">
        <v>4732</v>
      </c>
      <c r="I45" s="33"/>
      <c r="J45" s="33"/>
      <c r="K45" s="33" t="s">
        <v>5338</v>
      </c>
    </row>
    <row r="46" spans="1:11" s="39" customFormat="1" ht="11.25" customHeight="1" x14ac:dyDescent="0.35">
      <c r="A46" s="38" t="s">
        <v>60</v>
      </c>
      <c r="C46" s="106" t="s">
        <v>5421</v>
      </c>
      <c r="D46" s="82" t="s">
        <v>5422</v>
      </c>
      <c r="E46" s="38">
        <v>8</v>
      </c>
      <c r="F46" s="26">
        <v>45132</v>
      </c>
      <c r="G46" s="38"/>
      <c r="H46" s="160" t="s">
        <v>5423</v>
      </c>
      <c r="I46" s="38" t="s">
        <v>5413</v>
      </c>
      <c r="J46" s="38"/>
      <c r="K46" s="38" t="s">
        <v>5365</v>
      </c>
    </row>
    <row r="47" spans="1:11" s="39" customFormat="1" ht="11.25" customHeight="1" x14ac:dyDescent="0.35">
      <c r="A47" s="38" t="s">
        <v>60</v>
      </c>
      <c r="C47" s="106" t="s">
        <v>5424</v>
      </c>
      <c r="D47" s="82" t="s">
        <v>5425</v>
      </c>
      <c r="E47" s="38">
        <v>12</v>
      </c>
      <c r="F47" s="26">
        <v>45132</v>
      </c>
      <c r="G47" s="38">
        <v>1</v>
      </c>
      <c r="H47" s="160" t="s">
        <v>5426</v>
      </c>
      <c r="I47" s="38" t="s">
        <v>5427</v>
      </c>
      <c r="J47" s="38"/>
      <c r="K47" s="38" t="s">
        <v>5365</v>
      </c>
    </row>
    <row r="48" spans="1:11" s="39" customFormat="1" ht="11.25" customHeight="1" x14ac:dyDescent="0.35">
      <c r="A48" s="38" t="s">
        <v>60</v>
      </c>
      <c r="C48" s="106" t="s">
        <v>1609</v>
      </c>
      <c r="D48" s="82" t="s">
        <v>1610</v>
      </c>
      <c r="E48" s="38">
        <v>2</v>
      </c>
      <c r="F48" s="26">
        <v>45132</v>
      </c>
      <c r="G48" s="38">
        <v>2</v>
      </c>
      <c r="H48" s="160" t="s">
        <v>5428</v>
      </c>
      <c r="I48" s="38" t="s">
        <v>5429</v>
      </c>
      <c r="J48" s="38"/>
      <c r="K48" s="38" t="s">
        <v>5365</v>
      </c>
    </row>
    <row r="49" spans="1:11" s="39" customFormat="1" ht="11.25" customHeight="1" x14ac:dyDescent="0.35">
      <c r="A49" s="38" t="s">
        <v>60</v>
      </c>
      <c r="C49" s="106" t="s">
        <v>5430</v>
      </c>
      <c r="D49" s="82" t="s">
        <v>5431</v>
      </c>
      <c r="E49" s="38">
        <v>1</v>
      </c>
      <c r="F49" s="26">
        <v>45132</v>
      </c>
      <c r="G49" s="38">
        <v>1</v>
      </c>
      <c r="H49" s="160" t="s">
        <v>5432</v>
      </c>
      <c r="I49" s="38" t="s">
        <v>5433</v>
      </c>
      <c r="J49" s="38"/>
      <c r="K49" s="38" t="s">
        <v>5365</v>
      </c>
    </row>
    <row r="50" spans="1:11" s="39" customFormat="1" ht="11.25" customHeight="1" x14ac:dyDescent="0.35">
      <c r="A50" s="38" t="s">
        <v>60</v>
      </c>
      <c r="C50" s="106" t="s">
        <v>5099</v>
      </c>
      <c r="D50" s="82" t="s">
        <v>1613</v>
      </c>
      <c r="E50" s="38">
        <v>32</v>
      </c>
      <c r="F50" s="26">
        <v>45132</v>
      </c>
      <c r="G50" s="38" t="s">
        <v>5434</v>
      </c>
      <c r="H50" s="160" t="s">
        <v>5435</v>
      </c>
      <c r="I50" s="38" t="s">
        <v>5436</v>
      </c>
      <c r="J50" s="38"/>
      <c r="K50" s="38" t="s">
        <v>5365</v>
      </c>
    </row>
    <row r="51" spans="1:11" s="39" customFormat="1" ht="11.25" customHeight="1" x14ac:dyDescent="0.35">
      <c r="A51" s="38" t="s">
        <v>60</v>
      </c>
      <c r="C51" s="106" t="s">
        <v>5437</v>
      </c>
      <c r="D51" s="82" t="s">
        <v>5438</v>
      </c>
      <c r="E51" s="38">
        <v>1</v>
      </c>
      <c r="F51" s="26">
        <v>45132</v>
      </c>
      <c r="G51" s="38">
        <v>1</v>
      </c>
      <c r="H51" s="160">
        <v>45205</v>
      </c>
      <c r="I51" s="38" t="s">
        <v>5398</v>
      </c>
      <c r="J51" s="38"/>
      <c r="K51" s="38" t="s">
        <v>5365</v>
      </c>
    </row>
    <row r="52" spans="1:11" s="35" customFormat="1" ht="11.25" customHeight="1" x14ac:dyDescent="0.35">
      <c r="A52" s="33" t="s">
        <v>60</v>
      </c>
      <c r="C52" s="272" t="s">
        <v>5439</v>
      </c>
      <c r="D52" s="31" t="s">
        <v>5440</v>
      </c>
      <c r="E52" s="33">
        <v>1</v>
      </c>
      <c r="F52" s="22">
        <v>45132</v>
      </c>
      <c r="G52" s="33"/>
      <c r="H52" s="159" t="s">
        <v>4732</v>
      </c>
      <c r="I52" s="33"/>
      <c r="J52" s="33"/>
      <c r="K52" s="33" t="s">
        <v>5338</v>
      </c>
    </row>
    <row r="53" spans="1:11" s="39" customFormat="1" ht="11.25" customHeight="1" x14ac:dyDescent="0.35">
      <c r="A53" s="38" t="s">
        <v>60</v>
      </c>
      <c r="C53" s="106" t="s">
        <v>5441</v>
      </c>
      <c r="D53" s="82" t="s">
        <v>5442</v>
      </c>
      <c r="E53" s="38">
        <v>12</v>
      </c>
      <c r="F53" s="26">
        <v>45132</v>
      </c>
      <c r="G53" s="38">
        <v>12</v>
      </c>
      <c r="H53" s="160" t="s">
        <v>5443</v>
      </c>
      <c r="I53" s="38" t="s">
        <v>5398</v>
      </c>
      <c r="J53" s="38"/>
      <c r="K53" s="38" t="s">
        <v>5365</v>
      </c>
    </row>
    <row r="54" spans="1:11" s="39" customFormat="1" ht="11.25" customHeight="1" x14ac:dyDescent="0.35">
      <c r="A54" s="38" t="s">
        <v>60</v>
      </c>
      <c r="C54" s="106" t="s">
        <v>5444</v>
      </c>
      <c r="D54" s="82" t="s">
        <v>5445</v>
      </c>
      <c r="E54" s="38">
        <v>1</v>
      </c>
      <c r="F54" s="26">
        <v>45132</v>
      </c>
      <c r="G54" s="38">
        <v>1</v>
      </c>
      <c r="H54" s="160" t="s">
        <v>5446</v>
      </c>
      <c r="I54" s="38" t="s">
        <v>5427</v>
      </c>
      <c r="J54" s="38"/>
      <c r="K54" s="38" t="s">
        <v>5365</v>
      </c>
    </row>
    <row r="55" spans="1:11" s="39" customFormat="1" ht="11.25" customHeight="1" x14ac:dyDescent="0.35">
      <c r="A55" s="38" t="s">
        <v>60</v>
      </c>
      <c r="C55" s="106" t="s">
        <v>5447</v>
      </c>
      <c r="D55" s="82" t="s">
        <v>5448</v>
      </c>
      <c r="E55" s="38">
        <v>5</v>
      </c>
      <c r="F55" s="26">
        <v>45132</v>
      </c>
      <c r="G55" s="38">
        <v>5</v>
      </c>
      <c r="H55" s="160" t="s">
        <v>5389</v>
      </c>
      <c r="I55" s="38" t="s">
        <v>5401</v>
      </c>
      <c r="J55" s="38"/>
      <c r="K55" s="38" t="s">
        <v>5365</v>
      </c>
    </row>
    <row r="56" spans="1:11" s="39" customFormat="1" ht="11.25" customHeight="1" x14ac:dyDescent="0.35">
      <c r="A56" s="38" t="s">
        <v>60</v>
      </c>
      <c r="C56" s="106" t="s">
        <v>3656</v>
      </c>
      <c r="D56" s="82" t="s">
        <v>5449</v>
      </c>
      <c r="E56" s="38">
        <v>4</v>
      </c>
      <c r="F56" s="26">
        <v>45132</v>
      </c>
      <c r="G56" s="38">
        <v>4</v>
      </c>
      <c r="H56" s="160" t="s">
        <v>5409</v>
      </c>
      <c r="I56" s="38" t="s">
        <v>5401</v>
      </c>
      <c r="J56" s="38"/>
      <c r="K56" s="38" t="s">
        <v>5365</v>
      </c>
    </row>
    <row r="57" spans="1:11" s="35" customFormat="1" ht="11.25" customHeight="1" x14ac:dyDescent="0.35">
      <c r="A57" s="33" t="s">
        <v>60</v>
      </c>
      <c r="C57" s="272" t="s">
        <v>5450</v>
      </c>
      <c r="D57" s="31" t="s">
        <v>4541</v>
      </c>
      <c r="E57" s="33">
        <v>1</v>
      </c>
      <c r="F57" s="22">
        <v>45132</v>
      </c>
      <c r="G57" s="33"/>
      <c r="H57" s="159" t="s">
        <v>4732</v>
      </c>
      <c r="I57" s="33"/>
      <c r="J57" s="33"/>
      <c r="K57" s="33" t="s">
        <v>5338</v>
      </c>
    </row>
    <row r="58" spans="1:11" s="39" customFormat="1" ht="11.25" customHeight="1" x14ac:dyDescent="0.35">
      <c r="A58" s="38" t="s">
        <v>60</v>
      </c>
      <c r="C58" s="106" t="s">
        <v>5451</v>
      </c>
      <c r="D58" s="82" t="s">
        <v>5346</v>
      </c>
      <c r="E58" s="38">
        <v>4</v>
      </c>
      <c r="F58" s="26">
        <v>45132</v>
      </c>
      <c r="G58" s="38">
        <v>4</v>
      </c>
      <c r="H58" s="160">
        <v>45205</v>
      </c>
      <c r="I58" s="38" t="s">
        <v>5452</v>
      </c>
      <c r="J58" s="38"/>
      <c r="K58" s="38" t="s">
        <v>5365</v>
      </c>
    </row>
    <row r="59" spans="1:11" s="39" customFormat="1" ht="11.25" customHeight="1" x14ac:dyDescent="0.35">
      <c r="A59" s="38" t="s">
        <v>60</v>
      </c>
      <c r="B59" s="39" t="s">
        <v>1479</v>
      </c>
      <c r="C59" s="106" t="s">
        <v>5109</v>
      </c>
      <c r="D59" s="82" t="s">
        <v>1785</v>
      </c>
      <c r="E59" s="38">
        <v>4</v>
      </c>
      <c r="F59" s="26">
        <v>45132</v>
      </c>
      <c r="G59" s="38">
        <v>4</v>
      </c>
      <c r="H59" s="160" t="s">
        <v>5453</v>
      </c>
      <c r="I59" s="38" t="s">
        <v>5452</v>
      </c>
      <c r="J59" s="38"/>
      <c r="K59" s="38" t="s">
        <v>5365</v>
      </c>
    </row>
    <row r="60" spans="1:11" s="39" customFormat="1" ht="11.25" customHeight="1" x14ac:dyDescent="0.35">
      <c r="A60" s="38" t="s">
        <v>60</v>
      </c>
      <c r="B60" s="39" t="s">
        <v>1479</v>
      </c>
      <c r="C60" s="106" t="s">
        <v>5454</v>
      </c>
      <c r="D60" s="82" t="s">
        <v>5455</v>
      </c>
      <c r="E60" s="38">
        <v>2</v>
      </c>
      <c r="F60" s="26">
        <v>45132</v>
      </c>
      <c r="G60" s="38">
        <v>2</v>
      </c>
      <c r="H60" s="160">
        <v>45147</v>
      </c>
      <c r="I60" s="38" t="s">
        <v>5427</v>
      </c>
      <c r="J60" s="38"/>
      <c r="K60" s="38" t="s">
        <v>5365</v>
      </c>
    </row>
    <row r="61" spans="1:11" s="39" customFormat="1" ht="11.25" customHeight="1" x14ac:dyDescent="0.35">
      <c r="A61" s="38" t="s">
        <v>60</v>
      </c>
      <c r="B61" s="39" t="s">
        <v>1479</v>
      </c>
      <c r="C61" s="106" t="s">
        <v>5456</v>
      </c>
      <c r="D61" s="82" t="s">
        <v>1181</v>
      </c>
      <c r="E61" s="38">
        <v>1</v>
      </c>
      <c r="F61" s="26">
        <v>45132</v>
      </c>
      <c r="G61" s="38">
        <v>1</v>
      </c>
      <c r="H61" s="160">
        <v>45205</v>
      </c>
      <c r="I61" s="38" t="s">
        <v>5401</v>
      </c>
      <c r="J61" s="38"/>
      <c r="K61" s="38" t="s">
        <v>5365</v>
      </c>
    </row>
    <row r="62" spans="1:11" s="35" customFormat="1" ht="11.25" customHeight="1" x14ac:dyDescent="0.35">
      <c r="A62" s="33" t="s">
        <v>60</v>
      </c>
      <c r="C62" s="272" t="s">
        <v>5457</v>
      </c>
      <c r="D62" s="31" t="s">
        <v>1613</v>
      </c>
      <c r="E62" s="33">
        <v>1</v>
      </c>
      <c r="F62" s="22">
        <v>45132</v>
      </c>
      <c r="G62" s="33"/>
      <c r="H62" s="159" t="s">
        <v>4732</v>
      </c>
      <c r="I62" s="33"/>
      <c r="J62" s="33"/>
      <c r="K62" s="33" t="s">
        <v>5338</v>
      </c>
    </row>
    <row r="63" spans="1:11" s="39" customFormat="1" ht="11.25" customHeight="1" x14ac:dyDescent="0.35">
      <c r="A63" s="38" t="s">
        <v>60</v>
      </c>
      <c r="C63" s="106" t="s">
        <v>5458</v>
      </c>
      <c r="D63" s="82" t="s">
        <v>2354</v>
      </c>
      <c r="E63" s="38">
        <v>2</v>
      </c>
      <c r="F63" s="26">
        <v>45132</v>
      </c>
      <c r="G63" s="38">
        <v>2</v>
      </c>
      <c r="H63" s="160" t="s">
        <v>5459</v>
      </c>
      <c r="I63" s="38" t="s">
        <v>5460</v>
      </c>
      <c r="J63" s="38"/>
      <c r="K63" s="38" t="s">
        <v>5365</v>
      </c>
    </row>
    <row r="64" spans="1:11" s="39" customFormat="1" ht="11.25" customHeight="1" x14ac:dyDescent="0.35">
      <c r="A64" s="38" t="s">
        <v>60</v>
      </c>
      <c r="B64" s="39" t="s">
        <v>1479</v>
      </c>
      <c r="C64" s="106" t="s">
        <v>5461</v>
      </c>
      <c r="D64" s="82" t="s">
        <v>5462</v>
      </c>
      <c r="E64" s="38">
        <v>1</v>
      </c>
      <c r="F64" s="26">
        <v>45132</v>
      </c>
      <c r="G64" s="38">
        <v>1</v>
      </c>
      <c r="H64" s="160">
        <v>45203</v>
      </c>
      <c r="I64" s="38" t="s">
        <v>5398</v>
      </c>
      <c r="J64" s="38"/>
      <c r="K64" s="38" t="s">
        <v>5365</v>
      </c>
    </row>
    <row r="65" spans="1:11" s="35" customFormat="1" ht="11.25" customHeight="1" x14ac:dyDescent="0.35">
      <c r="A65" s="33" t="s">
        <v>60</v>
      </c>
      <c r="C65" s="272" t="s">
        <v>1562</v>
      </c>
      <c r="D65" s="31" t="s">
        <v>5463</v>
      </c>
      <c r="E65" s="33">
        <v>1</v>
      </c>
      <c r="F65" s="22">
        <v>45132</v>
      </c>
      <c r="G65" s="33"/>
      <c r="H65" s="159" t="s">
        <v>4732</v>
      </c>
      <c r="I65" s="33"/>
      <c r="J65" s="33"/>
      <c r="K65" s="33" t="s">
        <v>5338</v>
      </c>
    </row>
    <row r="66" spans="1:11" s="35" customFormat="1" ht="11.25" customHeight="1" x14ac:dyDescent="0.35">
      <c r="A66" s="33" t="s">
        <v>60</v>
      </c>
      <c r="C66" s="272" t="s">
        <v>5464</v>
      </c>
      <c r="D66" s="31" t="s">
        <v>5465</v>
      </c>
      <c r="E66" s="33">
        <v>1</v>
      </c>
      <c r="F66" s="22">
        <v>45132</v>
      </c>
      <c r="G66" s="33"/>
      <c r="H66" s="159" t="s">
        <v>4732</v>
      </c>
      <c r="I66" s="33"/>
      <c r="J66" s="33"/>
      <c r="K66" s="33" t="s">
        <v>5338</v>
      </c>
    </row>
    <row r="67" spans="1:11" s="39" customFormat="1" ht="11.25" customHeight="1" x14ac:dyDescent="0.35">
      <c r="A67" s="38" t="s">
        <v>60</v>
      </c>
      <c r="B67" s="39" t="s">
        <v>1479</v>
      </c>
      <c r="C67" s="106" t="s">
        <v>5466</v>
      </c>
      <c r="D67" s="82" t="s">
        <v>5467</v>
      </c>
      <c r="E67" s="38">
        <v>1</v>
      </c>
      <c r="F67" s="26">
        <v>45132</v>
      </c>
      <c r="G67" s="38">
        <v>1</v>
      </c>
      <c r="H67" s="160" t="s">
        <v>5468</v>
      </c>
      <c r="I67" s="38" t="s">
        <v>5398</v>
      </c>
      <c r="J67" s="38"/>
      <c r="K67" s="38" t="s">
        <v>5365</v>
      </c>
    </row>
    <row r="68" spans="1:11" s="39" customFormat="1" ht="11.25" customHeight="1" x14ac:dyDescent="0.35">
      <c r="A68" s="38" t="s">
        <v>60</v>
      </c>
      <c r="B68" s="39" t="s">
        <v>1479</v>
      </c>
      <c r="C68" s="106" t="s">
        <v>5469</v>
      </c>
      <c r="D68" s="82" t="s">
        <v>5470</v>
      </c>
      <c r="E68" s="38">
        <v>2</v>
      </c>
      <c r="F68" s="26">
        <v>45132</v>
      </c>
      <c r="G68" s="38">
        <v>2</v>
      </c>
      <c r="H68" s="160" t="s">
        <v>5389</v>
      </c>
      <c r="I68" s="38" t="s">
        <v>5401</v>
      </c>
      <c r="J68" s="38"/>
      <c r="K68" s="38" t="s">
        <v>5365</v>
      </c>
    </row>
    <row r="69" spans="1:11" s="39" customFormat="1" ht="11.25" customHeight="1" x14ac:dyDescent="0.35">
      <c r="A69" s="38" t="s">
        <v>60</v>
      </c>
      <c r="B69" s="39" t="s">
        <v>1479</v>
      </c>
      <c r="C69" s="106" t="s">
        <v>5471</v>
      </c>
      <c r="D69" s="82" t="s">
        <v>5472</v>
      </c>
      <c r="E69" s="38">
        <v>1</v>
      </c>
      <c r="F69" s="26">
        <v>45132</v>
      </c>
      <c r="G69" s="38">
        <v>1</v>
      </c>
      <c r="H69" s="160" t="s">
        <v>5409</v>
      </c>
      <c r="I69" s="38" t="s">
        <v>5401</v>
      </c>
      <c r="J69" s="38"/>
      <c r="K69" s="38" t="s">
        <v>5365</v>
      </c>
    </row>
    <row r="70" spans="1:11" s="35" customFormat="1" ht="11.25" customHeight="1" x14ac:dyDescent="0.35">
      <c r="A70" s="33" t="s">
        <v>60</v>
      </c>
      <c r="C70" s="272" t="s">
        <v>5473</v>
      </c>
      <c r="D70" s="31" t="s">
        <v>5474</v>
      </c>
      <c r="E70" s="33">
        <v>1</v>
      </c>
      <c r="F70" s="22">
        <v>45132</v>
      </c>
      <c r="G70" s="33"/>
      <c r="H70" s="159" t="s">
        <v>4732</v>
      </c>
      <c r="I70" s="33"/>
      <c r="J70" s="33"/>
      <c r="K70" s="33" t="s">
        <v>5338</v>
      </c>
    </row>
    <row r="71" spans="1:11" s="35" customFormat="1" ht="11.25" customHeight="1" x14ac:dyDescent="0.35">
      <c r="A71" s="33" t="s">
        <v>60</v>
      </c>
      <c r="C71" s="272" t="s">
        <v>5475</v>
      </c>
      <c r="D71" s="31" t="s">
        <v>5476</v>
      </c>
      <c r="E71" s="33">
        <v>2</v>
      </c>
      <c r="F71" s="22">
        <v>45132</v>
      </c>
      <c r="G71" s="33"/>
      <c r="H71" s="159" t="s">
        <v>4732</v>
      </c>
      <c r="I71" s="33"/>
      <c r="J71" s="33"/>
      <c r="K71" s="33" t="s">
        <v>5338</v>
      </c>
    </row>
    <row r="72" spans="1:11" s="39" customFormat="1" ht="11.25" customHeight="1" x14ac:dyDescent="0.35">
      <c r="A72" s="38" t="s">
        <v>60</v>
      </c>
      <c r="B72" s="39" t="s">
        <v>1479</v>
      </c>
      <c r="C72" s="106" t="s">
        <v>5477</v>
      </c>
      <c r="D72" s="82" t="s">
        <v>4541</v>
      </c>
      <c r="E72" s="38">
        <v>1</v>
      </c>
      <c r="F72" s="26">
        <v>45132</v>
      </c>
      <c r="G72" s="38">
        <v>1</v>
      </c>
      <c r="H72" s="160" t="s">
        <v>5423</v>
      </c>
      <c r="I72" s="38" t="s">
        <v>5452</v>
      </c>
      <c r="J72" s="38"/>
      <c r="K72" s="38" t="s">
        <v>5365</v>
      </c>
    </row>
    <row r="73" spans="1:11" s="35" customFormat="1" ht="11.25" customHeight="1" x14ac:dyDescent="0.35">
      <c r="A73" s="33" t="s">
        <v>60</v>
      </c>
      <c r="C73" s="272" t="s">
        <v>5478</v>
      </c>
      <c r="D73" s="31" t="s">
        <v>5479</v>
      </c>
      <c r="E73" s="33">
        <v>3</v>
      </c>
      <c r="F73" s="22">
        <v>45132</v>
      </c>
      <c r="G73" s="33"/>
      <c r="H73" s="159" t="s">
        <v>4732</v>
      </c>
      <c r="I73" s="33"/>
      <c r="J73" s="33"/>
      <c r="K73" s="33" t="s">
        <v>5338</v>
      </c>
    </row>
    <row r="74" spans="1:11" s="39" customFormat="1" ht="11.25" customHeight="1" x14ac:dyDescent="0.35">
      <c r="A74" s="38" t="s">
        <v>60</v>
      </c>
      <c r="B74" s="39" t="s">
        <v>1479</v>
      </c>
      <c r="C74" s="106" t="s">
        <v>5480</v>
      </c>
      <c r="D74" s="82" t="s">
        <v>5481</v>
      </c>
      <c r="E74" s="38">
        <v>1</v>
      </c>
      <c r="F74" s="26">
        <v>45132</v>
      </c>
      <c r="G74" s="38">
        <v>1</v>
      </c>
      <c r="H74" s="160">
        <v>45205</v>
      </c>
      <c r="I74" s="38" t="s">
        <v>5401</v>
      </c>
      <c r="J74" s="38"/>
      <c r="K74" s="38" t="s">
        <v>5365</v>
      </c>
    </row>
    <row r="75" spans="1:11" s="35" customFormat="1" ht="11.25" customHeight="1" x14ac:dyDescent="0.35">
      <c r="A75" s="33" t="s">
        <v>60</v>
      </c>
      <c r="C75" s="272" t="s">
        <v>5482</v>
      </c>
      <c r="D75" s="31" t="s">
        <v>1785</v>
      </c>
      <c r="E75" s="33">
        <v>4</v>
      </c>
      <c r="F75" s="22">
        <v>45132</v>
      </c>
      <c r="G75" s="33"/>
      <c r="H75" s="159" t="s">
        <v>4732</v>
      </c>
      <c r="I75" s="33"/>
      <c r="J75" s="33"/>
      <c r="K75" s="33" t="s">
        <v>5338</v>
      </c>
    </row>
    <row r="76" spans="1:11" s="39" customFormat="1" ht="11.25" customHeight="1" x14ac:dyDescent="0.35">
      <c r="A76" s="38" t="s">
        <v>60</v>
      </c>
      <c r="C76" s="106">
        <v>1456382701</v>
      </c>
      <c r="D76" s="82" t="s">
        <v>5483</v>
      </c>
      <c r="E76" s="38">
        <v>2</v>
      </c>
      <c r="F76" s="26">
        <v>45132</v>
      </c>
      <c r="G76" s="38">
        <v>2</v>
      </c>
      <c r="H76" s="160" t="s">
        <v>5484</v>
      </c>
      <c r="I76" s="38" t="s">
        <v>5413</v>
      </c>
      <c r="J76" s="38"/>
      <c r="K76" s="38" t="s">
        <v>5365</v>
      </c>
    </row>
    <row r="77" spans="1:11" s="35" customFormat="1" ht="11.25" customHeight="1" x14ac:dyDescent="0.35">
      <c r="A77" s="33" t="s">
        <v>60</v>
      </c>
      <c r="C77" s="272" t="s">
        <v>5485</v>
      </c>
      <c r="D77" s="31" t="s">
        <v>4541</v>
      </c>
      <c r="E77" s="33">
        <v>2</v>
      </c>
      <c r="F77" s="22">
        <v>45132</v>
      </c>
      <c r="G77" s="33"/>
      <c r="H77" s="159" t="s">
        <v>4732</v>
      </c>
      <c r="I77" s="33"/>
      <c r="J77" s="33"/>
      <c r="K77" s="33" t="s">
        <v>5338</v>
      </c>
    </row>
    <row r="78" spans="1:11" s="35" customFormat="1" ht="11.25" customHeight="1" x14ac:dyDescent="0.35">
      <c r="A78" s="33" t="s">
        <v>60</v>
      </c>
      <c r="C78" s="272" t="s">
        <v>5486</v>
      </c>
      <c r="D78" s="31" t="s">
        <v>5180</v>
      </c>
      <c r="E78" s="33">
        <v>12</v>
      </c>
      <c r="F78" s="22">
        <v>45132</v>
      </c>
      <c r="G78" s="33"/>
      <c r="H78" s="159" t="s">
        <v>4732</v>
      </c>
      <c r="I78" s="33"/>
      <c r="J78" s="33"/>
      <c r="K78" s="33" t="s">
        <v>5338</v>
      </c>
    </row>
    <row r="79" spans="1:11" s="39" customFormat="1" ht="11.25" customHeight="1" x14ac:dyDescent="0.35">
      <c r="A79" s="38" t="s">
        <v>60</v>
      </c>
      <c r="C79" s="106" t="s">
        <v>5487</v>
      </c>
      <c r="D79" s="82" t="s">
        <v>5488</v>
      </c>
      <c r="E79" s="38">
        <v>4</v>
      </c>
      <c r="F79" s="26">
        <v>45132</v>
      </c>
      <c r="G79" s="38">
        <v>4</v>
      </c>
      <c r="H79" s="160">
        <v>45205</v>
      </c>
      <c r="I79" s="38" t="s">
        <v>5401</v>
      </c>
      <c r="J79" s="38"/>
      <c r="K79" s="38" t="s">
        <v>5365</v>
      </c>
    </row>
    <row r="80" spans="1:11" s="39" customFormat="1" ht="11.25" customHeight="1" x14ac:dyDescent="0.35">
      <c r="A80" s="38" t="s">
        <v>60</v>
      </c>
      <c r="B80" s="39" t="s">
        <v>1479</v>
      </c>
      <c r="C80" s="106" t="s">
        <v>5083</v>
      </c>
      <c r="D80" s="82" t="s">
        <v>1785</v>
      </c>
      <c r="E80" s="38">
        <v>4</v>
      </c>
      <c r="F80" s="26">
        <v>45132</v>
      </c>
      <c r="G80" s="38">
        <v>4</v>
      </c>
      <c r="H80" s="160" t="s">
        <v>5446</v>
      </c>
      <c r="I80" s="38" t="s">
        <v>5413</v>
      </c>
      <c r="J80" s="38"/>
      <c r="K80" s="38" t="s">
        <v>5365</v>
      </c>
    </row>
    <row r="81" spans="1:11" s="39" customFormat="1" ht="11.25" customHeight="1" x14ac:dyDescent="0.35">
      <c r="A81" s="38" t="s">
        <v>60</v>
      </c>
      <c r="B81" s="39" t="s">
        <v>1479</v>
      </c>
      <c r="C81" s="106" t="s">
        <v>5489</v>
      </c>
      <c r="D81" s="82" t="s">
        <v>5490</v>
      </c>
      <c r="E81" s="38">
        <v>2</v>
      </c>
      <c r="F81" s="26">
        <v>45132</v>
      </c>
      <c r="G81" s="38">
        <v>2</v>
      </c>
      <c r="H81" s="160">
        <v>45208</v>
      </c>
      <c r="I81" s="38" t="s">
        <v>5401</v>
      </c>
      <c r="J81" s="38"/>
      <c r="K81" s="38" t="s">
        <v>5365</v>
      </c>
    </row>
    <row r="82" spans="1:11" s="39" customFormat="1" ht="11.25" customHeight="1" x14ac:dyDescent="0.35">
      <c r="A82" s="38" t="s">
        <v>60</v>
      </c>
      <c r="B82" s="39" t="s">
        <v>1479</v>
      </c>
      <c r="C82" s="106" t="s">
        <v>5491</v>
      </c>
      <c r="D82" s="82" t="s">
        <v>5492</v>
      </c>
      <c r="E82" s="38">
        <v>1</v>
      </c>
      <c r="F82" s="26">
        <v>45132</v>
      </c>
      <c r="G82" s="38">
        <v>1</v>
      </c>
      <c r="H82" s="160">
        <v>45179</v>
      </c>
      <c r="I82" s="38" t="s">
        <v>5398</v>
      </c>
      <c r="J82" s="38"/>
      <c r="K82" s="38" t="s">
        <v>5365</v>
      </c>
    </row>
    <row r="83" spans="1:11" s="35" customFormat="1" ht="11.25" customHeight="1" x14ac:dyDescent="0.35">
      <c r="A83" s="33" t="s">
        <v>60</v>
      </c>
      <c r="C83" s="272" t="s">
        <v>5493</v>
      </c>
      <c r="D83" s="31" t="s">
        <v>5494</v>
      </c>
      <c r="E83" s="33">
        <v>2</v>
      </c>
      <c r="F83" s="22">
        <v>45132</v>
      </c>
      <c r="G83" s="33"/>
      <c r="H83" s="159" t="s">
        <v>4732</v>
      </c>
      <c r="I83" s="33"/>
      <c r="J83" s="33"/>
      <c r="K83" s="33" t="s">
        <v>5338</v>
      </c>
    </row>
    <row r="84" spans="1:11" s="35" customFormat="1" ht="11.25" customHeight="1" x14ac:dyDescent="0.35">
      <c r="A84" s="33" t="s">
        <v>60</v>
      </c>
      <c r="C84" s="272" t="s">
        <v>5495</v>
      </c>
      <c r="D84" s="31" t="s">
        <v>5496</v>
      </c>
      <c r="E84" s="33">
        <v>5</v>
      </c>
      <c r="F84" s="22">
        <v>45132</v>
      </c>
      <c r="G84" s="33"/>
      <c r="H84" s="159" t="s">
        <v>4732</v>
      </c>
      <c r="I84" s="33"/>
      <c r="J84" s="33"/>
      <c r="K84" s="33" t="s">
        <v>5338</v>
      </c>
    </row>
    <row r="85" spans="1:11" s="39" customFormat="1" ht="11.25" customHeight="1" x14ac:dyDescent="0.35">
      <c r="A85" s="38" t="s">
        <v>60</v>
      </c>
      <c r="C85" s="106" t="s">
        <v>5088</v>
      </c>
      <c r="D85" s="82" t="s">
        <v>1785</v>
      </c>
      <c r="E85" s="38">
        <v>5</v>
      </c>
      <c r="F85" s="26">
        <v>45132</v>
      </c>
      <c r="G85" s="38">
        <v>5</v>
      </c>
      <c r="H85" s="160">
        <v>45205</v>
      </c>
      <c r="I85" s="38" t="s">
        <v>5401</v>
      </c>
      <c r="J85" s="38"/>
      <c r="K85" s="38" t="s">
        <v>5365</v>
      </c>
    </row>
    <row r="86" spans="1:11" s="39" customFormat="1" ht="11.25" customHeight="1" x14ac:dyDescent="0.35">
      <c r="A86" s="38" t="s">
        <v>60</v>
      </c>
      <c r="B86" s="39" t="s">
        <v>1479</v>
      </c>
      <c r="C86" s="106" t="s">
        <v>5497</v>
      </c>
      <c r="D86" s="82" t="s">
        <v>5498</v>
      </c>
      <c r="E86" s="38">
        <v>1</v>
      </c>
      <c r="F86" s="26">
        <v>45132</v>
      </c>
      <c r="G86" s="38">
        <v>1</v>
      </c>
      <c r="H86" s="160">
        <v>45205</v>
      </c>
      <c r="I86" s="38" t="s">
        <v>5401</v>
      </c>
      <c r="J86" s="38"/>
      <c r="K86" s="38" t="s">
        <v>5365</v>
      </c>
    </row>
    <row r="87" spans="1:11" s="35" customFormat="1" ht="11.25" customHeight="1" x14ac:dyDescent="0.35">
      <c r="A87" s="33" t="s">
        <v>60</v>
      </c>
      <c r="C87" s="272" t="s">
        <v>5499</v>
      </c>
      <c r="D87" s="31" t="s">
        <v>5500</v>
      </c>
      <c r="E87" s="33">
        <v>1</v>
      </c>
      <c r="F87" s="22">
        <v>45132</v>
      </c>
      <c r="G87" s="33"/>
      <c r="H87" s="159" t="s">
        <v>4732</v>
      </c>
      <c r="I87" s="33"/>
      <c r="J87" s="33"/>
      <c r="K87" s="33" t="s">
        <v>5338</v>
      </c>
    </row>
    <row r="88" spans="1:11" s="35" customFormat="1" ht="11.25" customHeight="1" x14ac:dyDescent="0.35">
      <c r="A88" s="33" t="s">
        <v>60</v>
      </c>
      <c r="C88" s="272">
        <v>322725038</v>
      </c>
      <c r="D88" s="31" t="s">
        <v>5501</v>
      </c>
      <c r="E88" s="33">
        <v>1</v>
      </c>
      <c r="F88" s="22">
        <v>45132</v>
      </c>
      <c r="G88" s="33"/>
      <c r="H88" s="159" t="s">
        <v>4732</v>
      </c>
      <c r="I88" s="33"/>
      <c r="J88" s="33"/>
      <c r="K88" s="33" t="s">
        <v>5338</v>
      </c>
    </row>
    <row r="89" spans="1:11" s="39" customFormat="1" ht="11.25" customHeight="1" x14ac:dyDescent="0.35">
      <c r="A89" s="38" t="s">
        <v>60</v>
      </c>
      <c r="B89" s="39" t="s">
        <v>1479</v>
      </c>
      <c r="C89" s="106" t="s">
        <v>5502</v>
      </c>
      <c r="D89" s="82" t="s">
        <v>5503</v>
      </c>
      <c r="E89" s="38">
        <v>1</v>
      </c>
      <c r="F89" s="26">
        <v>45132</v>
      </c>
      <c r="G89" s="38">
        <v>1</v>
      </c>
      <c r="H89" s="160">
        <v>45205</v>
      </c>
      <c r="I89" s="38" t="s">
        <v>5401</v>
      </c>
      <c r="J89" s="38"/>
      <c r="K89" s="38" t="s">
        <v>5365</v>
      </c>
    </row>
    <row r="90" spans="1:11" s="35" customFormat="1" ht="11.25" customHeight="1" x14ac:dyDescent="0.35">
      <c r="A90" s="33" t="s">
        <v>60</v>
      </c>
      <c r="C90" s="272" t="s">
        <v>5504</v>
      </c>
      <c r="D90" s="31" t="s">
        <v>5505</v>
      </c>
      <c r="E90" s="33">
        <v>1</v>
      </c>
      <c r="F90" s="22">
        <v>45132</v>
      </c>
      <c r="G90" s="33"/>
      <c r="H90" s="159" t="s">
        <v>4732</v>
      </c>
      <c r="I90" s="33"/>
      <c r="J90" s="33"/>
      <c r="K90" s="33" t="s">
        <v>5338</v>
      </c>
    </row>
    <row r="91" spans="1:11" s="35" customFormat="1" ht="11.25" customHeight="1" x14ac:dyDescent="0.35">
      <c r="A91" s="33" t="s">
        <v>60</v>
      </c>
      <c r="C91" s="272" t="s">
        <v>5506</v>
      </c>
      <c r="D91" s="31" t="s">
        <v>5507</v>
      </c>
      <c r="E91" s="33">
        <v>1</v>
      </c>
      <c r="F91" s="22">
        <v>45132</v>
      </c>
      <c r="G91" s="33"/>
      <c r="H91" s="159" t="s">
        <v>4732</v>
      </c>
      <c r="I91" s="33"/>
      <c r="J91" s="33"/>
      <c r="K91" s="33" t="s">
        <v>5338</v>
      </c>
    </row>
    <row r="92" spans="1:11" s="42" customFormat="1" ht="11.25" customHeight="1" x14ac:dyDescent="0.35">
      <c r="A92" s="40" t="s">
        <v>60</v>
      </c>
      <c r="B92" s="636"/>
      <c r="C92" s="273" t="s">
        <v>5508</v>
      </c>
      <c r="D92" s="117" t="s">
        <v>5509</v>
      </c>
      <c r="E92" s="40">
        <v>48</v>
      </c>
      <c r="F92" s="41">
        <v>44999</v>
      </c>
      <c r="G92" s="40">
        <v>24</v>
      </c>
      <c r="H92" s="161">
        <v>45121</v>
      </c>
      <c r="I92" s="40" t="s">
        <v>5510</v>
      </c>
      <c r="J92" s="40"/>
      <c r="K92" s="40" t="s">
        <v>5511</v>
      </c>
    </row>
    <row r="93" spans="1:11" s="39" customFormat="1" ht="11.25" customHeight="1" x14ac:dyDescent="0.35">
      <c r="A93" s="38" t="s">
        <v>60</v>
      </c>
      <c r="C93" s="106" t="s">
        <v>5512</v>
      </c>
      <c r="D93" s="82" t="s">
        <v>5509</v>
      </c>
      <c r="E93" s="38">
        <v>24</v>
      </c>
      <c r="F93" s="26">
        <v>44999</v>
      </c>
      <c r="G93" s="38">
        <v>12</v>
      </c>
      <c r="H93" s="160">
        <v>45121</v>
      </c>
      <c r="I93" s="38" t="s">
        <v>5510</v>
      </c>
      <c r="J93" s="38"/>
      <c r="K93" s="38" t="s">
        <v>5365</v>
      </c>
    </row>
    <row r="94" spans="1:11" s="39" customFormat="1" ht="11.25" customHeight="1" x14ac:dyDescent="0.35">
      <c r="A94" s="38" t="s">
        <v>60</v>
      </c>
      <c r="C94" s="106" t="s">
        <v>5513</v>
      </c>
      <c r="D94" s="82" t="s">
        <v>5509</v>
      </c>
      <c r="E94" s="38">
        <v>24</v>
      </c>
      <c r="F94" s="26">
        <v>44999</v>
      </c>
      <c r="G94" s="38">
        <v>12</v>
      </c>
      <c r="H94" s="160">
        <v>45121</v>
      </c>
      <c r="I94" s="38" t="s">
        <v>5510</v>
      </c>
      <c r="J94" s="38"/>
      <c r="K94" s="38" t="s">
        <v>5365</v>
      </c>
    </row>
    <row r="95" spans="1:11" s="42" customFormat="1" ht="11.25" customHeight="1" x14ac:dyDescent="0.35">
      <c r="A95" s="40" t="s">
        <v>60</v>
      </c>
      <c r="B95" s="636"/>
      <c r="C95" s="273" t="s">
        <v>5514</v>
      </c>
      <c r="D95" s="117" t="s">
        <v>1613</v>
      </c>
      <c r="E95" s="40">
        <v>220</v>
      </c>
      <c r="F95" s="41">
        <v>44999</v>
      </c>
      <c r="G95" s="40">
        <v>84</v>
      </c>
      <c r="H95" s="161">
        <v>45121</v>
      </c>
      <c r="I95" s="40" t="s">
        <v>5510</v>
      </c>
      <c r="J95" s="40"/>
      <c r="K95" s="40" t="s">
        <v>5511</v>
      </c>
    </row>
    <row r="96" spans="1:11" s="42" customFormat="1" ht="11.25" customHeight="1" x14ac:dyDescent="0.35">
      <c r="A96" s="40" t="s">
        <v>60</v>
      </c>
      <c r="B96" s="636"/>
      <c r="C96" s="273" t="s">
        <v>5515</v>
      </c>
      <c r="D96" s="117" t="s">
        <v>1613</v>
      </c>
      <c r="E96" s="40">
        <v>200</v>
      </c>
      <c r="F96" s="41">
        <v>44999</v>
      </c>
      <c r="G96" s="40">
        <v>84</v>
      </c>
      <c r="H96" s="161">
        <v>45121</v>
      </c>
      <c r="I96" s="40" t="s">
        <v>5510</v>
      </c>
      <c r="J96" s="40"/>
      <c r="K96" s="40" t="s">
        <v>5511</v>
      </c>
    </row>
    <row r="97" spans="1:11" s="42" customFormat="1" ht="11.25" customHeight="1" x14ac:dyDescent="0.35">
      <c r="A97" s="40" t="s">
        <v>60</v>
      </c>
      <c r="B97" s="636"/>
      <c r="C97" s="273" t="s">
        <v>3638</v>
      </c>
      <c r="D97" s="117" t="s">
        <v>5346</v>
      </c>
      <c r="E97" s="40">
        <v>200</v>
      </c>
      <c r="F97" s="41">
        <v>44999</v>
      </c>
      <c r="G97" s="40">
        <v>84</v>
      </c>
      <c r="H97" s="161">
        <v>45121</v>
      </c>
      <c r="I97" s="40" t="s">
        <v>5510</v>
      </c>
      <c r="J97" s="40"/>
      <c r="K97" s="40" t="s">
        <v>5511</v>
      </c>
    </row>
    <row r="98" spans="1:11" s="42" customFormat="1" ht="11.25" customHeight="1" x14ac:dyDescent="0.35">
      <c r="A98" s="40" t="s">
        <v>60</v>
      </c>
      <c r="B98" s="636"/>
      <c r="C98" s="273" t="s">
        <v>5516</v>
      </c>
      <c r="D98" s="117" t="s">
        <v>5346</v>
      </c>
      <c r="E98" s="40">
        <v>220</v>
      </c>
      <c r="F98" s="41">
        <v>44999</v>
      </c>
      <c r="G98" s="40">
        <v>84</v>
      </c>
      <c r="H98" s="161">
        <v>45121</v>
      </c>
      <c r="I98" s="40" t="s">
        <v>5510</v>
      </c>
      <c r="J98" s="40"/>
      <c r="K98" s="40" t="s">
        <v>5511</v>
      </c>
    </row>
    <row r="99" spans="1:11" s="42" customFormat="1" ht="11.25" customHeight="1" x14ac:dyDescent="0.35">
      <c r="A99" s="40" t="s">
        <v>60</v>
      </c>
      <c r="B99" s="636"/>
      <c r="C99" s="273" t="s">
        <v>5517</v>
      </c>
      <c r="D99" s="117" t="s">
        <v>5518</v>
      </c>
      <c r="E99" s="40">
        <v>96</v>
      </c>
      <c r="F99" s="41">
        <v>44999</v>
      </c>
      <c r="G99" s="40">
        <v>84</v>
      </c>
      <c r="H99" s="161">
        <v>45121</v>
      </c>
      <c r="I99" s="40" t="s">
        <v>5510</v>
      </c>
      <c r="J99" s="40"/>
      <c r="K99" s="40" t="s">
        <v>5511</v>
      </c>
    </row>
    <row r="100" spans="1:11" s="42" customFormat="1" ht="11.25" customHeight="1" x14ac:dyDescent="0.35">
      <c r="A100" s="40" t="s">
        <v>60</v>
      </c>
      <c r="B100" s="636" t="s">
        <v>1555</v>
      </c>
      <c r="C100" s="273" t="s">
        <v>5519</v>
      </c>
      <c r="D100" s="117" t="s">
        <v>5520</v>
      </c>
      <c r="E100" s="40">
        <v>32</v>
      </c>
      <c r="F100" s="41">
        <v>44985</v>
      </c>
      <c r="G100" s="40">
        <v>28</v>
      </c>
      <c r="H100" s="161" t="s">
        <v>5521</v>
      </c>
      <c r="I100" s="40" t="s">
        <v>5522</v>
      </c>
      <c r="J100" s="40"/>
      <c r="K100" s="40" t="s">
        <v>5511</v>
      </c>
    </row>
    <row r="101" spans="1:11" s="39" customFormat="1" ht="11.25" customHeight="1" x14ac:dyDescent="0.35">
      <c r="A101" s="40" t="s">
        <v>60</v>
      </c>
      <c r="B101" s="39" t="s">
        <v>1479</v>
      </c>
      <c r="C101" s="106" t="s">
        <v>5523</v>
      </c>
      <c r="D101" s="82" t="s">
        <v>5520</v>
      </c>
      <c r="E101" s="38">
        <v>32</v>
      </c>
      <c r="F101" s="26">
        <v>44960</v>
      </c>
      <c r="G101" s="38" t="s">
        <v>5524</v>
      </c>
      <c r="H101" s="160" t="s">
        <v>5525</v>
      </c>
      <c r="I101" s="38" t="s">
        <v>5526</v>
      </c>
      <c r="J101" s="38" t="s">
        <v>5527</v>
      </c>
      <c r="K101" s="38" t="s">
        <v>5365</v>
      </c>
    </row>
    <row r="102" spans="1:11" s="35" customFormat="1" ht="11.25" customHeight="1" x14ac:dyDescent="0.35">
      <c r="A102" s="33" t="s">
        <v>60</v>
      </c>
      <c r="C102" s="272" t="s">
        <v>5528</v>
      </c>
      <c r="D102" s="31" t="s">
        <v>5529</v>
      </c>
      <c r="E102" s="33">
        <v>50</v>
      </c>
      <c r="F102" s="22">
        <v>44960</v>
      </c>
      <c r="G102" s="33"/>
      <c r="H102" s="159" t="s">
        <v>4732</v>
      </c>
      <c r="I102" s="33"/>
      <c r="J102" s="33"/>
      <c r="K102" s="33" t="s">
        <v>5338</v>
      </c>
    </row>
    <row r="103" spans="1:11" s="39" customFormat="1" ht="11.25" customHeight="1" x14ac:dyDescent="0.35">
      <c r="A103" s="33" t="s">
        <v>60</v>
      </c>
      <c r="C103" s="106" t="s">
        <v>5530</v>
      </c>
      <c r="D103" s="82" t="s">
        <v>5531</v>
      </c>
      <c r="E103" s="38"/>
      <c r="F103" s="38"/>
      <c r="G103" s="38">
        <v>4</v>
      </c>
      <c r="H103" s="160">
        <v>45379</v>
      </c>
      <c r="I103" s="38" t="s">
        <v>5413</v>
      </c>
      <c r="J103" s="38"/>
      <c r="K103" s="38" t="s">
        <v>5365</v>
      </c>
    </row>
    <row r="104" spans="1:11" s="35" customFormat="1" ht="11.25" customHeight="1" x14ac:dyDescent="0.35">
      <c r="A104" s="33" t="s">
        <v>60</v>
      </c>
      <c r="C104" s="272" t="s">
        <v>5532</v>
      </c>
      <c r="D104" s="31" t="s">
        <v>5071</v>
      </c>
      <c r="E104" s="33">
        <v>12</v>
      </c>
      <c r="F104" s="22">
        <v>44960</v>
      </c>
      <c r="G104" s="33"/>
      <c r="H104" s="159" t="s">
        <v>4732</v>
      </c>
      <c r="I104" s="33"/>
      <c r="J104" s="33"/>
      <c r="K104" s="33" t="s">
        <v>5338</v>
      </c>
    </row>
    <row r="105" spans="1:11" s="39" customFormat="1" ht="11.25" customHeight="1" x14ac:dyDescent="0.35">
      <c r="A105" s="38" t="s">
        <v>60</v>
      </c>
      <c r="B105" s="39" t="s">
        <v>1555</v>
      </c>
      <c r="C105" s="106" t="s">
        <v>5533</v>
      </c>
      <c r="D105" s="82" t="s">
        <v>815</v>
      </c>
      <c r="E105" s="38">
        <v>32</v>
      </c>
      <c r="F105" s="26">
        <v>44882</v>
      </c>
      <c r="G105" s="38" t="s">
        <v>5534</v>
      </c>
      <c r="H105" s="160" t="s">
        <v>5535</v>
      </c>
      <c r="I105" s="38" t="s">
        <v>5536</v>
      </c>
      <c r="J105" s="38" t="s">
        <v>5537</v>
      </c>
      <c r="K105" s="38" t="s">
        <v>5365</v>
      </c>
    </row>
    <row r="106" spans="1:11" s="39" customFormat="1" ht="11.25" customHeight="1" x14ac:dyDescent="0.35">
      <c r="A106" s="38" t="s">
        <v>60</v>
      </c>
      <c r="B106" s="39" t="s">
        <v>1555</v>
      </c>
      <c r="C106" s="106" t="s">
        <v>5538</v>
      </c>
      <c r="D106" s="82" t="s">
        <v>5531</v>
      </c>
      <c r="E106" s="38">
        <v>4</v>
      </c>
      <c r="F106" s="26">
        <v>44882</v>
      </c>
      <c r="G106" s="38">
        <v>4</v>
      </c>
      <c r="H106" s="160">
        <v>45204</v>
      </c>
      <c r="I106" s="38" t="s">
        <v>5398</v>
      </c>
      <c r="J106" s="38"/>
      <c r="K106" s="38" t="s">
        <v>5365</v>
      </c>
    </row>
    <row r="107" spans="1:11" s="35" customFormat="1" ht="11.25" customHeight="1" x14ac:dyDescent="0.35">
      <c r="A107" s="33" t="s">
        <v>60</v>
      </c>
      <c r="B107" s="35" t="s">
        <v>5539</v>
      </c>
      <c r="C107" s="272" t="s">
        <v>5540</v>
      </c>
      <c r="D107" s="31" t="s">
        <v>5541</v>
      </c>
      <c r="E107" s="33">
        <v>2</v>
      </c>
      <c r="F107" s="22">
        <v>44882</v>
      </c>
      <c r="G107" s="33"/>
      <c r="H107" s="159" t="s">
        <v>4732</v>
      </c>
      <c r="I107" s="33"/>
      <c r="J107" s="33"/>
      <c r="K107" s="33" t="s">
        <v>5338</v>
      </c>
    </row>
    <row r="108" spans="1:11" s="35" customFormat="1" ht="11.25" customHeight="1" x14ac:dyDescent="0.35">
      <c r="A108" s="33" t="s">
        <v>60</v>
      </c>
      <c r="B108" s="35" t="s">
        <v>5539</v>
      </c>
      <c r="C108" s="272" t="s">
        <v>5542</v>
      </c>
      <c r="D108" s="31" t="s">
        <v>5543</v>
      </c>
      <c r="E108" s="33">
        <v>9</v>
      </c>
      <c r="F108" s="22">
        <v>44861</v>
      </c>
      <c r="G108" s="33"/>
      <c r="H108" s="159" t="s">
        <v>4732</v>
      </c>
      <c r="I108" s="33"/>
      <c r="J108" s="33"/>
      <c r="K108" s="33" t="s">
        <v>5338</v>
      </c>
    </row>
    <row r="109" spans="1:11" s="39" customFormat="1" ht="11.25" customHeight="1" x14ac:dyDescent="0.35">
      <c r="A109" s="38" t="s">
        <v>60</v>
      </c>
      <c r="B109" s="39" t="s">
        <v>1555</v>
      </c>
      <c r="C109" s="106" t="s">
        <v>1556</v>
      </c>
      <c r="D109" s="82" t="s">
        <v>5544</v>
      </c>
      <c r="E109" s="38">
        <v>8</v>
      </c>
      <c r="F109" s="26">
        <v>44834</v>
      </c>
      <c r="G109" s="38">
        <v>8</v>
      </c>
      <c r="H109" s="160" t="s">
        <v>5545</v>
      </c>
      <c r="I109" s="38" t="s">
        <v>5413</v>
      </c>
      <c r="J109" s="38"/>
      <c r="K109" s="38" t="s">
        <v>5365</v>
      </c>
    </row>
    <row r="110" spans="1:11" s="39" customFormat="1" ht="11.25" customHeight="1" x14ac:dyDescent="0.35">
      <c r="A110" s="38" t="s">
        <v>60</v>
      </c>
      <c r="B110" s="39" t="s">
        <v>1555</v>
      </c>
      <c r="C110" s="106" t="s">
        <v>5546</v>
      </c>
      <c r="D110" s="82" t="s">
        <v>5547</v>
      </c>
      <c r="E110" s="38">
        <v>4</v>
      </c>
      <c r="F110" s="26">
        <v>44834</v>
      </c>
      <c r="G110" s="38">
        <v>4</v>
      </c>
      <c r="H110" s="160" t="s">
        <v>5548</v>
      </c>
      <c r="I110" s="38" t="s">
        <v>5413</v>
      </c>
      <c r="J110" s="38"/>
      <c r="K110" s="38" t="s">
        <v>5365</v>
      </c>
    </row>
    <row r="111" spans="1:11" s="39" customFormat="1" ht="11.25" customHeight="1" x14ac:dyDescent="0.35">
      <c r="A111" s="38" t="s">
        <v>60</v>
      </c>
      <c r="B111" s="39" t="s">
        <v>1555</v>
      </c>
      <c r="C111" s="106" t="s">
        <v>1562</v>
      </c>
      <c r="D111" s="82" t="s">
        <v>5549</v>
      </c>
      <c r="E111" s="38">
        <v>4</v>
      </c>
      <c r="F111" s="26">
        <v>44834</v>
      </c>
      <c r="G111" s="38">
        <v>4</v>
      </c>
      <c r="H111" s="160" t="s">
        <v>5548</v>
      </c>
      <c r="I111" s="38" t="s">
        <v>5413</v>
      </c>
      <c r="J111" s="38"/>
      <c r="K111" s="38" t="s">
        <v>5365</v>
      </c>
    </row>
    <row r="112" spans="1:11" s="39" customFormat="1" ht="11.25" customHeight="1" x14ac:dyDescent="0.35">
      <c r="A112" s="38" t="s">
        <v>60</v>
      </c>
      <c r="B112" s="39" t="s">
        <v>5539</v>
      </c>
      <c r="C112" s="106" t="s">
        <v>5550</v>
      </c>
      <c r="D112" s="82" t="s">
        <v>5551</v>
      </c>
      <c r="E112" s="38">
        <v>1</v>
      </c>
      <c r="F112" s="26">
        <v>45138</v>
      </c>
      <c r="G112" s="38">
        <v>1</v>
      </c>
      <c r="H112" s="160" t="s">
        <v>5552</v>
      </c>
      <c r="I112" s="38" t="s">
        <v>5553</v>
      </c>
      <c r="J112" s="38"/>
      <c r="K112" s="38" t="s">
        <v>5365</v>
      </c>
    </row>
    <row r="113" spans="1:11" s="39" customFormat="1" ht="11.25" customHeight="1" x14ac:dyDescent="0.35">
      <c r="A113" s="38" t="s">
        <v>60</v>
      </c>
      <c r="B113" s="39" t="s">
        <v>5554</v>
      </c>
      <c r="C113" s="106" t="s">
        <v>5555</v>
      </c>
      <c r="D113" s="82" t="s">
        <v>1181</v>
      </c>
      <c r="E113" s="38">
        <v>144</v>
      </c>
      <c r="F113" s="26">
        <v>44998</v>
      </c>
      <c r="G113" s="38">
        <v>144</v>
      </c>
      <c r="H113" s="160">
        <v>45019</v>
      </c>
      <c r="I113" s="38" t="s">
        <v>5556</v>
      </c>
      <c r="J113" s="38"/>
      <c r="K113" s="38" t="s">
        <v>5365</v>
      </c>
    </row>
    <row r="114" spans="1:11" s="39" customFormat="1" ht="11.25" customHeight="1" x14ac:dyDescent="0.35">
      <c r="A114" s="38" t="s">
        <v>60</v>
      </c>
      <c r="B114" s="39" t="s">
        <v>5554</v>
      </c>
      <c r="C114" s="106" t="s">
        <v>5557</v>
      </c>
      <c r="D114" s="82" t="s">
        <v>5060</v>
      </c>
      <c r="E114" s="38">
        <v>120</v>
      </c>
      <c r="F114" s="26">
        <v>44998</v>
      </c>
      <c r="G114" s="38">
        <v>120</v>
      </c>
      <c r="H114" s="160">
        <v>45019</v>
      </c>
      <c r="I114" s="38" t="s">
        <v>5556</v>
      </c>
      <c r="J114" s="38"/>
      <c r="K114" s="38" t="s">
        <v>5365</v>
      </c>
    </row>
    <row r="115" spans="1:11" s="39" customFormat="1" ht="11.25" customHeight="1" x14ac:dyDescent="0.35">
      <c r="A115" s="38" t="s">
        <v>60</v>
      </c>
      <c r="B115" s="39" t="s">
        <v>5554</v>
      </c>
      <c r="C115" s="106" t="s">
        <v>5558</v>
      </c>
      <c r="D115" s="82" t="s">
        <v>5558</v>
      </c>
      <c r="E115" s="38">
        <v>108</v>
      </c>
      <c r="F115" s="26">
        <v>44998</v>
      </c>
      <c r="G115" s="38">
        <v>108</v>
      </c>
      <c r="H115" s="160">
        <v>45019</v>
      </c>
      <c r="I115" s="38" t="s">
        <v>5556</v>
      </c>
      <c r="J115" s="38"/>
      <c r="K115" s="38" t="s">
        <v>5365</v>
      </c>
    </row>
    <row r="116" spans="1:11" s="39" customFormat="1" ht="11.25" customHeight="1" x14ac:dyDescent="0.35">
      <c r="A116" s="38" t="s">
        <v>60</v>
      </c>
      <c r="B116" s="39" t="s">
        <v>5554</v>
      </c>
      <c r="C116" s="106" t="s">
        <v>5559</v>
      </c>
      <c r="D116" s="82" t="s">
        <v>5560</v>
      </c>
      <c r="E116" s="38">
        <v>14</v>
      </c>
      <c r="F116" s="26">
        <v>45063</v>
      </c>
      <c r="G116" s="38">
        <v>14</v>
      </c>
      <c r="H116" s="160">
        <v>45093</v>
      </c>
      <c r="I116" s="38" t="s">
        <v>5561</v>
      </c>
      <c r="J116" s="38"/>
      <c r="K116" s="38" t="s">
        <v>5365</v>
      </c>
    </row>
    <row r="117" spans="1:11" s="39" customFormat="1" ht="11.25" customHeight="1" x14ac:dyDescent="0.35">
      <c r="A117" s="38" t="s">
        <v>60</v>
      </c>
      <c r="B117" s="39" t="s">
        <v>5554</v>
      </c>
      <c r="C117" s="106" t="s">
        <v>5562</v>
      </c>
      <c r="D117" s="82" t="s">
        <v>5406</v>
      </c>
      <c r="E117" s="38">
        <v>1</v>
      </c>
      <c r="F117" s="26">
        <v>45098</v>
      </c>
      <c r="G117" s="38">
        <v>1</v>
      </c>
      <c r="H117" s="160">
        <v>45170</v>
      </c>
      <c r="I117" s="38" t="s">
        <v>5553</v>
      </c>
      <c r="J117" s="38"/>
      <c r="K117" s="38" t="s">
        <v>5365</v>
      </c>
    </row>
    <row r="118" spans="1:11" s="39" customFormat="1" ht="11.25" customHeight="1" x14ac:dyDescent="0.35">
      <c r="A118" s="38" t="s">
        <v>60</v>
      </c>
      <c r="B118" s="39" t="s">
        <v>5554</v>
      </c>
      <c r="C118" s="106" t="s">
        <v>4732</v>
      </c>
      <c r="D118" s="82" t="s">
        <v>5563</v>
      </c>
      <c r="E118" s="38">
        <v>4</v>
      </c>
      <c r="F118" s="26">
        <v>45128</v>
      </c>
      <c r="G118" s="38">
        <v>4</v>
      </c>
      <c r="H118" s="160">
        <v>45170</v>
      </c>
      <c r="I118" s="38" t="s">
        <v>5553</v>
      </c>
      <c r="J118" s="38"/>
      <c r="K118" s="38" t="s">
        <v>5365</v>
      </c>
    </row>
    <row r="119" spans="1:11" s="35" customFormat="1" ht="11.25" customHeight="1" x14ac:dyDescent="0.35">
      <c r="A119" s="33" t="s">
        <v>60</v>
      </c>
      <c r="B119" s="35" t="s">
        <v>5554</v>
      </c>
      <c r="C119" s="272" t="s">
        <v>5564</v>
      </c>
      <c r="D119" s="31" t="s">
        <v>5565</v>
      </c>
      <c r="E119" s="33">
        <v>1</v>
      </c>
      <c r="F119" s="22">
        <v>44942</v>
      </c>
      <c r="G119" s="33"/>
      <c r="H119" s="159" t="s">
        <v>4732</v>
      </c>
      <c r="I119" s="33"/>
      <c r="J119" s="33"/>
      <c r="K119" s="33" t="s">
        <v>5338</v>
      </c>
    </row>
    <row r="120" spans="1:11" s="35" customFormat="1" ht="11.25" customHeight="1" x14ac:dyDescent="0.35">
      <c r="A120" s="33" t="s">
        <v>60</v>
      </c>
      <c r="B120" s="35" t="s">
        <v>5554</v>
      </c>
      <c r="C120" s="272" t="s">
        <v>5566</v>
      </c>
      <c r="D120" s="31" t="s">
        <v>2189</v>
      </c>
      <c r="E120" s="33">
        <v>1</v>
      </c>
      <c r="F120" s="22">
        <v>44942</v>
      </c>
      <c r="G120" s="33"/>
      <c r="H120" s="159" t="s">
        <v>4732</v>
      </c>
      <c r="I120" s="33"/>
      <c r="J120" s="33"/>
      <c r="K120" s="33" t="s">
        <v>5338</v>
      </c>
    </row>
    <row r="121" spans="1:11" s="39" customFormat="1" ht="11.25" customHeight="1" x14ac:dyDescent="0.35">
      <c r="A121" s="38" t="s">
        <v>60</v>
      </c>
      <c r="B121" s="39" t="s">
        <v>5554</v>
      </c>
      <c r="C121" s="106" t="s">
        <v>5567</v>
      </c>
      <c r="D121" s="82" t="s">
        <v>5568</v>
      </c>
      <c r="E121" s="38">
        <v>2</v>
      </c>
      <c r="F121" s="26" t="s">
        <v>5569</v>
      </c>
      <c r="G121" s="38">
        <v>2</v>
      </c>
      <c r="H121" s="160">
        <v>44942</v>
      </c>
      <c r="I121" s="38" t="s">
        <v>5570</v>
      </c>
      <c r="J121" s="38"/>
      <c r="K121" s="38" t="s">
        <v>5365</v>
      </c>
    </row>
    <row r="122" spans="1:11" s="39" customFormat="1" ht="11.25" customHeight="1" x14ac:dyDescent="0.35">
      <c r="A122" s="38" t="s">
        <v>60</v>
      </c>
      <c r="B122" s="39" t="s">
        <v>5554</v>
      </c>
      <c r="C122" s="106" t="s">
        <v>5571</v>
      </c>
      <c r="D122" s="82" t="s">
        <v>5572</v>
      </c>
      <c r="E122" s="38">
        <v>36</v>
      </c>
      <c r="F122" s="26">
        <v>44992</v>
      </c>
      <c r="G122" s="38">
        <v>36</v>
      </c>
      <c r="H122" s="160">
        <v>44992</v>
      </c>
      <c r="I122" s="38" t="s">
        <v>5510</v>
      </c>
      <c r="J122" s="38"/>
      <c r="K122" s="38" t="s">
        <v>5365</v>
      </c>
    </row>
    <row r="123" spans="1:11" s="39" customFormat="1" ht="11.25" customHeight="1" x14ac:dyDescent="0.35">
      <c r="A123" s="38" t="s">
        <v>60</v>
      </c>
      <c r="B123" s="39" t="s">
        <v>5554</v>
      </c>
      <c r="C123" s="106" t="s">
        <v>5573</v>
      </c>
      <c r="D123" s="82" t="s">
        <v>5574</v>
      </c>
      <c r="E123" s="38">
        <v>36</v>
      </c>
      <c r="F123" s="26">
        <v>44992</v>
      </c>
      <c r="G123" s="38">
        <v>36</v>
      </c>
      <c r="H123" s="160">
        <v>44992</v>
      </c>
      <c r="I123" s="38" t="s">
        <v>5510</v>
      </c>
      <c r="J123" s="38"/>
      <c r="K123" s="38" t="s">
        <v>5365</v>
      </c>
    </row>
    <row r="124" spans="1:11" s="39" customFormat="1" ht="11.25" customHeight="1" x14ac:dyDescent="0.35">
      <c r="A124" s="38" t="s">
        <v>60</v>
      </c>
      <c r="B124" s="39" t="s">
        <v>5554</v>
      </c>
      <c r="C124" s="106" t="s">
        <v>4732</v>
      </c>
      <c r="D124" s="82" t="s">
        <v>5575</v>
      </c>
      <c r="E124" s="38">
        <v>36</v>
      </c>
      <c r="F124" s="26">
        <v>44992</v>
      </c>
      <c r="G124" s="38">
        <v>36</v>
      </c>
      <c r="H124" s="160">
        <v>44992</v>
      </c>
      <c r="I124" s="38" t="s">
        <v>5510</v>
      </c>
      <c r="J124" s="38"/>
      <c r="K124" s="38" t="s">
        <v>5365</v>
      </c>
    </row>
    <row r="125" spans="1:11" s="39" customFormat="1" ht="11.25" customHeight="1" x14ac:dyDescent="0.35">
      <c r="A125" s="38" t="s">
        <v>60</v>
      </c>
      <c r="B125" s="39" t="s">
        <v>5554</v>
      </c>
      <c r="C125" s="106" t="s">
        <v>5576</v>
      </c>
      <c r="D125" s="82" t="s">
        <v>5577</v>
      </c>
      <c r="E125" s="38">
        <v>8</v>
      </c>
      <c r="F125" s="26">
        <v>45019</v>
      </c>
      <c r="G125" s="38">
        <v>8</v>
      </c>
      <c r="H125" s="160">
        <v>45020</v>
      </c>
      <c r="I125" s="38" t="s">
        <v>5578</v>
      </c>
      <c r="J125" s="38"/>
      <c r="K125" s="38" t="s">
        <v>5365</v>
      </c>
    </row>
    <row r="126" spans="1:11" s="39" customFormat="1" ht="11.25" customHeight="1" x14ac:dyDescent="0.35">
      <c r="A126" s="38" t="s">
        <v>60</v>
      </c>
      <c r="B126" s="39" t="s">
        <v>5554</v>
      </c>
      <c r="C126" s="106" t="s">
        <v>5579</v>
      </c>
      <c r="D126" s="82" t="s">
        <v>5580</v>
      </c>
      <c r="E126" s="38">
        <v>1</v>
      </c>
      <c r="F126" s="26">
        <v>45019</v>
      </c>
      <c r="G126" s="38">
        <v>1</v>
      </c>
      <c r="H126" s="160">
        <v>45020</v>
      </c>
      <c r="I126" s="38" t="s">
        <v>5581</v>
      </c>
      <c r="J126" s="38"/>
      <c r="K126" s="38" t="s">
        <v>5365</v>
      </c>
    </row>
    <row r="127" spans="1:11" s="39" customFormat="1" ht="11.25" customHeight="1" x14ac:dyDescent="0.35">
      <c r="A127" s="38" t="s">
        <v>60</v>
      </c>
      <c r="B127" s="39" t="s">
        <v>5554</v>
      </c>
      <c r="C127" s="106">
        <v>9689808382</v>
      </c>
      <c r="D127" s="82" t="s">
        <v>5582</v>
      </c>
      <c r="E127" s="38">
        <v>50</v>
      </c>
      <c r="F127" s="26">
        <v>45027</v>
      </c>
      <c r="G127" s="38">
        <v>50</v>
      </c>
      <c r="H127" s="160">
        <v>45027</v>
      </c>
      <c r="I127" s="38" t="s">
        <v>5583</v>
      </c>
      <c r="J127" s="38"/>
      <c r="K127" s="38" t="s">
        <v>5365</v>
      </c>
    </row>
    <row r="128" spans="1:11" s="39" customFormat="1" ht="11.25" customHeight="1" x14ac:dyDescent="0.35">
      <c r="A128" s="38" t="s">
        <v>60</v>
      </c>
      <c r="B128" s="39" t="s">
        <v>5554</v>
      </c>
      <c r="C128" s="106" t="s">
        <v>4732</v>
      </c>
      <c r="D128" s="82" t="s">
        <v>5584</v>
      </c>
      <c r="E128" s="38">
        <v>1</v>
      </c>
      <c r="F128" s="26">
        <v>45027</v>
      </c>
      <c r="G128" s="38">
        <v>1</v>
      </c>
      <c r="H128" s="160">
        <v>45027</v>
      </c>
      <c r="I128" s="38" t="s">
        <v>5583</v>
      </c>
      <c r="J128" s="38"/>
      <c r="K128" s="38" t="s">
        <v>5365</v>
      </c>
    </row>
    <row r="129" spans="1:11" s="39" customFormat="1" ht="11.25" customHeight="1" x14ac:dyDescent="0.35">
      <c r="A129" s="38" t="s">
        <v>60</v>
      </c>
      <c r="B129" s="39" t="s">
        <v>5554</v>
      </c>
      <c r="C129" s="106" t="s">
        <v>5585</v>
      </c>
      <c r="D129" s="82" t="s">
        <v>5586</v>
      </c>
      <c r="E129" s="38">
        <v>2</v>
      </c>
      <c r="F129" s="26">
        <v>45094</v>
      </c>
      <c r="G129" s="38">
        <v>2</v>
      </c>
      <c r="H129" s="160" t="s">
        <v>4732</v>
      </c>
      <c r="I129" s="38" t="s">
        <v>5587</v>
      </c>
      <c r="J129" s="38"/>
      <c r="K129" s="38" t="s">
        <v>5365</v>
      </c>
    </row>
    <row r="130" spans="1:11" s="39" customFormat="1" ht="11.25" customHeight="1" x14ac:dyDescent="0.35">
      <c r="A130" s="38" t="s">
        <v>60</v>
      </c>
      <c r="B130" s="39" t="s">
        <v>5554</v>
      </c>
      <c r="C130" s="106" t="s">
        <v>5588</v>
      </c>
      <c r="D130" s="82" t="s">
        <v>5589</v>
      </c>
      <c r="E130" s="38">
        <v>1</v>
      </c>
      <c r="F130" s="26">
        <v>45094</v>
      </c>
      <c r="G130" s="38">
        <v>1</v>
      </c>
      <c r="H130" s="160" t="s">
        <v>4732</v>
      </c>
      <c r="I130" s="38" t="s">
        <v>5587</v>
      </c>
      <c r="J130" s="38"/>
      <c r="K130" s="38" t="s">
        <v>5365</v>
      </c>
    </row>
    <row r="131" spans="1:11" s="39" customFormat="1" ht="11.25" customHeight="1" x14ac:dyDescent="0.35">
      <c r="A131" s="38" t="s">
        <v>60</v>
      </c>
      <c r="B131" s="39" t="s">
        <v>5554</v>
      </c>
      <c r="C131" s="106" t="s">
        <v>5590</v>
      </c>
      <c r="D131" s="82" t="s">
        <v>5591</v>
      </c>
      <c r="E131" s="38">
        <v>1</v>
      </c>
      <c r="F131" s="26">
        <v>45094</v>
      </c>
      <c r="G131" s="38">
        <v>1</v>
      </c>
      <c r="H131" s="160" t="s">
        <v>4732</v>
      </c>
      <c r="I131" s="38" t="s">
        <v>5587</v>
      </c>
      <c r="J131" s="38"/>
      <c r="K131" s="38" t="s">
        <v>5365</v>
      </c>
    </row>
    <row r="132" spans="1:11" s="39" customFormat="1" ht="11.25" customHeight="1" x14ac:dyDescent="0.35">
      <c r="A132" s="38" t="s">
        <v>60</v>
      </c>
      <c r="B132" s="39" t="s">
        <v>5554</v>
      </c>
      <c r="C132" s="106" t="s">
        <v>5592</v>
      </c>
      <c r="D132" s="82" t="s">
        <v>5593</v>
      </c>
      <c r="E132" s="38">
        <v>1</v>
      </c>
      <c r="F132" s="26">
        <v>45094</v>
      </c>
      <c r="G132" s="38">
        <v>1</v>
      </c>
      <c r="H132" s="160" t="s">
        <v>4732</v>
      </c>
      <c r="I132" s="38" t="s">
        <v>5587</v>
      </c>
      <c r="J132" s="38"/>
      <c r="K132" s="38" t="s">
        <v>5365</v>
      </c>
    </row>
    <row r="133" spans="1:11" s="39" customFormat="1" ht="11.25" customHeight="1" x14ac:dyDescent="0.35">
      <c r="A133" s="38" t="s">
        <v>60</v>
      </c>
      <c r="B133" s="39" t="s">
        <v>5554</v>
      </c>
      <c r="C133" s="106" t="s">
        <v>5594</v>
      </c>
      <c r="D133" s="82" t="s">
        <v>5595</v>
      </c>
      <c r="E133" s="38">
        <v>1</v>
      </c>
      <c r="F133" s="26">
        <v>45094</v>
      </c>
      <c r="G133" s="38">
        <v>1</v>
      </c>
      <c r="H133" s="160" t="s">
        <v>4732</v>
      </c>
      <c r="I133" s="38" t="s">
        <v>5587</v>
      </c>
      <c r="J133" s="38"/>
      <c r="K133" s="38" t="s">
        <v>5365</v>
      </c>
    </row>
    <row r="134" spans="1:11" s="39" customFormat="1" ht="11.25" customHeight="1" x14ac:dyDescent="0.35">
      <c r="A134" s="38" t="s">
        <v>60</v>
      </c>
      <c r="B134" s="39" t="s">
        <v>5554</v>
      </c>
      <c r="C134" s="106" t="s">
        <v>5596</v>
      </c>
      <c r="D134" s="82" t="s">
        <v>5597</v>
      </c>
      <c r="E134" s="38">
        <v>1</v>
      </c>
      <c r="F134" s="26">
        <v>45094</v>
      </c>
      <c r="G134" s="38">
        <v>1</v>
      </c>
      <c r="H134" s="160" t="s">
        <v>4732</v>
      </c>
      <c r="I134" s="38" t="s">
        <v>5587</v>
      </c>
      <c r="J134" s="38"/>
      <c r="K134" s="38" t="s">
        <v>5365</v>
      </c>
    </row>
    <row r="135" spans="1:11" s="39" customFormat="1" ht="11.25" customHeight="1" x14ac:dyDescent="0.35">
      <c r="A135" s="38" t="s">
        <v>60</v>
      </c>
      <c r="B135" s="39" t="s">
        <v>5554</v>
      </c>
      <c r="C135" s="106" t="s">
        <v>2177</v>
      </c>
      <c r="D135" s="82" t="s">
        <v>5598</v>
      </c>
      <c r="E135" s="38">
        <v>1</v>
      </c>
      <c r="F135" s="26">
        <v>45094</v>
      </c>
      <c r="G135" s="38">
        <v>1</v>
      </c>
      <c r="H135" s="160" t="s">
        <v>4732</v>
      </c>
      <c r="I135" s="38" t="s">
        <v>5587</v>
      </c>
      <c r="J135" s="38"/>
      <c r="K135" s="38" t="s">
        <v>5365</v>
      </c>
    </row>
    <row r="136" spans="1:11" s="39" customFormat="1" ht="11.25" customHeight="1" x14ac:dyDescent="0.35">
      <c r="A136" s="38" t="s">
        <v>60</v>
      </c>
      <c r="B136" s="39" t="s">
        <v>5554</v>
      </c>
      <c r="C136" s="106" t="s">
        <v>5599</v>
      </c>
      <c r="D136" s="82" t="s">
        <v>1594</v>
      </c>
      <c r="E136" s="38">
        <v>1</v>
      </c>
      <c r="F136" s="26">
        <v>45094</v>
      </c>
      <c r="G136" s="38">
        <v>1</v>
      </c>
      <c r="H136" s="160" t="s">
        <v>4732</v>
      </c>
      <c r="I136" s="38" t="s">
        <v>5587</v>
      </c>
      <c r="J136" s="38"/>
      <c r="K136" s="38" t="s">
        <v>5365</v>
      </c>
    </row>
    <row r="137" spans="1:11" s="39" customFormat="1" ht="11.25" customHeight="1" x14ac:dyDescent="0.35">
      <c r="A137" s="38" t="s">
        <v>60</v>
      </c>
      <c r="B137" s="39" t="s">
        <v>5554</v>
      </c>
      <c r="C137" s="106" t="s">
        <v>5600</v>
      </c>
      <c r="D137" s="82" t="s">
        <v>5388</v>
      </c>
      <c r="E137" s="38">
        <v>1</v>
      </c>
      <c r="F137" s="26" t="s">
        <v>4732</v>
      </c>
      <c r="G137" s="38">
        <v>1</v>
      </c>
      <c r="H137" s="160" t="s">
        <v>4732</v>
      </c>
      <c r="I137" s="38" t="s">
        <v>5587</v>
      </c>
      <c r="J137" s="38"/>
      <c r="K137" s="38" t="s">
        <v>5365</v>
      </c>
    </row>
    <row r="138" spans="1:11" s="39" customFormat="1" ht="11.25" customHeight="1" x14ac:dyDescent="0.35">
      <c r="A138" s="38" t="s">
        <v>60</v>
      </c>
      <c r="B138" s="39" t="s">
        <v>5554</v>
      </c>
      <c r="C138" s="106" t="s">
        <v>5601</v>
      </c>
      <c r="D138" s="82" t="s">
        <v>5602</v>
      </c>
      <c r="E138" s="38">
        <v>24</v>
      </c>
      <c r="F138" s="26">
        <v>44847</v>
      </c>
      <c r="G138" s="38">
        <v>24</v>
      </c>
      <c r="H138" s="160" t="s">
        <v>4732</v>
      </c>
      <c r="I138" s="38" t="s">
        <v>5587</v>
      </c>
      <c r="J138" s="38"/>
      <c r="K138" s="38" t="s">
        <v>5365</v>
      </c>
    </row>
    <row r="139" spans="1:11" s="39" customFormat="1" ht="11.25" customHeight="1" x14ac:dyDescent="0.35">
      <c r="A139" s="38" t="s">
        <v>60</v>
      </c>
      <c r="B139" s="39" t="s">
        <v>5554</v>
      </c>
      <c r="C139" s="106" t="s">
        <v>3994</v>
      </c>
      <c r="D139" s="82" t="s">
        <v>5603</v>
      </c>
      <c r="E139" s="38">
        <v>12</v>
      </c>
      <c r="F139" s="26">
        <v>44847</v>
      </c>
      <c r="G139" s="38">
        <v>12</v>
      </c>
      <c r="H139" s="160" t="s">
        <v>4732</v>
      </c>
      <c r="I139" s="38" t="s">
        <v>5587</v>
      </c>
      <c r="J139" s="38"/>
      <c r="K139" s="38" t="s">
        <v>5365</v>
      </c>
    </row>
    <row r="140" spans="1:11" s="39" customFormat="1" ht="11.25" customHeight="1" x14ac:dyDescent="0.35">
      <c r="A140" s="38" t="s">
        <v>60</v>
      </c>
      <c r="B140" s="39" t="s">
        <v>5554</v>
      </c>
      <c r="C140" s="106" t="s">
        <v>5604</v>
      </c>
      <c r="D140" s="82" t="s">
        <v>5605</v>
      </c>
      <c r="E140" s="38">
        <v>3</v>
      </c>
      <c r="F140" s="26">
        <v>44847</v>
      </c>
      <c r="G140" s="38">
        <v>3</v>
      </c>
      <c r="H140" s="160" t="s">
        <v>4732</v>
      </c>
      <c r="I140" s="38" t="s">
        <v>5587</v>
      </c>
      <c r="J140" s="38"/>
      <c r="K140" s="38" t="s">
        <v>5365</v>
      </c>
    </row>
    <row r="141" spans="1:11" s="39" customFormat="1" ht="11.25" customHeight="1" x14ac:dyDescent="0.35">
      <c r="A141" s="38" t="s">
        <v>60</v>
      </c>
      <c r="B141" s="39" t="s">
        <v>5554</v>
      </c>
      <c r="C141" s="106" t="s">
        <v>2188</v>
      </c>
      <c r="D141" s="82" t="s">
        <v>2189</v>
      </c>
      <c r="E141" s="38">
        <v>1</v>
      </c>
      <c r="F141" s="26">
        <v>44847</v>
      </c>
      <c r="G141" s="38">
        <v>1</v>
      </c>
      <c r="H141" s="160" t="s">
        <v>4732</v>
      </c>
      <c r="I141" s="38" t="s">
        <v>5587</v>
      </c>
      <c r="J141" s="38"/>
      <c r="K141" s="38" t="s">
        <v>5365</v>
      </c>
    </row>
    <row r="142" spans="1:11" s="39" customFormat="1" ht="11.25" customHeight="1" x14ac:dyDescent="0.35">
      <c r="A142" s="38" t="s">
        <v>60</v>
      </c>
      <c r="B142" s="39" t="s">
        <v>5554</v>
      </c>
      <c r="C142" s="106" t="s">
        <v>5606</v>
      </c>
      <c r="D142" s="82" t="s">
        <v>5607</v>
      </c>
      <c r="E142" s="38">
        <v>1</v>
      </c>
      <c r="F142" s="26">
        <v>44847</v>
      </c>
      <c r="G142" s="38">
        <v>1</v>
      </c>
      <c r="H142" s="160" t="s">
        <v>4732</v>
      </c>
      <c r="I142" s="38" t="s">
        <v>5587</v>
      </c>
      <c r="J142" s="38"/>
      <c r="K142" s="38" t="s">
        <v>5365</v>
      </c>
    </row>
    <row r="143" spans="1:11" s="39" customFormat="1" ht="11.25" customHeight="1" x14ac:dyDescent="0.35">
      <c r="A143" s="38" t="s">
        <v>60</v>
      </c>
      <c r="B143" s="39" t="s">
        <v>5554</v>
      </c>
      <c r="C143" s="106" t="s">
        <v>5608</v>
      </c>
      <c r="D143" s="82" t="s">
        <v>5609</v>
      </c>
      <c r="E143" s="38">
        <v>1</v>
      </c>
      <c r="F143" s="26">
        <v>45212</v>
      </c>
      <c r="G143" s="38">
        <v>1</v>
      </c>
      <c r="H143" s="160" t="s">
        <v>4732</v>
      </c>
      <c r="I143" s="38" t="s">
        <v>5587</v>
      </c>
      <c r="J143" s="38"/>
      <c r="K143" s="38" t="s">
        <v>5365</v>
      </c>
    </row>
    <row r="144" spans="1:11" s="39" customFormat="1" ht="11.25" customHeight="1" x14ac:dyDescent="0.35">
      <c r="A144" s="38" t="s">
        <v>60</v>
      </c>
      <c r="B144" s="39" t="s">
        <v>5554</v>
      </c>
      <c r="C144" s="106" t="s">
        <v>5610</v>
      </c>
      <c r="D144" s="82" t="s">
        <v>5611</v>
      </c>
      <c r="E144" s="38">
        <v>12</v>
      </c>
      <c r="F144" s="26">
        <v>44847</v>
      </c>
      <c r="G144" s="38">
        <v>12</v>
      </c>
      <c r="H144" s="160" t="s">
        <v>4732</v>
      </c>
      <c r="I144" s="38" t="s">
        <v>5587</v>
      </c>
      <c r="J144" s="38"/>
      <c r="K144" s="38" t="s">
        <v>5365</v>
      </c>
    </row>
    <row r="145" spans="1:14" s="39" customFormat="1" ht="11.25" customHeight="1" x14ac:dyDescent="0.35">
      <c r="A145" s="38" t="s">
        <v>60</v>
      </c>
      <c r="B145" s="39" t="s">
        <v>5554</v>
      </c>
      <c r="C145" s="106" t="s">
        <v>5612</v>
      </c>
      <c r="D145" s="82" t="s">
        <v>5613</v>
      </c>
      <c r="E145" s="38">
        <v>12</v>
      </c>
      <c r="F145" s="26">
        <v>44847</v>
      </c>
      <c r="G145" s="38">
        <v>12</v>
      </c>
      <c r="H145" s="160" t="s">
        <v>4732</v>
      </c>
      <c r="I145" s="38" t="s">
        <v>5587</v>
      </c>
      <c r="J145" s="38"/>
      <c r="K145" s="38" t="s">
        <v>5365</v>
      </c>
    </row>
    <row r="146" spans="1:14" s="39" customFormat="1" ht="11.25" customHeight="1" x14ac:dyDescent="0.35">
      <c r="A146" s="38" t="s">
        <v>60</v>
      </c>
      <c r="B146" s="39" t="s">
        <v>5554</v>
      </c>
      <c r="C146" s="106" t="s">
        <v>3551</v>
      </c>
      <c r="D146" s="82" t="s">
        <v>5614</v>
      </c>
      <c r="E146" s="38">
        <v>1</v>
      </c>
      <c r="F146" s="26">
        <v>44847</v>
      </c>
      <c r="G146" s="38">
        <v>1</v>
      </c>
      <c r="H146" s="160">
        <v>45069</v>
      </c>
      <c r="I146" s="38"/>
      <c r="J146" s="38"/>
      <c r="K146" s="38" t="s">
        <v>5365</v>
      </c>
    </row>
    <row r="147" spans="1:14" s="39" customFormat="1" ht="11.25" customHeight="1" x14ac:dyDescent="0.35">
      <c r="A147" s="38" t="s">
        <v>60</v>
      </c>
      <c r="B147" s="39" t="s">
        <v>5554</v>
      </c>
      <c r="C147" s="106" t="s">
        <v>4559</v>
      </c>
      <c r="D147" s="82" t="s">
        <v>5615</v>
      </c>
      <c r="E147" s="38">
        <v>1</v>
      </c>
      <c r="F147" s="26">
        <v>44847</v>
      </c>
      <c r="G147" s="38">
        <v>1</v>
      </c>
      <c r="H147" s="160" t="s">
        <v>4732</v>
      </c>
      <c r="I147" s="38" t="s">
        <v>5587</v>
      </c>
      <c r="J147" s="38"/>
      <c r="K147" s="38" t="s">
        <v>5365</v>
      </c>
    </row>
    <row r="148" spans="1:14" s="39" customFormat="1" ht="11.25" customHeight="1" x14ac:dyDescent="0.35">
      <c r="A148" s="38" t="s">
        <v>60</v>
      </c>
      <c r="B148" s="39" t="s">
        <v>5554</v>
      </c>
      <c r="C148" s="106" t="s">
        <v>5616</v>
      </c>
      <c r="D148" s="82" t="s">
        <v>5617</v>
      </c>
      <c r="E148" s="38">
        <v>12</v>
      </c>
      <c r="F148" s="26">
        <v>44847</v>
      </c>
      <c r="G148" s="38">
        <v>12</v>
      </c>
      <c r="H148" s="160" t="s">
        <v>4732</v>
      </c>
      <c r="I148" s="38" t="s">
        <v>5587</v>
      </c>
      <c r="J148" s="38"/>
      <c r="K148" s="38" t="s">
        <v>5365</v>
      </c>
    </row>
    <row r="149" spans="1:14" s="39" customFormat="1" ht="11.25" customHeight="1" x14ac:dyDescent="0.35">
      <c r="A149" s="38" t="s">
        <v>60</v>
      </c>
      <c r="B149" s="39" t="s">
        <v>5554</v>
      </c>
      <c r="C149" s="106" t="s">
        <v>2216</v>
      </c>
      <c r="D149" s="82" t="s">
        <v>5618</v>
      </c>
      <c r="E149" s="38">
        <v>1</v>
      </c>
      <c r="F149" s="26">
        <v>44847</v>
      </c>
      <c r="G149" s="38">
        <v>1</v>
      </c>
      <c r="H149" s="160" t="s">
        <v>4732</v>
      </c>
      <c r="I149" s="38" t="s">
        <v>5587</v>
      </c>
      <c r="J149" s="38"/>
      <c r="K149" s="38" t="s">
        <v>5365</v>
      </c>
    </row>
    <row r="150" spans="1:14" s="39" customFormat="1" ht="11.25" customHeight="1" x14ac:dyDescent="0.35">
      <c r="A150" s="38" t="s">
        <v>60</v>
      </c>
      <c r="B150" s="39" t="s">
        <v>5554</v>
      </c>
      <c r="C150" s="106" t="s">
        <v>5619</v>
      </c>
      <c r="D150" s="82" t="s">
        <v>5620</v>
      </c>
      <c r="E150" s="38">
        <v>1</v>
      </c>
      <c r="F150" s="26">
        <v>44847</v>
      </c>
      <c r="G150" s="38">
        <v>1</v>
      </c>
      <c r="H150" s="160" t="s">
        <v>4732</v>
      </c>
      <c r="I150" s="38" t="s">
        <v>5587</v>
      </c>
      <c r="J150" s="38"/>
      <c r="K150" s="38" t="s">
        <v>5365</v>
      </c>
    </row>
    <row r="151" spans="1:14" s="39" customFormat="1" ht="11.25" customHeight="1" x14ac:dyDescent="0.35">
      <c r="A151" s="38" t="s">
        <v>60</v>
      </c>
      <c r="B151" s="39" t="s">
        <v>5554</v>
      </c>
      <c r="C151" s="106" t="s">
        <v>5621</v>
      </c>
      <c r="D151" s="82" t="s">
        <v>5622</v>
      </c>
      <c r="E151" s="38">
        <v>2</v>
      </c>
      <c r="F151" s="26">
        <v>44847</v>
      </c>
      <c r="G151" s="38">
        <v>2</v>
      </c>
      <c r="H151" s="160" t="s">
        <v>4732</v>
      </c>
      <c r="I151" s="38" t="s">
        <v>5587</v>
      </c>
      <c r="J151" s="38"/>
      <c r="K151" s="38" t="s">
        <v>5365</v>
      </c>
    </row>
    <row r="152" spans="1:14" s="39" customFormat="1" ht="11.25" customHeight="1" x14ac:dyDescent="0.35">
      <c r="A152" s="38" t="s">
        <v>60</v>
      </c>
      <c r="B152" s="39" t="s">
        <v>5554</v>
      </c>
      <c r="C152" s="106" t="s">
        <v>5623</v>
      </c>
      <c r="D152" s="82" t="s">
        <v>5624</v>
      </c>
      <c r="E152" s="38">
        <v>12</v>
      </c>
      <c r="F152" s="26">
        <v>44847</v>
      </c>
      <c r="G152" s="38">
        <v>12</v>
      </c>
      <c r="H152" s="160" t="s">
        <v>4732</v>
      </c>
      <c r="I152" s="38" t="s">
        <v>5587</v>
      </c>
      <c r="J152" s="38"/>
      <c r="K152" s="38" t="s">
        <v>5365</v>
      </c>
    </row>
    <row r="153" spans="1:14" s="39" customFormat="1" ht="11.25" customHeight="1" x14ac:dyDescent="0.35">
      <c r="A153" s="38" t="s">
        <v>60</v>
      </c>
      <c r="B153" s="39" t="s">
        <v>5554</v>
      </c>
      <c r="C153" s="106" t="s">
        <v>5625</v>
      </c>
      <c r="D153" s="82" t="s">
        <v>5626</v>
      </c>
      <c r="E153" s="38">
        <v>12</v>
      </c>
      <c r="F153" s="26">
        <v>44847</v>
      </c>
      <c r="G153" s="38">
        <v>12</v>
      </c>
      <c r="H153" s="160" t="s">
        <v>4732</v>
      </c>
      <c r="I153" s="38" t="s">
        <v>5587</v>
      </c>
      <c r="J153" s="38"/>
      <c r="K153" s="38" t="s">
        <v>5365</v>
      </c>
    </row>
    <row r="154" spans="1:14" s="34" customFormat="1" ht="11.25" customHeight="1" x14ac:dyDescent="0.35">
      <c r="A154" s="47" t="s">
        <v>60</v>
      </c>
      <c r="B154" s="34" t="s">
        <v>5627</v>
      </c>
      <c r="C154" s="274" t="s">
        <v>5628</v>
      </c>
      <c r="D154" s="81" t="s">
        <v>5629</v>
      </c>
      <c r="E154" s="47">
        <v>2</v>
      </c>
      <c r="F154" s="48">
        <v>45133</v>
      </c>
      <c r="G154" s="47"/>
      <c r="H154" s="162" t="s">
        <v>4732</v>
      </c>
      <c r="I154" s="47"/>
      <c r="J154" s="47" t="s">
        <v>880</v>
      </c>
      <c r="K154" s="47" t="s">
        <v>5338</v>
      </c>
    </row>
    <row r="155" spans="1:14" s="34" customFormat="1" ht="11.25" customHeight="1" x14ac:dyDescent="0.35">
      <c r="A155" s="47" t="s">
        <v>60</v>
      </c>
      <c r="B155" s="34" t="s">
        <v>5627</v>
      </c>
      <c r="C155" s="274" t="s">
        <v>5630</v>
      </c>
      <c r="D155" s="81" t="s">
        <v>5631</v>
      </c>
      <c r="E155" s="47">
        <v>6</v>
      </c>
      <c r="F155" s="48">
        <v>45133</v>
      </c>
      <c r="G155" s="47"/>
      <c r="H155" s="162" t="s">
        <v>4732</v>
      </c>
      <c r="I155" s="47"/>
      <c r="J155" s="47" t="s">
        <v>880</v>
      </c>
      <c r="K155" s="47" t="s">
        <v>5338</v>
      </c>
    </row>
    <row r="156" spans="1:14" s="34" customFormat="1" ht="11.25" customHeight="1" x14ac:dyDescent="0.35">
      <c r="A156" s="47" t="s">
        <v>60</v>
      </c>
      <c r="B156" s="34" t="s">
        <v>5627</v>
      </c>
      <c r="C156" s="274" t="s">
        <v>1071</v>
      </c>
      <c r="D156" s="81" t="s">
        <v>5632</v>
      </c>
      <c r="E156" s="47">
        <v>1</v>
      </c>
      <c r="F156" s="48">
        <v>45133</v>
      </c>
      <c r="G156" s="47"/>
      <c r="H156" s="162" t="s">
        <v>4732</v>
      </c>
      <c r="I156" s="47"/>
      <c r="J156" s="47" t="s">
        <v>880</v>
      </c>
      <c r="K156" s="47" t="s">
        <v>5338</v>
      </c>
    </row>
    <row r="157" spans="1:14" s="34" customFormat="1" ht="11.25" customHeight="1" x14ac:dyDescent="0.35">
      <c r="A157" s="47" t="s">
        <v>60</v>
      </c>
      <c r="B157" s="34" t="s">
        <v>5627</v>
      </c>
      <c r="C157" s="274" t="s">
        <v>5633</v>
      </c>
      <c r="D157" s="81" t="s">
        <v>5634</v>
      </c>
      <c r="E157" s="47">
        <v>1</v>
      </c>
      <c r="F157" s="48">
        <v>45133</v>
      </c>
      <c r="G157" s="47"/>
      <c r="H157" s="162" t="s">
        <v>4732</v>
      </c>
      <c r="I157" s="47"/>
      <c r="J157" s="47" t="s">
        <v>880</v>
      </c>
      <c r="K157" s="47" t="s">
        <v>5338</v>
      </c>
    </row>
    <row r="158" spans="1:14" s="34" customFormat="1" ht="11.25" customHeight="1" x14ac:dyDescent="0.35">
      <c r="A158" s="47" t="s">
        <v>60</v>
      </c>
      <c r="B158" s="34" t="s">
        <v>5627</v>
      </c>
      <c r="C158" s="274" t="s">
        <v>5635</v>
      </c>
      <c r="D158" s="81" t="s">
        <v>5636</v>
      </c>
      <c r="E158" s="47">
        <v>1</v>
      </c>
      <c r="F158" s="48">
        <v>45093</v>
      </c>
      <c r="G158" s="47"/>
      <c r="H158" s="162"/>
      <c r="I158" s="47"/>
      <c r="J158" s="47" t="s">
        <v>880</v>
      </c>
      <c r="K158" s="47" t="s">
        <v>5338</v>
      </c>
    </row>
    <row r="159" spans="1:14" s="39" customFormat="1" ht="11.25" customHeight="1" x14ac:dyDescent="0.35">
      <c r="A159" s="38" t="s">
        <v>60</v>
      </c>
      <c r="B159" s="39" t="s">
        <v>5627</v>
      </c>
      <c r="C159" s="106" t="s">
        <v>5637</v>
      </c>
      <c r="D159" s="82" t="s">
        <v>5638</v>
      </c>
      <c r="E159" s="38">
        <v>4</v>
      </c>
      <c r="F159" s="26">
        <v>45093</v>
      </c>
      <c r="G159" s="38">
        <v>4</v>
      </c>
      <c r="H159" s="160" t="s">
        <v>5639</v>
      </c>
      <c r="I159" s="38" t="s">
        <v>5640</v>
      </c>
      <c r="J159" s="38" t="s">
        <v>880</v>
      </c>
      <c r="K159" s="38" t="s">
        <v>5365</v>
      </c>
      <c r="N159" s="34"/>
    </row>
    <row r="160" spans="1:14" s="39" customFormat="1" ht="11.25" customHeight="1" x14ac:dyDescent="0.35">
      <c r="A160" s="38" t="s">
        <v>60</v>
      </c>
      <c r="B160" s="39" t="s">
        <v>5627</v>
      </c>
      <c r="C160" s="106" t="s">
        <v>5641</v>
      </c>
      <c r="D160" s="82" t="s">
        <v>5642</v>
      </c>
      <c r="E160" s="38">
        <v>2</v>
      </c>
      <c r="F160" s="26">
        <v>45092</v>
      </c>
      <c r="G160" s="38">
        <v>2</v>
      </c>
      <c r="H160" s="160" t="s">
        <v>5643</v>
      </c>
      <c r="I160" s="38" t="s">
        <v>5427</v>
      </c>
      <c r="J160" s="38" t="s">
        <v>880</v>
      </c>
      <c r="K160" s="38" t="s">
        <v>5365</v>
      </c>
      <c r="N160" s="34"/>
    </row>
    <row r="161" spans="1:11" s="42" customFormat="1" ht="11.25" customHeight="1" x14ac:dyDescent="0.35">
      <c r="A161" s="40" t="s">
        <v>60</v>
      </c>
      <c r="B161" s="636" t="s">
        <v>5644</v>
      </c>
      <c r="C161" s="273" t="s">
        <v>5645</v>
      </c>
      <c r="D161" s="117" t="s">
        <v>5646</v>
      </c>
      <c r="E161" s="40">
        <v>50</v>
      </c>
      <c r="F161" s="41">
        <v>45028</v>
      </c>
      <c r="G161" s="40">
        <v>11</v>
      </c>
      <c r="H161" s="161" t="s">
        <v>5647</v>
      </c>
      <c r="I161" s="40" t="s">
        <v>5648</v>
      </c>
      <c r="J161" s="40"/>
      <c r="K161" s="40" t="s">
        <v>5511</v>
      </c>
    </row>
    <row r="162" spans="1:11" s="35" customFormat="1" ht="11.25" customHeight="1" x14ac:dyDescent="0.35">
      <c r="A162" s="33" t="s">
        <v>60</v>
      </c>
      <c r="B162" s="35" t="s">
        <v>5644</v>
      </c>
      <c r="C162" s="272" t="s">
        <v>5649</v>
      </c>
      <c r="D162" s="31" t="s">
        <v>5650</v>
      </c>
      <c r="E162" s="33">
        <v>29</v>
      </c>
      <c r="F162" s="22">
        <v>45028</v>
      </c>
      <c r="G162" s="33"/>
      <c r="H162" s="159" t="s">
        <v>4732</v>
      </c>
      <c r="I162" s="33"/>
      <c r="J162" s="33"/>
      <c r="K162" s="33" t="s">
        <v>5338</v>
      </c>
    </row>
    <row r="163" spans="1:11" s="35" customFormat="1" ht="11.25" customHeight="1" x14ac:dyDescent="0.35">
      <c r="A163" s="33" t="s">
        <v>60</v>
      </c>
      <c r="B163" s="35" t="s">
        <v>5644</v>
      </c>
      <c r="C163" s="272">
        <v>1066022600</v>
      </c>
      <c r="D163" s="31" t="s">
        <v>5651</v>
      </c>
      <c r="E163" s="33">
        <v>2</v>
      </c>
      <c r="F163" s="22">
        <v>45028</v>
      </c>
      <c r="G163" s="33"/>
      <c r="H163" s="159" t="s">
        <v>4732</v>
      </c>
      <c r="I163" s="33"/>
      <c r="J163" s="33"/>
      <c r="K163" s="33" t="s">
        <v>5338</v>
      </c>
    </row>
    <row r="164" spans="1:11" s="35" customFormat="1" ht="11.25" customHeight="1" x14ac:dyDescent="0.35">
      <c r="A164" s="33" t="s">
        <v>60</v>
      </c>
      <c r="B164" s="35" t="s">
        <v>5644</v>
      </c>
      <c r="C164" s="272">
        <v>1056024300</v>
      </c>
      <c r="D164" s="31" t="s">
        <v>5652</v>
      </c>
      <c r="E164" s="33">
        <v>1</v>
      </c>
      <c r="F164" s="22">
        <v>45028</v>
      </c>
      <c r="G164" s="33"/>
      <c r="H164" s="159" t="s">
        <v>4732</v>
      </c>
      <c r="I164" s="33"/>
      <c r="J164" s="33"/>
      <c r="K164" s="33" t="s">
        <v>5338</v>
      </c>
    </row>
    <row r="165" spans="1:11" s="35" customFormat="1" ht="11.25" customHeight="1" x14ac:dyDescent="0.35">
      <c r="A165" s="33" t="s">
        <v>60</v>
      </c>
      <c r="B165" s="35" t="s">
        <v>5644</v>
      </c>
      <c r="C165" s="272">
        <v>1056020900</v>
      </c>
      <c r="D165" s="31" t="s">
        <v>5651</v>
      </c>
      <c r="E165" s="33">
        <v>1</v>
      </c>
      <c r="F165" s="22">
        <v>45028</v>
      </c>
      <c r="G165" s="33"/>
      <c r="H165" s="159" t="s">
        <v>4732</v>
      </c>
      <c r="I165" s="33"/>
      <c r="J165" s="33"/>
      <c r="K165" s="33" t="s">
        <v>5338</v>
      </c>
    </row>
    <row r="166" spans="1:11" s="35" customFormat="1" ht="11.25" customHeight="1" x14ac:dyDescent="0.35">
      <c r="A166" s="33" t="s">
        <v>60</v>
      </c>
      <c r="B166" s="35" t="s">
        <v>5644</v>
      </c>
      <c r="C166" s="272">
        <v>1046023000</v>
      </c>
      <c r="D166" s="31" t="s">
        <v>5653</v>
      </c>
      <c r="E166" s="33">
        <v>1</v>
      </c>
      <c r="F166" s="22">
        <v>45028</v>
      </c>
      <c r="G166" s="33"/>
      <c r="H166" s="159" t="s">
        <v>4732</v>
      </c>
      <c r="I166" s="33"/>
      <c r="J166" s="33"/>
      <c r="K166" s="33" t="s">
        <v>5338</v>
      </c>
    </row>
    <row r="167" spans="1:11" s="35" customFormat="1" ht="11.25" customHeight="1" x14ac:dyDescent="0.35">
      <c r="A167" s="33" t="s">
        <v>60</v>
      </c>
      <c r="B167" s="35" t="s">
        <v>5644</v>
      </c>
      <c r="C167" s="272" t="s">
        <v>5654</v>
      </c>
      <c r="D167" s="31" t="s">
        <v>5655</v>
      </c>
      <c r="E167" s="33">
        <v>20</v>
      </c>
      <c r="F167" s="22">
        <v>45028</v>
      </c>
      <c r="G167" s="33"/>
      <c r="H167" s="159" t="s">
        <v>4732</v>
      </c>
      <c r="I167" s="33"/>
      <c r="J167" s="33"/>
      <c r="K167" s="33" t="s">
        <v>5338</v>
      </c>
    </row>
    <row r="168" spans="1:11" s="35" customFormat="1" ht="11.25" customHeight="1" x14ac:dyDescent="0.35">
      <c r="A168" s="33" t="s">
        <v>60</v>
      </c>
      <c r="B168" s="35" t="s">
        <v>5644</v>
      </c>
      <c r="C168" s="272">
        <v>9010000900</v>
      </c>
      <c r="D168" s="31" t="s">
        <v>5656</v>
      </c>
      <c r="E168" s="33">
        <v>1</v>
      </c>
      <c r="F168" s="22">
        <v>45028</v>
      </c>
      <c r="G168" s="33"/>
      <c r="H168" s="159" t="s">
        <v>4732</v>
      </c>
      <c r="I168" s="33"/>
      <c r="J168" s="33"/>
      <c r="K168" s="33" t="s">
        <v>5338</v>
      </c>
    </row>
    <row r="169" spans="1:11" s="35" customFormat="1" ht="11.25" customHeight="1" x14ac:dyDescent="0.35">
      <c r="A169" s="33" t="s">
        <v>60</v>
      </c>
      <c r="B169" s="35" t="s">
        <v>5644</v>
      </c>
      <c r="C169" s="272">
        <v>1066030100</v>
      </c>
      <c r="D169" s="31" t="s">
        <v>2693</v>
      </c>
      <c r="E169" s="33">
        <v>1</v>
      </c>
      <c r="F169" s="22">
        <v>45028</v>
      </c>
      <c r="G169" s="33"/>
      <c r="H169" s="159" t="s">
        <v>4732</v>
      </c>
      <c r="I169" s="33"/>
      <c r="J169" s="33"/>
      <c r="K169" s="33" t="s">
        <v>5338</v>
      </c>
    </row>
    <row r="170" spans="1:11" s="35" customFormat="1" ht="11.25" customHeight="1" x14ac:dyDescent="0.35">
      <c r="A170" s="33" t="s">
        <v>60</v>
      </c>
      <c r="B170" s="35" t="s">
        <v>5644</v>
      </c>
      <c r="C170" s="272" t="s">
        <v>5657</v>
      </c>
      <c r="D170" s="31" t="s">
        <v>5658</v>
      </c>
      <c r="E170" s="33">
        <v>2</v>
      </c>
      <c r="F170" s="22">
        <v>45028</v>
      </c>
      <c r="G170" s="33"/>
      <c r="H170" s="159" t="s">
        <v>4732</v>
      </c>
      <c r="I170" s="33"/>
      <c r="J170" s="33"/>
      <c r="K170" s="33" t="s">
        <v>5338</v>
      </c>
    </row>
    <row r="171" spans="1:11" s="35" customFormat="1" ht="11.25" customHeight="1" x14ac:dyDescent="0.35">
      <c r="A171" s="33" t="s">
        <v>60</v>
      </c>
      <c r="B171" s="35" t="s">
        <v>5644</v>
      </c>
      <c r="C171" s="272">
        <v>1025030100</v>
      </c>
      <c r="D171" s="31" t="s">
        <v>5659</v>
      </c>
      <c r="E171" s="33">
        <v>1</v>
      </c>
      <c r="F171" s="22">
        <v>45028</v>
      </c>
      <c r="G171" s="33"/>
      <c r="H171" s="159" t="s">
        <v>4732</v>
      </c>
      <c r="I171" s="33"/>
      <c r="J171" s="33"/>
      <c r="K171" s="33" t="s">
        <v>5338</v>
      </c>
    </row>
    <row r="172" spans="1:11" s="35" customFormat="1" ht="11.25" customHeight="1" x14ac:dyDescent="0.35">
      <c r="A172" s="33" t="s">
        <v>60</v>
      </c>
      <c r="B172" s="35" t="s">
        <v>5644</v>
      </c>
      <c r="C172" s="272">
        <v>1070005200</v>
      </c>
      <c r="D172" s="31" t="s">
        <v>5660</v>
      </c>
      <c r="E172" s="33">
        <v>1</v>
      </c>
      <c r="F172" s="22">
        <v>45028</v>
      </c>
      <c r="G172" s="33"/>
      <c r="H172" s="159" t="s">
        <v>4732</v>
      </c>
      <c r="I172" s="33"/>
      <c r="J172" s="33"/>
      <c r="K172" s="33" t="s">
        <v>5338</v>
      </c>
    </row>
    <row r="173" spans="1:11" s="35" customFormat="1" ht="11.25" customHeight="1" x14ac:dyDescent="0.35">
      <c r="A173" s="33" t="s">
        <v>60</v>
      </c>
      <c r="B173" s="35" t="s">
        <v>5644</v>
      </c>
      <c r="C173" s="272">
        <v>2022011200</v>
      </c>
      <c r="D173" s="31" t="s">
        <v>5661</v>
      </c>
      <c r="E173" s="33">
        <v>1</v>
      </c>
      <c r="F173" s="22">
        <v>45028</v>
      </c>
      <c r="G173" s="33"/>
      <c r="H173" s="159" t="s">
        <v>4732</v>
      </c>
      <c r="I173" s="33"/>
      <c r="J173" s="33"/>
      <c r="K173" s="33" t="s">
        <v>5338</v>
      </c>
    </row>
    <row r="174" spans="1:11" s="35" customFormat="1" ht="11.25" customHeight="1" x14ac:dyDescent="0.35">
      <c r="A174" s="33" t="s">
        <v>60</v>
      </c>
      <c r="B174" s="35" t="s">
        <v>5644</v>
      </c>
      <c r="C174" s="272" t="s">
        <v>5662</v>
      </c>
      <c r="D174" s="31" t="s">
        <v>5663</v>
      </c>
      <c r="E174" s="33">
        <v>48</v>
      </c>
      <c r="F174" s="22">
        <v>45028</v>
      </c>
      <c r="G174" s="33"/>
      <c r="H174" s="159" t="s">
        <v>4732</v>
      </c>
      <c r="I174" s="33"/>
      <c r="J174" s="33"/>
      <c r="K174" s="33" t="s">
        <v>5338</v>
      </c>
    </row>
    <row r="175" spans="1:11" s="35" customFormat="1" ht="11.25" customHeight="1" x14ac:dyDescent="0.35">
      <c r="A175" s="33" t="s">
        <v>60</v>
      </c>
      <c r="B175" s="35" t="s">
        <v>5644</v>
      </c>
      <c r="C175" s="272">
        <v>1066023000</v>
      </c>
      <c r="D175" s="31" t="s">
        <v>5664</v>
      </c>
      <c r="E175" s="33">
        <v>1</v>
      </c>
      <c r="F175" s="22">
        <v>45028</v>
      </c>
      <c r="G175" s="33"/>
      <c r="H175" s="159" t="s">
        <v>4732</v>
      </c>
      <c r="I175" s="33"/>
      <c r="J175" s="33"/>
      <c r="K175" s="33" t="s">
        <v>5338</v>
      </c>
    </row>
    <row r="176" spans="1:11" s="35" customFormat="1" ht="11.25" customHeight="1" x14ac:dyDescent="0.35">
      <c r="A176" s="33" t="s">
        <v>60</v>
      </c>
      <c r="B176" s="35" t="s">
        <v>5644</v>
      </c>
      <c r="C176" s="272">
        <v>1066527100</v>
      </c>
      <c r="D176" s="31" t="s">
        <v>5665</v>
      </c>
      <c r="E176" s="33">
        <v>1</v>
      </c>
      <c r="F176" s="22">
        <v>45028</v>
      </c>
      <c r="G176" s="33"/>
      <c r="H176" s="159" t="s">
        <v>4732</v>
      </c>
      <c r="I176" s="33"/>
      <c r="J176" s="33"/>
      <c r="K176" s="33" t="s">
        <v>5338</v>
      </c>
    </row>
    <row r="177" spans="1:11" s="35" customFormat="1" ht="11.25" customHeight="1" x14ac:dyDescent="0.35">
      <c r="A177" s="33" t="s">
        <v>60</v>
      </c>
      <c r="B177" s="35" t="s">
        <v>5644</v>
      </c>
      <c r="C177" s="272">
        <v>1056020800</v>
      </c>
      <c r="D177" s="31" t="s">
        <v>5666</v>
      </c>
      <c r="E177" s="33">
        <v>15</v>
      </c>
      <c r="F177" s="22">
        <v>45028</v>
      </c>
      <c r="G177" s="33"/>
      <c r="H177" s="159" t="s">
        <v>4732</v>
      </c>
      <c r="I177" s="33"/>
      <c r="J177" s="33"/>
      <c r="K177" s="33" t="s">
        <v>5338</v>
      </c>
    </row>
    <row r="178" spans="1:11" s="35" customFormat="1" ht="11.25" customHeight="1" x14ac:dyDescent="0.35">
      <c r="A178" s="33" t="s">
        <v>60</v>
      </c>
      <c r="B178" s="35" t="s">
        <v>5644</v>
      </c>
      <c r="C178" s="272" t="s">
        <v>5667</v>
      </c>
      <c r="D178" s="31" t="s">
        <v>5663</v>
      </c>
      <c r="E178" s="33">
        <v>2</v>
      </c>
      <c r="F178" s="22">
        <v>45028</v>
      </c>
      <c r="G178" s="33"/>
      <c r="H178" s="159" t="s">
        <v>4732</v>
      </c>
      <c r="I178" s="33"/>
      <c r="J178" s="33"/>
      <c r="K178" s="33" t="s">
        <v>5338</v>
      </c>
    </row>
    <row r="179" spans="1:11" s="35" customFormat="1" ht="11.25" customHeight="1" x14ac:dyDescent="0.35">
      <c r="A179" s="33" t="s">
        <v>60</v>
      </c>
      <c r="B179" s="35" t="s">
        <v>5644</v>
      </c>
      <c r="C179" s="272" t="s">
        <v>5668</v>
      </c>
      <c r="D179" s="31" t="s">
        <v>5669</v>
      </c>
      <c r="E179" s="33">
        <v>2</v>
      </c>
      <c r="F179" s="22">
        <v>45028</v>
      </c>
      <c r="G179" s="33"/>
      <c r="H179" s="159" t="s">
        <v>4732</v>
      </c>
      <c r="I179" s="33"/>
      <c r="J179" s="33"/>
      <c r="K179" s="33" t="s">
        <v>5338</v>
      </c>
    </row>
    <row r="180" spans="1:11" s="35" customFormat="1" ht="11.25" customHeight="1" x14ac:dyDescent="0.35">
      <c r="A180" s="33" t="s">
        <v>60</v>
      </c>
      <c r="B180" s="35" t="s">
        <v>5644</v>
      </c>
      <c r="C180" s="272">
        <v>1056020200</v>
      </c>
      <c r="D180" s="31" t="s">
        <v>239</v>
      </c>
      <c r="E180" s="33">
        <v>4</v>
      </c>
      <c r="F180" s="22">
        <v>45028</v>
      </c>
      <c r="G180" s="33"/>
      <c r="H180" s="159" t="s">
        <v>4732</v>
      </c>
      <c r="I180" s="33"/>
      <c r="J180" s="33"/>
      <c r="K180" s="33" t="s">
        <v>5338</v>
      </c>
    </row>
    <row r="181" spans="1:11" s="35" customFormat="1" ht="11.25" customHeight="1" x14ac:dyDescent="0.35">
      <c r="A181" s="33" t="s">
        <v>60</v>
      </c>
      <c r="B181" s="35" t="s">
        <v>5644</v>
      </c>
      <c r="C181" s="272" t="s">
        <v>5670</v>
      </c>
      <c r="D181" s="31" t="s">
        <v>5671</v>
      </c>
      <c r="E181" s="33">
        <v>1</v>
      </c>
      <c r="F181" s="22">
        <v>45028</v>
      </c>
      <c r="G181" s="33"/>
      <c r="H181" s="159" t="s">
        <v>4732</v>
      </c>
      <c r="I181" s="33"/>
      <c r="J181" s="33"/>
      <c r="K181" s="33" t="s">
        <v>5338</v>
      </c>
    </row>
    <row r="182" spans="1:11" s="35" customFormat="1" ht="11.25" customHeight="1" x14ac:dyDescent="0.35">
      <c r="A182" s="33" t="s">
        <v>60</v>
      </c>
      <c r="B182" s="35" t="s">
        <v>5644</v>
      </c>
      <c r="C182" s="272">
        <v>2022011100</v>
      </c>
      <c r="D182" s="31" t="s">
        <v>5672</v>
      </c>
      <c r="E182" s="33">
        <v>1</v>
      </c>
      <c r="F182" s="22">
        <v>45028</v>
      </c>
      <c r="G182" s="33"/>
      <c r="H182" s="159" t="s">
        <v>4732</v>
      </c>
      <c r="I182" s="33"/>
      <c r="J182" s="33"/>
      <c r="K182" s="33" t="s">
        <v>5338</v>
      </c>
    </row>
    <row r="183" spans="1:11" s="35" customFormat="1" ht="11.25" customHeight="1" x14ac:dyDescent="0.35">
      <c r="A183" s="33" t="s">
        <v>60</v>
      </c>
      <c r="B183" s="35" t="s">
        <v>5644</v>
      </c>
      <c r="C183" s="272">
        <v>1025029600</v>
      </c>
      <c r="D183" s="31" t="s">
        <v>5673</v>
      </c>
      <c r="E183" s="33">
        <v>8</v>
      </c>
      <c r="F183" s="22">
        <v>45028</v>
      </c>
      <c r="G183" s="33"/>
      <c r="H183" s="159" t="s">
        <v>4732</v>
      </c>
      <c r="I183" s="33"/>
      <c r="J183" s="33"/>
      <c r="K183" s="33" t="s">
        <v>5338</v>
      </c>
    </row>
    <row r="184" spans="1:11" s="35" customFormat="1" ht="11.25" customHeight="1" x14ac:dyDescent="0.35">
      <c r="A184" s="33" t="s">
        <v>60</v>
      </c>
      <c r="B184" s="35" t="s">
        <v>5644</v>
      </c>
      <c r="C184" s="272">
        <v>5062034700</v>
      </c>
      <c r="D184" s="31" t="s">
        <v>5674</v>
      </c>
      <c r="E184" s="33">
        <v>2</v>
      </c>
      <c r="F184" s="22">
        <v>45028</v>
      </c>
      <c r="G184" s="33"/>
      <c r="H184" s="159" t="s">
        <v>4732</v>
      </c>
      <c r="I184" s="33"/>
      <c r="J184" s="33"/>
      <c r="K184" s="33" t="s">
        <v>5338</v>
      </c>
    </row>
    <row r="185" spans="1:11" s="35" customFormat="1" ht="11.25" customHeight="1" x14ac:dyDescent="0.35">
      <c r="A185" s="33" t="s">
        <v>60</v>
      </c>
      <c r="B185" s="35" t="s">
        <v>5644</v>
      </c>
      <c r="C185" s="272">
        <v>1056021300</v>
      </c>
      <c r="D185" s="31" t="s">
        <v>5675</v>
      </c>
      <c r="E185" s="33">
        <v>2</v>
      </c>
      <c r="F185" s="22">
        <v>45028</v>
      </c>
      <c r="G185" s="33"/>
      <c r="H185" s="159" t="s">
        <v>4732</v>
      </c>
      <c r="I185" s="33"/>
      <c r="J185" s="33"/>
      <c r="K185" s="33" t="s">
        <v>5338</v>
      </c>
    </row>
    <row r="186" spans="1:11" s="35" customFormat="1" ht="11.25" customHeight="1" x14ac:dyDescent="0.35">
      <c r="A186" s="33" t="s">
        <v>60</v>
      </c>
      <c r="B186" s="35" t="s">
        <v>5644</v>
      </c>
      <c r="C186" s="272">
        <v>1046023600</v>
      </c>
      <c r="D186" s="31" t="s">
        <v>5676</v>
      </c>
      <c r="E186" s="33">
        <v>2</v>
      </c>
      <c r="F186" s="22">
        <v>45028</v>
      </c>
      <c r="G186" s="33"/>
      <c r="H186" s="159" t="s">
        <v>4732</v>
      </c>
      <c r="I186" s="33"/>
      <c r="J186" s="33"/>
      <c r="K186" s="33" t="s">
        <v>5338</v>
      </c>
    </row>
    <row r="187" spans="1:11" s="35" customFormat="1" ht="11.25" customHeight="1" x14ac:dyDescent="0.35">
      <c r="A187" s="33" t="s">
        <v>60</v>
      </c>
      <c r="B187" s="35" t="s">
        <v>5644</v>
      </c>
      <c r="C187" s="272">
        <v>2074598200</v>
      </c>
      <c r="D187" s="31" t="s">
        <v>5677</v>
      </c>
      <c r="E187" s="33">
        <v>2</v>
      </c>
      <c r="F187" s="22">
        <v>45028</v>
      </c>
      <c r="G187" s="33"/>
      <c r="H187" s="159" t="s">
        <v>4732</v>
      </c>
      <c r="I187" s="33"/>
      <c r="J187" s="33"/>
      <c r="K187" s="33" t="s">
        <v>5338</v>
      </c>
    </row>
    <row r="188" spans="1:11" s="35" customFormat="1" ht="11.25" customHeight="1" x14ac:dyDescent="0.35">
      <c r="A188" s="33" t="s">
        <v>60</v>
      </c>
      <c r="B188" s="35" t="s">
        <v>5644</v>
      </c>
      <c r="C188" s="272" t="s">
        <v>5678</v>
      </c>
      <c r="D188" s="31" t="s">
        <v>5679</v>
      </c>
      <c r="E188" s="33">
        <v>1</v>
      </c>
      <c r="F188" s="22">
        <v>45028</v>
      </c>
      <c r="G188" s="33"/>
      <c r="H188" s="159" t="s">
        <v>4732</v>
      </c>
      <c r="I188" s="33"/>
      <c r="J188" s="33"/>
      <c r="K188" s="33" t="s">
        <v>5338</v>
      </c>
    </row>
    <row r="189" spans="1:11" s="35" customFormat="1" ht="11.25" customHeight="1" x14ac:dyDescent="0.35">
      <c r="A189" s="33" t="s">
        <v>60</v>
      </c>
      <c r="B189" s="35" t="s">
        <v>5644</v>
      </c>
      <c r="C189" s="272" t="s">
        <v>5680</v>
      </c>
      <c r="D189" s="31" t="s">
        <v>5681</v>
      </c>
      <c r="E189" s="33">
        <v>1</v>
      </c>
      <c r="F189" s="22">
        <v>45028</v>
      </c>
      <c r="G189" s="33"/>
      <c r="H189" s="159" t="s">
        <v>4732</v>
      </c>
      <c r="I189" s="33"/>
      <c r="J189" s="33"/>
      <c r="K189" s="33" t="s">
        <v>5338</v>
      </c>
    </row>
    <row r="190" spans="1:11" s="35" customFormat="1" ht="11.25" customHeight="1" x14ac:dyDescent="0.35">
      <c r="A190" s="33" t="s">
        <v>60</v>
      </c>
      <c r="B190" s="35" t="s">
        <v>5644</v>
      </c>
      <c r="C190" s="272" t="s">
        <v>5682</v>
      </c>
      <c r="D190" s="31" t="s">
        <v>5683</v>
      </c>
      <c r="E190" s="33">
        <v>1</v>
      </c>
      <c r="F190" s="22">
        <v>45028</v>
      </c>
      <c r="G190" s="33"/>
      <c r="H190" s="159" t="s">
        <v>4732</v>
      </c>
      <c r="I190" s="33"/>
      <c r="J190" s="33"/>
      <c r="K190" s="33" t="s">
        <v>5338</v>
      </c>
    </row>
    <row r="191" spans="1:11" s="35" customFormat="1" ht="11.25" customHeight="1" x14ac:dyDescent="0.35">
      <c r="A191" s="33" t="s">
        <v>60</v>
      </c>
      <c r="B191" s="35" t="s">
        <v>5644</v>
      </c>
      <c r="C191" s="272">
        <v>1048013400</v>
      </c>
      <c r="D191" s="31" t="s">
        <v>5684</v>
      </c>
      <c r="E191" s="33">
        <v>1</v>
      </c>
      <c r="F191" s="22">
        <v>45028</v>
      </c>
      <c r="G191" s="33"/>
      <c r="H191" s="159" t="s">
        <v>4732</v>
      </c>
      <c r="I191" s="33"/>
      <c r="J191" s="33"/>
      <c r="K191" s="33" t="s">
        <v>5338</v>
      </c>
    </row>
    <row r="192" spans="1:11" s="35" customFormat="1" ht="11.25" customHeight="1" x14ac:dyDescent="0.35">
      <c r="A192" s="33" t="s">
        <v>60</v>
      </c>
      <c r="B192" s="35" t="s">
        <v>5644</v>
      </c>
      <c r="C192" s="272">
        <v>8042034000</v>
      </c>
      <c r="D192" s="31" t="s">
        <v>5685</v>
      </c>
      <c r="E192" s="33">
        <v>1</v>
      </c>
      <c r="F192" s="22">
        <v>45028</v>
      </c>
      <c r="G192" s="33"/>
      <c r="H192" s="159" t="s">
        <v>4732</v>
      </c>
      <c r="I192" s="33"/>
      <c r="J192" s="33"/>
      <c r="K192" s="33" t="s">
        <v>5338</v>
      </c>
    </row>
    <row r="193" spans="1:11" s="35" customFormat="1" ht="11.25" customHeight="1" x14ac:dyDescent="0.35">
      <c r="A193" s="33" t="s">
        <v>60</v>
      </c>
      <c r="B193" s="35" t="s">
        <v>5644</v>
      </c>
      <c r="C193" s="272">
        <v>8042034100</v>
      </c>
      <c r="D193" s="31" t="s">
        <v>5686</v>
      </c>
      <c r="E193" s="33">
        <v>1</v>
      </c>
      <c r="F193" s="22">
        <v>45028</v>
      </c>
      <c r="G193" s="33"/>
      <c r="H193" s="159" t="s">
        <v>4732</v>
      </c>
      <c r="I193" s="33"/>
      <c r="J193" s="33"/>
      <c r="K193" s="33" t="s">
        <v>5338</v>
      </c>
    </row>
    <row r="194" spans="1:11" s="35" customFormat="1" ht="11.25" customHeight="1" x14ac:dyDescent="0.35">
      <c r="A194" s="33" t="s">
        <v>60</v>
      </c>
      <c r="B194" s="35" t="s">
        <v>5644</v>
      </c>
      <c r="C194" s="272">
        <v>2074097700</v>
      </c>
      <c r="D194" s="31" t="s">
        <v>5687</v>
      </c>
      <c r="E194" s="33">
        <v>2</v>
      </c>
      <c r="F194" s="22">
        <v>45028</v>
      </c>
      <c r="G194" s="33"/>
      <c r="H194" s="159" t="s">
        <v>4732</v>
      </c>
      <c r="I194" s="33"/>
      <c r="J194" s="33"/>
      <c r="K194" s="33" t="s">
        <v>5338</v>
      </c>
    </row>
    <row r="195" spans="1:11" s="35" customFormat="1" ht="11.25" customHeight="1" x14ac:dyDescent="0.35">
      <c r="A195" s="33" t="s">
        <v>60</v>
      </c>
      <c r="B195" s="35" t="s">
        <v>5644</v>
      </c>
      <c r="C195" s="272">
        <v>1066027700</v>
      </c>
      <c r="D195" s="31" t="s">
        <v>5688</v>
      </c>
      <c r="E195" s="33">
        <v>1</v>
      </c>
      <c r="F195" s="22">
        <v>45028</v>
      </c>
      <c r="G195" s="33"/>
      <c r="H195" s="159" t="s">
        <v>4732</v>
      </c>
      <c r="I195" s="33"/>
      <c r="J195" s="33"/>
      <c r="K195" s="33" t="s">
        <v>5338</v>
      </c>
    </row>
    <row r="196" spans="1:11" s="35" customFormat="1" ht="11.25" customHeight="1" x14ac:dyDescent="0.35">
      <c r="A196" s="33" t="s">
        <v>60</v>
      </c>
      <c r="B196" s="35" t="s">
        <v>5644</v>
      </c>
      <c r="C196" s="272">
        <v>1066023800</v>
      </c>
      <c r="D196" s="31" t="s">
        <v>5689</v>
      </c>
      <c r="E196" s="33">
        <v>1</v>
      </c>
      <c r="F196" s="22">
        <v>45028</v>
      </c>
      <c r="G196" s="33"/>
      <c r="H196" s="159" t="s">
        <v>4732</v>
      </c>
      <c r="I196" s="33"/>
      <c r="J196" s="33"/>
      <c r="K196" s="33" t="s">
        <v>5338</v>
      </c>
    </row>
    <row r="197" spans="1:11" s="35" customFormat="1" ht="11.25" customHeight="1" x14ac:dyDescent="0.35">
      <c r="A197" s="33" t="s">
        <v>60</v>
      </c>
      <c r="B197" s="35" t="s">
        <v>5644</v>
      </c>
      <c r="C197" s="272">
        <v>5062034200</v>
      </c>
      <c r="D197" s="31" t="s">
        <v>5690</v>
      </c>
      <c r="E197" s="33">
        <v>2</v>
      </c>
      <c r="F197" s="22">
        <v>45028</v>
      </c>
      <c r="G197" s="33"/>
      <c r="H197" s="159" t="s">
        <v>4732</v>
      </c>
      <c r="I197" s="33"/>
      <c r="J197" s="33"/>
      <c r="K197" s="33" t="s">
        <v>5338</v>
      </c>
    </row>
    <row r="198" spans="1:11" s="35" customFormat="1" ht="11.25" customHeight="1" x14ac:dyDescent="0.35">
      <c r="A198" s="33" t="s">
        <v>60</v>
      </c>
      <c r="B198" s="35" t="s">
        <v>5644</v>
      </c>
      <c r="C198" s="272">
        <v>1070005400</v>
      </c>
      <c r="D198" s="31" t="s">
        <v>5691</v>
      </c>
      <c r="E198" s="33">
        <v>1</v>
      </c>
      <c r="F198" s="22">
        <v>45028</v>
      </c>
      <c r="G198" s="33"/>
      <c r="H198" s="159" t="s">
        <v>4732</v>
      </c>
      <c r="I198" s="33"/>
      <c r="J198" s="33"/>
      <c r="K198" s="33" t="s">
        <v>5338</v>
      </c>
    </row>
    <row r="199" spans="1:11" s="35" customFormat="1" ht="11.25" customHeight="1" x14ac:dyDescent="0.35">
      <c r="A199" s="33" t="s">
        <v>60</v>
      </c>
      <c r="B199" s="35" t="s">
        <v>5644</v>
      </c>
      <c r="C199" s="272">
        <v>1066022900</v>
      </c>
      <c r="D199" s="31" t="s">
        <v>5692</v>
      </c>
      <c r="E199" s="33">
        <v>1</v>
      </c>
      <c r="F199" s="22">
        <v>45028</v>
      </c>
      <c r="G199" s="33"/>
      <c r="H199" s="159" t="s">
        <v>4732</v>
      </c>
      <c r="I199" s="33"/>
      <c r="J199" s="33"/>
      <c r="K199" s="33" t="s">
        <v>5338</v>
      </c>
    </row>
    <row r="200" spans="1:11" s="35" customFormat="1" ht="11.25" customHeight="1" x14ac:dyDescent="0.35">
      <c r="A200" s="33" t="s">
        <v>60</v>
      </c>
      <c r="B200" s="35" t="s">
        <v>5644</v>
      </c>
      <c r="C200" s="272">
        <v>1070003800</v>
      </c>
      <c r="D200" s="31" t="s">
        <v>5693</v>
      </c>
      <c r="E200" s="33">
        <v>1</v>
      </c>
      <c r="F200" s="22">
        <v>45028</v>
      </c>
      <c r="G200" s="33"/>
      <c r="H200" s="159" t="s">
        <v>4732</v>
      </c>
      <c r="I200" s="33"/>
      <c r="J200" s="33"/>
      <c r="K200" s="33" t="s">
        <v>5338</v>
      </c>
    </row>
    <row r="201" spans="1:11" s="35" customFormat="1" ht="11.25" customHeight="1" x14ac:dyDescent="0.35">
      <c r="A201" s="33" t="s">
        <v>60</v>
      </c>
      <c r="B201" s="35" t="s">
        <v>5644</v>
      </c>
      <c r="C201" s="272">
        <v>1056020100</v>
      </c>
      <c r="D201" s="31" t="s">
        <v>5694</v>
      </c>
      <c r="E201" s="33">
        <v>1</v>
      </c>
      <c r="F201" s="22">
        <v>45028</v>
      </c>
      <c r="G201" s="33"/>
      <c r="H201" s="159" t="s">
        <v>4732</v>
      </c>
      <c r="I201" s="33"/>
      <c r="J201" s="33"/>
      <c r="K201" s="33" t="s">
        <v>5338</v>
      </c>
    </row>
    <row r="202" spans="1:11" s="35" customFormat="1" ht="11.25" customHeight="1" x14ac:dyDescent="0.35">
      <c r="A202" s="33" t="s">
        <v>60</v>
      </c>
      <c r="B202" s="35" t="s">
        <v>5644</v>
      </c>
      <c r="C202" s="272">
        <v>1056528200</v>
      </c>
      <c r="D202" s="31" t="s">
        <v>5695</v>
      </c>
      <c r="E202" s="33">
        <v>1</v>
      </c>
      <c r="F202" s="22">
        <v>45028</v>
      </c>
      <c r="G202" s="33"/>
      <c r="H202" s="159" t="s">
        <v>4732</v>
      </c>
      <c r="I202" s="33"/>
      <c r="J202" s="33"/>
      <c r="K202" s="33" t="s">
        <v>5338</v>
      </c>
    </row>
    <row r="203" spans="1:11" s="35" customFormat="1" ht="11.25" customHeight="1" x14ac:dyDescent="0.35">
      <c r="A203" s="33" t="s">
        <v>60</v>
      </c>
      <c r="B203" s="35" t="s">
        <v>5644</v>
      </c>
      <c r="C203" s="272">
        <v>1056024600</v>
      </c>
      <c r="D203" s="31" t="s">
        <v>5695</v>
      </c>
      <c r="E203" s="33">
        <v>1</v>
      </c>
      <c r="F203" s="22">
        <v>45028</v>
      </c>
      <c r="G203" s="33"/>
      <c r="H203" s="159" t="s">
        <v>4732</v>
      </c>
      <c r="I203" s="33"/>
      <c r="J203" s="33"/>
      <c r="K203" s="33" t="s">
        <v>5338</v>
      </c>
    </row>
    <row r="204" spans="1:11" s="35" customFormat="1" ht="11.25" customHeight="1" x14ac:dyDescent="0.35">
      <c r="A204" s="33" t="s">
        <v>60</v>
      </c>
      <c r="B204" s="35" t="s">
        <v>5644</v>
      </c>
      <c r="C204" s="272" t="s">
        <v>5696</v>
      </c>
      <c r="D204" s="31" t="s">
        <v>5697</v>
      </c>
      <c r="E204" s="33">
        <v>32</v>
      </c>
      <c r="F204" s="22">
        <v>45028</v>
      </c>
      <c r="G204" s="33"/>
      <c r="H204" s="159" t="s">
        <v>4732</v>
      </c>
      <c r="I204" s="33"/>
      <c r="J204" s="33"/>
      <c r="K204" s="33" t="s">
        <v>5338</v>
      </c>
    </row>
    <row r="205" spans="1:11" s="35" customFormat="1" ht="11.25" customHeight="1" x14ac:dyDescent="0.35">
      <c r="A205" s="33" t="s">
        <v>60</v>
      </c>
      <c r="B205" s="35" t="s">
        <v>5644</v>
      </c>
      <c r="C205" s="272" t="s">
        <v>5698</v>
      </c>
      <c r="D205" s="31" t="s">
        <v>5699</v>
      </c>
      <c r="E205" s="33">
        <v>1</v>
      </c>
      <c r="F205" s="22">
        <v>45028</v>
      </c>
      <c r="G205" s="33"/>
      <c r="H205" s="159" t="s">
        <v>4732</v>
      </c>
      <c r="I205" s="33"/>
      <c r="J205" s="33"/>
      <c r="K205" s="33" t="s">
        <v>5338</v>
      </c>
    </row>
    <row r="206" spans="1:11" s="35" customFormat="1" ht="11.25" customHeight="1" x14ac:dyDescent="0.35">
      <c r="A206" s="33" t="s">
        <v>60</v>
      </c>
      <c r="B206" s="35" t="s">
        <v>5644</v>
      </c>
      <c r="C206" s="272" t="s">
        <v>5700</v>
      </c>
      <c r="D206" s="31" t="s">
        <v>5701</v>
      </c>
      <c r="E206" s="33">
        <v>1</v>
      </c>
      <c r="F206" s="22">
        <v>45028</v>
      </c>
      <c r="G206" s="33"/>
      <c r="H206" s="159" t="s">
        <v>4732</v>
      </c>
      <c r="I206" s="33"/>
      <c r="J206" s="33"/>
      <c r="K206" s="33" t="s">
        <v>5338</v>
      </c>
    </row>
    <row r="207" spans="1:11" s="35" customFormat="1" ht="11.25" customHeight="1" x14ac:dyDescent="0.35">
      <c r="A207" s="33" t="s">
        <v>60</v>
      </c>
      <c r="B207" s="35" t="s">
        <v>5644</v>
      </c>
      <c r="C207" s="272" t="s">
        <v>5702</v>
      </c>
      <c r="D207" s="31" t="s">
        <v>5703</v>
      </c>
      <c r="E207" s="33">
        <v>4</v>
      </c>
      <c r="F207" s="22">
        <v>45028</v>
      </c>
      <c r="G207" s="33"/>
      <c r="H207" s="159" t="s">
        <v>4732</v>
      </c>
      <c r="I207" s="33"/>
      <c r="J207" s="33"/>
      <c r="K207" s="33" t="s">
        <v>5338</v>
      </c>
    </row>
    <row r="208" spans="1:11" s="35" customFormat="1" ht="11.25" customHeight="1" x14ac:dyDescent="0.35">
      <c r="A208" s="33" t="s">
        <v>60</v>
      </c>
      <c r="B208" s="35" t="s">
        <v>5644</v>
      </c>
      <c r="C208" s="272" t="s">
        <v>5704</v>
      </c>
      <c r="D208" s="31" t="s">
        <v>5705</v>
      </c>
      <c r="E208" s="33">
        <v>1</v>
      </c>
      <c r="F208" s="22">
        <v>45028</v>
      </c>
      <c r="G208" s="33"/>
      <c r="H208" s="159" t="s">
        <v>4732</v>
      </c>
      <c r="I208" s="33"/>
      <c r="J208" s="33"/>
      <c r="K208" s="33" t="s">
        <v>5338</v>
      </c>
    </row>
    <row r="209" spans="1:11" s="35" customFormat="1" ht="11.25" customHeight="1" x14ac:dyDescent="0.35">
      <c r="A209" s="33" t="s">
        <v>60</v>
      </c>
      <c r="B209" s="35" t="s">
        <v>5644</v>
      </c>
      <c r="C209" s="272" t="s">
        <v>5706</v>
      </c>
      <c r="D209" s="31" t="s">
        <v>5707</v>
      </c>
      <c r="E209" s="33">
        <v>1</v>
      </c>
      <c r="F209" s="22">
        <v>45028</v>
      </c>
      <c r="G209" s="33"/>
      <c r="H209" s="159" t="s">
        <v>4732</v>
      </c>
      <c r="I209" s="33"/>
      <c r="J209" s="33"/>
      <c r="K209" s="33" t="s">
        <v>5338</v>
      </c>
    </row>
    <row r="210" spans="1:11" s="35" customFormat="1" ht="11.25" customHeight="1" x14ac:dyDescent="0.35">
      <c r="A210" s="33" t="s">
        <v>60</v>
      </c>
      <c r="B210" s="35" t="s">
        <v>5644</v>
      </c>
      <c r="C210" s="272" t="s">
        <v>5708</v>
      </c>
      <c r="D210" s="31" t="s">
        <v>5180</v>
      </c>
      <c r="E210" s="33">
        <v>2</v>
      </c>
      <c r="F210" s="22">
        <v>45028</v>
      </c>
      <c r="G210" s="33"/>
      <c r="H210" s="159" t="s">
        <v>4732</v>
      </c>
      <c r="I210" s="33"/>
      <c r="J210" s="33"/>
      <c r="K210" s="33" t="s">
        <v>5338</v>
      </c>
    </row>
    <row r="211" spans="1:11" s="35" customFormat="1" ht="11.25" customHeight="1" x14ac:dyDescent="0.35">
      <c r="A211" s="33" t="s">
        <v>60</v>
      </c>
      <c r="B211" s="35" t="s">
        <v>5644</v>
      </c>
      <c r="C211" s="272" t="s">
        <v>5709</v>
      </c>
      <c r="D211" s="31" t="s">
        <v>5710</v>
      </c>
      <c r="E211" s="33">
        <v>1</v>
      </c>
      <c r="F211" s="22">
        <v>45028</v>
      </c>
      <c r="G211" s="33"/>
      <c r="H211" s="159" t="s">
        <v>4732</v>
      </c>
      <c r="I211" s="33"/>
      <c r="J211" s="33"/>
      <c r="K211" s="33" t="s">
        <v>5338</v>
      </c>
    </row>
    <row r="212" spans="1:11" s="35" customFormat="1" ht="11.25" customHeight="1" x14ac:dyDescent="0.35">
      <c r="A212" s="33" t="s">
        <v>60</v>
      </c>
      <c r="B212" s="35" t="s">
        <v>5644</v>
      </c>
      <c r="C212" s="272" t="s">
        <v>5711</v>
      </c>
      <c r="D212" s="31" t="s">
        <v>5697</v>
      </c>
      <c r="E212" s="33">
        <v>2</v>
      </c>
      <c r="F212" s="22">
        <v>45028</v>
      </c>
      <c r="G212" s="33"/>
      <c r="H212" s="159" t="s">
        <v>4732</v>
      </c>
      <c r="I212" s="33"/>
      <c r="J212" s="33"/>
      <c r="K212" s="33" t="s">
        <v>5338</v>
      </c>
    </row>
    <row r="213" spans="1:11" s="35" customFormat="1" ht="11.25" customHeight="1" x14ac:dyDescent="0.35">
      <c r="A213" s="33" t="s">
        <v>60</v>
      </c>
      <c r="B213" s="35" t="s">
        <v>5644</v>
      </c>
      <c r="C213" s="272" t="s">
        <v>5712</v>
      </c>
      <c r="D213" s="31" t="s">
        <v>5713</v>
      </c>
      <c r="E213" s="33">
        <v>4</v>
      </c>
      <c r="F213" s="22">
        <v>45028</v>
      </c>
      <c r="G213" s="33"/>
      <c r="H213" s="159" t="s">
        <v>4732</v>
      </c>
      <c r="I213" s="33"/>
      <c r="J213" s="33"/>
      <c r="K213" s="33" t="s">
        <v>5338</v>
      </c>
    </row>
    <row r="214" spans="1:11" s="35" customFormat="1" ht="11.25" customHeight="1" x14ac:dyDescent="0.35">
      <c r="A214" s="33" t="s">
        <v>60</v>
      </c>
      <c r="B214" s="35" t="s">
        <v>5644</v>
      </c>
      <c r="C214" s="272" t="s">
        <v>5714</v>
      </c>
      <c r="D214" s="31" t="s">
        <v>1264</v>
      </c>
      <c r="E214" s="33">
        <v>2</v>
      </c>
      <c r="F214" s="22">
        <v>45028</v>
      </c>
      <c r="G214" s="33"/>
      <c r="H214" s="159" t="s">
        <v>4732</v>
      </c>
      <c r="I214" s="33"/>
      <c r="J214" s="33"/>
      <c r="K214" s="33" t="s">
        <v>5338</v>
      </c>
    </row>
    <row r="215" spans="1:11" s="35" customFormat="1" ht="11.25" customHeight="1" x14ac:dyDescent="0.35">
      <c r="A215" s="33" t="s">
        <v>60</v>
      </c>
      <c r="B215" s="35" t="s">
        <v>5644</v>
      </c>
      <c r="C215" s="272" t="s">
        <v>5715</v>
      </c>
      <c r="D215" s="31" t="s">
        <v>5716</v>
      </c>
      <c r="E215" s="33">
        <v>1</v>
      </c>
      <c r="F215" s="22">
        <v>45028</v>
      </c>
      <c r="G215" s="33"/>
      <c r="H215" s="159" t="s">
        <v>4732</v>
      </c>
      <c r="I215" s="33"/>
      <c r="J215" s="33"/>
      <c r="K215" s="33" t="s">
        <v>5338</v>
      </c>
    </row>
    <row r="216" spans="1:11" s="35" customFormat="1" ht="11.25" customHeight="1" x14ac:dyDescent="0.35">
      <c r="A216" s="33" t="s">
        <v>60</v>
      </c>
      <c r="B216" s="35" t="s">
        <v>5644</v>
      </c>
      <c r="C216" s="272" t="s">
        <v>5717</v>
      </c>
      <c r="D216" s="31" t="s">
        <v>5718</v>
      </c>
      <c r="E216" s="33">
        <v>1</v>
      </c>
      <c r="F216" s="22">
        <v>45028</v>
      </c>
      <c r="G216" s="33"/>
      <c r="H216" s="159" t="s">
        <v>4732</v>
      </c>
      <c r="I216" s="33"/>
      <c r="J216" s="33"/>
      <c r="K216" s="33" t="s">
        <v>5338</v>
      </c>
    </row>
    <row r="217" spans="1:11" s="35" customFormat="1" ht="11.25" customHeight="1" x14ac:dyDescent="0.35">
      <c r="A217" s="33" t="s">
        <v>60</v>
      </c>
      <c r="B217" s="35" t="s">
        <v>5644</v>
      </c>
      <c r="C217" s="272" t="s">
        <v>4732</v>
      </c>
      <c r="D217" s="31" t="s">
        <v>5719</v>
      </c>
      <c r="E217" s="33">
        <v>1</v>
      </c>
      <c r="F217" s="22">
        <v>45028</v>
      </c>
      <c r="G217" s="33"/>
      <c r="H217" s="159" t="s">
        <v>4732</v>
      </c>
      <c r="I217" s="33"/>
      <c r="J217" s="33"/>
      <c r="K217" s="33" t="s">
        <v>5338</v>
      </c>
    </row>
    <row r="218" spans="1:11" s="35" customFormat="1" ht="11.25" customHeight="1" x14ac:dyDescent="0.35">
      <c r="A218" s="33" t="s">
        <v>60</v>
      </c>
      <c r="B218" s="35" t="s">
        <v>5644</v>
      </c>
      <c r="C218" s="272" t="s">
        <v>5720</v>
      </c>
      <c r="D218" s="31" t="s">
        <v>5721</v>
      </c>
      <c r="E218" s="33">
        <v>1</v>
      </c>
      <c r="F218" s="22">
        <v>45028</v>
      </c>
      <c r="G218" s="33"/>
      <c r="H218" s="159" t="s">
        <v>4732</v>
      </c>
      <c r="I218" s="33"/>
      <c r="J218" s="33"/>
      <c r="K218" s="33" t="s">
        <v>5338</v>
      </c>
    </row>
    <row r="219" spans="1:11" s="35" customFormat="1" ht="11.25" customHeight="1" x14ac:dyDescent="0.35">
      <c r="A219" s="33" t="s">
        <v>60</v>
      </c>
      <c r="B219" s="35" t="s">
        <v>5644</v>
      </c>
      <c r="C219" s="272" t="s">
        <v>5722</v>
      </c>
      <c r="D219" s="31" t="s">
        <v>5723</v>
      </c>
      <c r="E219" s="33">
        <v>30</v>
      </c>
      <c r="F219" s="22">
        <v>45028</v>
      </c>
      <c r="G219" s="33"/>
      <c r="H219" s="159" t="s">
        <v>4732</v>
      </c>
      <c r="I219" s="33"/>
      <c r="J219" s="33"/>
      <c r="K219" s="33" t="s">
        <v>5338</v>
      </c>
    </row>
    <row r="220" spans="1:11" s="35" customFormat="1" ht="11.25" customHeight="1" x14ac:dyDescent="0.35">
      <c r="A220" s="33" t="s">
        <v>60</v>
      </c>
      <c r="B220" s="35" t="s">
        <v>5644</v>
      </c>
      <c r="C220" s="272" t="s">
        <v>5724</v>
      </c>
      <c r="D220" s="31" t="s">
        <v>5470</v>
      </c>
      <c r="E220" s="33">
        <v>30</v>
      </c>
      <c r="F220" s="22">
        <v>45028</v>
      </c>
      <c r="G220" s="33"/>
      <c r="H220" s="159" t="s">
        <v>4732</v>
      </c>
      <c r="I220" s="33"/>
      <c r="J220" s="33"/>
      <c r="K220" s="33" t="s">
        <v>5338</v>
      </c>
    </row>
    <row r="221" spans="1:11" s="35" customFormat="1" ht="11.25" customHeight="1" x14ac:dyDescent="0.35">
      <c r="A221" s="33" t="s">
        <v>60</v>
      </c>
      <c r="B221" s="35" t="s">
        <v>5644</v>
      </c>
      <c r="C221" s="272" t="s">
        <v>5725</v>
      </c>
      <c r="D221" s="31" t="s">
        <v>5726</v>
      </c>
      <c r="E221" s="33">
        <v>2</v>
      </c>
      <c r="F221" s="22">
        <v>45028</v>
      </c>
      <c r="G221" s="33"/>
      <c r="H221" s="159" t="s">
        <v>4732</v>
      </c>
      <c r="I221" s="33"/>
      <c r="J221" s="33"/>
      <c r="K221" s="33" t="s">
        <v>5338</v>
      </c>
    </row>
    <row r="222" spans="1:11" s="35" customFormat="1" ht="11.25" customHeight="1" x14ac:dyDescent="0.35">
      <c r="A222" s="33" t="s">
        <v>60</v>
      </c>
      <c r="B222" s="35" t="s">
        <v>5644</v>
      </c>
      <c r="C222" s="272" t="s">
        <v>5727</v>
      </c>
      <c r="D222" s="31" t="s">
        <v>5728</v>
      </c>
      <c r="E222" s="33">
        <v>5</v>
      </c>
      <c r="F222" s="22">
        <v>45028</v>
      </c>
      <c r="G222" s="33"/>
      <c r="H222" s="159" t="s">
        <v>4732</v>
      </c>
      <c r="I222" s="33"/>
      <c r="J222" s="33"/>
      <c r="K222" s="33" t="s">
        <v>5338</v>
      </c>
    </row>
    <row r="223" spans="1:11" s="35" customFormat="1" ht="11.25" customHeight="1" x14ac:dyDescent="0.35">
      <c r="A223" s="33" t="s">
        <v>60</v>
      </c>
      <c r="B223" s="35" t="s">
        <v>5644</v>
      </c>
      <c r="C223" s="272" t="s">
        <v>5649</v>
      </c>
      <c r="D223" s="31" t="s">
        <v>5729</v>
      </c>
      <c r="E223" s="33">
        <v>5</v>
      </c>
      <c r="F223" s="22" t="s">
        <v>5730</v>
      </c>
      <c r="G223" s="33"/>
      <c r="H223" s="159" t="s">
        <v>4732</v>
      </c>
      <c r="I223" s="33"/>
      <c r="J223" s="33"/>
      <c r="K223" s="33" t="s">
        <v>5338</v>
      </c>
    </row>
    <row r="224" spans="1:11" s="35" customFormat="1" ht="11.25" customHeight="1" x14ac:dyDescent="0.35">
      <c r="A224" s="33" t="s">
        <v>60</v>
      </c>
      <c r="B224" s="35" t="s">
        <v>5644</v>
      </c>
      <c r="C224" s="272" t="s">
        <v>5731</v>
      </c>
      <c r="D224" s="31" t="s">
        <v>5180</v>
      </c>
      <c r="E224" s="33">
        <v>12</v>
      </c>
      <c r="F224" s="22">
        <v>45028</v>
      </c>
      <c r="G224" s="33"/>
      <c r="H224" s="159" t="s">
        <v>4732</v>
      </c>
      <c r="I224" s="33"/>
      <c r="J224" s="33"/>
      <c r="K224" s="33" t="s">
        <v>5338</v>
      </c>
    </row>
    <row r="225" spans="1:11" s="35" customFormat="1" ht="11.25" customHeight="1" x14ac:dyDescent="0.35">
      <c r="A225" s="33" t="s">
        <v>60</v>
      </c>
      <c r="B225" s="35" t="s">
        <v>5644</v>
      </c>
      <c r="C225" s="272" t="s">
        <v>5732</v>
      </c>
      <c r="D225" s="31" t="s">
        <v>5733</v>
      </c>
      <c r="E225" s="33">
        <v>22</v>
      </c>
      <c r="F225" s="22">
        <v>45028</v>
      </c>
      <c r="G225" s="33"/>
      <c r="H225" s="159" t="s">
        <v>4732</v>
      </c>
      <c r="I225" s="33"/>
      <c r="J225" s="33"/>
      <c r="K225" s="33" t="s">
        <v>5338</v>
      </c>
    </row>
    <row r="226" spans="1:11" s="35" customFormat="1" ht="11.25" customHeight="1" x14ac:dyDescent="0.35">
      <c r="A226" s="33" t="s">
        <v>60</v>
      </c>
      <c r="B226" s="35" t="s">
        <v>5644</v>
      </c>
      <c r="C226" s="272" t="s">
        <v>5734</v>
      </c>
      <c r="D226" s="31" t="s">
        <v>5735</v>
      </c>
      <c r="E226" s="33">
        <v>5</v>
      </c>
      <c r="F226" s="22">
        <v>45028</v>
      </c>
      <c r="G226" s="33"/>
      <c r="H226" s="159" t="s">
        <v>4732</v>
      </c>
      <c r="I226" s="33"/>
      <c r="J226" s="33"/>
      <c r="K226" s="33" t="s">
        <v>5338</v>
      </c>
    </row>
    <row r="227" spans="1:11" s="35" customFormat="1" ht="11.25" customHeight="1" x14ac:dyDescent="0.35">
      <c r="A227" s="33" t="s">
        <v>60</v>
      </c>
      <c r="B227" s="35" t="s">
        <v>5644</v>
      </c>
      <c r="C227" s="272" t="s">
        <v>5736</v>
      </c>
      <c r="D227" s="31" t="s">
        <v>5737</v>
      </c>
      <c r="E227" s="33">
        <v>5</v>
      </c>
      <c r="F227" s="22">
        <v>45028</v>
      </c>
      <c r="G227" s="33"/>
      <c r="H227" s="159" t="s">
        <v>4732</v>
      </c>
      <c r="I227" s="33"/>
      <c r="J227" s="33"/>
      <c r="K227" s="33" t="s">
        <v>5338</v>
      </c>
    </row>
    <row r="228" spans="1:11" s="35" customFormat="1" ht="11.25" customHeight="1" x14ac:dyDescent="0.35">
      <c r="A228" s="33" t="s">
        <v>60</v>
      </c>
      <c r="B228" s="35" t="s">
        <v>5644</v>
      </c>
      <c r="C228" s="272" t="s">
        <v>5738</v>
      </c>
      <c r="D228" s="31" t="s">
        <v>5739</v>
      </c>
      <c r="E228" s="33">
        <v>50</v>
      </c>
      <c r="F228" s="22">
        <v>45028</v>
      </c>
      <c r="G228" s="33"/>
      <c r="H228" s="159" t="s">
        <v>4732</v>
      </c>
      <c r="I228" s="33"/>
      <c r="J228" s="33"/>
      <c r="K228" s="33" t="s">
        <v>5338</v>
      </c>
    </row>
    <row r="229" spans="1:11" s="35" customFormat="1" ht="11.25" customHeight="1" x14ac:dyDescent="0.35">
      <c r="A229" s="33" t="s">
        <v>60</v>
      </c>
      <c r="B229" s="35" t="s">
        <v>5644</v>
      </c>
      <c r="C229" s="272" t="s">
        <v>5740</v>
      </c>
      <c r="D229" s="31" t="s">
        <v>1613</v>
      </c>
      <c r="E229" s="33">
        <v>2</v>
      </c>
      <c r="F229" s="22">
        <v>45028</v>
      </c>
      <c r="G229" s="33"/>
      <c r="H229" s="159" t="s">
        <v>4732</v>
      </c>
      <c r="I229" s="33"/>
      <c r="J229" s="33"/>
      <c r="K229" s="33" t="s">
        <v>5338</v>
      </c>
    </row>
    <row r="230" spans="1:11" s="35" customFormat="1" ht="11.25" customHeight="1" x14ac:dyDescent="0.35">
      <c r="A230" s="33" t="s">
        <v>60</v>
      </c>
      <c r="B230" s="35" t="s">
        <v>5644</v>
      </c>
      <c r="C230" s="272" t="s">
        <v>5741</v>
      </c>
      <c r="D230" s="31" t="s">
        <v>1613</v>
      </c>
      <c r="E230" s="33">
        <v>15</v>
      </c>
      <c r="F230" s="22">
        <v>45028</v>
      </c>
      <c r="G230" s="33"/>
      <c r="H230" s="159" t="s">
        <v>4732</v>
      </c>
      <c r="I230" s="33"/>
      <c r="J230" s="33"/>
      <c r="K230" s="33" t="s">
        <v>5338</v>
      </c>
    </row>
    <row r="231" spans="1:11" s="35" customFormat="1" ht="11.25" customHeight="1" x14ac:dyDescent="0.35">
      <c r="A231" s="33" t="s">
        <v>60</v>
      </c>
      <c r="B231" s="35" t="s">
        <v>5644</v>
      </c>
      <c r="C231" s="272" t="s">
        <v>5742</v>
      </c>
      <c r="D231" s="31" t="s">
        <v>1613</v>
      </c>
      <c r="E231" s="33">
        <v>10</v>
      </c>
      <c r="F231" s="22">
        <v>45028</v>
      </c>
      <c r="G231" s="33"/>
      <c r="H231" s="159" t="s">
        <v>4732</v>
      </c>
      <c r="I231" s="33"/>
      <c r="J231" s="33"/>
      <c r="K231" s="33" t="s">
        <v>5338</v>
      </c>
    </row>
    <row r="232" spans="1:11" s="35" customFormat="1" ht="11.25" customHeight="1" x14ac:dyDescent="0.35">
      <c r="A232" s="33" t="s">
        <v>60</v>
      </c>
      <c r="B232" s="35" t="s">
        <v>5644</v>
      </c>
      <c r="C232" s="272" t="s">
        <v>5743</v>
      </c>
      <c r="D232" s="31" t="s">
        <v>5744</v>
      </c>
      <c r="E232" s="33">
        <v>72</v>
      </c>
      <c r="F232" s="22">
        <v>45028</v>
      </c>
      <c r="G232" s="33"/>
      <c r="H232" s="159" t="s">
        <v>4732</v>
      </c>
      <c r="I232" s="33"/>
      <c r="J232" s="33"/>
      <c r="K232" s="33" t="s">
        <v>5338</v>
      </c>
    </row>
    <row r="233" spans="1:11" s="35" customFormat="1" ht="11.25" customHeight="1" x14ac:dyDescent="0.35">
      <c r="A233" s="33" t="s">
        <v>60</v>
      </c>
      <c r="B233" s="35" t="s">
        <v>5644</v>
      </c>
      <c r="C233" s="272" t="s">
        <v>5745</v>
      </c>
      <c r="D233" s="31" t="s">
        <v>5481</v>
      </c>
      <c r="E233" s="33">
        <v>3</v>
      </c>
      <c r="F233" s="22">
        <v>45028</v>
      </c>
      <c r="G233" s="33"/>
      <c r="H233" s="159" t="s">
        <v>4732</v>
      </c>
      <c r="I233" s="33"/>
      <c r="J233" s="33"/>
      <c r="K233" s="33" t="s">
        <v>5338</v>
      </c>
    </row>
    <row r="234" spans="1:11" s="35" customFormat="1" ht="11.25" customHeight="1" x14ac:dyDescent="0.35">
      <c r="A234" s="33" t="s">
        <v>60</v>
      </c>
      <c r="B234" s="35" t="s">
        <v>5644</v>
      </c>
      <c r="C234" s="272" t="s">
        <v>5746</v>
      </c>
      <c r="D234" s="31" t="s">
        <v>5697</v>
      </c>
      <c r="E234" s="33">
        <v>60</v>
      </c>
      <c r="F234" s="22">
        <v>45028</v>
      </c>
      <c r="G234" s="33"/>
      <c r="H234" s="159" t="s">
        <v>4732</v>
      </c>
      <c r="I234" s="33"/>
      <c r="J234" s="33"/>
      <c r="K234" s="33" t="s">
        <v>5338</v>
      </c>
    </row>
    <row r="235" spans="1:11" s="35" customFormat="1" ht="11.25" customHeight="1" x14ac:dyDescent="0.35">
      <c r="A235" s="33" t="s">
        <v>60</v>
      </c>
      <c r="B235" s="35" t="s">
        <v>5644</v>
      </c>
      <c r="C235" s="272" t="s">
        <v>5747</v>
      </c>
      <c r="D235" s="31" t="s">
        <v>5697</v>
      </c>
      <c r="E235" s="33">
        <v>5</v>
      </c>
      <c r="F235" s="22">
        <v>45028</v>
      </c>
      <c r="G235" s="33"/>
      <c r="H235" s="159" t="s">
        <v>4732</v>
      </c>
      <c r="I235" s="33"/>
      <c r="J235" s="33"/>
      <c r="K235" s="33" t="s">
        <v>5338</v>
      </c>
    </row>
    <row r="236" spans="1:11" s="39" customFormat="1" ht="11.25" customHeight="1" x14ac:dyDescent="0.35">
      <c r="A236" s="38" t="s">
        <v>60</v>
      </c>
      <c r="B236" s="39" t="s">
        <v>5644</v>
      </c>
      <c r="C236" s="106" t="s">
        <v>5748</v>
      </c>
      <c r="D236" s="82" t="s">
        <v>1264</v>
      </c>
      <c r="E236" s="38">
        <v>5</v>
      </c>
      <c r="F236" s="26">
        <v>45028</v>
      </c>
      <c r="G236" s="38"/>
      <c r="H236" s="160" t="s">
        <v>5749</v>
      </c>
      <c r="I236" s="38" t="s">
        <v>5433</v>
      </c>
      <c r="J236" s="38"/>
      <c r="K236" s="38" t="s">
        <v>5365</v>
      </c>
    </row>
    <row r="237" spans="1:11" s="35" customFormat="1" ht="11.25" customHeight="1" x14ac:dyDescent="0.35">
      <c r="A237" s="33" t="s">
        <v>60</v>
      </c>
      <c r="B237" s="35" t="s">
        <v>5644</v>
      </c>
      <c r="C237" s="272" t="s">
        <v>5750</v>
      </c>
      <c r="D237" s="31" t="s">
        <v>5751</v>
      </c>
      <c r="E237" s="33">
        <v>125</v>
      </c>
      <c r="F237" s="22">
        <v>45028</v>
      </c>
      <c r="G237" s="33"/>
      <c r="H237" s="159" t="s">
        <v>4732</v>
      </c>
      <c r="I237" s="33"/>
      <c r="J237" s="33"/>
      <c r="K237" s="33" t="s">
        <v>5338</v>
      </c>
    </row>
    <row r="238" spans="1:11" s="35" customFormat="1" ht="11.25" customHeight="1" x14ac:dyDescent="0.35">
      <c r="A238" s="33" t="s">
        <v>60</v>
      </c>
      <c r="B238" s="35" t="s">
        <v>5644</v>
      </c>
      <c r="C238" s="272" t="s">
        <v>5752</v>
      </c>
      <c r="D238" s="31" t="s">
        <v>5753</v>
      </c>
      <c r="E238" s="33">
        <v>5</v>
      </c>
      <c r="F238" s="22">
        <v>45028</v>
      </c>
      <c r="G238" s="33"/>
      <c r="H238" s="159" t="s">
        <v>4732</v>
      </c>
      <c r="I238" s="33"/>
      <c r="J238" s="33"/>
      <c r="K238" s="33" t="s">
        <v>5338</v>
      </c>
    </row>
    <row r="239" spans="1:11" s="35" customFormat="1" ht="11.25" customHeight="1" x14ac:dyDescent="0.35">
      <c r="A239" s="33" t="s">
        <v>60</v>
      </c>
      <c r="B239" s="35" t="s">
        <v>5644</v>
      </c>
      <c r="C239" s="272" t="s">
        <v>5754</v>
      </c>
      <c r="D239" s="31" t="s">
        <v>5755</v>
      </c>
      <c r="E239" s="33">
        <v>5</v>
      </c>
      <c r="F239" s="22">
        <v>45028</v>
      </c>
      <c r="G239" s="33"/>
      <c r="H239" s="159" t="s">
        <v>4732</v>
      </c>
      <c r="I239" s="33"/>
      <c r="J239" s="33"/>
      <c r="K239" s="33" t="s">
        <v>5338</v>
      </c>
    </row>
    <row r="240" spans="1:11" s="35" customFormat="1" ht="11.25" customHeight="1" x14ac:dyDescent="0.35">
      <c r="A240" s="33" t="s">
        <v>60</v>
      </c>
      <c r="B240" s="35" t="s">
        <v>5644</v>
      </c>
      <c r="C240" s="272" t="s">
        <v>5756</v>
      </c>
      <c r="D240" s="31" t="s">
        <v>5697</v>
      </c>
      <c r="E240" s="33">
        <v>80</v>
      </c>
      <c r="F240" s="22">
        <v>45028</v>
      </c>
      <c r="G240" s="33"/>
      <c r="H240" s="159" t="s">
        <v>4732</v>
      </c>
      <c r="I240" s="33"/>
      <c r="J240" s="33"/>
      <c r="K240" s="33" t="s">
        <v>5338</v>
      </c>
    </row>
    <row r="241" spans="1:11" s="35" customFormat="1" ht="11.25" customHeight="1" x14ac:dyDescent="0.35">
      <c r="A241" s="33" t="s">
        <v>60</v>
      </c>
      <c r="B241" s="35" t="s">
        <v>5644</v>
      </c>
      <c r="C241" s="272" t="s">
        <v>5757</v>
      </c>
      <c r="D241" s="31" t="s">
        <v>5758</v>
      </c>
      <c r="E241" s="33">
        <v>120</v>
      </c>
      <c r="F241" s="22">
        <v>45028</v>
      </c>
      <c r="G241" s="33"/>
      <c r="H241" s="159" t="s">
        <v>4732</v>
      </c>
      <c r="I241" s="33"/>
      <c r="J241" s="33"/>
      <c r="K241" s="33" t="s">
        <v>5338</v>
      </c>
    </row>
    <row r="242" spans="1:11" s="35" customFormat="1" ht="11.25" customHeight="1" x14ac:dyDescent="0.35">
      <c r="A242" s="33" t="s">
        <v>60</v>
      </c>
      <c r="B242" s="35" t="s">
        <v>5644</v>
      </c>
      <c r="C242" s="272" t="s">
        <v>5759</v>
      </c>
      <c r="D242" s="31" t="s">
        <v>5760</v>
      </c>
      <c r="E242" s="33">
        <v>1</v>
      </c>
      <c r="F242" s="22">
        <v>45028</v>
      </c>
      <c r="G242" s="33"/>
      <c r="H242" s="159" t="s">
        <v>4732</v>
      </c>
      <c r="I242" s="33"/>
      <c r="J242" s="33"/>
      <c r="K242" s="33" t="s">
        <v>5338</v>
      </c>
    </row>
    <row r="243" spans="1:11" s="35" customFormat="1" ht="11.25" customHeight="1" x14ac:dyDescent="0.35">
      <c r="A243" s="33" t="s">
        <v>60</v>
      </c>
      <c r="B243" s="35" t="s">
        <v>5644</v>
      </c>
      <c r="C243" s="272" t="s">
        <v>5761</v>
      </c>
      <c r="D243" s="31" t="s">
        <v>5762</v>
      </c>
      <c r="E243" s="33">
        <v>26</v>
      </c>
      <c r="F243" s="22">
        <v>45028</v>
      </c>
      <c r="G243" s="33"/>
      <c r="H243" s="159" t="s">
        <v>4732</v>
      </c>
      <c r="I243" s="33"/>
      <c r="J243" s="33"/>
      <c r="K243" s="33" t="s">
        <v>5338</v>
      </c>
    </row>
    <row r="244" spans="1:11" s="35" customFormat="1" ht="11.25" customHeight="1" x14ac:dyDescent="0.35">
      <c r="A244" s="33" t="s">
        <v>60</v>
      </c>
      <c r="B244" s="35" t="s">
        <v>5644</v>
      </c>
      <c r="C244" s="272">
        <v>5022043200</v>
      </c>
      <c r="D244" s="31" t="s">
        <v>1853</v>
      </c>
      <c r="E244" s="33">
        <v>3</v>
      </c>
      <c r="F244" s="22">
        <v>45028</v>
      </c>
      <c r="G244" s="33"/>
      <c r="H244" s="159" t="s">
        <v>4732</v>
      </c>
      <c r="I244" s="33"/>
      <c r="J244" s="33"/>
      <c r="K244" s="33" t="s">
        <v>5338</v>
      </c>
    </row>
    <row r="245" spans="1:11" s="39" customFormat="1" ht="11.25" customHeight="1" x14ac:dyDescent="0.35">
      <c r="A245" s="38" t="s">
        <v>26</v>
      </c>
      <c r="B245" s="39" t="s">
        <v>5763</v>
      </c>
      <c r="C245" s="106">
        <v>2674386</v>
      </c>
      <c r="D245" s="82" t="s">
        <v>5764</v>
      </c>
      <c r="E245" s="38">
        <v>1</v>
      </c>
      <c r="F245" s="26">
        <v>44977</v>
      </c>
      <c r="G245" s="38">
        <v>1</v>
      </c>
      <c r="H245" s="160" t="s">
        <v>5765</v>
      </c>
      <c r="I245" s="38" t="s">
        <v>5766</v>
      </c>
      <c r="J245" s="38"/>
      <c r="K245" s="38" t="s">
        <v>5365</v>
      </c>
    </row>
    <row r="246" spans="1:11" s="35" customFormat="1" ht="11.25" customHeight="1" x14ac:dyDescent="0.35">
      <c r="A246" s="33" t="s">
        <v>26</v>
      </c>
      <c r="B246" s="35" t="s">
        <v>5763</v>
      </c>
      <c r="C246" s="272">
        <v>2026245</v>
      </c>
      <c r="D246" s="31" t="s">
        <v>5767</v>
      </c>
      <c r="E246" s="33">
        <v>1</v>
      </c>
      <c r="F246" s="22">
        <v>44977</v>
      </c>
      <c r="G246" s="33"/>
      <c r="H246" s="159" t="s">
        <v>4732</v>
      </c>
      <c r="I246" s="33"/>
      <c r="J246" s="33"/>
      <c r="K246" s="33" t="s">
        <v>5338</v>
      </c>
    </row>
    <row r="247" spans="1:11" s="35" customFormat="1" ht="11.25" customHeight="1" x14ac:dyDescent="0.35">
      <c r="A247" s="33" t="s">
        <v>26</v>
      </c>
      <c r="B247" s="35" t="s">
        <v>5763</v>
      </c>
      <c r="C247" s="272">
        <v>394656</v>
      </c>
      <c r="D247" s="31" t="s">
        <v>5768</v>
      </c>
      <c r="E247" s="33">
        <v>4</v>
      </c>
      <c r="F247" s="22">
        <v>44977</v>
      </c>
      <c r="G247" s="33"/>
      <c r="H247" s="159" t="s">
        <v>4732</v>
      </c>
      <c r="I247" s="33"/>
      <c r="J247" s="33"/>
      <c r="K247" s="33" t="s">
        <v>5338</v>
      </c>
    </row>
    <row r="248" spans="1:11" s="35" customFormat="1" ht="11.25" customHeight="1" x14ac:dyDescent="0.35">
      <c r="A248" s="33" t="s">
        <v>26</v>
      </c>
      <c r="B248" s="35" t="s">
        <v>5763</v>
      </c>
      <c r="C248" s="272">
        <v>2521501</v>
      </c>
      <c r="D248" s="31" t="s">
        <v>4349</v>
      </c>
      <c r="E248" s="33">
        <v>2</v>
      </c>
      <c r="F248" s="22">
        <v>44977</v>
      </c>
      <c r="G248" s="33"/>
      <c r="H248" s="159" t="s">
        <v>4732</v>
      </c>
      <c r="I248" s="33"/>
      <c r="J248" s="33"/>
      <c r="K248" s="33" t="s">
        <v>5338</v>
      </c>
    </row>
    <row r="249" spans="1:11" s="35" customFormat="1" ht="11.25" customHeight="1" x14ac:dyDescent="0.35">
      <c r="A249" s="33" t="s">
        <v>26</v>
      </c>
      <c r="B249" s="35" t="s">
        <v>5763</v>
      </c>
      <c r="C249" s="272">
        <v>1775643</v>
      </c>
      <c r="D249" s="31" t="s">
        <v>5769</v>
      </c>
      <c r="E249" s="33">
        <v>3</v>
      </c>
      <c r="F249" s="22">
        <v>44977</v>
      </c>
      <c r="G249" s="33"/>
      <c r="H249" s="159" t="s">
        <v>4732</v>
      </c>
      <c r="I249" s="33"/>
      <c r="J249" s="33"/>
      <c r="K249" s="33" t="s">
        <v>5338</v>
      </c>
    </row>
    <row r="250" spans="1:11" s="35" customFormat="1" ht="11.25" customHeight="1" x14ac:dyDescent="0.35">
      <c r="A250" s="33" t="s">
        <v>26</v>
      </c>
      <c r="B250" s="35" t="s">
        <v>5763</v>
      </c>
      <c r="C250" s="272">
        <v>2058778</v>
      </c>
      <c r="D250" s="31" t="s">
        <v>5770</v>
      </c>
      <c r="E250" s="33">
        <v>4</v>
      </c>
      <c r="F250" s="22">
        <v>44977</v>
      </c>
      <c r="G250" s="33"/>
      <c r="H250" s="159" t="s">
        <v>4732</v>
      </c>
      <c r="I250" s="33"/>
      <c r="J250" s="33"/>
      <c r="K250" s="33" t="s">
        <v>5338</v>
      </c>
    </row>
    <row r="251" spans="1:11" s="35" customFormat="1" ht="11.25" customHeight="1" x14ac:dyDescent="0.35">
      <c r="A251" s="33" t="s">
        <v>26</v>
      </c>
      <c r="B251" s="35" t="s">
        <v>5763</v>
      </c>
      <c r="C251" s="272">
        <v>1769014</v>
      </c>
      <c r="D251" s="31" t="s">
        <v>5771</v>
      </c>
      <c r="E251" s="33">
        <v>2</v>
      </c>
      <c r="F251" s="22">
        <v>44977</v>
      </c>
      <c r="G251" s="33"/>
      <c r="H251" s="159" t="s">
        <v>4732</v>
      </c>
      <c r="I251" s="33"/>
      <c r="J251" s="33"/>
      <c r="K251" s="33" t="s">
        <v>5338</v>
      </c>
    </row>
    <row r="252" spans="1:11" s="35" customFormat="1" ht="11.25" customHeight="1" x14ac:dyDescent="0.35">
      <c r="A252" s="33" t="s">
        <v>26</v>
      </c>
      <c r="B252" s="35" t="s">
        <v>5763</v>
      </c>
      <c r="C252" s="272">
        <v>2621526</v>
      </c>
      <c r="D252" s="31" t="s">
        <v>5772</v>
      </c>
      <c r="E252" s="33">
        <v>1</v>
      </c>
      <c r="F252" s="22">
        <v>44977</v>
      </c>
      <c r="G252" s="33"/>
      <c r="H252" s="159" t="s">
        <v>4732</v>
      </c>
      <c r="I252" s="33"/>
      <c r="J252" s="33"/>
      <c r="K252" s="33" t="s">
        <v>5338</v>
      </c>
    </row>
    <row r="253" spans="1:11" s="35" customFormat="1" ht="11.25" customHeight="1" x14ac:dyDescent="0.35">
      <c r="A253" s="33" t="s">
        <v>26</v>
      </c>
      <c r="B253" s="35" t="s">
        <v>5763</v>
      </c>
      <c r="C253" s="272">
        <v>2425431</v>
      </c>
      <c r="D253" s="31" t="s">
        <v>5677</v>
      </c>
      <c r="E253" s="33">
        <v>2</v>
      </c>
      <c r="F253" s="22">
        <v>44977</v>
      </c>
      <c r="G253" s="33"/>
      <c r="H253" s="159" t="s">
        <v>4732</v>
      </c>
      <c r="I253" s="33"/>
      <c r="J253" s="33"/>
      <c r="K253" s="33" t="s">
        <v>5338</v>
      </c>
    </row>
    <row r="254" spans="1:11" s="39" customFormat="1" ht="11.25" customHeight="1" x14ac:dyDescent="0.35">
      <c r="A254" s="38" t="s">
        <v>26</v>
      </c>
      <c r="B254" s="39" t="s">
        <v>5763</v>
      </c>
      <c r="C254" s="106">
        <v>2244332</v>
      </c>
      <c r="D254" s="82" t="s">
        <v>5773</v>
      </c>
      <c r="E254" s="38">
        <v>3</v>
      </c>
      <c r="F254" s="26">
        <v>44977</v>
      </c>
      <c r="G254" s="38" t="s">
        <v>5774</v>
      </c>
      <c r="H254" s="160" t="s">
        <v>5775</v>
      </c>
      <c r="I254" s="38" t="s">
        <v>5776</v>
      </c>
      <c r="J254" s="38"/>
      <c r="K254" s="38" t="s">
        <v>5365</v>
      </c>
    </row>
    <row r="255" spans="1:11" s="35" customFormat="1" ht="11.25" customHeight="1" x14ac:dyDescent="0.35">
      <c r="A255" s="33" t="s">
        <v>26</v>
      </c>
      <c r="B255" s="35" t="s">
        <v>5763</v>
      </c>
      <c r="C255" s="272">
        <v>2234254</v>
      </c>
      <c r="D255" s="31" t="s">
        <v>5777</v>
      </c>
      <c r="E255" s="33">
        <v>1</v>
      </c>
      <c r="F255" s="22">
        <v>44977</v>
      </c>
      <c r="G255" s="33"/>
      <c r="H255" s="159" t="s">
        <v>4732</v>
      </c>
      <c r="I255" s="33"/>
      <c r="J255" s="33"/>
      <c r="K255" s="33" t="s">
        <v>5338</v>
      </c>
    </row>
    <row r="256" spans="1:11" s="35" customFormat="1" ht="11.25" customHeight="1" x14ac:dyDescent="0.35">
      <c r="A256" s="33" t="s">
        <v>26</v>
      </c>
      <c r="B256" s="35" t="s">
        <v>5763</v>
      </c>
      <c r="C256" s="272">
        <v>806316</v>
      </c>
      <c r="D256" s="31" t="s">
        <v>5778</v>
      </c>
      <c r="E256" s="33">
        <v>1</v>
      </c>
      <c r="F256" s="22">
        <v>44977</v>
      </c>
      <c r="G256" s="33"/>
      <c r="H256" s="159" t="s">
        <v>4732</v>
      </c>
      <c r="I256" s="33"/>
      <c r="J256" s="33"/>
      <c r="K256" s="33" t="s">
        <v>5338</v>
      </c>
    </row>
    <row r="257" spans="1:11" s="35" customFormat="1" ht="11.25" customHeight="1" x14ac:dyDescent="0.35">
      <c r="A257" s="33" t="s">
        <v>26</v>
      </c>
      <c r="B257" s="35" t="s">
        <v>5763</v>
      </c>
      <c r="C257" s="272">
        <v>2449496</v>
      </c>
      <c r="D257" s="31" t="s">
        <v>5168</v>
      </c>
      <c r="E257" s="33">
        <v>1</v>
      </c>
      <c r="F257" s="22">
        <v>44977</v>
      </c>
      <c r="G257" s="33"/>
      <c r="H257" s="159" t="s">
        <v>4732</v>
      </c>
      <c r="I257" s="33"/>
      <c r="J257" s="33"/>
      <c r="K257" s="33" t="s">
        <v>5338</v>
      </c>
    </row>
    <row r="258" spans="1:11" s="35" customFormat="1" ht="11.25" customHeight="1" x14ac:dyDescent="0.35">
      <c r="A258" s="33" t="s">
        <v>26</v>
      </c>
      <c r="B258" s="35" t="s">
        <v>5763</v>
      </c>
      <c r="C258" s="272">
        <v>2522744</v>
      </c>
      <c r="D258" s="31" t="s">
        <v>5779</v>
      </c>
      <c r="E258" s="33">
        <v>1</v>
      </c>
      <c r="F258" s="22">
        <v>44977</v>
      </c>
      <c r="G258" s="33"/>
      <c r="H258" s="159" t="s">
        <v>4732</v>
      </c>
      <c r="I258" s="33"/>
      <c r="J258" s="33"/>
      <c r="K258" s="33" t="s">
        <v>5338</v>
      </c>
    </row>
    <row r="259" spans="1:11" s="35" customFormat="1" ht="11.25" customHeight="1" x14ac:dyDescent="0.35">
      <c r="A259" s="33" t="s">
        <v>26</v>
      </c>
      <c r="B259" s="35" t="s">
        <v>5763</v>
      </c>
      <c r="C259" s="272">
        <v>1894196</v>
      </c>
      <c r="D259" s="31" t="s">
        <v>5780</v>
      </c>
      <c r="E259" s="33">
        <v>3</v>
      </c>
      <c r="F259" s="22">
        <v>44977</v>
      </c>
      <c r="G259" s="33"/>
      <c r="H259" s="159" t="s">
        <v>4732</v>
      </c>
      <c r="I259" s="33"/>
      <c r="J259" s="33"/>
      <c r="K259" s="33" t="s">
        <v>5338</v>
      </c>
    </row>
    <row r="260" spans="1:11" s="35" customFormat="1" ht="11.25" customHeight="1" x14ac:dyDescent="0.35">
      <c r="A260" s="33" t="s">
        <v>26</v>
      </c>
      <c r="B260" s="35" t="s">
        <v>5763</v>
      </c>
      <c r="C260" s="272">
        <v>2243924</v>
      </c>
      <c r="D260" s="31" t="s">
        <v>5781</v>
      </c>
      <c r="E260" s="33">
        <v>1</v>
      </c>
      <c r="F260" s="22">
        <v>44977</v>
      </c>
      <c r="G260" s="33"/>
      <c r="H260" s="159" t="s">
        <v>4732</v>
      </c>
      <c r="I260" s="33"/>
      <c r="J260" s="33"/>
      <c r="K260" s="33" t="s">
        <v>5338</v>
      </c>
    </row>
    <row r="261" spans="1:11" s="35" customFormat="1" ht="11.25" customHeight="1" x14ac:dyDescent="0.35">
      <c r="A261" s="33" t="s">
        <v>26</v>
      </c>
      <c r="B261" s="35" t="s">
        <v>5763</v>
      </c>
      <c r="C261" s="272">
        <v>2930904</v>
      </c>
      <c r="D261" s="31" t="s">
        <v>5782</v>
      </c>
      <c r="E261" s="33">
        <v>1</v>
      </c>
      <c r="F261" s="22">
        <v>44977</v>
      </c>
      <c r="G261" s="33"/>
      <c r="H261" s="159" t="s">
        <v>4732</v>
      </c>
      <c r="I261" s="33"/>
      <c r="J261" s="33"/>
      <c r="K261" s="33" t="s">
        <v>5338</v>
      </c>
    </row>
    <row r="262" spans="1:11" s="44" customFormat="1" ht="11.25" customHeight="1" x14ac:dyDescent="0.35">
      <c r="A262" s="43" t="s">
        <v>26</v>
      </c>
      <c r="B262" s="44" t="s">
        <v>5763</v>
      </c>
      <c r="C262" s="275">
        <v>2706822</v>
      </c>
      <c r="D262" s="89" t="s">
        <v>5783</v>
      </c>
      <c r="E262" s="43">
        <v>10</v>
      </c>
      <c r="F262" s="30">
        <v>44977</v>
      </c>
      <c r="G262" s="43" t="s">
        <v>5784</v>
      </c>
      <c r="H262" s="163" t="s">
        <v>5785</v>
      </c>
      <c r="I262" s="43" t="s">
        <v>5786</v>
      </c>
      <c r="J262" s="43"/>
      <c r="K262" s="43" t="s">
        <v>5511</v>
      </c>
    </row>
    <row r="263" spans="1:11" s="35" customFormat="1" ht="11.25" customHeight="1" x14ac:dyDescent="0.35">
      <c r="A263" s="33" t="s">
        <v>26</v>
      </c>
      <c r="B263" s="35" t="s">
        <v>5763</v>
      </c>
      <c r="C263" s="272">
        <v>1894196</v>
      </c>
      <c r="D263" s="31" t="s">
        <v>5787</v>
      </c>
      <c r="E263" s="33">
        <v>1</v>
      </c>
      <c r="F263" s="22">
        <v>44977</v>
      </c>
      <c r="G263" s="33"/>
      <c r="H263" s="159" t="s">
        <v>4732</v>
      </c>
      <c r="I263" s="33"/>
      <c r="J263" s="33"/>
      <c r="K263" s="33" t="s">
        <v>5338</v>
      </c>
    </row>
    <row r="264" spans="1:11" s="35" customFormat="1" ht="11.25" customHeight="1" x14ac:dyDescent="0.35">
      <c r="A264" s="33" t="s">
        <v>26</v>
      </c>
      <c r="B264" s="35" t="s">
        <v>5763</v>
      </c>
      <c r="C264" s="272">
        <v>2541194</v>
      </c>
      <c r="D264" s="31" t="s">
        <v>5788</v>
      </c>
      <c r="E264" s="33">
        <v>1</v>
      </c>
      <c r="F264" s="22">
        <v>44977</v>
      </c>
      <c r="G264" s="33"/>
      <c r="H264" s="159" t="s">
        <v>4732</v>
      </c>
      <c r="I264" s="33"/>
      <c r="J264" s="33"/>
      <c r="K264" s="33" t="s">
        <v>5338</v>
      </c>
    </row>
    <row r="265" spans="1:11" s="35" customFormat="1" ht="11.25" customHeight="1" x14ac:dyDescent="0.35">
      <c r="A265" s="33" t="s">
        <v>26</v>
      </c>
      <c r="B265" s="35" t="s">
        <v>5763</v>
      </c>
      <c r="C265" s="272">
        <v>1390005</v>
      </c>
      <c r="D265" s="31" t="s">
        <v>5789</v>
      </c>
      <c r="E265" s="33">
        <v>40</v>
      </c>
      <c r="F265" s="22">
        <v>44977</v>
      </c>
      <c r="G265" s="33"/>
      <c r="H265" s="159" t="s">
        <v>4732</v>
      </c>
      <c r="I265" s="33"/>
      <c r="J265" s="33"/>
      <c r="K265" s="33" t="s">
        <v>5338</v>
      </c>
    </row>
    <row r="266" spans="1:11" s="35" customFormat="1" ht="11.25" customHeight="1" x14ac:dyDescent="0.35">
      <c r="A266" s="33" t="s">
        <v>26</v>
      </c>
      <c r="B266" s="35" t="s">
        <v>5763</v>
      </c>
      <c r="C266" s="272">
        <v>2902725</v>
      </c>
      <c r="D266" s="31" t="s">
        <v>5790</v>
      </c>
      <c r="E266" s="33">
        <v>1</v>
      </c>
      <c r="F266" s="22">
        <v>44977</v>
      </c>
      <c r="G266" s="33"/>
      <c r="H266" s="159" t="s">
        <v>4732</v>
      </c>
      <c r="I266" s="33"/>
      <c r="J266" s="33"/>
      <c r="K266" s="33" t="s">
        <v>5338</v>
      </c>
    </row>
    <row r="267" spans="1:11" s="35" customFormat="1" ht="11.25" customHeight="1" x14ac:dyDescent="0.35">
      <c r="A267" s="33" t="s">
        <v>26</v>
      </c>
      <c r="B267" s="35" t="s">
        <v>5763</v>
      </c>
      <c r="C267" s="272">
        <v>2490799</v>
      </c>
      <c r="D267" s="31" t="s">
        <v>5791</v>
      </c>
      <c r="E267" s="33">
        <v>2</v>
      </c>
      <c r="F267" s="22">
        <v>44977</v>
      </c>
      <c r="G267" s="33"/>
      <c r="H267" s="159" t="s">
        <v>4732</v>
      </c>
      <c r="I267" s="33"/>
      <c r="J267" s="33"/>
      <c r="K267" s="33" t="s">
        <v>5338</v>
      </c>
    </row>
    <row r="268" spans="1:11" s="35" customFormat="1" ht="11.25" customHeight="1" x14ac:dyDescent="0.35">
      <c r="A268" s="33" t="s">
        <v>26</v>
      </c>
      <c r="B268" s="35" t="s">
        <v>5763</v>
      </c>
      <c r="C268" s="272">
        <v>2639752</v>
      </c>
      <c r="D268" s="31" t="s">
        <v>5653</v>
      </c>
      <c r="E268" s="33">
        <v>4</v>
      </c>
      <c r="F268" s="22">
        <v>44977</v>
      </c>
      <c r="G268" s="33"/>
      <c r="H268" s="159" t="s">
        <v>4732</v>
      </c>
      <c r="I268" s="33"/>
      <c r="J268" s="33"/>
      <c r="K268" s="33" t="s">
        <v>5338</v>
      </c>
    </row>
    <row r="269" spans="1:11" s="35" customFormat="1" ht="11.25" customHeight="1" x14ac:dyDescent="0.35">
      <c r="A269" s="33" t="s">
        <v>26</v>
      </c>
      <c r="B269" s="35" t="s">
        <v>5763</v>
      </c>
      <c r="C269" s="272">
        <v>815953</v>
      </c>
      <c r="D269" s="31" t="s">
        <v>5060</v>
      </c>
      <c r="E269" s="33">
        <v>15</v>
      </c>
      <c r="F269" s="22">
        <v>44977</v>
      </c>
      <c r="G269" s="33"/>
      <c r="H269" s="159" t="s">
        <v>4732</v>
      </c>
      <c r="I269" s="33"/>
      <c r="J269" s="33"/>
      <c r="K269" s="33" t="s">
        <v>5338</v>
      </c>
    </row>
    <row r="270" spans="1:11" s="35" customFormat="1" ht="11.25" customHeight="1" x14ac:dyDescent="0.35">
      <c r="A270" s="33" t="s">
        <v>26</v>
      </c>
      <c r="B270" s="35" t="s">
        <v>5763</v>
      </c>
      <c r="C270" s="272">
        <v>2712437</v>
      </c>
      <c r="D270" s="31" t="s">
        <v>5792</v>
      </c>
      <c r="E270" s="33">
        <v>6</v>
      </c>
      <c r="F270" s="22">
        <v>44977</v>
      </c>
      <c r="G270" s="33"/>
      <c r="H270" s="159" t="s">
        <v>4732</v>
      </c>
      <c r="I270" s="33"/>
      <c r="J270" s="33"/>
      <c r="K270" s="33" t="s">
        <v>5338</v>
      </c>
    </row>
    <row r="271" spans="1:11" s="35" customFormat="1" ht="11.25" customHeight="1" x14ac:dyDescent="0.35">
      <c r="A271" s="33" t="s">
        <v>26</v>
      </c>
      <c r="B271" s="35" t="s">
        <v>5763</v>
      </c>
      <c r="C271" s="272">
        <v>390637</v>
      </c>
      <c r="D271" s="31" t="s">
        <v>5793</v>
      </c>
      <c r="E271" s="33">
        <v>6</v>
      </c>
      <c r="F271" s="22">
        <v>44977</v>
      </c>
      <c r="G271" s="33"/>
      <c r="H271" s="159" t="s">
        <v>4732</v>
      </c>
      <c r="I271" s="33"/>
      <c r="J271" s="33"/>
      <c r="K271" s="33" t="s">
        <v>5338</v>
      </c>
    </row>
    <row r="272" spans="1:11" s="35" customFormat="1" ht="11.25" customHeight="1" x14ac:dyDescent="0.35">
      <c r="A272" s="33" t="s">
        <v>26</v>
      </c>
      <c r="B272" s="35" t="s">
        <v>5763</v>
      </c>
      <c r="C272" s="272">
        <v>2322961</v>
      </c>
      <c r="D272" s="31" t="s">
        <v>5794</v>
      </c>
      <c r="E272" s="33">
        <v>1</v>
      </c>
      <c r="F272" s="22">
        <v>44977</v>
      </c>
      <c r="G272" s="33"/>
      <c r="H272" s="159" t="s">
        <v>4732</v>
      </c>
      <c r="I272" s="33"/>
      <c r="J272" s="33"/>
      <c r="K272" s="33" t="s">
        <v>5338</v>
      </c>
    </row>
    <row r="273" spans="1:11" s="35" customFormat="1" ht="11.25" customHeight="1" x14ac:dyDescent="0.35">
      <c r="A273" s="33" t="s">
        <v>26</v>
      </c>
      <c r="B273" s="35" t="s">
        <v>5763</v>
      </c>
      <c r="C273" s="272">
        <v>815131</v>
      </c>
      <c r="D273" s="31" t="s">
        <v>5795</v>
      </c>
      <c r="E273" s="33">
        <v>12</v>
      </c>
      <c r="F273" s="22">
        <v>44977</v>
      </c>
      <c r="G273" s="33"/>
      <c r="H273" s="159" t="s">
        <v>4732</v>
      </c>
      <c r="I273" s="33"/>
      <c r="J273" s="33"/>
      <c r="K273" s="33" t="s">
        <v>5338</v>
      </c>
    </row>
    <row r="274" spans="1:11" s="35" customFormat="1" ht="11.25" customHeight="1" x14ac:dyDescent="0.35">
      <c r="A274" s="33" t="s">
        <v>26</v>
      </c>
      <c r="B274" s="35" t="s">
        <v>5763</v>
      </c>
      <c r="C274" s="272">
        <v>2430057</v>
      </c>
      <c r="D274" s="31" t="s">
        <v>5699</v>
      </c>
      <c r="E274" s="33">
        <v>35</v>
      </c>
      <c r="F274" s="22">
        <v>44977</v>
      </c>
      <c r="G274" s="33"/>
      <c r="H274" s="159" t="s">
        <v>4732</v>
      </c>
      <c r="I274" s="33"/>
      <c r="J274" s="33"/>
      <c r="K274" s="33" t="s">
        <v>5338</v>
      </c>
    </row>
    <row r="275" spans="1:11" s="35" customFormat="1" ht="11.25" customHeight="1" x14ac:dyDescent="0.35">
      <c r="A275" s="33" t="s">
        <v>26</v>
      </c>
      <c r="B275" s="35" t="s">
        <v>5763</v>
      </c>
      <c r="C275" s="272">
        <v>2445328</v>
      </c>
      <c r="D275" s="31" t="s">
        <v>5400</v>
      </c>
      <c r="E275" s="33">
        <v>5</v>
      </c>
      <c r="F275" s="22">
        <v>44977</v>
      </c>
      <c r="G275" s="33"/>
      <c r="H275" s="159" t="s">
        <v>4732</v>
      </c>
      <c r="I275" s="33"/>
      <c r="J275" s="33"/>
      <c r="K275" s="33" t="s">
        <v>5338</v>
      </c>
    </row>
    <row r="276" spans="1:11" s="35" customFormat="1" ht="11.25" customHeight="1" x14ac:dyDescent="0.35">
      <c r="A276" s="33" t="s">
        <v>26</v>
      </c>
      <c r="B276" s="35" t="s">
        <v>5763</v>
      </c>
      <c r="C276" s="272">
        <v>2700878</v>
      </c>
      <c r="D276" s="31" t="s">
        <v>5788</v>
      </c>
      <c r="E276" s="33">
        <v>1</v>
      </c>
      <c r="F276" s="22">
        <v>44977</v>
      </c>
      <c r="G276" s="33"/>
      <c r="H276" s="159" t="s">
        <v>4732</v>
      </c>
      <c r="I276" s="33"/>
      <c r="J276" s="33"/>
      <c r="K276" s="33" t="s">
        <v>5338</v>
      </c>
    </row>
    <row r="277" spans="1:11" s="35" customFormat="1" ht="11.25" customHeight="1" x14ac:dyDescent="0.35">
      <c r="A277" s="33" t="s">
        <v>26</v>
      </c>
      <c r="B277" s="35" t="s">
        <v>5763</v>
      </c>
      <c r="C277" s="272">
        <v>2613382</v>
      </c>
      <c r="D277" s="31" t="s">
        <v>5796</v>
      </c>
      <c r="E277" s="33">
        <v>2</v>
      </c>
      <c r="F277" s="22">
        <v>44977</v>
      </c>
      <c r="G277" s="33"/>
      <c r="H277" s="159" t="s">
        <v>4732</v>
      </c>
      <c r="I277" s="33"/>
      <c r="J277" s="33"/>
      <c r="K277" s="33" t="s">
        <v>5338</v>
      </c>
    </row>
    <row r="278" spans="1:11" s="35" customFormat="1" ht="11.25" customHeight="1" x14ac:dyDescent="0.35">
      <c r="A278" s="33" t="s">
        <v>26</v>
      </c>
      <c r="B278" s="35" t="s">
        <v>5763</v>
      </c>
      <c r="C278" s="272">
        <v>1506424</v>
      </c>
      <c r="D278" s="31" t="s">
        <v>1379</v>
      </c>
      <c r="E278" s="33">
        <v>6</v>
      </c>
      <c r="F278" s="22">
        <v>44977</v>
      </c>
      <c r="G278" s="33"/>
      <c r="H278" s="159" t="s">
        <v>4732</v>
      </c>
      <c r="I278" s="33"/>
      <c r="J278" s="33"/>
      <c r="K278" s="33" t="s">
        <v>5338</v>
      </c>
    </row>
    <row r="279" spans="1:11" s="35" customFormat="1" ht="11.25" customHeight="1" x14ac:dyDescent="0.35">
      <c r="A279" s="33" t="s">
        <v>26</v>
      </c>
      <c r="B279" s="35" t="s">
        <v>5763</v>
      </c>
      <c r="C279" s="272">
        <v>813005</v>
      </c>
      <c r="D279" s="31" t="s">
        <v>5797</v>
      </c>
      <c r="E279" s="33">
        <v>32</v>
      </c>
      <c r="F279" s="22">
        <v>44977</v>
      </c>
      <c r="G279" s="33"/>
      <c r="H279" s="159" t="s">
        <v>4732</v>
      </c>
      <c r="I279" s="33"/>
      <c r="J279" s="33"/>
      <c r="K279" s="33" t="s">
        <v>5338</v>
      </c>
    </row>
    <row r="280" spans="1:11" s="35" customFormat="1" ht="11.25" customHeight="1" x14ac:dyDescent="0.35">
      <c r="A280" s="33" t="s">
        <v>26</v>
      </c>
      <c r="B280" s="35" t="s">
        <v>5763</v>
      </c>
      <c r="C280" s="272">
        <v>815117</v>
      </c>
      <c r="D280" s="31" t="s">
        <v>5768</v>
      </c>
      <c r="E280" s="33">
        <v>32</v>
      </c>
      <c r="F280" s="22">
        <v>158202</v>
      </c>
      <c r="G280" s="33"/>
      <c r="H280" s="159" t="s">
        <v>4732</v>
      </c>
      <c r="I280" s="33"/>
      <c r="J280" s="33"/>
      <c r="K280" s="33" t="s">
        <v>5338</v>
      </c>
    </row>
    <row r="281" spans="1:11" s="35" customFormat="1" ht="11.25" customHeight="1" x14ac:dyDescent="0.35">
      <c r="A281" s="33" t="s">
        <v>26</v>
      </c>
      <c r="B281" s="35" t="s">
        <v>5763</v>
      </c>
      <c r="C281" s="272">
        <v>2390334</v>
      </c>
      <c r="D281" s="31" t="s">
        <v>5793</v>
      </c>
      <c r="E281" s="33">
        <v>5</v>
      </c>
      <c r="F281" s="22">
        <v>44977</v>
      </c>
      <c r="G281" s="33"/>
      <c r="H281" s="159" t="s">
        <v>4732</v>
      </c>
      <c r="I281" s="33"/>
      <c r="J281" s="33"/>
      <c r="K281" s="33" t="s">
        <v>5338</v>
      </c>
    </row>
    <row r="282" spans="1:11" s="35" customFormat="1" ht="11.25" customHeight="1" x14ac:dyDescent="0.35">
      <c r="A282" s="33" t="s">
        <v>26</v>
      </c>
      <c r="B282" s="35" t="s">
        <v>5763</v>
      </c>
      <c r="C282" s="272">
        <v>2531809</v>
      </c>
      <c r="D282" s="31" t="s">
        <v>5653</v>
      </c>
      <c r="E282" s="33">
        <v>85</v>
      </c>
      <c r="F282" s="22" t="s">
        <v>5798</v>
      </c>
      <c r="G282" s="33"/>
      <c r="H282" s="159" t="s">
        <v>4732</v>
      </c>
      <c r="I282" s="33"/>
      <c r="J282" s="33"/>
      <c r="K282" s="33" t="s">
        <v>5338</v>
      </c>
    </row>
    <row r="283" spans="1:11" s="42" customFormat="1" ht="11.25" customHeight="1" x14ac:dyDescent="0.35">
      <c r="A283" s="218" t="s">
        <v>26</v>
      </c>
      <c r="B283" s="637" t="s">
        <v>5763</v>
      </c>
      <c r="C283" s="276">
        <v>2773351</v>
      </c>
      <c r="D283" s="219" t="s">
        <v>5799</v>
      </c>
      <c r="E283" s="218">
        <v>5</v>
      </c>
      <c r="F283" s="220" t="s">
        <v>5800</v>
      </c>
      <c r="G283" s="218">
        <v>1</v>
      </c>
      <c r="H283" s="221" t="s">
        <v>5801</v>
      </c>
      <c r="I283" s="218" t="s">
        <v>5429</v>
      </c>
      <c r="J283" s="218"/>
      <c r="K283" s="40" t="s">
        <v>5511</v>
      </c>
    </row>
    <row r="284" spans="1:11" s="35" customFormat="1" ht="11.25" customHeight="1" x14ac:dyDescent="0.35">
      <c r="A284" s="218" t="s">
        <v>26</v>
      </c>
      <c r="B284" s="637" t="s">
        <v>5763</v>
      </c>
      <c r="C284" s="276">
        <v>3034833</v>
      </c>
      <c r="D284" s="219" t="s">
        <v>1379</v>
      </c>
      <c r="E284" s="218">
        <v>24</v>
      </c>
      <c r="F284" s="220" t="s">
        <v>5800</v>
      </c>
      <c r="G284" s="218">
        <v>1</v>
      </c>
      <c r="H284" s="221" t="s">
        <v>5801</v>
      </c>
      <c r="I284" s="218" t="s">
        <v>5429</v>
      </c>
      <c r="J284" s="218"/>
      <c r="K284" s="33" t="s">
        <v>5511</v>
      </c>
    </row>
    <row r="285" spans="1:11" s="35" customFormat="1" ht="11.25" customHeight="1" x14ac:dyDescent="0.35">
      <c r="A285" s="33" t="s">
        <v>26</v>
      </c>
      <c r="B285" s="35" t="s">
        <v>5763</v>
      </c>
      <c r="C285" s="272">
        <v>2728343</v>
      </c>
      <c r="D285" s="31" t="s">
        <v>1379</v>
      </c>
      <c r="E285" s="33">
        <v>2</v>
      </c>
      <c r="F285" s="22" t="s">
        <v>5800</v>
      </c>
      <c r="G285" s="33"/>
      <c r="H285" s="159" t="s">
        <v>4732</v>
      </c>
      <c r="I285" s="33"/>
      <c r="J285" s="33"/>
      <c r="K285" s="33" t="s">
        <v>5338</v>
      </c>
    </row>
    <row r="286" spans="1:11" s="35" customFormat="1" ht="11.25" customHeight="1" x14ac:dyDescent="0.35">
      <c r="A286" s="33" t="s">
        <v>26</v>
      </c>
      <c r="B286" s="35" t="s">
        <v>5763</v>
      </c>
      <c r="C286" s="272">
        <v>2596282</v>
      </c>
      <c r="D286" s="31" t="s">
        <v>5699</v>
      </c>
      <c r="E286" s="33">
        <v>2</v>
      </c>
      <c r="F286" s="22" t="s">
        <v>5800</v>
      </c>
      <c r="G286" s="33"/>
      <c r="H286" s="159" t="s">
        <v>4732</v>
      </c>
      <c r="I286" s="33"/>
      <c r="J286" s="33"/>
      <c r="K286" s="33" t="s">
        <v>5338</v>
      </c>
    </row>
    <row r="287" spans="1:11" s="35" customFormat="1" ht="11.25" customHeight="1" x14ac:dyDescent="0.35">
      <c r="A287" s="33" t="s">
        <v>26</v>
      </c>
      <c r="B287" s="35" t="s">
        <v>5763</v>
      </c>
      <c r="C287" s="272">
        <v>2646633</v>
      </c>
      <c r="D287" s="31" t="s">
        <v>5802</v>
      </c>
      <c r="E287" s="33">
        <v>2</v>
      </c>
      <c r="F287" s="22" t="s">
        <v>5800</v>
      </c>
      <c r="G287" s="33"/>
      <c r="H287" s="159" t="s">
        <v>4732</v>
      </c>
      <c r="I287" s="33"/>
      <c r="J287" s="33"/>
      <c r="K287" s="33" t="s">
        <v>5338</v>
      </c>
    </row>
    <row r="288" spans="1:11" s="35" customFormat="1" ht="11.25" customHeight="1" x14ac:dyDescent="0.35">
      <c r="A288" s="33" t="s">
        <v>26</v>
      </c>
      <c r="B288" s="35" t="s">
        <v>5763</v>
      </c>
      <c r="C288" s="272">
        <v>1526004</v>
      </c>
      <c r="D288" s="31" t="s">
        <v>5060</v>
      </c>
      <c r="E288" s="33">
        <v>100</v>
      </c>
      <c r="F288" s="22" t="s">
        <v>5800</v>
      </c>
      <c r="G288" s="33"/>
      <c r="H288" s="159" t="s">
        <v>4732</v>
      </c>
      <c r="I288" s="33"/>
      <c r="J288" s="33"/>
      <c r="K288" s="33" t="s">
        <v>5338</v>
      </c>
    </row>
    <row r="289" spans="1:11" s="35" customFormat="1" ht="11.25" customHeight="1" x14ac:dyDescent="0.35">
      <c r="A289" s="33" t="s">
        <v>26</v>
      </c>
      <c r="B289" s="35" t="s">
        <v>5763</v>
      </c>
      <c r="C289" s="272">
        <v>2535678</v>
      </c>
      <c r="D289" s="31" t="s">
        <v>5803</v>
      </c>
      <c r="E289" s="33">
        <v>1</v>
      </c>
      <c r="F289" s="22" t="s">
        <v>5800</v>
      </c>
      <c r="G289" s="33"/>
      <c r="H289" s="159" t="s">
        <v>4732</v>
      </c>
      <c r="I289" s="33"/>
      <c r="J289" s="33"/>
      <c r="K289" s="33" t="s">
        <v>5338</v>
      </c>
    </row>
    <row r="290" spans="1:11" s="35" customFormat="1" ht="11.25" customHeight="1" x14ac:dyDescent="0.35">
      <c r="A290" s="33" t="s">
        <v>26</v>
      </c>
      <c r="B290" s="35" t="s">
        <v>5763</v>
      </c>
      <c r="C290" s="272">
        <v>2181274</v>
      </c>
      <c r="D290" s="31" t="s">
        <v>631</v>
      </c>
      <c r="E290" s="33">
        <v>120</v>
      </c>
      <c r="F290" s="22" t="s">
        <v>5800</v>
      </c>
      <c r="G290" s="33"/>
      <c r="H290" s="159" t="s">
        <v>4732</v>
      </c>
      <c r="I290" s="33"/>
      <c r="J290" s="33"/>
      <c r="K290" s="33" t="s">
        <v>5338</v>
      </c>
    </row>
    <row r="291" spans="1:11" s="35" customFormat="1" ht="11.25" customHeight="1" x14ac:dyDescent="0.35">
      <c r="A291" s="33" t="s">
        <v>26</v>
      </c>
      <c r="B291" s="35" t="s">
        <v>5763</v>
      </c>
      <c r="C291" s="272">
        <v>2656387</v>
      </c>
      <c r="D291" s="31" t="s">
        <v>5804</v>
      </c>
      <c r="E291" s="33">
        <v>1</v>
      </c>
      <c r="F291" s="22" t="s">
        <v>5800</v>
      </c>
      <c r="G291" s="33"/>
      <c r="H291" s="159" t="s">
        <v>4732</v>
      </c>
      <c r="I291" s="33"/>
      <c r="J291" s="33"/>
      <c r="K291" s="33" t="s">
        <v>5338</v>
      </c>
    </row>
    <row r="292" spans="1:11" s="35" customFormat="1" ht="11.25" customHeight="1" x14ac:dyDescent="0.35">
      <c r="A292" s="33" t="s">
        <v>26</v>
      </c>
      <c r="B292" s="35" t="s">
        <v>5763</v>
      </c>
      <c r="C292" s="272">
        <v>2254875</v>
      </c>
      <c r="D292" s="31" t="s">
        <v>5805</v>
      </c>
      <c r="E292" s="33">
        <v>1</v>
      </c>
      <c r="F292" s="22" t="s">
        <v>5800</v>
      </c>
      <c r="G292" s="33"/>
      <c r="H292" s="159" t="s">
        <v>4732</v>
      </c>
      <c r="I292" s="33"/>
      <c r="J292" s="33"/>
      <c r="K292" s="33" t="s">
        <v>5338</v>
      </c>
    </row>
    <row r="293" spans="1:11" s="35" customFormat="1" ht="11.25" customHeight="1" x14ac:dyDescent="0.35">
      <c r="A293" s="33" t="s">
        <v>26</v>
      </c>
      <c r="B293" s="35" t="s">
        <v>5763</v>
      </c>
      <c r="C293" s="272">
        <v>2278302</v>
      </c>
      <c r="D293" s="31" t="s">
        <v>5806</v>
      </c>
      <c r="E293" s="33">
        <v>2</v>
      </c>
      <c r="F293" s="22" t="s">
        <v>5800</v>
      </c>
      <c r="G293" s="33"/>
      <c r="H293" s="159" t="s">
        <v>4732</v>
      </c>
      <c r="I293" s="33"/>
      <c r="J293" s="33"/>
      <c r="K293" s="33" t="s">
        <v>5338</v>
      </c>
    </row>
    <row r="294" spans="1:11" s="35" customFormat="1" ht="11.25" customHeight="1" x14ac:dyDescent="0.35">
      <c r="A294" s="33" t="s">
        <v>26</v>
      </c>
      <c r="B294" s="35" t="s">
        <v>5763</v>
      </c>
      <c r="C294" s="272">
        <v>1403855</v>
      </c>
      <c r="D294" s="31" t="s">
        <v>5807</v>
      </c>
      <c r="E294" s="33">
        <v>1</v>
      </c>
      <c r="F294" s="22" t="s">
        <v>5800</v>
      </c>
      <c r="G294" s="33"/>
      <c r="H294" s="159" t="s">
        <v>4732</v>
      </c>
      <c r="I294" s="33"/>
      <c r="J294" s="33"/>
      <c r="K294" s="33" t="s">
        <v>5338</v>
      </c>
    </row>
    <row r="295" spans="1:11" s="35" customFormat="1" ht="11.25" customHeight="1" x14ac:dyDescent="0.35">
      <c r="A295" s="33" t="s">
        <v>26</v>
      </c>
      <c r="B295" s="35" t="s">
        <v>5763</v>
      </c>
      <c r="C295" s="272">
        <v>2521836</v>
      </c>
      <c r="D295" s="31" t="s">
        <v>4732</v>
      </c>
      <c r="E295" s="33">
        <v>1</v>
      </c>
      <c r="F295" s="22" t="s">
        <v>5800</v>
      </c>
      <c r="G295" s="33"/>
      <c r="H295" s="159" t="s">
        <v>4732</v>
      </c>
      <c r="I295" s="33"/>
      <c r="J295" s="33"/>
      <c r="K295" s="33" t="s">
        <v>5338</v>
      </c>
    </row>
    <row r="296" spans="1:11" s="35" customFormat="1" ht="11.25" customHeight="1" x14ac:dyDescent="0.35">
      <c r="A296" s="33" t="s">
        <v>26</v>
      </c>
      <c r="B296" s="35" t="s">
        <v>5763</v>
      </c>
      <c r="C296" s="272">
        <v>2630066</v>
      </c>
      <c r="D296" s="31" t="s">
        <v>5808</v>
      </c>
      <c r="E296" s="33">
        <v>1</v>
      </c>
      <c r="F296" s="22" t="s">
        <v>5800</v>
      </c>
      <c r="G296" s="33"/>
      <c r="H296" s="159" t="s">
        <v>4732</v>
      </c>
      <c r="I296" s="33"/>
      <c r="J296" s="33"/>
      <c r="K296" s="33" t="s">
        <v>5338</v>
      </c>
    </row>
    <row r="297" spans="1:11" s="45" customFormat="1" ht="11.25" customHeight="1" x14ac:dyDescent="0.35">
      <c r="A297" s="33" t="s">
        <v>26</v>
      </c>
      <c r="B297" s="35" t="s">
        <v>5763</v>
      </c>
      <c r="C297" s="272">
        <v>1869255</v>
      </c>
      <c r="D297" s="31" t="s">
        <v>5699</v>
      </c>
      <c r="E297" s="33">
        <v>1</v>
      </c>
      <c r="F297" s="22" t="s">
        <v>5800</v>
      </c>
      <c r="G297" s="33"/>
      <c r="H297" s="159" t="s">
        <v>4732</v>
      </c>
      <c r="I297" s="33"/>
      <c r="J297" s="33"/>
      <c r="K297" s="33" t="s">
        <v>5338</v>
      </c>
    </row>
    <row r="298" spans="1:11" s="35" customFormat="1" ht="11.25" customHeight="1" x14ac:dyDescent="0.35">
      <c r="A298" s="33" t="s">
        <v>26</v>
      </c>
      <c r="B298" s="35" t="s">
        <v>5763</v>
      </c>
      <c r="C298" s="272">
        <v>2246502</v>
      </c>
      <c r="D298" s="31" t="s">
        <v>5809</v>
      </c>
      <c r="E298" s="33">
        <v>112</v>
      </c>
      <c r="F298" s="22" t="s">
        <v>5800</v>
      </c>
      <c r="G298" s="33"/>
      <c r="H298" s="159" t="s">
        <v>4732</v>
      </c>
      <c r="I298" s="33"/>
      <c r="J298" s="33"/>
      <c r="K298" s="33" t="s">
        <v>5338</v>
      </c>
    </row>
    <row r="299" spans="1:11" s="35" customFormat="1" ht="11.25" customHeight="1" x14ac:dyDescent="0.35">
      <c r="A299" s="33" t="s">
        <v>26</v>
      </c>
      <c r="B299" s="35" t="s">
        <v>5763</v>
      </c>
      <c r="C299" s="272">
        <v>2125434</v>
      </c>
      <c r="D299" s="31" t="s">
        <v>5810</v>
      </c>
      <c r="E299" s="33">
        <v>3</v>
      </c>
      <c r="F299" s="22" t="s">
        <v>5800</v>
      </c>
      <c r="G299" s="33"/>
      <c r="H299" s="159" t="s">
        <v>4732</v>
      </c>
      <c r="I299" s="33"/>
      <c r="J299" s="33"/>
      <c r="K299" s="33" t="s">
        <v>5338</v>
      </c>
    </row>
    <row r="300" spans="1:11" s="35" customFormat="1" ht="11.25" customHeight="1" x14ac:dyDescent="0.35">
      <c r="A300" s="33" t="s">
        <v>26</v>
      </c>
      <c r="B300" s="35" t="s">
        <v>5763</v>
      </c>
      <c r="C300" s="272">
        <v>1442196</v>
      </c>
      <c r="D300" s="31" t="s">
        <v>5699</v>
      </c>
      <c r="E300" s="33">
        <v>120</v>
      </c>
      <c r="F300" s="22" t="s">
        <v>5800</v>
      </c>
      <c r="G300" s="33"/>
      <c r="H300" s="159" t="s">
        <v>4732</v>
      </c>
      <c r="I300" s="33"/>
      <c r="J300" s="33"/>
      <c r="K300" s="33" t="s">
        <v>5338</v>
      </c>
    </row>
    <row r="301" spans="1:11" s="35" customFormat="1" ht="11.25" customHeight="1" x14ac:dyDescent="0.35">
      <c r="A301" s="33" t="s">
        <v>26</v>
      </c>
      <c r="B301" s="35" t="s">
        <v>5763</v>
      </c>
      <c r="C301" s="272">
        <v>1411603</v>
      </c>
      <c r="D301" s="31" t="s">
        <v>5811</v>
      </c>
      <c r="E301" s="33">
        <v>1</v>
      </c>
      <c r="F301" s="22" t="s">
        <v>5800</v>
      </c>
      <c r="G301" s="33"/>
      <c r="H301" s="159" t="s">
        <v>4732</v>
      </c>
      <c r="I301" s="33"/>
      <c r="J301" s="33"/>
      <c r="K301" s="33" t="s">
        <v>5338</v>
      </c>
    </row>
    <row r="302" spans="1:11" s="35" customFormat="1" ht="11.25" customHeight="1" x14ac:dyDescent="0.35">
      <c r="A302" s="33" t="s">
        <v>26</v>
      </c>
      <c r="B302" s="35" t="s">
        <v>5763</v>
      </c>
      <c r="C302" s="272">
        <v>816074</v>
      </c>
      <c r="D302" s="31" t="s">
        <v>5812</v>
      </c>
      <c r="E302" s="33">
        <v>47</v>
      </c>
      <c r="F302" s="22" t="s">
        <v>5800</v>
      </c>
      <c r="G302" s="33"/>
      <c r="H302" s="159" t="s">
        <v>4732</v>
      </c>
      <c r="I302" s="33"/>
      <c r="J302" s="33"/>
      <c r="K302" s="33" t="s">
        <v>5338</v>
      </c>
    </row>
    <row r="303" spans="1:11" s="35" customFormat="1" ht="11.25" customHeight="1" x14ac:dyDescent="0.35">
      <c r="A303" s="33" t="s">
        <v>26</v>
      </c>
      <c r="B303" s="35" t="s">
        <v>5763</v>
      </c>
      <c r="C303" s="272">
        <v>813206</v>
      </c>
      <c r="D303" s="31" t="s">
        <v>5813</v>
      </c>
      <c r="E303" s="33">
        <v>20</v>
      </c>
      <c r="F303" s="22" t="s">
        <v>5800</v>
      </c>
      <c r="G303" s="33"/>
      <c r="H303" s="159" t="s">
        <v>4732</v>
      </c>
      <c r="I303" s="33"/>
      <c r="J303" s="33"/>
      <c r="K303" s="33" t="s">
        <v>5338</v>
      </c>
    </row>
    <row r="304" spans="1:11" s="35" customFormat="1" ht="11.25" customHeight="1" x14ac:dyDescent="0.35">
      <c r="A304" s="33" t="s">
        <v>26</v>
      </c>
      <c r="B304" s="35" t="s">
        <v>5763</v>
      </c>
      <c r="C304" s="272">
        <v>2066523</v>
      </c>
      <c r="D304" s="31" t="s">
        <v>5060</v>
      </c>
      <c r="E304" s="33">
        <v>600</v>
      </c>
      <c r="F304" s="22" t="s">
        <v>5800</v>
      </c>
      <c r="G304" s="33"/>
      <c r="H304" s="159" t="s">
        <v>4732</v>
      </c>
      <c r="I304" s="33"/>
      <c r="J304" s="33"/>
      <c r="K304" s="33" t="s">
        <v>5338</v>
      </c>
    </row>
    <row r="305" spans="1:11" s="35" customFormat="1" ht="11.25" customHeight="1" x14ac:dyDescent="0.35">
      <c r="A305" s="33" t="s">
        <v>26</v>
      </c>
      <c r="B305" s="35" t="s">
        <v>5763</v>
      </c>
      <c r="C305" s="272">
        <v>2483966</v>
      </c>
      <c r="D305" s="31" t="s">
        <v>5814</v>
      </c>
      <c r="E305" s="33">
        <v>2</v>
      </c>
      <c r="F305" s="22" t="s">
        <v>5800</v>
      </c>
      <c r="G305" s="33"/>
      <c r="H305" s="159" t="s">
        <v>4732</v>
      </c>
      <c r="I305" s="33"/>
      <c r="J305" s="33"/>
      <c r="K305" s="33" t="s">
        <v>5338</v>
      </c>
    </row>
    <row r="306" spans="1:11" s="35" customFormat="1" ht="11.25" customHeight="1" x14ac:dyDescent="0.35">
      <c r="A306" s="33" t="s">
        <v>26</v>
      </c>
      <c r="B306" s="35" t="s">
        <v>5763</v>
      </c>
      <c r="C306" s="272">
        <v>815891</v>
      </c>
      <c r="D306" s="31" t="s">
        <v>5060</v>
      </c>
      <c r="E306" s="33">
        <v>160</v>
      </c>
      <c r="F306" s="22" t="s">
        <v>5800</v>
      </c>
      <c r="G306" s="33"/>
      <c r="H306" s="159" t="s">
        <v>4732</v>
      </c>
      <c r="I306" s="33"/>
      <c r="J306" s="33"/>
      <c r="K306" s="33" t="s">
        <v>5338</v>
      </c>
    </row>
    <row r="307" spans="1:11" s="35" customFormat="1" ht="11.25" customHeight="1" x14ac:dyDescent="0.35">
      <c r="A307" s="33" t="s">
        <v>26</v>
      </c>
      <c r="B307" s="35" t="s">
        <v>5763</v>
      </c>
      <c r="C307" s="272">
        <v>1948423</v>
      </c>
      <c r="D307" s="31" t="s">
        <v>1785</v>
      </c>
      <c r="E307" s="33">
        <v>20</v>
      </c>
      <c r="F307" s="22" t="s">
        <v>5800</v>
      </c>
      <c r="G307" s="33"/>
      <c r="H307" s="159" t="s">
        <v>4732</v>
      </c>
      <c r="I307" s="33"/>
      <c r="J307" s="33"/>
      <c r="K307" s="33" t="s">
        <v>5338</v>
      </c>
    </row>
    <row r="308" spans="1:11" s="35" customFormat="1" ht="11.25" customHeight="1" x14ac:dyDescent="0.35">
      <c r="A308" s="33" t="s">
        <v>26</v>
      </c>
      <c r="B308" s="35" t="s">
        <v>5763</v>
      </c>
      <c r="C308" s="272">
        <v>2575333</v>
      </c>
      <c r="D308" s="31" t="s">
        <v>5815</v>
      </c>
      <c r="E308" s="33">
        <v>3</v>
      </c>
      <c r="F308" s="22" t="s">
        <v>5800</v>
      </c>
      <c r="G308" s="33"/>
      <c r="H308" s="159" t="s">
        <v>4732</v>
      </c>
      <c r="I308" s="33"/>
      <c r="J308" s="33"/>
      <c r="K308" s="33" t="s">
        <v>5338</v>
      </c>
    </row>
    <row r="309" spans="1:11" s="35" customFormat="1" ht="11.25" customHeight="1" x14ac:dyDescent="0.35">
      <c r="A309" s="33" t="s">
        <v>26</v>
      </c>
      <c r="B309" s="35" t="s">
        <v>5763</v>
      </c>
      <c r="C309" s="272">
        <v>2127468</v>
      </c>
      <c r="D309" s="31" t="s">
        <v>5771</v>
      </c>
      <c r="E309" s="33">
        <v>3</v>
      </c>
      <c r="F309" s="22" t="s">
        <v>5800</v>
      </c>
      <c r="G309" s="33"/>
      <c r="H309" s="159" t="s">
        <v>4732</v>
      </c>
      <c r="I309" s="33"/>
      <c r="J309" s="33"/>
      <c r="K309" s="33" t="s">
        <v>5338</v>
      </c>
    </row>
    <row r="310" spans="1:11" s="35" customFormat="1" ht="11.25" customHeight="1" x14ac:dyDescent="0.35">
      <c r="A310" s="33" t="s">
        <v>26</v>
      </c>
      <c r="B310" s="35" t="s">
        <v>5763</v>
      </c>
      <c r="C310" s="272">
        <v>2134257</v>
      </c>
      <c r="D310" s="31" t="s">
        <v>5771</v>
      </c>
      <c r="E310" s="33">
        <v>3</v>
      </c>
      <c r="F310" s="22" t="s">
        <v>5816</v>
      </c>
      <c r="G310" s="33"/>
      <c r="H310" s="159" t="s">
        <v>4732</v>
      </c>
      <c r="I310" s="33"/>
      <c r="J310" s="33"/>
      <c r="K310" s="33" t="s">
        <v>5338</v>
      </c>
    </row>
    <row r="311" spans="1:11" s="35" customFormat="1" ht="11.25" customHeight="1" x14ac:dyDescent="0.35">
      <c r="A311" s="33" t="s">
        <v>26</v>
      </c>
      <c r="B311" s="35" t="s">
        <v>5763</v>
      </c>
      <c r="C311" s="272" t="s">
        <v>5817</v>
      </c>
      <c r="D311" s="31" t="s">
        <v>5699</v>
      </c>
      <c r="E311" s="33">
        <v>8</v>
      </c>
      <c r="F311" s="22" t="s">
        <v>5818</v>
      </c>
      <c r="G311" s="33"/>
      <c r="H311" s="159" t="s">
        <v>4732</v>
      </c>
      <c r="I311" s="33"/>
      <c r="J311" s="33"/>
      <c r="K311" s="33" t="s">
        <v>5338</v>
      </c>
    </row>
    <row r="312" spans="1:11" s="35" customFormat="1" ht="11.25" customHeight="1" x14ac:dyDescent="0.35">
      <c r="A312" s="33" t="s">
        <v>26</v>
      </c>
      <c r="B312" s="35" t="s">
        <v>5763</v>
      </c>
      <c r="C312" s="272">
        <v>1488091</v>
      </c>
      <c r="D312" s="31" t="s">
        <v>5060</v>
      </c>
      <c r="E312" s="33">
        <v>9</v>
      </c>
      <c r="F312" s="22" t="s">
        <v>5818</v>
      </c>
      <c r="G312" s="33"/>
      <c r="H312" s="159" t="s">
        <v>4732</v>
      </c>
      <c r="I312" s="33"/>
      <c r="J312" s="33"/>
      <c r="K312" s="33" t="s">
        <v>5338</v>
      </c>
    </row>
    <row r="313" spans="1:11" s="35" customFormat="1" ht="11.25" customHeight="1" x14ac:dyDescent="0.35">
      <c r="A313" s="33" t="s">
        <v>26</v>
      </c>
      <c r="B313" s="35" t="s">
        <v>5763</v>
      </c>
      <c r="C313" s="272">
        <v>2759559</v>
      </c>
      <c r="D313" s="31" t="s">
        <v>5787</v>
      </c>
      <c r="E313" s="33">
        <v>4</v>
      </c>
      <c r="F313" s="22" t="s">
        <v>5818</v>
      </c>
      <c r="G313" s="33"/>
      <c r="H313" s="159" t="s">
        <v>4732</v>
      </c>
      <c r="I313" s="33"/>
      <c r="J313" s="33"/>
      <c r="K313" s="33" t="s">
        <v>5338</v>
      </c>
    </row>
    <row r="314" spans="1:11" s="35" customFormat="1" ht="11.25" customHeight="1" x14ac:dyDescent="0.35">
      <c r="A314" s="33" t="s">
        <v>26</v>
      </c>
      <c r="B314" s="35" t="s">
        <v>5763</v>
      </c>
      <c r="C314" s="272">
        <v>1889797</v>
      </c>
      <c r="D314" s="31" t="s">
        <v>5819</v>
      </c>
      <c r="E314" s="33">
        <v>1</v>
      </c>
      <c r="F314" s="22" t="s">
        <v>5818</v>
      </c>
      <c r="G314" s="33"/>
      <c r="H314" s="159" t="s">
        <v>4732</v>
      </c>
      <c r="I314" s="33"/>
      <c r="J314" s="33"/>
      <c r="K314" s="33" t="s">
        <v>5338</v>
      </c>
    </row>
    <row r="315" spans="1:11" s="35" customFormat="1" ht="11.25" customHeight="1" x14ac:dyDescent="0.35">
      <c r="A315" s="33" t="s">
        <v>26</v>
      </c>
      <c r="B315" s="35" t="s">
        <v>5763</v>
      </c>
      <c r="C315" s="272">
        <v>2411988</v>
      </c>
      <c r="D315" s="31" t="s">
        <v>5820</v>
      </c>
      <c r="E315" s="33">
        <v>1</v>
      </c>
      <c r="F315" s="22" t="s">
        <v>5818</v>
      </c>
      <c r="G315" s="33"/>
      <c r="H315" s="159" t="s">
        <v>4732</v>
      </c>
      <c r="I315" s="33"/>
      <c r="J315" s="33"/>
      <c r="K315" s="33" t="s">
        <v>5338</v>
      </c>
    </row>
    <row r="316" spans="1:11" s="35" customFormat="1" ht="11.25" customHeight="1" x14ac:dyDescent="0.35">
      <c r="A316" s="33" t="s">
        <v>26</v>
      </c>
      <c r="B316" s="35" t="s">
        <v>5763</v>
      </c>
      <c r="C316" s="272">
        <v>2667215</v>
      </c>
      <c r="D316" s="31" t="s">
        <v>2441</v>
      </c>
      <c r="E316" s="33">
        <v>6</v>
      </c>
      <c r="F316" s="22" t="s">
        <v>5818</v>
      </c>
      <c r="G316" s="33"/>
      <c r="H316" s="159" t="s">
        <v>4732</v>
      </c>
      <c r="I316" s="33"/>
      <c r="J316" s="33"/>
      <c r="K316" s="33" t="s">
        <v>5338</v>
      </c>
    </row>
    <row r="317" spans="1:11" s="35" customFormat="1" ht="11.25" customHeight="1" x14ac:dyDescent="0.35">
      <c r="A317" s="33" t="s">
        <v>26</v>
      </c>
      <c r="B317" s="35" t="s">
        <v>5763</v>
      </c>
      <c r="C317" s="272">
        <v>1938676</v>
      </c>
      <c r="D317" s="31" t="s">
        <v>5544</v>
      </c>
      <c r="E317" s="33">
        <v>160</v>
      </c>
      <c r="F317" s="22" t="s">
        <v>5818</v>
      </c>
      <c r="G317" s="33"/>
      <c r="H317" s="159" t="s">
        <v>4732</v>
      </c>
      <c r="I317" s="33"/>
      <c r="J317" s="33"/>
      <c r="K317" s="33" t="s">
        <v>5338</v>
      </c>
    </row>
    <row r="318" spans="1:11" s="35" customFormat="1" ht="11.25" customHeight="1" x14ac:dyDescent="0.35">
      <c r="A318" s="33" t="s">
        <v>26</v>
      </c>
      <c r="B318" s="35" t="s">
        <v>5763</v>
      </c>
      <c r="C318" s="272">
        <v>2492413</v>
      </c>
      <c r="D318" s="31" t="s">
        <v>5821</v>
      </c>
      <c r="E318" s="33">
        <v>1</v>
      </c>
      <c r="F318" s="22" t="s">
        <v>5818</v>
      </c>
      <c r="G318" s="33"/>
      <c r="H318" s="159" t="s">
        <v>4732</v>
      </c>
      <c r="I318" s="33"/>
      <c r="J318" s="33"/>
      <c r="K318" s="33" t="s">
        <v>5338</v>
      </c>
    </row>
    <row r="319" spans="1:11" s="35" customFormat="1" ht="11.25" customHeight="1" x14ac:dyDescent="0.35">
      <c r="A319" s="33" t="s">
        <v>26</v>
      </c>
      <c r="B319" s="35" t="s">
        <v>5763</v>
      </c>
      <c r="C319" s="272" t="s">
        <v>4732</v>
      </c>
      <c r="D319" s="31" t="s">
        <v>5520</v>
      </c>
      <c r="E319" s="33">
        <v>1</v>
      </c>
      <c r="F319" s="22" t="s">
        <v>5818</v>
      </c>
      <c r="G319" s="33"/>
      <c r="H319" s="159" t="s">
        <v>4732</v>
      </c>
      <c r="I319" s="33"/>
      <c r="J319" s="33"/>
      <c r="K319" s="33" t="s">
        <v>5338</v>
      </c>
    </row>
    <row r="320" spans="1:11" s="35" customFormat="1" ht="11.25" customHeight="1" x14ac:dyDescent="0.35">
      <c r="A320" s="33" t="s">
        <v>26</v>
      </c>
      <c r="B320" s="35" t="s">
        <v>5763</v>
      </c>
      <c r="C320" s="272">
        <v>2561571</v>
      </c>
      <c r="D320" s="31" t="s">
        <v>5822</v>
      </c>
      <c r="E320" s="33">
        <v>2</v>
      </c>
      <c r="F320" s="22" t="s">
        <v>5818</v>
      </c>
      <c r="G320" s="33"/>
      <c r="H320" s="159" t="s">
        <v>4732</v>
      </c>
      <c r="I320" s="33"/>
      <c r="J320" s="33"/>
      <c r="K320" s="33" t="s">
        <v>5338</v>
      </c>
    </row>
    <row r="321" spans="1:11" s="35" customFormat="1" ht="11.25" customHeight="1" x14ac:dyDescent="0.35">
      <c r="A321" s="33" t="s">
        <v>26</v>
      </c>
      <c r="B321" s="35" t="s">
        <v>5763</v>
      </c>
      <c r="C321" s="272">
        <v>3034833</v>
      </c>
      <c r="D321" s="31" t="s">
        <v>1379</v>
      </c>
      <c r="E321" s="33">
        <v>14</v>
      </c>
      <c r="F321" s="22" t="s">
        <v>5818</v>
      </c>
      <c r="G321" s="33"/>
      <c r="H321" s="159"/>
      <c r="I321" s="33"/>
      <c r="J321" s="33"/>
      <c r="K321" s="33" t="s">
        <v>5338</v>
      </c>
    </row>
    <row r="322" spans="1:11" s="39" customFormat="1" ht="11.25" customHeight="1" x14ac:dyDescent="0.35">
      <c r="A322" s="38" t="s">
        <v>26</v>
      </c>
      <c r="B322" s="39" t="s">
        <v>5763</v>
      </c>
      <c r="C322" s="106">
        <v>1512683</v>
      </c>
      <c r="D322" s="82" t="s">
        <v>5823</v>
      </c>
      <c r="E322" s="38">
        <v>12</v>
      </c>
      <c r="F322" s="26" t="s">
        <v>2971</v>
      </c>
      <c r="G322" s="38">
        <v>12</v>
      </c>
      <c r="H322" s="160" t="s">
        <v>5824</v>
      </c>
      <c r="I322" s="38" t="s">
        <v>5398</v>
      </c>
      <c r="J322" s="38"/>
      <c r="K322" s="38" t="s">
        <v>5365</v>
      </c>
    </row>
    <row r="323" spans="1:11" s="39" customFormat="1" ht="11.25" customHeight="1" x14ac:dyDescent="0.35">
      <c r="A323" s="38" t="s">
        <v>26</v>
      </c>
      <c r="B323" s="39" t="s">
        <v>5763</v>
      </c>
      <c r="C323" s="106">
        <v>2920298</v>
      </c>
      <c r="D323" s="82" t="s">
        <v>5789</v>
      </c>
      <c r="E323" s="38">
        <v>1</v>
      </c>
      <c r="F323" s="26">
        <v>45234</v>
      </c>
      <c r="G323" s="38">
        <v>1</v>
      </c>
      <c r="H323" s="160" t="s">
        <v>5825</v>
      </c>
      <c r="I323" s="38" t="s">
        <v>5826</v>
      </c>
      <c r="J323" s="38"/>
      <c r="K323" s="38" t="s">
        <v>5365</v>
      </c>
    </row>
    <row r="324" spans="1:11" s="39" customFormat="1" ht="11.25" customHeight="1" x14ac:dyDescent="0.35">
      <c r="A324" s="38" t="s">
        <v>26</v>
      </c>
      <c r="B324" s="39" t="s">
        <v>5763</v>
      </c>
      <c r="C324" s="106">
        <v>1492855</v>
      </c>
      <c r="D324" s="82" t="s">
        <v>5168</v>
      </c>
      <c r="E324" s="38">
        <v>4</v>
      </c>
      <c r="F324" s="26">
        <v>45234</v>
      </c>
      <c r="G324" s="38">
        <v>4</v>
      </c>
      <c r="H324" s="160" t="s">
        <v>5827</v>
      </c>
      <c r="I324" s="38" t="s">
        <v>5398</v>
      </c>
      <c r="J324" s="38"/>
      <c r="K324" s="38" t="s">
        <v>5365</v>
      </c>
    </row>
    <row r="325" spans="1:11" s="39" customFormat="1" ht="11.25" customHeight="1" x14ac:dyDescent="0.35">
      <c r="A325" s="38" t="s">
        <v>26</v>
      </c>
      <c r="B325" s="39" t="s">
        <v>5763</v>
      </c>
      <c r="C325" s="106">
        <v>2766342</v>
      </c>
      <c r="D325" s="82" t="s">
        <v>5828</v>
      </c>
      <c r="E325" s="38">
        <v>1</v>
      </c>
      <c r="F325" s="26">
        <v>45234</v>
      </c>
      <c r="G325" s="38">
        <v>1</v>
      </c>
      <c r="H325" s="160" t="s">
        <v>5825</v>
      </c>
      <c r="I325" s="38" t="s">
        <v>5826</v>
      </c>
      <c r="J325" s="38"/>
      <c r="K325" s="38" t="s">
        <v>5365</v>
      </c>
    </row>
    <row r="326" spans="1:11" s="39" customFormat="1" ht="11.25" customHeight="1" x14ac:dyDescent="0.35">
      <c r="A326" s="38" t="s">
        <v>26</v>
      </c>
      <c r="B326" s="39" t="s">
        <v>5763</v>
      </c>
      <c r="C326" s="106">
        <v>2703970</v>
      </c>
      <c r="D326" s="82" t="s">
        <v>5829</v>
      </c>
      <c r="E326" s="38">
        <v>1</v>
      </c>
      <c r="F326" s="26">
        <v>45234</v>
      </c>
      <c r="G326" s="38">
        <v>1</v>
      </c>
      <c r="H326" s="160" t="s">
        <v>5825</v>
      </c>
      <c r="I326" s="38" t="s">
        <v>5826</v>
      </c>
      <c r="J326" s="38"/>
      <c r="K326" s="38" t="s">
        <v>5365</v>
      </c>
    </row>
    <row r="327" spans="1:11" s="35" customFormat="1" ht="11.25" customHeight="1" x14ac:dyDescent="0.35">
      <c r="A327" s="33" t="s">
        <v>26</v>
      </c>
      <c r="B327" s="35" t="s">
        <v>5763</v>
      </c>
      <c r="C327" s="272">
        <v>2546946</v>
      </c>
      <c r="D327" s="31" t="s">
        <v>5830</v>
      </c>
      <c r="E327" s="33">
        <v>16</v>
      </c>
      <c r="F327" s="22">
        <v>45234</v>
      </c>
      <c r="G327" s="33"/>
      <c r="H327" s="159" t="s">
        <v>4732</v>
      </c>
      <c r="I327" s="33"/>
      <c r="J327" s="33"/>
      <c r="K327" s="33" t="s">
        <v>5338</v>
      </c>
    </row>
    <row r="328" spans="1:11" s="42" customFormat="1" ht="11.25" customHeight="1" x14ac:dyDescent="0.35">
      <c r="A328" s="40" t="s">
        <v>26</v>
      </c>
      <c r="B328" s="636" t="s">
        <v>5763</v>
      </c>
      <c r="C328" s="273">
        <v>1511238</v>
      </c>
      <c r="D328" s="117" t="s">
        <v>5831</v>
      </c>
      <c r="E328" s="40">
        <v>30</v>
      </c>
      <c r="F328" s="41" t="s">
        <v>5832</v>
      </c>
      <c r="G328" s="40">
        <v>1</v>
      </c>
      <c r="H328" s="161">
        <v>45143</v>
      </c>
      <c r="I328" s="40" t="s">
        <v>5398</v>
      </c>
      <c r="J328" s="40"/>
      <c r="K328" s="40" t="s">
        <v>5511</v>
      </c>
    </row>
    <row r="329" spans="1:11" s="35" customFormat="1" ht="11.25" customHeight="1" x14ac:dyDescent="0.35">
      <c r="A329" s="33" t="s">
        <v>26</v>
      </c>
      <c r="B329" s="35" t="s">
        <v>5763</v>
      </c>
      <c r="C329" s="272">
        <v>813005</v>
      </c>
      <c r="D329" s="31" t="s">
        <v>5060</v>
      </c>
      <c r="E329" s="33">
        <v>18</v>
      </c>
      <c r="F329" s="22" t="s">
        <v>5832</v>
      </c>
      <c r="G329" s="33"/>
      <c r="H329" s="159" t="s">
        <v>4732</v>
      </c>
      <c r="I329" s="33"/>
      <c r="J329" s="33"/>
      <c r="K329" s="33" t="s">
        <v>5338</v>
      </c>
    </row>
    <row r="330" spans="1:11" s="42" customFormat="1" ht="11.25" customHeight="1" x14ac:dyDescent="0.35">
      <c r="A330" s="40" t="s">
        <v>26</v>
      </c>
      <c r="B330" s="636" t="s">
        <v>5763</v>
      </c>
      <c r="C330" s="273">
        <v>486255</v>
      </c>
      <c r="D330" s="117" t="s">
        <v>5829</v>
      </c>
      <c r="E330" s="40">
        <v>32</v>
      </c>
      <c r="F330" s="41" t="s">
        <v>5832</v>
      </c>
      <c r="G330" s="40">
        <v>12</v>
      </c>
      <c r="H330" s="161" t="s">
        <v>5833</v>
      </c>
      <c r="I330" s="40" t="s">
        <v>5398</v>
      </c>
      <c r="J330" s="40"/>
      <c r="K330" s="40" t="s">
        <v>5511</v>
      </c>
    </row>
    <row r="331" spans="1:11" s="39" customFormat="1" ht="11.25" customHeight="1" x14ac:dyDescent="0.35">
      <c r="A331" s="38" t="s">
        <v>26</v>
      </c>
      <c r="B331" s="39" t="s">
        <v>5763</v>
      </c>
      <c r="C331" s="106">
        <v>2243924</v>
      </c>
      <c r="D331" s="82" t="s">
        <v>5834</v>
      </c>
      <c r="E331" s="38">
        <v>4</v>
      </c>
      <c r="F331" s="26" t="s">
        <v>5832</v>
      </c>
      <c r="G331" s="38"/>
      <c r="H331" s="160" t="s">
        <v>4732</v>
      </c>
      <c r="I331" s="38"/>
      <c r="J331" s="38"/>
      <c r="K331" s="38" t="s">
        <v>5365</v>
      </c>
    </row>
    <row r="332" spans="1:11" s="35" customFormat="1" ht="11.25" customHeight="1" x14ac:dyDescent="0.35">
      <c r="A332" s="33" t="s">
        <v>26</v>
      </c>
      <c r="B332" s="35" t="s">
        <v>5763</v>
      </c>
      <c r="C332" s="272">
        <v>2061315</v>
      </c>
      <c r="D332" s="31" t="s">
        <v>5835</v>
      </c>
      <c r="E332" s="33">
        <v>49</v>
      </c>
      <c r="F332" s="22" t="s">
        <v>5836</v>
      </c>
      <c r="G332" s="33"/>
      <c r="H332" s="159" t="s">
        <v>4732</v>
      </c>
      <c r="I332" s="33"/>
      <c r="J332" s="33"/>
      <c r="K332" s="33" t="s">
        <v>5338</v>
      </c>
    </row>
    <row r="333" spans="1:11" s="35" customFormat="1" ht="11.25" customHeight="1" x14ac:dyDescent="0.35">
      <c r="A333" s="33" t="s">
        <v>26</v>
      </c>
      <c r="B333" s="35" t="s">
        <v>5763</v>
      </c>
      <c r="C333" s="272">
        <v>2539944</v>
      </c>
      <c r="D333" s="31" t="s">
        <v>5837</v>
      </c>
      <c r="E333" s="33">
        <v>1</v>
      </c>
      <c r="F333" s="22" t="s">
        <v>5836</v>
      </c>
      <c r="G333" s="33"/>
      <c r="H333" s="159" t="s">
        <v>4732</v>
      </c>
      <c r="I333" s="33"/>
      <c r="J333" s="33"/>
      <c r="K333" s="33" t="s">
        <v>5338</v>
      </c>
    </row>
    <row r="334" spans="1:11" s="35" customFormat="1" ht="11.25" customHeight="1" x14ac:dyDescent="0.35">
      <c r="A334" s="33" t="s">
        <v>26</v>
      </c>
      <c r="B334" s="35" t="s">
        <v>5763</v>
      </c>
      <c r="C334" s="272">
        <v>1512683</v>
      </c>
      <c r="D334" s="31" t="s">
        <v>5838</v>
      </c>
      <c r="E334" s="33">
        <v>32</v>
      </c>
      <c r="F334" s="22" t="s">
        <v>5836</v>
      </c>
      <c r="G334" s="33"/>
      <c r="H334" s="159" t="s">
        <v>4732</v>
      </c>
      <c r="I334" s="33"/>
      <c r="J334" s="33"/>
      <c r="K334" s="33" t="s">
        <v>5338</v>
      </c>
    </row>
    <row r="335" spans="1:11" s="35" customFormat="1" ht="11.25" customHeight="1" x14ac:dyDescent="0.35">
      <c r="A335" s="33" t="s">
        <v>26</v>
      </c>
      <c r="B335" s="35" t="s">
        <v>5763</v>
      </c>
      <c r="C335" s="272" t="s">
        <v>4732</v>
      </c>
      <c r="D335" s="31" t="s">
        <v>5839</v>
      </c>
      <c r="E335" s="33" t="s">
        <v>5840</v>
      </c>
      <c r="F335" s="22" t="s">
        <v>5836</v>
      </c>
      <c r="G335" s="33"/>
      <c r="H335" s="159" t="s">
        <v>4732</v>
      </c>
      <c r="I335" s="33"/>
      <c r="J335" s="33"/>
      <c r="K335" s="33" t="s">
        <v>5338</v>
      </c>
    </row>
    <row r="336" spans="1:11" s="35" customFormat="1" ht="11.25" customHeight="1" x14ac:dyDescent="0.35">
      <c r="A336" s="33" t="s">
        <v>26</v>
      </c>
      <c r="B336" s="35" t="s">
        <v>5763</v>
      </c>
      <c r="C336" s="272">
        <v>2413455</v>
      </c>
      <c r="D336" s="31" t="s">
        <v>4732</v>
      </c>
      <c r="E336" s="33">
        <v>1</v>
      </c>
      <c r="F336" s="22" t="s">
        <v>5836</v>
      </c>
      <c r="G336" s="33"/>
      <c r="H336" s="159" t="s">
        <v>4732</v>
      </c>
      <c r="I336" s="33"/>
      <c r="J336" s="33"/>
      <c r="K336" s="33" t="s">
        <v>5338</v>
      </c>
    </row>
    <row r="337" spans="1:11" s="35" customFormat="1" ht="11.25" customHeight="1" x14ac:dyDescent="0.35">
      <c r="A337" s="33" t="s">
        <v>26</v>
      </c>
      <c r="B337" s="35" t="s">
        <v>5763</v>
      </c>
      <c r="C337" s="272">
        <v>26664141</v>
      </c>
      <c r="D337" s="31" t="s">
        <v>4732</v>
      </c>
      <c r="E337" s="33">
        <v>5</v>
      </c>
      <c r="F337" s="22" t="s">
        <v>5836</v>
      </c>
      <c r="G337" s="33"/>
      <c r="H337" s="159" t="s">
        <v>4732</v>
      </c>
      <c r="I337" s="33"/>
      <c r="J337" s="33"/>
      <c r="K337" s="33" t="s">
        <v>5338</v>
      </c>
    </row>
    <row r="338" spans="1:11" s="35" customFormat="1" ht="11.25" customHeight="1" x14ac:dyDescent="0.35">
      <c r="A338" s="33" t="s">
        <v>26</v>
      </c>
      <c r="B338" s="35" t="s">
        <v>5763</v>
      </c>
      <c r="C338" s="272">
        <v>3034833</v>
      </c>
      <c r="D338" s="31" t="s">
        <v>1379</v>
      </c>
      <c r="E338" s="33">
        <v>24</v>
      </c>
      <c r="F338" s="22" t="s">
        <v>5836</v>
      </c>
      <c r="G338" s="33"/>
      <c r="H338" s="159" t="s">
        <v>4732</v>
      </c>
      <c r="I338" s="33"/>
      <c r="J338" s="33"/>
      <c r="K338" s="33" t="s">
        <v>5338</v>
      </c>
    </row>
    <row r="339" spans="1:11" s="39" customFormat="1" ht="11.25" customHeight="1" x14ac:dyDescent="0.35">
      <c r="A339" s="38" t="s">
        <v>26</v>
      </c>
      <c r="B339" s="39" t="s">
        <v>5763</v>
      </c>
      <c r="C339" s="106">
        <v>1548500</v>
      </c>
      <c r="D339" s="82" t="s">
        <v>5841</v>
      </c>
      <c r="E339" s="38">
        <v>2</v>
      </c>
      <c r="F339" s="26" t="s">
        <v>5836</v>
      </c>
      <c r="G339" s="38">
        <v>2</v>
      </c>
      <c r="H339" s="160">
        <v>45210</v>
      </c>
      <c r="I339" s="38" t="s">
        <v>5842</v>
      </c>
      <c r="J339" s="38"/>
      <c r="K339" s="38" t="s">
        <v>5365</v>
      </c>
    </row>
    <row r="340" spans="1:11" s="35" customFormat="1" ht="11.25" customHeight="1" x14ac:dyDescent="0.35">
      <c r="A340" s="33" t="s">
        <v>26</v>
      </c>
      <c r="B340" s="35" t="s">
        <v>5763</v>
      </c>
      <c r="C340" s="272">
        <v>2454376</v>
      </c>
      <c r="D340" s="31" t="s">
        <v>5060</v>
      </c>
      <c r="E340" s="33">
        <v>166</v>
      </c>
      <c r="F340" s="22" t="s">
        <v>5836</v>
      </c>
      <c r="G340" s="33"/>
      <c r="H340" s="159" t="s">
        <v>4732</v>
      </c>
      <c r="I340" s="33"/>
      <c r="J340" s="33"/>
      <c r="K340" s="33" t="s">
        <v>5338</v>
      </c>
    </row>
    <row r="341" spans="1:11" s="35" customFormat="1" ht="11.25" customHeight="1" x14ac:dyDescent="0.35">
      <c r="A341" s="33" t="s">
        <v>26</v>
      </c>
      <c r="B341" s="35" t="s">
        <v>5763</v>
      </c>
      <c r="C341" s="272">
        <v>1411244</v>
      </c>
      <c r="D341" s="31" t="s">
        <v>5843</v>
      </c>
      <c r="E341" s="33">
        <v>1</v>
      </c>
      <c r="F341" s="22" t="s">
        <v>5836</v>
      </c>
      <c r="G341" s="33"/>
      <c r="H341" s="159" t="s">
        <v>4732</v>
      </c>
      <c r="I341" s="33"/>
      <c r="J341" s="33"/>
      <c r="K341" s="33" t="s">
        <v>5338</v>
      </c>
    </row>
    <row r="342" spans="1:11" s="35" customFormat="1" ht="11.25" customHeight="1" x14ac:dyDescent="0.35">
      <c r="A342" s="33" t="s">
        <v>26</v>
      </c>
      <c r="B342" s="35" t="s">
        <v>5763</v>
      </c>
      <c r="C342" s="272">
        <v>1784124</v>
      </c>
      <c r="D342" s="31" t="s">
        <v>5844</v>
      </c>
      <c r="E342" s="33">
        <v>1</v>
      </c>
      <c r="F342" s="22" t="s">
        <v>5836</v>
      </c>
      <c r="G342" s="33"/>
      <c r="H342" s="159" t="s">
        <v>4732</v>
      </c>
      <c r="I342" s="33"/>
      <c r="J342" s="33"/>
      <c r="K342" s="33" t="s">
        <v>5338</v>
      </c>
    </row>
    <row r="343" spans="1:11" s="35" customFormat="1" ht="11.25" customHeight="1" x14ac:dyDescent="0.35">
      <c r="A343" s="33" t="s">
        <v>26</v>
      </c>
      <c r="B343" s="35" t="s">
        <v>5763</v>
      </c>
      <c r="C343" s="272" t="s">
        <v>4732</v>
      </c>
      <c r="D343" s="31" t="s">
        <v>5845</v>
      </c>
      <c r="E343" s="33">
        <v>3</v>
      </c>
      <c r="F343" s="22" t="s">
        <v>5836</v>
      </c>
      <c r="G343" s="33"/>
      <c r="H343" s="159" t="s">
        <v>4732</v>
      </c>
      <c r="I343" s="33"/>
      <c r="J343" s="33"/>
      <c r="K343" s="33" t="s">
        <v>5338</v>
      </c>
    </row>
    <row r="344" spans="1:11" s="35" customFormat="1" ht="11.25" customHeight="1" x14ac:dyDescent="0.35">
      <c r="A344" s="33" t="s">
        <v>26</v>
      </c>
      <c r="B344" s="35" t="s">
        <v>5763</v>
      </c>
      <c r="C344" s="272">
        <v>2357499</v>
      </c>
      <c r="D344" s="31" t="s">
        <v>5699</v>
      </c>
      <c r="E344" s="33">
        <v>20</v>
      </c>
      <c r="F344" s="22" t="s">
        <v>5836</v>
      </c>
      <c r="G344" s="33"/>
      <c r="H344" s="159" t="s">
        <v>4732</v>
      </c>
      <c r="I344" s="33"/>
      <c r="J344" s="33"/>
      <c r="K344" s="33" t="s">
        <v>5338</v>
      </c>
    </row>
    <row r="345" spans="1:11" s="35" customFormat="1" ht="11.25" customHeight="1" x14ac:dyDescent="0.35">
      <c r="A345" s="33" t="s">
        <v>26</v>
      </c>
      <c r="B345" s="35" t="s">
        <v>5763</v>
      </c>
      <c r="C345" s="272">
        <v>2258466</v>
      </c>
      <c r="D345" s="31" t="s">
        <v>5846</v>
      </c>
      <c r="E345" s="33">
        <v>400</v>
      </c>
      <c r="F345" s="22" t="s">
        <v>5836</v>
      </c>
      <c r="G345" s="33"/>
      <c r="H345" s="159" t="s">
        <v>4732</v>
      </c>
      <c r="I345" s="33"/>
      <c r="J345" s="33"/>
      <c r="K345" s="33" t="s">
        <v>5338</v>
      </c>
    </row>
    <row r="346" spans="1:11" s="39" customFormat="1" ht="11.25" customHeight="1" x14ac:dyDescent="0.35">
      <c r="A346" s="38" t="s">
        <v>26</v>
      </c>
      <c r="B346" s="39" t="s">
        <v>5763</v>
      </c>
      <c r="C346" s="106">
        <v>3124634</v>
      </c>
      <c r="D346" s="82" t="s">
        <v>5847</v>
      </c>
      <c r="E346" s="38">
        <v>12</v>
      </c>
      <c r="F346" s="26" t="s">
        <v>5848</v>
      </c>
      <c r="G346" s="38">
        <v>12</v>
      </c>
      <c r="H346" s="160" t="s">
        <v>5849</v>
      </c>
      <c r="I346" s="38" t="s">
        <v>5398</v>
      </c>
      <c r="J346" s="38"/>
      <c r="K346" s="38" t="s">
        <v>5365</v>
      </c>
    </row>
    <row r="347" spans="1:11" s="35" customFormat="1" ht="11.25" customHeight="1" x14ac:dyDescent="0.35">
      <c r="A347" s="33" t="s">
        <v>26</v>
      </c>
      <c r="B347" s="35" t="s">
        <v>5763</v>
      </c>
      <c r="C347" s="272" t="s">
        <v>4732</v>
      </c>
      <c r="D347" s="31" t="s">
        <v>5850</v>
      </c>
      <c r="E347" s="33">
        <v>1</v>
      </c>
      <c r="F347" s="22">
        <v>45086</v>
      </c>
      <c r="G347" s="33"/>
      <c r="H347" s="159" t="s">
        <v>4732</v>
      </c>
      <c r="I347" s="33"/>
      <c r="J347" s="33"/>
      <c r="K347" s="33" t="s">
        <v>5338</v>
      </c>
    </row>
    <row r="348" spans="1:11" s="35" customFormat="1" ht="11.25" customHeight="1" x14ac:dyDescent="0.35">
      <c r="A348" s="33" t="s">
        <v>26</v>
      </c>
      <c r="B348" s="35" t="s">
        <v>5763</v>
      </c>
      <c r="C348" s="272">
        <v>2445328</v>
      </c>
      <c r="D348" s="31" t="s">
        <v>5851</v>
      </c>
      <c r="E348" s="33">
        <v>1</v>
      </c>
      <c r="F348" s="22">
        <v>45086</v>
      </c>
      <c r="G348" s="33"/>
      <c r="H348" s="159" t="s">
        <v>4732</v>
      </c>
      <c r="I348" s="33"/>
      <c r="J348" s="33"/>
      <c r="K348" s="33" t="s">
        <v>5338</v>
      </c>
    </row>
    <row r="349" spans="1:11" s="35" customFormat="1" ht="11.25" customHeight="1" x14ac:dyDescent="0.35">
      <c r="A349" s="33" t="s">
        <v>26</v>
      </c>
      <c r="B349" s="35" t="s">
        <v>5763</v>
      </c>
      <c r="C349" s="272">
        <v>2706863</v>
      </c>
      <c r="D349" s="31" t="s">
        <v>5852</v>
      </c>
      <c r="E349" s="33">
        <v>2</v>
      </c>
      <c r="F349" s="22">
        <v>45086</v>
      </c>
      <c r="G349" s="33"/>
      <c r="H349" s="159" t="s">
        <v>4732</v>
      </c>
      <c r="I349" s="33"/>
      <c r="J349" s="33"/>
      <c r="K349" s="33" t="s">
        <v>5338</v>
      </c>
    </row>
    <row r="350" spans="1:11" s="35" customFormat="1" ht="11.25" customHeight="1" x14ac:dyDescent="0.35">
      <c r="A350" s="33" t="s">
        <v>26</v>
      </c>
      <c r="B350" s="35" t="s">
        <v>5763</v>
      </c>
      <c r="C350" s="272">
        <v>2293765</v>
      </c>
      <c r="D350" s="31" t="s">
        <v>5853</v>
      </c>
      <c r="E350" s="33">
        <v>2</v>
      </c>
      <c r="F350" s="22">
        <v>45086</v>
      </c>
      <c r="G350" s="33"/>
      <c r="H350" s="159" t="s">
        <v>4732</v>
      </c>
      <c r="I350" s="33"/>
      <c r="J350" s="33"/>
      <c r="K350" s="33" t="s">
        <v>5338</v>
      </c>
    </row>
    <row r="351" spans="1:11" s="35" customFormat="1" ht="11.25" customHeight="1" x14ac:dyDescent="0.35">
      <c r="A351" s="33" t="s">
        <v>26</v>
      </c>
      <c r="B351" s="35" t="s">
        <v>5763</v>
      </c>
      <c r="C351" s="272">
        <v>808050</v>
      </c>
      <c r="D351" s="31" t="s">
        <v>1290</v>
      </c>
      <c r="E351" s="33">
        <v>290</v>
      </c>
      <c r="F351" s="22">
        <v>45086</v>
      </c>
      <c r="G351" s="33"/>
      <c r="H351" s="159" t="s">
        <v>4732</v>
      </c>
      <c r="I351" s="33"/>
      <c r="J351" s="33"/>
      <c r="K351" s="33" t="s">
        <v>5338</v>
      </c>
    </row>
    <row r="352" spans="1:11" s="35" customFormat="1" ht="11.25" customHeight="1" x14ac:dyDescent="0.35">
      <c r="A352" s="33" t="s">
        <v>26</v>
      </c>
      <c r="B352" s="35" t="s">
        <v>5763</v>
      </c>
      <c r="C352" s="272">
        <v>11101003</v>
      </c>
      <c r="D352" s="31" t="s">
        <v>5838</v>
      </c>
      <c r="E352" s="33">
        <v>300</v>
      </c>
      <c r="F352" s="22">
        <v>45086</v>
      </c>
      <c r="G352" s="33"/>
      <c r="H352" s="159" t="s">
        <v>4732</v>
      </c>
      <c r="I352" s="33"/>
      <c r="J352" s="33"/>
      <c r="K352" s="33" t="s">
        <v>5338</v>
      </c>
    </row>
    <row r="353" spans="1:11" s="42" customFormat="1" ht="11.25" customHeight="1" x14ac:dyDescent="0.35">
      <c r="A353" s="40" t="s">
        <v>26</v>
      </c>
      <c r="B353" s="636" t="s">
        <v>5763</v>
      </c>
      <c r="C353" s="273">
        <v>815626</v>
      </c>
      <c r="D353" s="117" t="s">
        <v>5854</v>
      </c>
      <c r="E353" s="40">
        <v>38</v>
      </c>
      <c r="F353" s="41">
        <v>45208</v>
      </c>
      <c r="G353" s="40">
        <v>12</v>
      </c>
      <c r="H353" s="161" t="s">
        <v>5832</v>
      </c>
      <c r="I353" s="40" t="s">
        <v>5401</v>
      </c>
      <c r="J353" s="40" t="s">
        <v>5855</v>
      </c>
      <c r="K353" s="40" t="s">
        <v>5511</v>
      </c>
    </row>
    <row r="354" spans="1:11" s="42" customFormat="1" ht="11.25" customHeight="1" x14ac:dyDescent="0.35">
      <c r="A354" s="40" t="s">
        <v>26</v>
      </c>
      <c r="B354" s="636" t="s">
        <v>5763</v>
      </c>
      <c r="C354" s="273">
        <v>1356958</v>
      </c>
      <c r="D354" s="117" t="s">
        <v>1181</v>
      </c>
      <c r="E354" s="40">
        <v>32</v>
      </c>
      <c r="F354" s="41">
        <v>45208</v>
      </c>
      <c r="G354" s="40">
        <v>12</v>
      </c>
      <c r="H354" s="161">
        <v>45188</v>
      </c>
      <c r="I354" s="40" t="s">
        <v>5398</v>
      </c>
      <c r="J354" s="40" t="s">
        <v>5856</v>
      </c>
      <c r="K354" s="40" t="s">
        <v>5511</v>
      </c>
    </row>
    <row r="355" spans="1:11" s="42" customFormat="1" ht="11.25" customHeight="1" x14ac:dyDescent="0.35">
      <c r="A355" s="40" t="s">
        <v>26</v>
      </c>
      <c r="B355" s="636" t="s">
        <v>5763</v>
      </c>
      <c r="C355" s="273">
        <v>1899302</v>
      </c>
      <c r="D355" s="117" t="s">
        <v>5828</v>
      </c>
      <c r="E355" s="40">
        <v>32</v>
      </c>
      <c r="F355" s="41">
        <v>45179</v>
      </c>
      <c r="G355" s="40">
        <v>12</v>
      </c>
      <c r="H355" s="161" t="s">
        <v>5857</v>
      </c>
      <c r="I355" s="40" t="s">
        <v>5398</v>
      </c>
      <c r="J355" s="40" t="s">
        <v>5856</v>
      </c>
      <c r="K355" s="40" t="s">
        <v>5511</v>
      </c>
    </row>
    <row r="356" spans="1:11" s="42" customFormat="1" ht="11.25" customHeight="1" x14ac:dyDescent="0.35">
      <c r="A356" s="40" t="s">
        <v>26</v>
      </c>
      <c r="B356" s="636" t="s">
        <v>5763</v>
      </c>
      <c r="C356" s="273">
        <v>1475145</v>
      </c>
      <c r="D356" s="117" t="s">
        <v>5060</v>
      </c>
      <c r="E356" s="40">
        <v>32</v>
      </c>
      <c r="F356" s="41">
        <v>45179</v>
      </c>
      <c r="G356" s="40">
        <v>12</v>
      </c>
      <c r="H356" s="161" t="s">
        <v>5827</v>
      </c>
      <c r="I356" s="40" t="s">
        <v>5398</v>
      </c>
      <c r="J356" s="40" t="s">
        <v>5856</v>
      </c>
      <c r="K356" s="40" t="s">
        <v>5511</v>
      </c>
    </row>
    <row r="357" spans="1:11" s="42" customFormat="1" ht="11.25" customHeight="1" x14ac:dyDescent="0.35">
      <c r="A357" s="40" t="s">
        <v>26</v>
      </c>
      <c r="B357" s="636" t="s">
        <v>5763</v>
      </c>
      <c r="C357" s="273">
        <v>812518</v>
      </c>
      <c r="D357" s="117" t="s">
        <v>5060</v>
      </c>
      <c r="E357" s="40">
        <v>36</v>
      </c>
      <c r="F357" s="41">
        <v>45179</v>
      </c>
      <c r="G357" s="40">
        <v>6</v>
      </c>
      <c r="H357" s="161" t="s">
        <v>2971</v>
      </c>
      <c r="I357" s="40" t="s">
        <v>5398</v>
      </c>
      <c r="J357" s="40" t="s">
        <v>5858</v>
      </c>
      <c r="K357" s="40" t="s">
        <v>5511</v>
      </c>
    </row>
    <row r="358" spans="1:11" s="35" customFormat="1" ht="11.25" customHeight="1" x14ac:dyDescent="0.35">
      <c r="A358" s="33" t="s">
        <v>26</v>
      </c>
      <c r="B358" s="35" t="s">
        <v>5763</v>
      </c>
      <c r="C358" s="272">
        <v>813004</v>
      </c>
      <c r="D358" s="31" t="s">
        <v>5859</v>
      </c>
      <c r="E358" s="33">
        <v>30</v>
      </c>
      <c r="F358" s="22">
        <v>45179</v>
      </c>
      <c r="G358" s="33"/>
      <c r="H358" s="159" t="s">
        <v>4732</v>
      </c>
      <c r="I358" s="33"/>
      <c r="J358" s="33"/>
      <c r="K358" s="33" t="s">
        <v>5338</v>
      </c>
    </row>
    <row r="359" spans="1:11" s="35" customFormat="1" ht="11.25" customHeight="1" x14ac:dyDescent="0.35">
      <c r="A359" s="33" t="s">
        <v>26</v>
      </c>
      <c r="B359" s="35" t="s">
        <v>5763</v>
      </c>
      <c r="C359" s="272">
        <v>815132</v>
      </c>
      <c r="D359" s="31" t="s">
        <v>5768</v>
      </c>
      <c r="E359" s="33">
        <v>66</v>
      </c>
      <c r="F359" s="22">
        <v>45179</v>
      </c>
      <c r="G359" s="33"/>
      <c r="H359" s="159" t="s">
        <v>4732</v>
      </c>
      <c r="I359" s="33"/>
      <c r="J359" s="33"/>
      <c r="K359" s="33" t="s">
        <v>5338</v>
      </c>
    </row>
    <row r="360" spans="1:11" s="35" customFormat="1" ht="11.25" customHeight="1" x14ac:dyDescent="0.35">
      <c r="A360" s="33" t="s">
        <v>26</v>
      </c>
      <c r="B360" s="35" t="s">
        <v>5763</v>
      </c>
      <c r="C360" s="272">
        <v>812997</v>
      </c>
      <c r="D360" s="31" t="s">
        <v>5859</v>
      </c>
      <c r="E360" s="33">
        <v>12</v>
      </c>
      <c r="F360" s="22">
        <v>45179</v>
      </c>
      <c r="G360" s="33"/>
      <c r="H360" s="159" t="s">
        <v>4732</v>
      </c>
      <c r="I360" s="33"/>
      <c r="J360" s="33"/>
      <c r="K360" s="33" t="s">
        <v>5338</v>
      </c>
    </row>
    <row r="361" spans="1:11" s="35" customFormat="1" ht="11.25" customHeight="1" x14ac:dyDescent="0.35">
      <c r="A361" s="33" t="s">
        <v>26</v>
      </c>
      <c r="B361" s="35" t="s">
        <v>5763</v>
      </c>
      <c r="C361" s="272">
        <v>1365522</v>
      </c>
      <c r="D361" s="31" t="s">
        <v>5860</v>
      </c>
      <c r="E361" s="33">
        <v>36</v>
      </c>
      <c r="F361" s="22">
        <v>45179</v>
      </c>
      <c r="G361" s="33"/>
      <c r="H361" s="159" t="s">
        <v>4732</v>
      </c>
      <c r="I361" s="33"/>
      <c r="J361" s="33"/>
      <c r="K361" s="33" t="s">
        <v>5338</v>
      </c>
    </row>
    <row r="362" spans="1:11" s="35" customFormat="1" ht="11.25" customHeight="1" x14ac:dyDescent="0.35">
      <c r="A362" s="33" t="s">
        <v>26</v>
      </c>
      <c r="B362" s="35" t="s">
        <v>5763</v>
      </c>
      <c r="C362" s="272">
        <v>1117826</v>
      </c>
      <c r="D362" s="31" t="s">
        <v>2354</v>
      </c>
      <c r="E362" s="33">
        <v>30</v>
      </c>
      <c r="F362" s="22">
        <v>45179</v>
      </c>
      <c r="G362" s="33"/>
      <c r="H362" s="159" t="s">
        <v>4732</v>
      </c>
      <c r="I362" s="33"/>
      <c r="J362" s="33"/>
      <c r="K362" s="33" t="s">
        <v>5338</v>
      </c>
    </row>
    <row r="363" spans="1:11" s="35" customFormat="1" ht="11.25" customHeight="1" x14ac:dyDescent="0.35">
      <c r="A363" s="33" t="s">
        <v>26</v>
      </c>
      <c r="B363" s="35" t="s">
        <v>5763</v>
      </c>
      <c r="C363" s="272">
        <v>2905804</v>
      </c>
      <c r="D363" s="31" t="s">
        <v>5168</v>
      </c>
      <c r="E363" s="33">
        <v>3</v>
      </c>
      <c r="F363" s="22">
        <v>45179</v>
      </c>
      <c r="G363" s="33"/>
      <c r="H363" s="159" t="s">
        <v>4732</v>
      </c>
      <c r="I363" s="33"/>
      <c r="J363" s="33"/>
      <c r="K363" s="33" t="s">
        <v>5338</v>
      </c>
    </row>
    <row r="364" spans="1:11" s="35" customFormat="1" ht="11.25" customHeight="1" x14ac:dyDescent="0.35">
      <c r="A364" s="33" t="s">
        <v>26</v>
      </c>
      <c r="B364" s="35" t="s">
        <v>5763</v>
      </c>
      <c r="C364" s="272">
        <v>2516089</v>
      </c>
      <c r="D364" s="31" t="s">
        <v>5861</v>
      </c>
      <c r="E364" s="33">
        <v>2</v>
      </c>
      <c r="F364" s="22">
        <v>45179</v>
      </c>
      <c r="G364" s="33"/>
      <c r="H364" s="159" t="s">
        <v>4732</v>
      </c>
      <c r="I364" s="33"/>
      <c r="J364" s="33"/>
      <c r="K364" s="33" t="s">
        <v>5338</v>
      </c>
    </row>
    <row r="365" spans="1:11" s="35" customFormat="1" ht="11.25" customHeight="1" x14ac:dyDescent="0.35">
      <c r="A365" s="33" t="s">
        <v>26</v>
      </c>
      <c r="B365" s="35" t="s">
        <v>5763</v>
      </c>
      <c r="C365" s="272">
        <v>2540210</v>
      </c>
      <c r="D365" s="31" t="s">
        <v>5862</v>
      </c>
      <c r="E365" s="33">
        <v>1</v>
      </c>
      <c r="F365" s="22">
        <v>45179</v>
      </c>
      <c r="G365" s="33"/>
      <c r="H365" s="159" t="s">
        <v>4732</v>
      </c>
      <c r="I365" s="33"/>
      <c r="J365" s="33"/>
      <c r="K365" s="33" t="s">
        <v>5338</v>
      </c>
    </row>
    <row r="366" spans="1:11" s="35" customFormat="1" ht="11.25" customHeight="1" x14ac:dyDescent="0.35">
      <c r="A366" s="33" t="s">
        <v>26</v>
      </c>
      <c r="B366" s="35" t="s">
        <v>5763</v>
      </c>
      <c r="C366" s="272">
        <v>1749008</v>
      </c>
      <c r="D366" s="31" t="s">
        <v>5863</v>
      </c>
      <c r="E366" s="33">
        <v>10</v>
      </c>
      <c r="F366" s="22">
        <v>45179</v>
      </c>
      <c r="G366" s="33"/>
      <c r="H366" s="159" t="s">
        <v>4732</v>
      </c>
      <c r="I366" s="33"/>
      <c r="J366" s="33"/>
      <c r="K366" s="33" t="s">
        <v>5338</v>
      </c>
    </row>
    <row r="367" spans="1:11" s="39" customFormat="1" ht="11.25" customHeight="1" x14ac:dyDescent="0.35">
      <c r="A367" s="38" t="s">
        <v>26</v>
      </c>
      <c r="B367" s="39" t="s">
        <v>5763</v>
      </c>
      <c r="C367" s="106">
        <v>2546342</v>
      </c>
      <c r="D367" s="82" t="s">
        <v>5864</v>
      </c>
      <c r="E367" s="38">
        <v>1</v>
      </c>
      <c r="F367" s="26">
        <v>45179</v>
      </c>
      <c r="G367" s="38">
        <v>1</v>
      </c>
      <c r="H367" s="160">
        <v>45296</v>
      </c>
      <c r="I367" s="38" t="s">
        <v>5865</v>
      </c>
      <c r="J367" s="38"/>
      <c r="K367" s="38" t="s">
        <v>5365</v>
      </c>
    </row>
    <row r="368" spans="1:11" s="35" customFormat="1" ht="11.25" customHeight="1" x14ac:dyDescent="0.35">
      <c r="A368" s="33" t="s">
        <v>26</v>
      </c>
      <c r="B368" s="35" t="s">
        <v>5763</v>
      </c>
      <c r="C368" s="272">
        <v>2301052</v>
      </c>
      <c r="D368" s="31" t="s">
        <v>5358</v>
      </c>
      <c r="E368" s="33">
        <v>2</v>
      </c>
      <c r="F368" s="22">
        <v>45179</v>
      </c>
      <c r="G368" s="33"/>
      <c r="H368" s="159" t="s">
        <v>4732</v>
      </c>
      <c r="I368" s="33"/>
      <c r="J368" s="33"/>
      <c r="K368" s="33" t="s">
        <v>5338</v>
      </c>
    </row>
    <row r="369" spans="1:11" s="35" customFormat="1" ht="11.25" customHeight="1" x14ac:dyDescent="0.35">
      <c r="A369" s="33" t="s">
        <v>26</v>
      </c>
      <c r="B369" s="35" t="s">
        <v>5763</v>
      </c>
      <c r="C369" s="272">
        <v>2706864</v>
      </c>
      <c r="D369" s="31" t="s">
        <v>5866</v>
      </c>
      <c r="E369" s="33">
        <v>1</v>
      </c>
      <c r="F369" s="22">
        <v>45179</v>
      </c>
      <c r="G369" s="33"/>
      <c r="H369" s="159" t="s">
        <v>4732</v>
      </c>
      <c r="I369" s="33"/>
      <c r="J369" s="33"/>
      <c r="K369" s="33" t="s">
        <v>5338</v>
      </c>
    </row>
    <row r="370" spans="1:11" s="35" customFormat="1" ht="11.25" customHeight="1" x14ac:dyDescent="0.35">
      <c r="A370" s="33" t="s">
        <v>26</v>
      </c>
      <c r="B370" s="35" t="s">
        <v>5763</v>
      </c>
      <c r="C370" s="272">
        <v>2298856</v>
      </c>
      <c r="D370" s="31" t="s">
        <v>5867</v>
      </c>
      <c r="E370" s="33">
        <v>1</v>
      </c>
      <c r="F370" s="22">
        <v>45179</v>
      </c>
      <c r="G370" s="33"/>
      <c r="H370" s="159" t="s">
        <v>4732</v>
      </c>
      <c r="I370" s="33"/>
      <c r="J370" s="33"/>
      <c r="K370" s="33" t="s">
        <v>5338</v>
      </c>
    </row>
    <row r="371" spans="1:11" s="35" customFormat="1" ht="11.25" customHeight="1" x14ac:dyDescent="0.35">
      <c r="A371" s="33" t="s">
        <v>26</v>
      </c>
      <c r="B371" s="35" t="s">
        <v>5763</v>
      </c>
      <c r="C371" s="272">
        <v>1541292</v>
      </c>
      <c r="D371" s="31" t="s">
        <v>5868</v>
      </c>
      <c r="E371" s="33">
        <v>2</v>
      </c>
      <c r="F371" s="22">
        <v>45179</v>
      </c>
      <c r="G371" s="33"/>
      <c r="H371" s="159" t="s">
        <v>4732</v>
      </c>
      <c r="I371" s="33"/>
      <c r="J371" s="33"/>
      <c r="K371" s="33" t="s">
        <v>5338</v>
      </c>
    </row>
    <row r="372" spans="1:11" s="35" customFormat="1" ht="11.25" customHeight="1" x14ac:dyDescent="0.35">
      <c r="A372" s="33" t="s">
        <v>26</v>
      </c>
      <c r="B372" s="35" t="s">
        <v>5763</v>
      </c>
      <c r="C372" s="272">
        <v>2543081</v>
      </c>
      <c r="D372" s="31" t="s">
        <v>5869</v>
      </c>
      <c r="E372" s="33">
        <v>4</v>
      </c>
      <c r="F372" s="22">
        <v>45179</v>
      </c>
      <c r="G372" s="33"/>
      <c r="H372" s="159" t="s">
        <v>4732</v>
      </c>
      <c r="I372" s="33"/>
      <c r="J372" s="33"/>
      <c r="K372" s="33" t="s">
        <v>5338</v>
      </c>
    </row>
    <row r="373" spans="1:11" s="35" customFormat="1" ht="11.25" customHeight="1" x14ac:dyDescent="0.35">
      <c r="A373" s="33" t="s">
        <v>219</v>
      </c>
      <c r="B373" s="35" t="s">
        <v>4917</v>
      </c>
      <c r="C373" s="272">
        <v>886354000452</v>
      </c>
      <c r="D373" s="31" t="s">
        <v>5870</v>
      </c>
      <c r="E373" s="33">
        <v>4</v>
      </c>
      <c r="F373" s="22">
        <v>44601</v>
      </c>
      <c r="G373" s="33"/>
      <c r="H373" s="159" t="s">
        <v>4732</v>
      </c>
      <c r="I373" s="33"/>
      <c r="J373" s="33"/>
      <c r="K373" s="33" t="s">
        <v>5338</v>
      </c>
    </row>
    <row r="374" spans="1:11" s="35" customFormat="1" ht="11.25" customHeight="1" x14ac:dyDescent="0.35">
      <c r="A374" s="33" t="s">
        <v>219</v>
      </c>
      <c r="B374" s="35" t="s">
        <v>4917</v>
      </c>
      <c r="C374" s="272" t="s">
        <v>4732</v>
      </c>
      <c r="D374" s="31" t="s">
        <v>5871</v>
      </c>
      <c r="E374" s="33">
        <v>1</v>
      </c>
      <c r="F374" s="22">
        <v>44601</v>
      </c>
      <c r="G374" s="33"/>
      <c r="H374" s="159" t="s">
        <v>4732</v>
      </c>
      <c r="I374" s="33"/>
      <c r="J374" s="33"/>
      <c r="K374" s="33" t="s">
        <v>5338</v>
      </c>
    </row>
    <row r="375" spans="1:11" s="35" customFormat="1" ht="11.25" customHeight="1" x14ac:dyDescent="0.35">
      <c r="A375" s="33" t="s">
        <v>219</v>
      </c>
      <c r="B375" s="35" t="s">
        <v>4917</v>
      </c>
      <c r="C375" s="272">
        <v>886354000448</v>
      </c>
      <c r="D375" s="31" t="s">
        <v>5872</v>
      </c>
      <c r="E375" s="33">
        <v>24</v>
      </c>
      <c r="F375" s="22">
        <v>44601</v>
      </c>
      <c r="G375" s="33"/>
      <c r="H375" s="159" t="s">
        <v>4732</v>
      </c>
      <c r="I375" s="33"/>
      <c r="J375" s="33"/>
      <c r="K375" s="33" t="s">
        <v>5338</v>
      </c>
    </row>
    <row r="376" spans="1:11" s="35" customFormat="1" ht="11.25" customHeight="1" x14ac:dyDescent="0.35">
      <c r="A376" s="33" t="s">
        <v>219</v>
      </c>
      <c r="B376" s="35" t="s">
        <v>4917</v>
      </c>
      <c r="C376" s="272">
        <v>886354000451</v>
      </c>
      <c r="D376" s="31" t="s">
        <v>5873</v>
      </c>
      <c r="E376" s="33">
        <v>24</v>
      </c>
      <c r="F376" s="22">
        <v>44966</v>
      </c>
      <c r="G376" s="33"/>
      <c r="H376" s="159" t="s">
        <v>4732</v>
      </c>
      <c r="I376" s="33"/>
      <c r="J376" s="33"/>
      <c r="K376" s="33" t="s">
        <v>5338</v>
      </c>
    </row>
    <row r="377" spans="1:11" s="35" customFormat="1" ht="11.25" customHeight="1" x14ac:dyDescent="0.35">
      <c r="A377" s="33" t="s">
        <v>219</v>
      </c>
      <c r="B377" s="35" t="s">
        <v>4917</v>
      </c>
      <c r="C377" s="272">
        <v>217954200101</v>
      </c>
      <c r="D377" s="31" t="s">
        <v>5874</v>
      </c>
      <c r="E377" s="33">
        <v>1</v>
      </c>
      <c r="F377" s="22" t="s">
        <v>2557</v>
      </c>
      <c r="G377" s="33"/>
      <c r="H377" s="159" t="s">
        <v>4732</v>
      </c>
      <c r="I377" s="33"/>
      <c r="J377" s="33"/>
      <c r="K377" s="33" t="s">
        <v>5338</v>
      </c>
    </row>
    <row r="378" spans="1:11" s="35" customFormat="1" ht="11.25" customHeight="1" x14ac:dyDescent="0.35">
      <c r="A378" s="33" t="s">
        <v>219</v>
      </c>
      <c r="B378" s="35" t="s">
        <v>4917</v>
      </c>
      <c r="C378" s="272">
        <v>254714604215</v>
      </c>
      <c r="D378" s="31" t="s">
        <v>1426</v>
      </c>
      <c r="E378" s="33">
        <v>6</v>
      </c>
      <c r="F378" s="22" t="s">
        <v>2557</v>
      </c>
      <c r="G378" s="33"/>
      <c r="H378" s="159" t="s">
        <v>4732</v>
      </c>
      <c r="I378" s="33"/>
      <c r="J378" s="33"/>
      <c r="K378" s="33" t="s">
        <v>5338</v>
      </c>
    </row>
    <row r="379" spans="1:11" s="39" customFormat="1" ht="11.25" customHeight="1" x14ac:dyDescent="0.35">
      <c r="A379" s="38" t="s">
        <v>219</v>
      </c>
      <c r="B379" s="39" t="s">
        <v>4917</v>
      </c>
      <c r="C379" s="106">
        <v>550268900118</v>
      </c>
      <c r="D379" s="82" t="s">
        <v>5875</v>
      </c>
      <c r="E379" s="38">
        <v>2</v>
      </c>
      <c r="F379" s="26" t="s">
        <v>2557</v>
      </c>
      <c r="G379" s="38"/>
      <c r="H379" s="160" t="s">
        <v>5876</v>
      </c>
      <c r="I379" s="38" t="s">
        <v>5510</v>
      </c>
      <c r="J379" s="38"/>
      <c r="K379" s="38" t="s">
        <v>5365</v>
      </c>
    </row>
    <row r="380" spans="1:11" s="35" customFormat="1" ht="11.25" customHeight="1" x14ac:dyDescent="0.35">
      <c r="A380" s="33" t="s">
        <v>219</v>
      </c>
      <c r="B380" s="35" t="s">
        <v>4917</v>
      </c>
      <c r="C380" s="272">
        <v>265983300159</v>
      </c>
      <c r="D380" s="31" t="s">
        <v>5877</v>
      </c>
      <c r="E380" s="33">
        <v>1</v>
      </c>
      <c r="F380" s="22" t="s">
        <v>2557</v>
      </c>
      <c r="G380" s="33"/>
      <c r="H380" s="159" t="s">
        <v>4732</v>
      </c>
      <c r="I380" s="33"/>
      <c r="J380" s="33"/>
      <c r="K380" s="33" t="s">
        <v>5338</v>
      </c>
    </row>
    <row r="381" spans="1:11" s="35" customFormat="1" ht="11.25" customHeight="1" x14ac:dyDescent="0.35">
      <c r="A381" s="33" t="s">
        <v>219</v>
      </c>
      <c r="B381" s="35" t="s">
        <v>4917</v>
      </c>
      <c r="C381" s="272">
        <v>288043700179</v>
      </c>
      <c r="D381" s="31" t="s">
        <v>5878</v>
      </c>
      <c r="E381" s="33">
        <v>8</v>
      </c>
      <c r="F381" s="22" t="s">
        <v>2557</v>
      </c>
      <c r="G381" s="33"/>
      <c r="H381" s="159" t="s">
        <v>4732</v>
      </c>
      <c r="I381" s="33"/>
      <c r="J381" s="33"/>
      <c r="K381" s="33" t="s">
        <v>5338</v>
      </c>
    </row>
    <row r="382" spans="1:11" s="35" customFormat="1" ht="11.25" customHeight="1" x14ac:dyDescent="0.35">
      <c r="A382" s="33" t="s">
        <v>219</v>
      </c>
      <c r="B382" s="35" t="s">
        <v>4917</v>
      </c>
      <c r="C382" s="272">
        <v>284943700121</v>
      </c>
      <c r="D382" s="31" t="s">
        <v>5879</v>
      </c>
      <c r="E382" s="33">
        <v>4</v>
      </c>
      <c r="F382" s="22" t="s">
        <v>2557</v>
      </c>
      <c r="G382" s="33"/>
      <c r="H382" s="159" t="s">
        <v>4732</v>
      </c>
      <c r="I382" s="33"/>
      <c r="J382" s="33"/>
      <c r="K382" s="33" t="s">
        <v>5338</v>
      </c>
    </row>
    <row r="383" spans="1:11" s="35" customFormat="1" ht="11.25" customHeight="1" x14ac:dyDescent="0.35">
      <c r="A383" s="33" t="s">
        <v>219</v>
      </c>
      <c r="B383" s="35" t="s">
        <v>4917</v>
      </c>
      <c r="C383" s="272" t="s">
        <v>4732</v>
      </c>
      <c r="D383" s="31" t="s">
        <v>1297</v>
      </c>
      <c r="E383" s="33">
        <v>1</v>
      </c>
      <c r="F383" s="22" t="s">
        <v>2557</v>
      </c>
      <c r="G383" s="33"/>
      <c r="H383" s="159" t="s">
        <v>4732</v>
      </c>
      <c r="I383" s="33"/>
      <c r="J383" s="33"/>
      <c r="K383" s="33" t="s">
        <v>5338</v>
      </c>
    </row>
    <row r="384" spans="1:11" s="35" customFormat="1" ht="11.25" customHeight="1" x14ac:dyDescent="0.35">
      <c r="A384" s="33" t="s">
        <v>219</v>
      </c>
      <c r="B384" s="35" t="s">
        <v>4917</v>
      </c>
      <c r="C384" s="272">
        <v>26598908004</v>
      </c>
      <c r="D384" s="31" t="s">
        <v>5880</v>
      </c>
      <c r="E384" s="33">
        <v>4</v>
      </c>
      <c r="F384" s="22" t="s">
        <v>2557</v>
      </c>
      <c r="G384" s="33"/>
      <c r="H384" s="159" t="s">
        <v>4732</v>
      </c>
      <c r="I384" s="33"/>
      <c r="J384" s="33"/>
      <c r="K384" s="33" t="s">
        <v>5338</v>
      </c>
    </row>
    <row r="385" spans="1:11" s="35" customFormat="1" ht="11.25" customHeight="1" x14ac:dyDescent="0.35">
      <c r="A385" s="33" t="s">
        <v>219</v>
      </c>
      <c r="B385" s="35" t="s">
        <v>4917</v>
      </c>
      <c r="C385" s="272">
        <v>264354400129</v>
      </c>
      <c r="D385" s="31" t="s">
        <v>5881</v>
      </c>
      <c r="E385" s="33">
        <v>1</v>
      </c>
      <c r="F385" s="22" t="s">
        <v>2557</v>
      </c>
      <c r="G385" s="33"/>
      <c r="H385" s="159" t="s">
        <v>4732</v>
      </c>
      <c r="I385" s="33"/>
      <c r="J385" s="33"/>
      <c r="K385" s="33" t="s">
        <v>5338</v>
      </c>
    </row>
    <row r="386" spans="1:11" s="35" customFormat="1" ht="11.25" customHeight="1" x14ac:dyDescent="0.35">
      <c r="A386" s="33" t="s">
        <v>219</v>
      </c>
      <c r="B386" s="35" t="s">
        <v>4917</v>
      </c>
      <c r="C386" s="272">
        <v>265168916329</v>
      </c>
      <c r="D386" s="31" t="s">
        <v>5882</v>
      </c>
      <c r="E386" s="33">
        <v>1</v>
      </c>
      <c r="F386" s="22" t="s">
        <v>2557</v>
      </c>
      <c r="G386" s="33"/>
      <c r="H386" s="159" t="s">
        <v>4732</v>
      </c>
      <c r="I386" s="33"/>
      <c r="J386" s="33"/>
      <c r="K386" s="33" t="s">
        <v>5338</v>
      </c>
    </row>
    <row r="387" spans="1:11" s="35" customFormat="1" ht="11.25" customHeight="1" x14ac:dyDescent="0.35">
      <c r="A387" s="33" t="s">
        <v>219</v>
      </c>
      <c r="B387" s="35" t="s">
        <v>4917</v>
      </c>
      <c r="C387" s="272">
        <v>265168916328</v>
      </c>
      <c r="D387" s="31" t="s">
        <v>5883</v>
      </c>
      <c r="E387" s="33">
        <v>1</v>
      </c>
      <c r="F387" s="22" t="s">
        <v>2557</v>
      </c>
      <c r="G387" s="33"/>
      <c r="H387" s="159" t="s">
        <v>4732</v>
      </c>
      <c r="I387" s="33"/>
      <c r="J387" s="33"/>
      <c r="K387" s="33" t="s">
        <v>5338</v>
      </c>
    </row>
    <row r="388" spans="1:11" s="35" customFormat="1" ht="11.25" customHeight="1" x14ac:dyDescent="0.35">
      <c r="A388" s="33" t="s">
        <v>219</v>
      </c>
      <c r="B388" s="35" t="s">
        <v>4917</v>
      </c>
      <c r="C388" s="272">
        <v>550254200107</v>
      </c>
      <c r="D388" s="31" t="s">
        <v>4428</v>
      </c>
      <c r="E388" s="33">
        <v>3</v>
      </c>
      <c r="F388" s="22" t="s">
        <v>2557</v>
      </c>
      <c r="G388" s="33"/>
      <c r="H388" s="159" t="s">
        <v>4732</v>
      </c>
      <c r="I388" s="33"/>
      <c r="J388" s="33"/>
      <c r="K388" s="33" t="s">
        <v>5338</v>
      </c>
    </row>
    <row r="389" spans="1:11" s="35" customFormat="1" ht="11.25" customHeight="1" x14ac:dyDescent="0.35">
      <c r="A389" s="33" t="s">
        <v>219</v>
      </c>
      <c r="B389" s="35" t="s">
        <v>4917</v>
      </c>
      <c r="C389" s="272">
        <v>278950106904</v>
      </c>
      <c r="D389" s="31" t="s">
        <v>5884</v>
      </c>
      <c r="E389" s="33">
        <v>2</v>
      </c>
      <c r="F389" s="22" t="s">
        <v>2557</v>
      </c>
      <c r="G389" s="33"/>
      <c r="H389" s="159" t="s">
        <v>4732</v>
      </c>
      <c r="I389" s="33"/>
      <c r="J389" s="33"/>
      <c r="K389" s="33" t="s">
        <v>5338</v>
      </c>
    </row>
    <row r="390" spans="1:11" s="35" customFormat="1" ht="11.25" customHeight="1" x14ac:dyDescent="0.35">
      <c r="A390" s="33" t="s">
        <v>219</v>
      </c>
      <c r="B390" s="35" t="s">
        <v>4917</v>
      </c>
      <c r="C390" s="272">
        <v>252509120119</v>
      </c>
      <c r="D390" s="31" t="s">
        <v>634</v>
      </c>
      <c r="E390" s="33">
        <v>1</v>
      </c>
      <c r="F390" s="22" t="s">
        <v>2557</v>
      </c>
      <c r="G390" s="33"/>
      <c r="H390" s="159" t="s">
        <v>4732</v>
      </c>
      <c r="I390" s="33"/>
      <c r="J390" s="33"/>
      <c r="K390" s="33" t="s">
        <v>5338</v>
      </c>
    </row>
    <row r="391" spans="1:11" s="35" customFormat="1" ht="11.25" customHeight="1" x14ac:dyDescent="0.35">
      <c r="A391" s="33" t="s">
        <v>219</v>
      </c>
      <c r="B391" s="35" t="s">
        <v>4917</v>
      </c>
      <c r="C391" s="272">
        <v>264354400129</v>
      </c>
      <c r="D391" s="31" t="s">
        <v>5885</v>
      </c>
      <c r="E391" s="33">
        <v>1</v>
      </c>
      <c r="F391" s="22" t="s">
        <v>2557</v>
      </c>
      <c r="G391" s="33"/>
      <c r="H391" s="159" t="s">
        <v>4732</v>
      </c>
      <c r="I391" s="33"/>
      <c r="J391" s="33"/>
      <c r="K391" s="33" t="s">
        <v>5338</v>
      </c>
    </row>
    <row r="392" spans="1:11" s="35" customFormat="1" ht="11.25" customHeight="1" x14ac:dyDescent="0.35">
      <c r="A392" s="33" t="s">
        <v>219</v>
      </c>
      <c r="B392" s="35" t="s">
        <v>4917</v>
      </c>
      <c r="C392" s="272">
        <v>265754400105</v>
      </c>
      <c r="D392" s="31" t="s">
        <v>5886</v>
      </c>
      <c r="E392" s="33">
        <v>1</v>
      </c>
      <c r="F392" s="22" t="s">
        <v>2557</v>
      </c>
      <c r="G392" s="33"/>
      <c r="H392" s="159" t="s">
        <v>4732</v>
      </c>
      <c r="I392" s="33"/>
      <c r="J392" s="33"/>
      <c r="K392" s="33" t="s">
        <v>5338</v>
      </c>
    </row>
    <row r="393" spans="1:11" s="35" customFormat="1" ht="11.25" customHeight="1" x14ac:dyDescent="0.35">
      <c r="A393" s="33" t="s">
        <v>219</v>
      </c>
      <c r="B393" s="35" t="s">
        <v>4917</v>
      </c>
      <c r="C393" s="272">
        <v>252714603322</v>
      </c>
      <c r="D393" s="31" t="s">
        <v>5887</v>
      </c>
      <c r="E393" s="33">
        <v>2</v>
      </c>
      <c r="F393" s="22" t="s">
        <v>2557</v>
      </c>
      <c r="G393" s="33"/>
      <c r="H393" s="159" t="s">
        <v>4732</v>
      </c>
      <c r="I393" s="33"/>
      <c r="J393" s="33"/>
      <c r="K393" s="33" t="s">
        <v>5338</v>
      </c>
    </row>
    <row r="394" spans="1:11" s="35" customFormat="1" ht="11.25" customHeight="1" x14ac:dyDescent="0.35">
      <c r="A394" s="33" t="s">
        <v>219</v>
      </c>
      <c r="B394" s="35" t="s">
        <v>4917</v>
      </c>
      <c r="C394" s="272">
        <v>265142704301</v>
      </c>
      <c r="D394" s="31" t="s">
        <v>5888</v>
      </c>
      <c r="E394" s="33">
        <v>1</v>
      </c>
      <c r="F394" s="22" t="s">
        <v>2557</v>
      </c>
      <c r="G394" s="33"/>
      <c r="H394" s="159" t="s">
        <v>4732</v>
      </c>
      <c r="I394" s="33"/>
      <c r="J394" s="33"/>
      <c r="K394" s="33" t="s">
        <v>5338</v>
      </c>
    </row>
    <row r="395" spans="1:11" s="35" customFormat="1" ht="11.25" customHeight="1" x14ac:dyDescent="0.35">
      <c r="A395" s="33" t="s">
        <v>219</v>
      </c>
      <c r="B395" s="35" t="s">
        <v>4917</v>
      </c>
      <c r="C395" s="272">
        <v>264168900218</v>
      </c>
      <c r="D395" s="31" t="s">
        <v>5889</v>
      </c>
      <c r="E395" s="33">
        <v>2</v>
      </c>
      <c r="F395" s="22" t="s">
        <v>2557</v>
      </c>
      <c r="G395" s="33"/>
      <c r="H395" s="159" t="s">
        <v>4732</v>
      </c>
      <c r="I395" s="33"/>
      <c r="J395" s="33"/>
      <c r="K395" s="33" t="s">
        <v>5338</v>
      </c>
    </row>
    <row r="396" spans="1:11" s="35" customFormat="1" ht="11.25" customHeight="1" x14ac:dyDescent="0.35">
      <c r="A396" s="33" t="s">
        <v>219</v>
      </c>
      <c r="B396" s="35" t="s">
        <v>4917</v>
      </c>
      <c r="C396" s="272">
        <v>265483106322</v>
      </c>
      <c r="D396" s="31" t="s">
        <v>5820</v>
      </c>
      <c r="E396" s="33">
        <v>1</v>
      </c>
      <c r="F396" s="22" t="s">
        <v>2557</v>
      </c>
      <c r="G396" s="33"/>
      <c r="H396" s="159" t="s">
        <v>4732</v>
      </c>
      <c r="I396" s="33"/>
      <c r="J396" s="33"/>
      <c r="K396" s="33" t="s">
        <v>5338</v>
      </c>
    </row>
    <row r="397" spans="1:11" s="35" customFormat="1" ht="11.25" customHeight="1" x14ac:dyDescent="0.35">
      <c r="A397" s="33" t="s">
        <v>219</v>
      </c>
      <c r="B397" s="35" t="s">
        <v>4917</v>
      </c>
      <c r="C397" s="272">
        <v>11411406506</v>
      </c>
      <c r="D397" s="31" t="s">
        <v>5890</v>
      </c>
      <c r="E397" s="33">
        <v>6</v>
      </c>
      <c r="F397" s="22" t="s">
        <v>2557</v>
      </c>
      <c r="G397" s="33"/>
      <c r="H397" s="159" t="s">
        <v>4732</v>
      </c>
      <c r="I397" s="33"/>
      <c r="J397" s="33"/>
      <c r="K397" s="33" t="s">
        <v>5338</v>
      </c>
    </row>
    <row r="398" spans="1:11" s="35" customFormat="1" ht="11.25" customHeight="1" x14ac:dyDescent="0.35">
      <c r="A398" s="33" t="s">
        <v>219</v>
      </c>
      <c r="B398" s="35" t="s">
        <v>4917</v>
      </c>
      <c r="C398" s="272">
        <v>269881116394</v>
      </c>
      <c r="D398" s="31" t="s">
        <v>5891</v>
      </c>
      <c r="E398" s="33">
        <v>32</v>
      </c>
      <c r="F398" s="22" t="s">
        <v>2557</v>
      </c>
      <c r="G398" s="33"/>
      <c r="H398" s="159" t="s">
        <v>4732</v>
      </c>
      <c r="I398" s="33"/>
      <c r="J398" s="33"/>
      <c r="K398" s="33" t="s">
        <v>5338</v>
      </c>
    </row>
    <row r="399" spans="1:11" s="35" customFormat="1" ht="11.25" customHeight="1" x14ac:dyDescent="0.35">
      <c r="A399" s="33" t="s">
        <v>219</v>
      </c>
      <c r="B399" s="35" t="s">
        <v>4917</v>
      </c>
      <c r="C399" s="272">
        <v>254714604215</v>
      </c>
      <c r="D399" s="31" t="s">
        <v>1426</v>
      </c>
      <c r="E399" s="33">
        <v>4</v>
      </c>
      <c r="F399" s="22" t="s">
        <v>2557</v>
      </c>
      <c r="G399" s="33"/>
      <c r="H399" s="159" t="s">
        <v>4732</v>
      </c>
      <c r="I399" s="33"/>
      <c r="J399" s="33"/>
      <c r="K399" s="33" t="s">
        <v>5338</v>
      </c>
    </row>
    <row r="400" spans="1:11" s="35" customFormat="1" ht="11.25" customHeight="1" x14ac:dyDescent="0.35">
      <c r="A400" s="33" t="s">
        <v>219</v>
      </c>
      <c r="B400" s="35" t="s">
        <v>4917</v>
      </c>
      <c r="C400" s="272">
        <v>552754630159</v>
      </c>
      <c r="D400" s="31" t="s">
        <v>5892</v>
      </c>
      <c r="E400" s="33">
        <v>1</v>
      </c>
      <c r="F400" s="22" t="s">
        <v>2557</v>
      </c>
      <c r="G400" s="33"/>
      <c r="H400" s="159" t="s">
        <v>4732</v>
      </c>
      <c r="I400" s="33"/>
      <c r="J400" s="33"/>
      <c r="K400" s="33" t="s">
        <v>5338</v>
      </c>
    </row>
    <row r="401" spans="1:12" s="35" customFormat="1" ht="11.25" customHeight="1" x14ac:dyDescent="0.35">
      <c r="A401" s="33" t="s">
        <v>219</v>
      </c>
      <c r="B401" s="35" t="s">
        <v>4917</v>
      </c>
      <c r="C401" s="272">
        <v>267872300114</v>
      </c>
      <c r="D401" s="31" t="s">
        <v>5893</v>
      </c>
      <c r="E401" s="33">
        <v>16</v>
      </c>
      <c r="F401" s="22" t="s">
        <v>2557</v>
      </c>
      <c r="G401" s="33"/>
      <c r="H401" s="159" t="s">
        <v>4732</v>
      </c>
      <c r="I401" s="33"/>
      <c r="J401" s="33"/>
      <c r="K401" s="33" t="s">
        <v>5338</v>
      </c>
    </row>
    <row r="402" spans="1:12" s="35" customFormat="1" ht="11.25" customHeight="1" x14ac:dyDescent="0.35">
      <c r="A402" s="33" t="s">
        <v>219</v>
      </c>
      <c r="B402" s="35" t="s">
        <v>4917</v>
      </c>
      <c r="C402" s="272">
        <v>264254209901</v>
      </c>
      <c r="D402" s="31" t="s">
        <v>5894</v>
      </c>
      <c r="E402" s="33">
        <v>1</v>
      </c>
      <c r="F402" s="22" t="s">
        <v>2557</v>
      </c>
      <c r="G402" s="33"/>
      <c r="H402" s="159" t="s">
        <v>4732</v>
      </c>
      <c r="I402" s="33"/>
      <c r="J402" s="33"/>
      <c r="K402" s="33" t="s">
        <v>5338</v>
      </c>
    </row>
    <row r="403" spans="1:12" s="35" customFormat="1" ht="11.25" customHeight="1" x14ac:dyDescent="0.35">
      <c r="A403" s="33" t="s">
        <v>219</v>
      </c>
      <c r="B403" s="35" t="s">
        <v>4917</v>
      </c>
      <c r="C403" s="272">
        <v>3819100080</v>
      </c>
      <c r="D403" s="31" t="s">
        <v>5895</v>
      </c>
      <c r="E403" s="33">
        <v>144</v>
      </c>
      <c r="F403" s="22" t="s">
        <v>2557</v>
      </c>
      <c r="G403" s="33"/>
      <c r="H403" s="159" t="s">
        <v>4732</v>
      </c>
      <c r="I403" s="33"/>
      <c r="J403" s="33"/>
      <c r="K403" s="33" t="s">
        <v>5338</v>
      </c>
    </row>
    <row r="404" spans="1:12" s="39" customFormat="1" ht="11.25" customHeight="1" x14ac:dyDescent="0.35">
      <c r="A404" s="38" t="s">
        <v>219</v>
      </c>
      <c r="B404" s="39" t="s">
        <v>4917</v>
      </c>
      <c r="C404" s="106">
        <v>3781300420</v>
      </c>
      <c r="D404" s="82" t="s">
        <v>5896</v>
      </c>
      <c r="E404" s="38">
        <v>3</v>
      </c>
      <c r="F404" s="26" t="s">
        <v>2557</v>
      </c>
      <c r="G404" s="38">
        <v>3</v>
      </c>
      <c r="H404" s="160" t="s">
        <v>5897</v>
      </c>
      <c r="I404" s="38" t="s">
        <v>5898</v>
      </c>
      <c r="J404" s="38"/>
      <c r="K404" s="38" t="s">
        <v>5365</v>
      </c>
    </row>
    <row r="405" spans="1:12" s="35" customFormat="1" ht="11.25" customHeight="1" x14ac:dyDescent="0.35">
      <c r="A405" s="33" t="s">
        <v>26</v>
      </c>
      <c r="B405" s="35" t="s">
        <v>5763</v>
      </c>
      <c r="C405" s="272">
        <v>1367406</v>
      </c>
      <c r="D405" s="31" t="s">
        <v>5899</v>
      </c>
      <c r="E405" s="33">
        <v>6</v>
      </c>
      <c r="F405" s="22">
        <v>45147</v>
      </c>
      <c r="G405" s="33"/>
      <c r="H405" s="159"/>
      <c r="I405" s="33"/>
      <c r="J405" s="33"/>
      <c r="K405" s="33" t="s">
        <v>5338</v>
      </c>
    </row>
    <row r="406" spans="1:12" s="35" customFormat="1" ht="11.25" customHeight="1" x14ac:dyDescent="0.35">
      <c r="A406" s="33" t="s">
        <v>26</v>
      </c>
      <c r="B406" s="35" t="s">
        <v>5763</v>
      </c>
      <c r="C406" s="272">
        <v>486255</v>
      </c>
      <c r="D406" s="31" t="s">
        <v>1181</v>
      </c>
      <c r="E406" s="33">
        <v>12</v>
      </c>
      <c r="F406" s="22">
        <v>45147</v>
      </c>
      <c r="G406" s="33"/>
      <c r="H406" s="159"/>
      <c r="I406" s="33"/>
      <c r="J406" s="33"/>
      <c r="K406" s="33" t="s">
        <v>5338</v>
      </c>
    </row>
    <row r="407" spans="1:12" s="35" customFormat="1" ht="11.25" customHeight="1" x14ac:dyDescent="0.35">
      <c r="A407" s="33" t="s">
        <v>26</v>
      </c>
      <c r="B407" s="35" t="s">
        <v>5763</v>
      </c>
      <c r="C407" s="272">
        <v>1356958</v>
      </c>
      <c r="D407" s="31" t="s">
        <v>1181</v>
      </c>
      <c r="E407" s="33">
        <v>6</v>
      </c>
      <c r="F407" s="22">
        <v>45147</v>
      </c>
      <c r="G407" s="33"/>
      <c r="H407" s="159"/>
      <c r="I407" s="33"/>
      <c r="J407" s="33"/>
      <c r="K407" s="33" t="s">
        <v>5338</v>
      </c>
    </row>
    <row r="408" spans="1:12" s="35" customFormat="1" ht="11.25" customHeight="1" x14ac:dyDescent="0.35">
      <c r="A408" s="33" t="s">
        <v>26</v>
      </c>
      <c r="B408" s="35" t="s">
        <v>5763</v>
      </c>
      <c r="C408" s="272">
        <v>1475145</v>
      </c>
      <c r="D408" s="31" t="s">
        <v>5900</v>
      </c>
      <c r="E408" s="33">
        <v>6</v>
      </c>
      <c r="F408" s="22">
        <v>45147</v>
      </c>
      <c r="G408" s="33"/>
      <c r="H408" s="159"/>
      <c r="I408" s="33"/>
      <c r="J408" s="33"/>
      <c r="K408" s="33" t="s">
        <v>5338</v>
      </c>
    </row>
    <row r="409" spans="1:12" s="35" customFormat="1" ht="11.25" customHeight="1" x14ac:dyDescent="0.35">
      <c r="A409" s="33" t="s">
        <v>26</v>
      </c>
      <c r="B409" s="35" t="s">
        <v>5763</v>
      </c>
      <c r="C409" s="272">
        <v>1512683</v>
      </c>
      <c r="D409" s="31" t="s">
        <v>5901</v>
      </c>
      <c r="E409" s="33">
        <v>6</v>
      </c>
      <c r="F409" s="22">
        <v>45147</v>
      </c>
      <c r="G409" s="33"/>
      <c r="H409" s="159"/>
      <c r="I409" s="33"/>
      <c r="J409" s="33"/>
      <c r="K409" s="33" t="s">
        <v>5338</v>
      </c>
    </row>
    <row r="410" spans="1:12" s="35" customFormat="1" ht="11.25" customHeight="1" x14ac:dyDescent="0.35">
      <c r="A410" s="33" t="s">
        <v>26</v>
      </c>
      <c r="B410" s="35" t="s">
        <v>5763</v>
      </c>
      <c r="C410" s="272">
        <v>1847164</v>
      </c>
      <c r="D410" s="31" t="s">
        <v>5902</v>
      </c>
      <c r="E410" s="33">
        <v>1</v>
      </c>
      <c r="F410" s="22">
        <v>45147</v>
      </c>
      <c r="G410" s="33"/>
      <c r="H410" s="159"/>
      <c r="I410" s="33"/>
      <c r="J410" s="33"/>
      <c r="K410" s="33" t="s">
        <v>5338</v>
      </c>
    </row>
    <row r="411" spans="1:12" s="35" customFormat="1" ht="11.25" customHeight="1" x14ac:dyDescent="0.35">
      <c r="A411" s="33" t="s">
        <v>26</v>
      </c>
      <c r="B411" s="35" t="s">
        <v>5763</v>
      </c>
      <c r="C411" s="272">
        <v>1899302</v>
      </c>
      <c r="D411" s="31" t="s">
        <v>5828</v>
      </c>
      <c r="E411" s="33">
        <v>6</v>
      </c>
      <c r="F411" s="22">
        <v>45147</v>
      </c>
      <c r="G411" s="33"/>
      <c r="H411" s="159"/>
      <c r="I411" s="33"/>
      <c r="J411" s="33"/>
      <c r="K411" s="33" t="s">
        <v>5338</v>
      </c>
    </row>
    <row r="412" spans="1:12" s="44" customFormat="1" ht="11.25" customHeight="1" x14ac:dyDescent="0.35">
      <c r="A412" s="43" t="s">
        <v>26</v>
      </c>
      <c r="B412" s="44" t="s">
        <v>5763</v>
      </c>
      <c r="C412" s="275">
        <v>2075150</v>
      </c>
      <c r="D412" s="89" t="s">
        <v>1423</v>
      </c>
      <c r="E412" s="43">
        <v>9</v>
      </c>
      <c r="F412" s="30">
        <v>45147</v>
      </c>
      <c r="G412" s="43">
        <v>1</v>
      </c>
      <c r="H412" s="163">
        <v>45308</v>
      </c>
      <c r="I412" s="43" t="s">
        <v>5903</v>
      </c>
      <c r="J412" s="43"/>
      <c r="K412" s="43" t="s">
        <v>5511</v>
      </c>
      <c r="L412" s="46"/>
    </row>
    <row r="413" spans="1:12" s="35" customFormat="1" ht="11.25" customHeight="1" x14ac:dyDescent="0.35">
      <c r="A413" s="33" t="s">
        <v>26</v>
      </c>
      <c r="B413" s="35" t="s">
        <v>5763</v>
      </c>
      <c r="C413" s="272">
        <v>1511238</v>
      </c>
      <c r="D413" s="31" t="s">
        <v>5831</v>
      </c>
      <c r="E413" s="33">
        <v>6</v>
      </c>
      <c r="F413" s="22">
        <v>45147</v>
      </c>
      <c r="G413" s="33"/>
      <c r="H413" s="159" t="s">
        <v>4732</v>
      </c>
      <c r="I413" s="33"/>
      <c r="J413" s="33"/>
      <c r="K413" s="33" t="s">
        <v>5338</v>
      </c>
    </row>
    <row r="414" spans="1:12" s="39" customFormat="1" ht="11.25" customHeight="1" x14ac:dyDescent="0.35">
      <c r="A414" s="38" t="s">
        <v>4832</v>
      </c>
      <c r="B414" s="39" t="s">
        <v>5904</v>
      </c>
      <c r="C414" s="106" t="s">
        <v>4647</v>
      </c>
      <c r="D414" s="82" t="s">
        <v>5905</v>
      </c>
      <c r="E414" s="38">
        <v>1</v>
      </c>
      <c r="F414" s="26">
        <v>45019</v>
      </c>
      <c r="G414" s="38"/>
      <c r="H414" s="160">
        <v>45222</v>
      </c>
      <c r="I414" s="38" t="s">
        <v>5842</v>
      </c>
      <c r="J414" s="38"/>
      <c r="K414" s="38" t="s">
        <v>5365</v>
      </c>
    </row>
    <row r="415" spans="1:12" s="47" customFormat="1" ht="11.25" customHeight="1" x14ac:dyDescent="0.35">
      <c r="A415" s="47" t="s">
        <v>4832</v>
      </c>
      <c r="B415" s="34" t="s">
        <v>5904</v>
      </c>
      <c r="C415" s="274" t="s">
        <v>5906</v>
      </c>
      <c r="D415" s="81"/>
      <c r="E415" s="47">
        <v>5</v>
      </c>
      <c r="F415" s="48" t="s">
        <v>33</v>
      </c>
      <c r="H415" s="162"/>
      <c r="K415" s="47" t="s">
        <v>5338</v>
      </c>
      <c r="L415" s="34"/>
    </row>
    <row r="416" spans="1:12" ht="11.25" customHeight="1" x14ac:dyDescent="0.35">
      <c r="A416" s="47" t="s">
        <v>4832</v>
      </c>
      <c r="B416" s="35" t="s">
        <v>5904</v>
      </c>
      <c r="C416" s="272" t="s">
        <v>5907</v>
      </c>
      <c r="D416" s="31" t="s">
        <v>5908</v>
      </c>
      <c r="E416" s="33">
        <v>1</v>
      </c>
      <c r="F416" s="22">
        <v>44988</v>
      </c>
      <c r="G416" s="33"/>
      <c r="H416" s="159" t="s">
        <v>4732</v>
      </c>
      <c r="K416" s="33" t="s">
        <v>5338</v>
      </c>
    </row>
    <row r="417" spans="1:12" s="44" customFormat="1" ht="11.25" customHeight="1" x14ac:dyDescent="0.35">
      <c r="A417" s="47" t="s">
        <v>4832</v>
      </c>
      <c r="B417" s="44" t="s">
        <v>5904</v>
      </c>
      <c r="C417" s="277" t="s">
        <v>5909</v>
      </c>
      <c r="D417" s="89" t="s">
        <v>5910</v>
      </c>
      <c r="E417" s="43">
        <v>10</v>
      </c>
      <c r="F417" s="30">
        <v>44988</v>
      </c>
      <c r="G417" s="43"/>
      <c r="H417" s="163" t="s">
        <v>4732</v>
      </c>
      <c r="I417" s="43"/>
      <c r="J417" s="43"/>
      <c r="K417" s="43" t="s">
        <v>5511</v>
      </c>
      <c r="L417" s="49"/>
    </row>
    <row r="418" spans="1:12" ht="11.25" customHeight="1" x14ac:dyDescent="0.35">
      <c r="A418" s="47" t="s">
        <v>4832</v>
      </c>
      <c r="B418" s="35" t="s">
        <v>5904</v>
      </c>
      <c r="C418" s="272" t="s">
        <v>5911</v>
      </c>
      <c r="D418" s="31" t="s">
        <v>5912</v>
      </c>
      <c r="E418" s="33">
        <v>1</v>
      </c>
      <c r="F418" s="22">
        <v>44988</v>
      </c>
      <c r="G418" s="33"/>
      <c r="H418" s="159" t="s">
        <v>4732</v>
      </c>
      <c r="K418" s="33" t="s">
        <v>5338</v>
      </c>
    </row>
    <row r="419" spans="1:12" ht="11.25" customHeight="1" x14ac:dyDescent="0.35">
      <c r="A419" s="47" t="s">
        <v>4832</v>
      </c>
      <c r="B419" s="35" t="s">
        <v>5904</v>
      </c>
      <c r="C419" s="272" t="s">
        <v>5913</v>
      </c>
      <c r="D419" s="31" t="s">
        <v>5914</v>
      </c>
      <c r="E419" s="33">
        <v>166</v>
      </c>
      <c r="F419" s="22">
        <v>44988</v>
      </c>
      <c r="G419" s="33"/>
      <c r="H419" s="159" t="s">
        <v>4732</v>
      </c>
      <c r="K419" s="33" t="s">
        <v>5338</v>
      </c>
    </row>
    <row r="420" spans="1:12" ht="11.25" customHeight="1" x14ac:dyDescent="0.35">
      <c r="A420" s="47" t="s">
        <v>4832</v>
      </c>
      <c r="B420" s="35" t="s">
        <v>5904</v>
      </c>
      <c r="C420" s="272" t="s">
        <v>5915</v>
      </c>
      <c r="D420" s="31" t="s">
        <v>5916</v>
      </c>
      <c r="E420" s="33">
        <v>166</v>
      </c>
      <c r="F420" s="22">
        <v>44988</v>
      </c>
      <c r="G420" s="33"/>
      <c r="H420" s="159" t="s">
        <v>4732</v>
      </c>
      <c r="K420" s="33" t="s">
        <v>5338</v>
      </c>
    </row>
    <row r="421" spans="1:12" s="35" customFormat="1" ht="11.25" customHeight="1" x14ac:dyDescent="0.35">
      <c r="A421" s="34" t="s">
        <v>4832</v>
      </c>
      <c r="B421" s="35" t="s">
        <v>5904</v>
      </c>
      <c r="C421" s="278" t="s">
        <v>5917</v>
      </c>
      <c r="D421" s="32" t="s">
        <v>5918</v>
      </c>
      <c r="E421" s="33">
        <v>1</v>
      </c>
      <c r="F421" s="22">
        <v>44988</v>
      </c>
      <c r="H421" s="159"/>
    </row>
    <row r="422" spans="1:12" ht="11.25" customHeight="1" x14ac:dyDescent="0.35">
      <c r="A422" s="47" t="s">
        <v>4832</v>
      </c>
      <c r="B422" s="35" t="s">
        <v>5904</v>
      </c>
      <c r="C422" s="272" t="s">
        <v>5919</v>
      </c>
      <c r="D422" s="31" t="s">
        <v>4732</v>
      </c>
      <c r="E422" s="33">
        <v>10</v>
      </c>
      <c r="F422" s="22">
        <v>44988</v>
      </c>
      <c r="G422" s="33"/>
      <c r="H422" s="159" t="s">
        <v>4732</v>
      </c>
      <c r="K422" s="33" t="s">
        <v>5338</v>
      </c>
    </row>
    <row r="423" spans="1:12" ht="11.25" customHeight="1" x14ac:dyDescent="0.35">
      <c r="A423" s="47" t="s">
        <v>4832</v>
      </c>
      <c r="B423" s="35" t="s">
        <v>5904</v>
      </c>
      <c r="C423" s="272" t="s">
        <v>4732</v>
      </c>
      <c r="D423" s="31" t="s">
        <v>5920</v>
      </c>
      <c r="E423" s="33">
        <v>1</v>
      </c>
      <c r="F423" s="22">
        <v>44988</v>
      </c>
      <c r="G423" s="33"/>
      <c r="H423" s="159" t="s">
        <v>4732</v>
      </c>
      <c r="K423" s="33" t="s">
        <v>5338</v>
      </c>
    </row>
    <row r="424" spans="1:12" ht="11.25" customHeight="1" x14ac:dyDescent="0.35">
      <c r="A424" s="47" t="s">
        <v>4832</v>
      </c>
      <c r="B424" s="35" t="s">
        <v>5904</v>
      </c>
      <c r="C424" s="272" t="s">
        <v>5921</v>
      </c>
      <c r="D424" s="31" t="s">
        <v>5922</v>
      </c>
      <c r="E424" s="33">
        <v>1</v>
      </c>
      <c r="F424" s="22">
        <v>44988</v>
      </c>
      <c r="G424" s="33"/>
      <c r="H424" s="159" t="s">
        <v>4732</v>
      </c>
      <c r="K424" s="33" t="s">
        <v>5338</v>
      </c>
    </row>
    <row r="425" spans="1:12" s="39" customFormat="1" ht="11.25" customHeight="1" x14ac:dyDescent="0.35">
      <c r="A425" s="47" t="s">
        <v>4832</v>
      </c>
      <c r="B425" s="39" t="s">
        <v>5904</v>
      </c>
      <c r="C425" s="106" t="s">
        <v>5923</v>
      </c>
      <c r="D425" s="82" t="s">
        <v>5924</v>
      </c>
      <c r="E425" s="38">
        <v>1</v>
      </c>
      <c r="F425" s="26">
        <v>44988</v>
      </c>
      <c r="G425" s="38">
        <v>1</v>
      </c>
      <c r="H425" s="160" t="s">
        <v>5925</v>
      </c>
      <c r="I425" s="38" t="s">
        <v>5926</v>
      </c>
      <c r="J425" s="38"/>
      <c r="K425" s="38" t="s">
        <v>5365</v>
      </c>
    </row>
    <row r="426" spans="1:12" ht="11.25" customHeight="1" x14ac:dyDescent="0.35">
      <c r="A426" s="47" t="s">
        <v>4832</v>
      </c>
      <c r="B426" s="35" t="s">
        <v>5904</v>
      </c>
      <c r="C426" s="272" t="s">
        <v>4267</v>
      </c>
      <c r="D426" s="31" t="s">
        <v>161</v>
      </c>
      <c r="E426" s="33">
        <v>40</v>
      </c>
      <c r="F426" s="22">
        <v>44988</v>
      </c>
      <c r="G426" s="33"/>
      <c r="H426" s="159" t="s">
        <v>4732</v>
      </c>
      <c r="K426" s="33" t="s">
        <v>5338</v>
      </c>
    </row>
    <row r="427" spans="1:12" ht="11.25" customHeight="1" x14ac:dyDescent="0.35">
      <c r="A427" s="47" t="s">
        <v>4832</v>
      </c>
      <c r="B427" s="35" t="s">
        <v>5904</v>
      </c>
      <c r="C427" s="272" t="s">
        <v>5927</v>
      </c>
      <c r="D427" s="31" t="s">
        <v>4732</v>
      </c>
      <c r="E427" s="33">
        <v>1</v>
      </c>
      <c r="F427" s="22">
        <v>44988</v>
      </c>
      <c r="G427" s="33"/>
      <c r="H427" s="159" t="s">
        <v>4732</v>
      </c>
      <c r="K427" s="33" t="s">
        <v>5338</v>
      </c>
    </row>
    <row r="428" spans="1:12" ht="11.25" customHeight="1" x14ac:dyDescent="0.35">
      <c r="A428" s="47" t="s">
        <v>4832</v>
      </c>
      <c r="B428" s="35" t="s">
        <v>5904</v>
      </c>
      <c r="C428" s="272" t="s">
        <v>5928</v>
      </c>
      <c r="D428" s="31" t="s">
        <v>5929</v>
      </c>
      <c r="E428" s="33">
        <v>1</v>
      </c>
      <c r="F428" s="22">
        <v>44988</v>
      </c>
      <c r="G428" s="33"/>
      <c r="H428" s="159" t="s">
        <v>4732</v>
      </c>
      <c r="K428" s="33" t="s">
        <v>5338</v>
      </c>
    </row>
    <row r="429" spans="1:12" ht="11.25" customHeight="1" x14ac:dyDescent="0.35">
      <c r="A429" s="47" t="s">
        <v>4832</v>
      </c>
      <c r="B429" s="35" t="s">
        <v>5904</v>
      </c>
      <c r="C429" s="272" t="s">
        <v>5930</v>
      </c>
      <c r="D429" s="31" t="s">
        <v>4732</v>
      </c>
      <c r="E429" s="33">
        <v>1</v>
      </c>
      <c r="F429" s="22">
        <v>44988</v>
      </c>
      <c r="G429" s="33"/>
      <c r="H429" s="159" t="s">
        <v>4732</v>
      </c>
      <c r="K429" s="33" t="s">
        <v>5338</v>
      </c>
    </row>
    <row r="430" spans="1:12" s="39" customFormat="1" ht="11.25" customHeight="1" x14ac:dyDescent="0.35">
      <c r="A430" s="38" t="s">
        <v>4832</v>
      </c>
      <c r="B430" s="39" t="s">
        <v>5904</v>
      </c>
      <c r="C430" s="106" t="s">
        <v>118</v>
      </c>
      <c r="D430" s="82" t="s">
        <v>4732</v>
      </c>
      <c r="E430" s="38">
        <v>1</v>
      </c>
      <c r="F430" s="26">
        <v>44988</v>
      </c>
      <c r="G430" s="38">
        <v>1</v>
      </c>
      <c r="H430" s="160" t="s">
        <v>5800</v>
      </c>
      <c r="I430" s="38"/>
      <c r="J430" s="38"/>
      <c r="K430" s="38" t="s">
        <v>5365</v>
      </c>
    </row>
    <row r="431" spans="1:12" ht="11.25" customHeight="1" x14ac:dyDescent="0.35">
      <c r="A431" s="47" t="s">
        <v>4832</v>
      </c>
      <c r="B431" s="35" t="s">
        <v>5904</v>
      </c>
      <c r="C431" s="272" t="s">
        <v>5931</v>
      </c>
      <c r="D431" s="31" t="s">
        <v>4732</v>
      </c>
      <c r="E431" s="33">
        <v>3</v>
      </c>
      <c r="F431" s="22">
        <v>44988</v>
      </c>
      <c r="G431" s="33"/>
      <c r="H431" s="159" t="s">
        <v>4732</v>
      </c>
      <c r="K431" s="33" t="s">
        <v>5338</v>
      </c>
    </row>
    <row r="432" spans="1:12" ht="11.25" customHeight="1" x14ac:dyDescent="0.35">
      <c r="A432" s="47" t="s">
        <v>4832</v>
      </c>
      <c r="B432" s="35" t="s">
        <v>5904</v>
      </c>
      <c r="C432" s="272" t="s">
        <v>5932</v>
      </c>
      <c r="D432" s="31" t="s">
        <v>5933</v>
      </c>
      <c r="E432" s="33">
        <v>1</v>
      </c>
      <c r="F432" s="22">
        <v>44988</v>
      </c>
      <c r="G432" s="33"/>
      <c r="H432" s="159" t="s">
        <v>4732</v>
      </c>
      <c r="K432" s="33" t="s">
        <v>5338</v>
      </c>
    </row>
    <row r="433" spans="1:11" ht="11.25" customHeight="1" x14ac:dyDescent="0.35">
      <c r="A433" s="47" t="s">
        <v>4832</v>
      </c>
      <c r="B433" s="35" t="s">
        <v>5904</v>
      </c>
      <c r="C433" s="272" t="s">
        <v>5934</v>
      </c>
      <c r="D433" s="31" t="s">
        <v>1227</v>
      </c>
      <c r="E433" s="33">
        <v>1</v>
      </c>
      <c r="F433" s="22">
        <v>44988</v>
      </c>
      <c r="G433" s="33"/>
      <c r="H433" s="159" t="s">
        <v>4732</v>
      </c>
      <c r="K433" s="33" t="s">
        <v>5338</v>
      </c>
    </row>
    <row r="434" spans="1:11" ht="11.25" customHeight="1" x14ac:dyDescent="0.35">
      <c r="A434" s="47" t="s">
        <v>4832</v>
      </c>
      <c r="B434" s="35" t="s">
        <v>5904</v>
      </c>
      <c r="C434" s="272" t="s">
        <v>5935</v>
      </c>
      <c r="D434" s="31" t="s">
        <v>4732</v>
      </c>
      <c r="E434" s="33">
        <v>2</v>
      </c>
      <c r="F434" s="22">
        <v>44988</v>
      </c>
      <c r="G434" s="33"/>
      <c r="H434" s="159" t="s">
        <v>4732</v>
      </c>
      <c r="K434" s="33" t="s">
        <v>5338</v>
      </c>
    </row>
    <row r="435" spans="1:11" ht="11.25" customHeight="1" x14ac:dyDescent="0.35">
      <c r="A435" s="47" t="s">
        <v>4832</v>
      </c>
      <c r="B435" s="35" t="s">
        <v>5904</v>
      </c>
      <c r="C435" s="272" t="s">
        <v>5936</v>
      </c>
      <c r="D435" s="31" t="s">
        <v>4732</v>
      </c>
      <c r="E435" s="33">
        <v>1</v>
      </c>
      <c r="F435" s="22">
        <v>44988</v>
      </c>
      <c r="G435" s="33"/>
      <c r="H435" s="159" t="s">
        <v>4732</v>
      </c>
      <c r="K435" s="33" t="s">
        <v>5338</v>
      </c>
    </row>
    <row r="436" spans="1:11" ht="11.25" customHeight="1" x14ac:dyDescent="0.35">
      <c r="A436" s="47" t="s">
        <v>4832</v>
      </c>
      <c r="B436" s="35" t="s">
        <v>5904</v>
      </c>
      <c r="C436" s="272" t="s">
        <v>5937</v>
      </c>
      <c r="D436" s="31" t="s">
        <v>5938</v>
      </c>
      <c r="E436" s="33">
        <v>5</v>
      </c>
      <c r="F436" s="22">
        <v>44988</v>
      </c>
      <c r="G436" s="33"/>
      <c r="H436" s="159" t="s">
        <v>4732</v>
      </c>
      <c r="K436" s="33" t="s">
        <v>5338</v>
      </c>
    </row>
    <row r="437" spans="1:11" ht="11.25" customHeight="1" x14ac:dyDescent="0.35">
      <c r="A437" s="47" t="s">
        <v>4832</v>
      </c>
      <c r="B437" s="35" t="s">
        <v>5904</v>
      </c>
      <c r="C437" s="272" t="s">
        <v>5935</v>
      </c>
      <c r="D437" s="31" t="s">
        <v>5939</v>
      </c>
      <c r="E437" s="33">
        <v>4</v>
      </c>
      <c r="F437" s="22">
        <v>44988</v>
      </c>
      <c r="G437" s="33"/>
      <c r="H437" s="159" t="s">
        <v>4732</v>
      </c>
      <c r="K437" s="33" t="s">
        <v>5338</v>
      </c>
    </row>
    <row r="438" spans="1:11" s="39" customFormat="1" ht="11.25" customHeight="1" x14ac:dyDescent="0.35">
      <c r="A438" s="38" t="s">
        <v>4832</v>
      </c>
      <c r="B438" s="39" t="s">
        <v>5904</v>
      </c>
      <c r="C438" s="106" t="s">
        <v>5940</v>
      </c>
      <c r="D438" s="82" t="s">
        <v>4732</v>
      </c>
      <c r="E438" s="38">
        <v>5</v>
      </c>
      <c r="F438" s="26">
        <v>44988</v>
      </c>
      <c r="G438" s="38">
        <v>5</v>
      </c>
      <c r="H438" s="160" t="s">
        <v>5925</v>
      </c>
      <c r="I438" s="38" t="s">
        <v>5941</v>
      </c>
      <c r="J438" s="38"/>
      <c r="K438" s="38" t="s">
        <v>5365</v>
      </c>
    </row>
    <row r="439" spans="1:11" ht="11.25" customHeight="1" x14ac:dyDescent="0.35">
      <c r="A439" s="47" t="s">
        <v>4832</v>
      </c>
      <c r="B439" s="35" t="s">
        <v>5904</v>
      </c>
      <c r="C439" s="272" t="s">
        <v>5942</v>
      </c>
      <c r="D439" s="31" t="s">
        <v>4732</v>
      </c>
      <c r="E439" s="33">
        <v>5</v>
      </c>
      <c r="F439" s="22">
        <v>44988</v>
      </c>
      <c r="G439" s="33"/>
      <c r="H439" s="159" t="s">
        <v>4732</v>
      </c>
      <c r="K439" s="33" t="s">
        <v>5338</v>
      </c>
    </row>
    <row r="440" spans="1:11" ht="11.25" customHeight="1" x14ac:dyDescent="0.35">
      <c r="A440" s="47" t="s">
        <v>4832</v>
      </c>
      <c r="B440" s="35" t="s">
        <v>5904</v>
      </c>
      <c r="C440" s="272" t="s">
        <v>5943</v>
      </c>
      <c r="D440" s="31" t="s">
        <v>4732</v>
      </c>
      <c r="E440" s="33">
        <v>40</v>
      </c>
      <c r="F440" s="22">
        <v>44988</v>
      </c>
      <c r="G440" s="33"/>
      <c r="H440" s="159" t="s">
        <v>4732</v>
      </c>
      <c r="K440" s="33" t="s">
        <v>5338</v>
      </c>
    </row>
    <row r="441" spans="1:11" ht="11.25" customHeight="1" x14ac:dyDescent="0.35">
      <c r="A441" s="47" t="s">
        <v>4832</v>
      </c>
      <c r="B441" s="35" t="s">
        <v>5904</v>
      </c>
      <c r="C441" s="272" t="s">
        <v>5944</v>
      </c>
      <c r="D441" s="31" t="s">
        <v>4732</v>
      </c>
      <c r="E441" s="33">
        <v>40</v>
      </c>
      <c r="F441" s="22">
        <v>44988</v>
      </c>
      <c r="G441" s="33"/>
      <c r="H441" s="159" t="s">
        <v>4732</v>
      </c>
      <c r="K441" s="33" t="s">
        <v>5338</v>
      </c>
    </row>
    <row r="442" spans="1:11" ht="11.25" customHeight="1" x14ac:dyDescent="0.35">
      <c r="A442" s="47" t="s">
        <v>4832</v>
      </c>
      <c r="B442" s="35" t="s">
        <v>5904</v>
      </c>
      <c r="C442" s="272" t="s">
        <v>5945</v>
      </c>
      <c r="D442" s="31" t="s">
        <v>4732</v>
      </c>
      <c r="E442" s="33">
        <v>8</v>
      </c>
      <c r="F442" s="22">
        <v>44988</v>
      </c>
      <c r="G442" s="33"/>
      <c r="K442" s="33" t="s">
        <v>5338</v>
      </c>
    </row>
    <row r="443" spans="1:11" ht="11.25" customHeight="1" x14ac:dyDescent="0.35">
      <c r="A443" s="47" t="s">
        <v>4832</v>
      </c>
      <c r="B443" s="35" t="s">
        <v>5904</v>
      </c>
      <c r="C443" s="272" t="s">
        <v>5946</v>
      </c>
      <c r="D443" s="31" t="s">
        <v>4732</v>
      </c>
      <c r="E443" s="33">
        <v>10</v>
      </c>
      <c r="F443" s="22">
        <v>44988</v>
      </c>
      <c r="G443" s="33"/>
      <c r="H443" s="159" t="s">
        <v>4732</v>
      </c>
      <c r="K443" s="33" t="s">
        <v>5338</v>
      </c>
    </row>
    <row r="444" spans="1:11" ht="11.25" customHeight="1" x14ac:dyDescent="0.35">
      <c r="A444" s="47" t="s">
        <v>4832</v>
      </c>
      <c r="B444" s="35" t="s">
        <v>5904</v>
      </c>
      <c r="C444" s="272" t="s">
        <v>5928</v>
      </c>
      <c r="D444" s="31" t="s">
        <v>4732</v>
      </c>
      <c r="E444" s="33">
        <v>30</v>
      </c>
      <c r="F444" s="22">
        <v>44988</v>
      </c>
      <c r="G444" s="33"/>
      <c r="H444" s="159" t="s">
        <v>4732</v>
      </c>
      <c r="K444" s="33" t="s">
        <v>5338</v>
      </c>
    </row>
    <row r="445" spans="1:11" ht="11.25" customHeight="1" x14ac:dyDescent="0.35">
      <c r="A445" s="47" t="s">
        <v>4832</v>
      </c>
      <c r="B445" s="35" t="s">
        <v>5904</v>
      </c>
      <c r="C445" s="272" t="s">
        <v>5947</v>
      </c>
      <c r="D445" s="31" t="s">
        <v>4732</v>
      </c>
      <c r="E445" s="33">
        <v>30</v>
      </c>
      <c r="F445" s="22">
        <v>44988</v>
      </c>
      <c r="G445" s="33"/>
      <c r="H445" s="159" t="s">
        <v>4732</v>
      </c>
      <c r="K445" s="33" t="s">
        <v>5338</v>
      </c>
    </row>
    <row r="446" spans="1:11" ht="11.25" customHeight="1" x14ac:dyDescent="0.35">
      <c r="A446" s="47" t="s">
        <v>4832</v>
      </c>
      <c r="B446" s="35" t="s">
        <v>5904</v>
      </c>
      <c r="C446" s="272" t="s">
        <v>5948</v>
      </c>
      <c r="D446" s="31" t="s">
        <v>5699</v>
      </c>
      <c r="E446" s="33">
        <v>10</v>
      </c>
      <c r="F446" s="22">
        <v>44988</v>
      </c>
      <c r="G446" s="33"/>
      <c r="H446" s="159" t="s">
        <v>4732</v>
      </c>
      <c r="K446" s="33" t="s">
        <v>5338</v>
      </c>
    </row>
    <row r="447" spans="1:11" ht="11.25" customHeight="1" x14ac:dyDescent="0.35">
      <c r="A447" s="47" t="s">
        <v>4832</v>
      </c>
      <c r="B447" s="35" t="s">
        <v>5904</v>
      </c>
      <c r="C447" s="272" t="s">
        <v>5949</v>
      </c>
      <c r="D447" s="31" t="s">
        <v>5933</v>
      </c>
      <c r="E447" s="33">
        <v>100</v>
      </c>
      <c r="F447" s="22">
        <v>44988</v>
      </c>
      <c r="G447" s="33"/>
      <c r="H447" s="159" t="s">
        <v>4732</v>
      </c>
      <c r="K447" s="33" t="s">
        <v>5338</v>
      </c>
    </row>
    <row r="448" spans="1:11" ht="11.25" customHeight="1" x14ac:dyDescent="0.35">
      <c r="A448" s="47" t="s">
        <v>4832</v>
      </c>
      <c r="B448" s="35" t="s">
        <v>5904</v>
      </c>
      <c r="C448" s="272" t="s">
        <v>5950</v>
      </c>
      <c r="D448" s="31" t="s">
        <v>5060</v>
      </c>
      <c r="E448" s="33">
        <v>100</v>
      </c>
      <c r="F448" s="22">
        <v>44988</v>
      </c>
      <c r="G448" s="33"/>
      <c r="H448" s="159" t="s">
        <v>4732</v>
      </c>
      <c r="K448" s="33" t="s">
        <v>5338</v>
      </c>
    </row>
    <row r="449" spans="1:22" ht="11.25" customHeight="1" x14ac:dyDescent="0.35">
      <c r="A449" s="47" t="s">
        <v>4832</v>
      </c>
      <c r="B449" s="35" t="s">
        <v>5904</v>
      </c>
      <c r="C449" s="272" t="s">
        <v>4647</v>
      </c>
      <c r="D449" s="31" t="s">
        <v>5905</v>
      </c>
      <c r="E449" s="33">
        <v>1</v>
      </c>
      <c r="F449" s="22">
        <v>44988</v>
      </c>
      <c r="G449" s="33"/>
      <c r="H449" s="159" t="s">
        <v>4732</v>
      </c>
      <c r="K449" s="33" t="s">
        <v>5338</v>
      </c>
      <c r="L449" s="34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spans="1:22" ht="11.25" customHeight="1" x14ac:dyDescent="0.35">
      <c r="A450" s="47" t="s">
        <v>4832</v>
      </c>
      <c r="B450" s="35" t="s">
        <v>5904</v>
      </c>
      <c r="C450" s="272" t="s">
        <v>5907</v>
      </c>
      <c r="D450" s="31" t="s">
        <v>5908</v>
      </c>
      <c r="E450" s="33">
        <v>1</v>
      </c>
      <c r="F450" s="22">
        <v>44988</v>
      </c>
      <c r="G450" s="33"/>
      <c r="H450" s="159" t="s">
        <v>4732</v>
      </c>
      <c r="K450" s="33" t="s">
        <v>5338</v>
      </c>
      <c r="L450" s="34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spans="1:22" ht="11.25" customHeight="1" x14ac:dyDescent="0.35">
      <c r="A451" s="47" t="s">
        <v>4832</v>
      </c>
      <c r="B451" s="35" t="s">
        <v>5904</v>
      </c>
      <c r="C451" s="272" t="s">
        <v>5951</v>
      </c>
      <c r="D451" s="31" t="s">
        <v>5910</v>
      </c>
      <c r="E451" s="33">
        <v>10</v>
      </c>
      <c r="F451" s="22">
        <v>44988</v>
      </c>
      <c r="G451" s="33"/>
      <c r="H451" s="159" t="s">
        <v>4732</v>
      </c>
      <c r="K451" s="33" t="s">
        <v>5338</v>
      </c>
      <c r="L451" s="34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spans="1:22" ht="11.25" customHeight="1" x14ac:dyDescent="0.35">
      <c r="A452" s="47" t="s">
        <v>4832</v>
      </c>
      <c r="B452" s="35" t="s">
        <v>5904</v>
      </c>
      <c r="C452" s="272" t="s">
        <v>5911</v>
      </c>
      <c r="D452" s="31" t="s">
        <v>5912</v>
      </c>
      <c r="E452" s="33">
        <v>1</v>
      </c>
      <c r="F452" s="22">
        <v>44988</v>
      </c>
      <c r="G452" s="33"/>
      <c r="H452" s="159" t="s">
        <v>4732</v>
      </c>
      <c r="K452" s="33" t="s">
        <v>5338</v>
      </c>
      <c r="L452" s="34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spans="1:22" ht="11.25" customHeight="1" x14ac:dyDescent="0.35">
      <c r="A453" s="47" t="s">
        <v>4832</v>
      </c>
      <c r="B453" s="35" t="s">
        <v>5904</v>
      </c>
      <c r="C453" s="272" t="s">
        <v>5913</v>
      </c>
      <c r="D453" s="31" t="s">
        <v>5914</v>
      </c>
      <c r="E453" s="33">
        <v>166</v>
      </c>
      <c r="F453" s="22">
        <v>44988</v>
      </c>
      <c r="G453" s="33"/>
      <c r="H453" s="159" t="s">
        <v>4732</v>
      </c>
      <c r="K453" s="33" t="s">
        <v>5338</v>
      </c>
      <c r="L453" s="34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spans="1:22" ht="11.25" customHeight="1" x14ac:dyDescent="0.35">
      <c r="A454" s="47" t="s">
        <v>4832</v>
      </c>
      <c r="B454" s="35" t="s">
        <v>5904</v>
      </c>
      <c r="C454" s="272" t="s">
        <v>5915</v>
      </c>
      <c r="D454" s="31" t="s">
        <v>5916</v>
      </c>
      <c r="E454" s="33">
        <v>166</v>
      </c>
      <c r="F454" s="22">
        <v>44988</v>
      </c>
      <c r="G454" s="33"/>
      <c r="H454" s="159" t="s">
        <v>4732</v>
      </c>
      <c r="K454" s="33" t="s">
        <v>5338</v>
      </c>
      <c r="L454" s="34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spans="1:22" ht="11.25" customHeight="1" x14ac:dyDescent="0.35">
      <c r="A455" s="47" t="s">
        <v>4832</v>
      </c>
      <c r="B455" s="35" t="s">
        <v>5904</v>
      </c>
      <c r="C455" s="272" t="s">
        <v>5919</v>
      </c>
      <c r="D455" s="31" t="s">
        <v>4732</v>
      </c>
      <c r="E455" s="33">
        <v>10</v>
      </c>
      <c r="F455" s="22">
        <v>44988</v>
      </c>
      <c r="G455" s="33"/>
      <c r="H455" s="159" t="s">
        <v>4732</v>
      </c>
      <c r="K455" s="33" t="s">
        <v>5338</v>
      </c>
      <c r="L455" s="34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spans="1:22" ht="11.25" customHeight="1" x14ac:dyDescent="0.35">
      <c r="A456" s="47" t="s">
        <v>4832</v>
      </c>
      <c r="B456" s="35" t="s">
        <v>5904</v>
      </c>
      <c r="C456" s="272" t="s">
        <v>4732</v>
      </c>
      <c r="D456" s="31" t="s">
        <v>5920</v>
      </c>
      <c r="E456" s="33">
        <v>1</v>
      </c>
      <c r="F456" s="22">
        <v>44988</v>
      </c>
      <c r="G456" s="33"/>
      <c r="H456" s="159" t="s">
        <v>4732</v>
      </c>
      <c r="K456" s="33" t="s">
        <v>5338</v>
      </c>
      <c r="L456" s="34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spans="1:22" ht="11.25" customHeight="1" x14ac:dyDescent="0.35">
      <c r="A457" s="47" t="s">
        <v>4832</v>
      </c>
      <c r="B457" s="35" t="s">
        <v>5904</v>
      </c>
      <c r="C457" s="272" t="s">
        <v>5921</v>
      </c>
      <c r="D457" s="31" t="s">
        <v>5922</v>
      </c>
      <c r="E457" s="33">
        <v>1</v>
      </c>
      <c r="F457" s="22">
        <v>44988</v>
      </c>
      <c r="G457" s="33"/>
      <c r="H457" s="159" t="s">
        <v>4732</v>
      </c>
      <c r="K457" s="33" t="s">
        <v>5338</v>
      </c>
      <c r="L457" s="34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spans="1:22" ht="11.25" customHeight="1" x14ac:dyDescent="0.35">
      <c r="A458" s="47" t="s">
        <v>4832</v>
      </c>
      <c r="B458" s="35" t="s">
        <v>5904</v>
      </c>
      <c r="C458" s="272" t="s">
        <v>5923</v>
      </c>
      <c r="D458" s="31" t="s">
        <v>4732</v>
      </c>
      <c r="E458" s="33">
        <v>1</v>
      </c>
      <c r="F458" s="22">
        <v>44988</v>
      </c>
      <c r="G458" s="33"/>
      <c r="H458" s="159" t="s">
        <v>4732</v>
      </c>
      <c r="K458" s="33" t="s">
        <v>5338</v>
      </c>
      <c r="L458" s="34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spans="1:22" ht="11.25" customHeight="1" x14ac:dyDescent="0.35">
      <c r="A459" s="47" t="s">
        <v>4832</v>
      </c>
      <c r="B459" s="35" t="s">
        <v>5904</v>
      </c>
      <c r="C459" s="272" t="s">
        <v>4267</v>
      </c>
      <c r="D459" s="31" t="s">
        <v>161</v>
      </c>
      <c r="E459" s="33">
        <v>40</v>
      </c>
      <c r="F459" s="22">
        <v>44988</v>
      </c>
      <c r="G459" s="33"/>
      <c r="H459" s="159" t="s">
        <v>4732</v>
      </c>
      <c r="K459" s="33" t="s">
        <v>5338</v>
      </c>
      <c r="L459" s="34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spans="1:22" ht="11.25" customHeight="1" x14ac:dyDescent="0.35">
      <c r="A460" s="47" t="s">
        <v>4832</v>
      </c>
      <c r="B460" s="35" t="s">
        <v>5904</v>
      </c>
      <c r="C460" s="272" t="s">
        <v>5927</v>
      </c>
      <c r="D460" s="31" t="s">
        <v>4732</v>
      </c>
      <c r="E460" s="33">
        <v>1</v>
      </c>
      <c r="F460" s="22">
        <v>44988</v>
      </c>
      <c r="G460" s="33"/>
      <c r="H460" s="159" t="s">
        <v>4732</v>
      </c>
      <c r="K460" s="33" t="s">
        <v>5338</v>
      </c>
      <c r="L460" s="34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spans="1:22" ht="11.25" customHeight="1" x14ac:dyDescent="0.35">
      <c r="A461" s="47" t="s">
        <v>4832</v>
      </c>
      <c r="B461" s="35" t="s">
        <v>5904</v>
      </c>
      <c r="C461" s="272" t="s">
        <v>5928</v>
      </c>
      <c r="D461" s="31" t="s">
        <v>5929</v>
      </c>
      <c r="E461" s="33">
        <v>1</v>
      </c>
      <c r="F461" s="22">
        <v>44988</v>
      </c>
      <c r="G461" s="33"/>
      <c r="H461" s="159" t="s">
        <v>4732</v>
      </c>
      <c r="K461" s="33" t="s">
        <v>5338</v>
      </c>
      <c r="L461" s="34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spans="1:22" ht="11.25" customHeight="1" x14ac:dyDescent="0.35">
      <c r="A462" s="47" t="s">
        <v>4832</v>
      </c>
      <c r="B462" s="35" t="s">
        <v>5904</v>
      </c>
      <c r="C462" s="272" t="s">
        <v>5930</v>
      </c>
      <c r="D462" s="31" t="s">
        <v>4732</v>
      </c>
      <c r="E462" s="33">
        <v>1</v>
      </c>
      <c r="F462" s="22">
        <v>44988</v>
      </c>
      <c r="G462" s="33"/>
      <c r="H462" s="159" t="s">
        <v>4732</v>
      </c>
      <c r="K462" s="33" t="s">
        <v>5338</v>
      </c>
      <c r="L462" s="34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spans="1:22" ht="11.25" customHeight="1" x14ac:dyDescent="0.35">
      <c r="A463" s="47" t="s">
        <v>4832</v>
      </c>
      <c r="B463" s="35" t="s">
        <v>5904</v>
      </c>
      <c r="C463" s="272" t="s">
        <v>118</v>
      </c>
      <c r="D463" s="31" t="s">
        <v>4732</v>
      </c>
      <c r="E463" s="33">
        <v>1</v>
      </c>
      <c r="F463" s="22">
        <v>44988</v>
      </c>
      <c r="G463" s="33"/>
      <c r="H463" s="159" t="s">
        <v>4732</v>
      </c>
      <c r="K463" s="33" t="s">
        <v>5338</v>
      </c>
      <c r="L463" s="34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spans="1:22" ht="11.25" customHeight="1" x14ac:dyDescent="0.35">
      <c r="A464" s="47" t="s">
        <v>4832</v>
      </c>
      <c r="B464" s="35" t="s">
        <v>5904</v>
      </c>
      <c r="C464" s="272" t="s">
        <v>5931</v>
      </c>
      <c r="D464" s="31" t="s">
        <v>4732</v>
      </c>
      <c r="E464" s="33">
        <v>1</v>
      </c>
      <c r="F464" s="22">
        <v>44988</v>
      </c>
      <c r="G464" s="33"/>
      <c r="H464" s="159" t="s">
        <v>4732</v>
      </c>
      <c r="K464" s="33" t="s">
        <v>5338</v>
      </c>
      <c r="L464" s="34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spans="1:22" ht="11.25" customHeight="1" x14ac:dyDescent="0.35">
      <c r="A465" s="47" t="s">
        <v>4832</v>
      </c>
      <c r="B465" s="35" t="s">
        <v>5904</v>
      </c>
      <c r="C465" s="272" t="s">
        <v>5932</v>
      </c>
      <c r="D465" s="31" t="s">
        <v>5933</v>
      </c>
      <c r="E465" s="33">
        <v>2</v>
      </c>
      <c r="F465" s="22">
        <v>44988</v>
      </c>
      <c r="G465" s="33"/>
      <c r="H465" s="159" t="s">
        <v>4732</v>
      </c>
      <c r="K465" s="33" t="s">
        <v>5338</v>
      </c>
      <c r="L465" s="34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spans="1:22" ht="11.25" customHeight="1" x14ac:dyDescent="0.35">
      <c r="A466" s="47" t="s">
        <v>4832</v>
      </c>
      <c r="B466" s="35" t="s">
        <v>5904</v>
      </c>
      <c r="C466" s="272" t="s">
        <v>5934</v>
      </c>
      <c r="D466" s="31" t="s">
        <v>1227</v>
      </c>
      <c r="E466" s="33">
        <v>1</v>
      </c>
      <c r="F466" s="22">
        <v>44988</v>
      </c>
      <c r="G466" s="33"/>
      <c r="H466" s="159" t="s">
        <v>4732</v>
      </c>
      <c r="K466" s="33" t="s">
        <v>5338</v>
      </c>
      <c r="L466" s="34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spans="1:22" ht="11.25" customHeight="1" x14ac:dyDescent="0.35">
      <c r="A467" s="47" t="s">
        <v>4832</v>
      </c>
      <c r="B467" s="35" t="s">
        <v>5904</v>
      </c>
      <c r="C467" s="272" t="s">
        <v>5935</v>
      </c>
      <c r="D467" s="31" t="s">
        <v>4732</v>
      </c>
      <c r="E467" s="33">
        <v>5</v>
      </c>
      <c r="F467" s="22">
        <v>44988</v>
      </c>
      <c r="G467" s="33"/>
      <c r="H467" s="159" t="s">
        <v>4732</v>
      </c>
      <c r="K467" s="33" t="s">
        <v>5338</v>
      </c>
      <c r="L467" s="34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spans="1:22" ht="11.25" customHeight="1" x14ac:dyDescent="0.35">
      <c r="A468" s="47" t="s">
        <v>4832</v>
      </c>
      <c r="B468" s="35" t="s">
        <v>5904</v>
      </c>
      <c r="C468" s="272" t="s">
        <v>5936</v>
      </c>
      <c r="D468" s="31" t="s">
        <v>4732</v>
      </c>
      <c r="E468" s="33">
        <v>4</v>
      </c>
      <c r="F468" s="22">
        <v>44988</v>
      </c>
      <c r="G468" s="33"/>
      <c r="H468" s="159" t="s">
        <v>4732</v>
      </c>
      <c r="K468" s="33" t="s">
        <v>5338</v>
      </c>
      <c r="L468" s="34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spans="1:22" ht="11.25" customHeight="1" x14ac:dyDescent="0.35">
      <c r="A469" s="47" t="s">
        <v>4832</v>
      </c>
      <c r="B469" s="35" t="s">
        <v>5904</v>
      </c>
      <c r="C469" s="272" t="s">
        <v>5937</v>
      </c>
      <c r="D469" s="31" t="s">
        <v>5938</v>
      </c>
      <c r="E469" s="33">
        <v>5</v>
      </c>
      <c r="F469" s="22">
        <v>44988</v>
      </c>
      <c r="G469" s="33"/>
      <c r="H469" s="159" t="s">
        <v>4732</v>
      </c>
      <c r="K469" s="33" t="s">
        <v>5338</v>
      </c>
      <c r="L469" s="34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spans="1:22" ht="11.25" customHeight="1" x14ac:dyDescent="0.35">
      <c r="A470" s="47" t="s">
        <v>4832</v>
      </c>
      <c r="B470" s="35" t="s">
        <v>5904</v>
      </c>
      <c r="C470" s="272" t="s">
        <v>5935</v>
      </c>
      <c r="D470" s="31" t="s">
        <v>5939</v>
      </c>
      <c r="E470" s="33">
        <v>5</v>
      </c>
      <c r="F470" s="22">
        <v>44988</v>
      </c>
      <c r="G470" s="33"/>
      <c r="H470" s="159" t="s">
        <v>4732</v>
      </c>
      <c r="K470" s="33" t="s">
        <v>5338</v>
      </c>
      <c r="L470" s="34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spans="1:22" ht="11.25" customHeight="1" x14ac:dyDescent="0.35">
      <c r="A471" s="47" t="s">
        <v>4832</v>
      </c>
      <c r="B471" s="35" t="s">
        <v>5904</v>
      </c>
      <c r="C471" s="272" t="s">
        <v>5940</v>
      </c>
      <c r="D471" s="31" t="s">
        <v>4732</v>
      </c>
      <c r="E471" s="33">
        <v>40</v>
      </c>
      <c r="F471" s="22">
        <v>44988</v>
      </c>
      <c r="G471" s="33"/>
      <c r="H471" s="159" t="s">
        <v>4732</v>
      </c>
      <c r="K471" s="33" t="s">
        <v>5338</v>
      </c>
      <c r="L471" s="34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spans="1:22" ht="11.25" customHeight="1" x14ac:dyDescent="0.35">
      <c r="A472" s="47" t="s">
        <v>4832</v>
      </c>
      <c r="B472" s="35" t="s">
        <v>5904</v>
      </c>
      <c r="C472" s="272" t="s">
        <v>5942</v>
      </c>
      <c r="D472" s="31" t="s">
        <v>4732</v>
      </c>
      <c r="E472" s="33">
        <v>40</v>
      </c>
      <c r="F472" s="22">
        <v>44988</v>
      </c>
      <c r="G472" s="33"/>
      <c r="H472" s="159" t="s">
        <v>4732</v>
      </c>
      <c r="K472" s="33" t="s">
        <v>5338</v>
      </c>
      <c r="L472" s="34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spans="1:22" ht="11.25" customHeight="1" x14ac:dyDescent="0.35">
      <c r="A473" s="47" t="s">
        <v>4832</v>
      </c>
      <c r="B473" s="35" t="s">
        <v>5904</v>
      </c>
      <c r="C473" s="272" t="s">
        <v>5943</v>
      </c>
      <c r="D473" s="31" t="s">
        <v>4732</v>
      </c>
      <c r="E473" s="33">
        <v>10</v>
      </c>
      <c r="F473" s="22">
        <v>44988</v>
      </c>
      <c r="G473" s="33"/>
      <c r="H473" s="159" t="s">
        <v>4732</v>
      </c>
      <c r="K473" s="33" t="s">
        <v>5338</v>
      </c>
      <c r="L473" s="34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spans="1:22" ht="11.25" customHeight="1" x14ac:dyDescent="0.35">
      <c r="A474" s="47" t="s">
        <v>4832</v>
      </c>
      <c r="B474" s="35" t="s">
        <v>5904</v>
      </c>
      <c r="C474" s="272" t="s">
        <v>5944</v>
      </c>
      <c r="D474" s="31" t="s">
        <v>4732</v>
      </c>
      <c r="E474" s="33">
        <v>10</v>
      </c>
      <c r="F474" s="22">
        <v>44988</v>
      </c>
      <c r="G474" s="33"/>
      <c r="H474" s="159" t="s">
        <v>4732</v>
      </c>
      <c r="K474" s="33" t="s">
        <v>5338</v>
      </c>
      <c r="L474" s="34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spans="1:22" ht="11.25" customHeight="1" x14ac:dyDescent="0.35">
      <c r="A475" s="47" t="s">
        <v>4832</v>
      </c>
      <c r="B475" s="35" t="s">
        <v>5904</v>
      </c>
      <c r="C475" s="272" t="s">
        <v>5945</v>
      </c>
      <c r="D475" s="31" t="s">
        <v>4732</v>
      </c>
      <c r="E475" s="33">
        <v>30</v>
      </c>
      <c r="F475" s="22">
        <v>45354</v>
      </c>
      <c r="G475" s="33"/>
      <c r="H475" s="159" t="s">
        <v>4732</v>
      </c>
      <c r="K475" s="33" t="s">
        <v>5338</v>
      </c>
      <c r="L475" s="34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spans="1:22" ht="11.25" customHeight="1" x14ac:dyDescent="0.35">
      <c r="A476" s="47" t="s">
        <v>4832</v>
      </c>
      <c r="B476" s="35" t="s">
        <v>5904</v>
      </c>
      <c r="C476" s="272" t="s">
        <v>5946</v>
      </c>
      <c r="D476" s="31" t="s">
        <v>4732</v>
      </c>
      <c r="E476" s="33">
        <v>30</v>
      </c>
      <c r="F476" s="22">
        <v>44988</v>
      </c>
      <c r="G476" s="33"/>
      <c r="H476" s="159" t="s">
        <v>4732</v>
      </c>
      <c r="K476" s="33" t="s">
        <v>5338</v>
      </c>
      <c r="L476" s="34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spans="1:22" ht="11.25" customHeight="1" x14ac:dyDescent="0.35">
      <c r="A477" s="47" t="s">
        <v>4832</v>
      </c>
      <c r="B477" s="35" t="s">
        <v>5904</v>
      </c>
      <c r="C477" s="272" t="s">
        <v>5928</v>
      </c>
      <c r="D477" s="31" t="s">
        <v>4732</v>
      </c>
      <c r="E477" s="33">
        <v>10</v>
      </c>
      <c r="F477" s="22">
        <v>44988</v>
      </c>
      <c r="G477" s="33"/>
      <c r="H477" s="159" t="s">
        <v>4732</v>
      </c>
      <c r="K477" s="33" t="s">
        <v>5338</v>
      </c>
      <c r="L477" s="34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spans="1:22" ht="11.25" customHeight="1" x14ac:dyDescent="0.35">
      <c r="A478" s="47" t="s">
        <v>4832</v>
      </c>
      <c r="B478" s="35" t="s">
        <v>5904</v>
      </c>
      <c r="C478" s="272" t="s">
        <v>5947</v>
      </c>
      <c r="D478" s="31" t="s">
        <v>4732</v>
      </c>
      <c r="E478" s="33">
        <v>30</v>
      </c>
      <c r="F478" s="22">
        <v>44988</v>
      </c>
      <c r="G478" s="33"/>
      <c r="H478" s="159" t="s">
        <v>4732</v>
      </c>
      <c r="K478" s="33" t="s">
        <v>5338</v>
      </c>
      <c r="L478" s="34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spans="1:22" ht="11.25" customHeight="1" x14ac:dyDescent="0.35">
      <c r="A479" s="47" t="s">
        <v>4832</v>
      </c>
      <c r="B479" s="35" t="s">
        <v>5904</v>
      </c>
      <c r="C479" s="272" t="s">
        <v>5948</v>
      </c>
      <c r="D479" s="31" t="s">
        <v>5699</v>
      </c>
      <c r="E479" s="33">
        <v>10</v>
      </c>
      <c r="F479" s="22">
        <v>44988</v>
      </c>
      <c r="G479" s="33"/>
      <c r="H479" s="159" t="s">
        <v>4732</v>
      </c>
      <c r="K479" s="33" t="s">
        <v>5338</v>
      </c>
      <c r="L479" s="34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spans="1:22" ht="11.25" customHeight="1" x14ac:dyDescent="0.35">
      <c r="A480" s="47" t="s">
        <v>4832</v>
      </c>
      <c r="B480" s="35" t="s">
        <v>5904</v>
      </c>
      <c r="C480" s="272" t="s">
        <v>5949</v>
      </c>
      <c r="D480" s="31" t="s">
        <v>5933</v>
      </c>
      <c r="E480" s="33">
        <v>100</v>
      </c>
      <c r="F480" s="22">
        <v>44988</v>
      </c>
      <c r="G480" s="33"/>
      <c r="H480" s="159" t="s">
        <v>4732</v>
      </c>
      <c r="K480" s="33" t="s">
        <v>5338</v>
      </c>
      <c r="L480" s="34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spans="1:22" ht="11.25" customHeight="1" x14ac:dyDescent="0.35">
      <c r="A481" s="47" t="s">
        <v>4832</v>
      </c>
      <c r="B481" s="35" t="s">
        <v>5904</v>
      </c>
      <c r="C481" s="272" t="s">
        <v>5950</v>
      </c>
      <c r="D481" s="31" t="s">
        <v>5060</v>
      </c>
      <c r="E481" s="33">
        <v>100</v>
      </c>
      <c r="F481" s="22">
        <v>44988</v>
      </c>
      <c r="G481" s="33"/>
      <c r="H481" s="159" t="s">
        <v>4732</v>
      </c>
      <c r="K481" s="33" t="s">
        <v>5338</v>
      </c>
      <c r="L481" s="34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spans="1:22" ht="11.25" customHeight="1" x14ac:dyDescent="0.35">
      <c r="A482" s="47" t="s">
        <v>4832</v>
      </c>
      <c r="B482" s="35" t="s">
        <v>5904</v>
      </c>
      <c r="C482" s="272" t="s">
        <v>5952</v>
      </c>
      <c r="D482" s="31" t="s">
        <v>5953</v>
      </c>
      <c r="E482" s="33">
        <v>50</v>
      </c>
      <c r="F482" s="22">
        <v>44988</v>
      </c>
      <c r="G482" s="33"/>
      <c r="H482" s="159" t="s">
        <v>4732</v>
      </c>
      <c r="K482" s="33" t="s">
        <v>5338</v>
      </c>
      <c r="L482" s="34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spans="1:22" ht="11.25" customHeight="1" x14ac:dyDescent="0.35">
      <c r="A483" s="47" t="s">
        <v>4832</v>
      </c>
      <c r="B483" s="35" t="s">
        <v>5904</v>
      </c>
      <c r="C483" s="272" t="s">
        <v>5954</v>
      </c>
      <c r="D483" s="31" t="s">
        <v>5955</v>
      </c>
      <c r="E483" s="33">
        <v>250</v>
      </c>
      <c r="F483" s="22">
        <v>44988</v>
      </c>
      <c r="G483" s="33"/>
      <c r="H483" s="159" t="s">
        <v>4732</v>
      </c>
      <c r="K483" s="33" t="s">
        <v>5338</v>
      </c>
      <c r="L483" s="34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spans="1:22" ht="11.25" customHeight="1" x14ac:dyDescent="0.35">
      <c r="A484" s="47" t="s">
        <v>4832</v>
      </c>
      <c r="B484" s="35" t="s">
        <v>5904</v>
      </c>
      <c r="C484" s="272" t="s">
        <v>5956</v>
      </c>
      <c r="D484" s="31" t="s">
        <v>2403</v>
      </c>
      <c r="E484" s="33">
        <v>200</v>
      </c>
      <c r="F484" s="22">
        <v>44988</v>
      </c>
      <c r="G484" s="33"/>
      <c r="H484" s="159" t="s">
        <v>4732</v>
      </c>
      <c r="K484" s="33" t="s">
        <v>5338</v>
      </c>
      <c r="L484" s="34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spans="1:22" s="42" customFormat="1" ht="11.25" customHeight="1" x14ac:dyDescent="0.35">
      <c r="A485" s="47" t="s">
        <v>4832</v>
      </c>
      <c r="B485" s="636" t="s">
        <v>5904</v>
      </c>
      <c r="C485" s="273" t="s">
        <v>5957</v>
      </c>
      <c r="D485" s="117" t="s">
        <v>5955</v>
      </c>
      <c r="E485" s="40">
        <v>250</v>
      </c>
      <c r="F485" s="41">
        <v>44988</v>
      </c>
      <c r="G485" s="40">
        <v>20</v>
      </c>
      <c r="H485" s="161" t="s">
        <v>5958</v>
      </c>
      <c r="I485" s="40" t="s">
        <v>5842</v>
      </c>
      <c r="J485" s="40" t="s">
        <v>5959</v>
      </c>
      <c r="K485" s="40" t="s">
        <v>5511</v>
      </c>
    </row>
    <row r="486" spans="1:22" s="39" customFormat="1" ht="11.25" customHeight="1" x14ac:dyDescent="0.35">
      <c r="A486" s="47" t="s">
        <v>4832</v>
      </c>
      <c r="B486" s="39" t="s">
        <v>5904</v>
      </c>
      <c r="C486" s="106" t="s">
        <v>5960</v>
      </c>
      <c r="D486" s="82" t="s">
        <v>5961</v>
      </c>
      <c r="E486" s="38">
        <v>1</v>
      </c>
      <c r="F486" s="26">
        <v>44988</v>
      </c>
      <c r="G486" s="38">
        <v>1</v>
      </c>
      <c r="H486" s="160">
        <v>45200</v>
      </c>
      <c r="I486" s="38" t="s">
        <v>5962</v>
      </c>
      <c r="J486" s="38"/>
      <c r="K486" s="38" t="s">
        <v>5365</v>
      </c>
    </row>
    <row r="487" spans="1:22" ht="11.25" customHeight="1" x14ac:dyDescent="0.35">
      <c r="A487" s="47" t="s">
        <v>4832</v>
      </c>
      <c r="B487" s="35" t="s">
        <v>5904</v>
      </c>
      <c r="C487" s="272" t="s">
        <v>5963</v>
      </c>
      <c r="D487" s="31" t="s">
        <v>5964</v>
      </c>
      <c r="E487" s="33">
        <v>2</v>
      </c>
      <c r="F487" s="22">
        <v>44988</v>
      </c>
      <c r="G487" s="33"/>
      <c r="H487" s="159" t="s">
        <v>4732</v>
      </c>
      <c r="K487" s="33" t="s">
        <v>5338</v>
      </c>
      <c r="L487" s="34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spans="1:22" ht="11.25" customHeight="1" x14ac:dyDescent="0.35">
      <c r="A488" s="47" t="s">
        <v>4832</v>
      </c>
      <c r="B488" s="35" t="s">
        <v>5904</v>
      </c>
      <c r="C488" s="272" t="s">
        <v>5965</v>
      </c>
      <c r="D488" s="31" t="s">
        <v>5966</v>
      </c>
      <c r="E488" s="33">
        <v>1</v>
      </c>
      <c r="F488" s="22">
        <v>44988</v>
      </c>
      <c r="G488" s="33"/>
      <c r="H488" s="159" t="s">
        <v>4732</v>
      </c>
      <c r="K488" s="33" t="s">
        <v>5338</v>
      </c>
      <c r="L488" s="34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spans="1:22" ht="11.25" customHeight="1" x14ac:dyDescent="0.35">
      <c r="A489" s="47" t="s">
        <v>4832</v>
      </c>
      <c r="B489" s="35" t="s">
        <v>5904</v>
      </c>
      <c r="C489" s="272" t="s">
        <v>5967</v>
      </c>
      <c r="D489" s="31" t="s">
        <v>5968</v>
      </c>
      <c r="E489" s="33">
        <v>1</v>
      </c>
      <c r="F489" s="22">
        <v>44988</v>
      </c>
      <c r="G489" s="33"/>
      <c r="H489" s="159" t="s">
        <v>4732</v>
      </c>
      <c r="K489" s="33" t="s">
        <v>5338</v>
      </c>
      <c r="L489" s="34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spans="1:22" ht="11.25" customHeight="1" x14ac:dyDescent="0.35">
      <c r="A490" s="47" t="s">
        <v>4832</v>
      </c>
      <c r="B490" s="35" t="s">
        <v>5904</v>
      </c>
      <c r="C490" s="272" t="s">
        <v>5969</v>
      </c>
      <c r="D490" s="31" t="s">
        <v>5970</v>
      </c>
      <c r="E490" s="33">
        <v>1</v>
      </c>
      <c r="F490" s="22">
        <v>45233</v>
      </c>
      <c r="G490" s="33"/>
      <c r="H490" s="159" t="s">
        <v>4732</v>
      </c>
      <c r="K490" s="33" t="s">
        <v>5338</v>
      </c>
      <c r="L490" s="34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spans="1:22" ht="11.25" customHeight="1" x14ac:dyDescent="0.35">
      <c r="A491" s="47" t="s">
        <v>4832</v>
      </c>
      <c r="B491" s="35" t="s">
        <v>5904</v>
      </c>
      <c r="C491" s="272" t="s">
        <v>5971</v>
      </c>
      <c r="D491" s="31" t="s">
        <v>5972</v>
      </c>
      <c r="E491" s="33">
        <v>1</v>
      </c>
      <c r="F491" s="22">
        <v>45234</v>
      </c>
      <c r="G491" s="33"/>
      <c r="H491" s="159" t="s">
        <v>4732</v>
      </c>
      <c r="K491" s="33" t="s">
        <v>5338</v>
      </c>
      <c r="L491" s="34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spans="1:22" ht="11.25" customHeight="1" x14ac:dyDescent="0.35">
      <c r="A492" s="47" t="s">
        <v>4832</v>
      </c>
      <c r="B492" s="35" t="s">
        <v>5904</v>
      </c>
      <c r="C492" s="272" t="s">
        <v>5973</v>
      </c>
      <c r="D492" s="31" t="s">
        <v>5974</v>
      </c>
      <c r="E492" s="33">
        <v>2</v>
      </c>
      <c r="F492" s="22">
        <v>45234</v>
      </c>
      <c r="G492" s="33"/>
      <c r="H492" s="159" t="s">
        <v>4732</v>
      </c>
      <c r="K492" s="33" t="s">
        <v>5338</v>
      </c>
      <c r="L492" s="34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spans="1:22" ht="11.25" customHeight="1" x14ac:dyDescent="0.35">
      <c r="A493" s="47" t="s">
        <v>4832</v>
      </c>
      <c r="B493" s="35" t="s">
        <v>5904</v>
      </c>
      <c r="C493" s="272" t="s">
        <v>5975</v>
      </c>
      <c r="D493" s="31" t="s">
        <v>5976</v>
      </c>
      <c r="E493" s="33">
        <v>2</v>
      </c>
      <c r="F493" s="22">
        <v>45234</v>
      </c>
      <c r="G493" s="33"/>
      <c r="H493" s="159" t="s">
        <v>4732</v>
      </c>
      <c r="K493" s="33" t="s">
        <v>5338</v>
      </c>
      <c r="L493" s="34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spans="1:22" s="39" customFormat="1" ht="11.25" customHeight="1" x14ac:dyDescent="0.35">
      <c r="A494" s="38" t="s">
        <v>4832</v>
      </c>
      <c r="B494" s="39" t="s">
        <v>5904</v>
      </c>
      <c r="C494" s="106" t="s">
        <v>5977</v>
      </c>
      <c r="D494" s="82" t="s">
        <v>5978</v>
      </c>
      <c r="E494" s="38">
        <v>1</v>
      </c>
      <c r="F494" s="26">
        <v>45234</v>
      </c>
      <c r="G494" s="38">
        <v>1</v>
      </c>
      <c r="H494" s="160" t="s">
        <v>5979</v>
      </c>
      <c r="I494" s="38" t="s">
        <v>5980</v>
      </c>
      <c r="J494" s="38"/>
      <c r="K494" s="38" t="s">
        <v>5365</v>
      </c>
    </row>
    <row r="495" spans="1:22" ht="11.25" customHeight="1" x14ac:dyDescent="0.35">
      <c r="A495" s="47" t="s">
        <v>4832</v>
      </c>
      <c r="B495" s="35" t="s">
        <v>5904</v>
      </c>
      <c r="C495" s="272" t="s">
        <v>5981</v>
      </c>
      <c r="D495" s="31" t="s">
        <v>5982</v>
      </c>
      <c r="E495" s="33">
        <v>1</v>
      </c>
      <c r="F495" s="22">
        <v>45234</v>
      </c>
      <c r="G495" s="33"/>
      <c r="H495" s="159" t="s">
        <v>4732</v>
      </c>
      <c r="K495" s="33" t="s">
        <v>5338</v>
      </c>
      <c r="L495" s="34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spans="1:22" ht="11.25" customHeight="1" x14ac:dyDescent="0.35">
      <c r="A496" s="47" t="s">
        <v>4832</v>
      </c>
      <c r="B496" s="35" t="s">
        <v>5904</v>
      </c>
      <c r="C496" s="272" t="s">
        <v>5983</v>
      </c>
      <c r="D496" s="31" t="s">
        <v>5984</v>
      </c>
      <c r="E496" s="33">
        <v>100</v>
      </c>
      <c r="F496" s="22">
        <v>45234</v>
      </c>
      <c r="G496" s="33"/>
      <c r="H496" s="159" t="s">
        <v>4732</v>
      </c>
      <c r="K496" s="33" t="s">
        <v>5338</v>
      </c>
      <c r="L496" s="34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spans="1:22" ht="11.25" customHeight="1" x14ac:dyDescent="0.35">
      <c r="A497" s="47" t="s">
        <v>4832</v>
      </c>
      <c r="B497" s="35" t="s">
        <v>5904</v>
      </c>
      <c r="C497" s="272" t="s">
        <v>5985</v>
      </c>
      <c r="D497" s="31" t="s">
        <v>5986</v>
      </c>
      <c r="E497" s="33">
        <v>1</v>
      </c>
      <c r="F497" s="22">
        <v>45234</v>
      </c>
      <c r="G497" s="33"/>
      <c r="H497" s="159" t="s">
        <v>4732</v>
      </c>
      <c r="K497" s="33" t="s">
        <v>5338</v>
      </c>
      <c r="L497" s="34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spans="1:22" ht="11.25" customHeight="1" x14ac:dyDescent="0.35">
      <c r="A498" s="47" t="s">
        <v>4832</v>
      </c>
      <c r="B498" s="35" t="s">
        <v>5904</v>
      </c>
      <c r="C498" s="272" t="s">
        <v>2062</v>
      </c>
      <c r="D498" s="31" t="s">
        <v>5987</v>
      </c>
      <c r="E498" s="33">
        <v>1</v>
      </c>
      <c r="F498" s="22">
        <v>45234</v>
      </c>
      <c r="G498" s="33"/>
      <c r="H498" s="159" t="s">
        <v>4732</v>
      </c>
      <c r="K498" s="33" t="s">
        <v>5338</v>
      </c>
      <c r="L498" s="34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spans="1:22" ht="11.25" customHeight="1" x14ac:dyDescent="0.35">
      <c r="A499" s="47" t="s">
        <v>4832</v>
      </c>
      <c r="B499" s="35" t="s">
        <v>5904</v>
      </c>
      <c r="C499" s="272" t="s">
        <v>5988</v>
      </c>
      <c r="D499" s="31" t="s">
        <v>5986</v>
      </c>
      <c r="E499" s="33">
        <v>1</v>
      </c>
      <c r="F499" s="22">
        <v>45234</v>
      </c>
      <c r="G499" s="33"/>
      <c r="H499" s="159" t="s">
        <v>4732</v>
      </c>
      <c r="K499" s="33" t="s">
        <v>5338</v>
      </c>
      <c r="L499" s="34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spans="1:22" ht="11.25" customHeight="1" x14ac:dyDescent="0.35">
      <c r="A500" s="47" t="s">
        <v>4832</v>
      </c>
      <c r="B500" s="35" t="s">
        <v>5904</v>
      </c>
      <c r="C500" s="272" t="s">
        <v>5989</v>
      </c>
      <c r="D500" s="31" t="s">
        <v>5990</v>
      </c>
      <c r="E500" s="33">
        <v>10</v>
      </c>
      <c r="F500" s="22">
        <v>45234</v>
      </c>
      <c r="G500" s="33"/>
      <c r="H500" s="159" t="s">
        <v>4732</v>
      </c>
      <c r="K500" s="33" t="s">
        <v>5338</v>
      </c>
      <c r="L500" s="34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spans="1:22" ht="11.25" customHeight="1" x14ac:dyDescent="0.35">
      <c r="A501" s="47" t="s">
        <v>4832</v>
      </c>
      <c r="B501" s="35" t="s">
        <v>5904</v>
      </c>
      <c r="C501" s="272" t="s">
        <v>5991</v>
      </c>
      <c r="D501" s="31" t="s">
        <v>5992</v>
      </c>
      <c r="E501" s="33">
        <v>1</v>
      </c>
      <c r="F501" s="22">
        <v>45234</v>
      </c>
      <c r="G501" s="33"/>
      <c r="H501" s="159" t="s">
        <v>4732</v>
      </c>
      <c r="K501" s="33" t="s">
        <v>5338</v>
      </c>
      <c r="L501" s="34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spans="1:22" ht="11.25" customHeight="1" x14ac:dyDescent="0.35">
      <c r="A502" s="47" t="s">
        <v>4832</v>
      </c>
      <c r="B502" s="35" t="s">
        <v>5904</v>
      </c>
      <c r="C502" s="272" t="s">
        <v>5993</v>
      </c>
      <c r="D502" s="31" t="s">
        <v>5994</v>
      </c>
      <c r="E502" s="33">
        <v>1</v>
      </c>
      <c r="F502" s="22">
        <v>45234</v>
      </c>
      <c r="G502" s="33"/>
      <c r="H502" s="159" t="s">
        <v>4732</v>
      </c>
      <c r="K502" s="33" t="s">
        <v>5338</v>
      </c>
      <c r="L502" s="34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spans="1:22" ht="11.25" customHeight="1" x14ac:dyDescent="0.35">
      <c r="A503" s="47" t="s">
        <v>4832</v>
      </c>
      <c r="B503" s="35" t="s">
        <v>5904</v>
      </c>
      <c r="C503" s="272" t="s">
        <v>4732</v>
      </c>
      <c r="D503" s="31" t="s">
        <v>5995</v>
      </c>
      <c r="E503" s="33">
        <v>1</v>
      </c>
      <c r="F503" s="22">
        <v>45234</v>
      </c>
      <c r="G503" s="33"/>
      <c r="H503" s="159" t="s">
        <v>4732</v>
      </c>
      <c r="K503" s="33" t="s">
        <v>5338</v>
      </c>
      <c r="L503" s="34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spans="1:22" ht="11.25" customHeight="1" x14ac:dyDescent="0.35">
      <c r="A504" s="47" t="s">
        <v>4832</v>
      </c>
      <c r="B504" s="35" t="s">
        <v>5904</v>
      </c>
      <c r="C504" s="272" t="s">
        <v>4732</v>
      </c>
      <c r="D504" s="31" t="s">
        <v>5996</v>
      </c>
      <c r="E504" s="33">
        <v>3</v>
      </c>
      <c r="F504" s="22">
        <v>44930</v>
      </c>
      <c r="G504" s="33"/>
      <c r="H504" s="159" t="s">
        <v>4732</v>
      </c>
      <c r="K504" s="33" t="s">
        <v>5338</v>
      </c>
      <c r="L504" s="34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spans="1:22" ht="11.25" customHeight="1" x14ac:dyDescent="0.35">
      <c r="A505" s="47" t="s">
        <v>4832</v>
      </c>
      <c r="B505" s="35" t="s">
        <v>5904</v>
      </c>
      <c r="C505" s="272" t="s">
        <v>5997</v>
      </c>
      <c r="D505" s="31" t="s">
        <v>2354</v>
      </c>
      <c r="E505" s="33">
        <v>20</v>
      </c>
      <c r="F505" s="22">
        <v>45234</v>
      </c>
      <c r="G505" s="33"/>
      <c r="H505" s="159" t="s">
        <v>4732</v>
      </c>
      <c r="K505" s="33" t="s">
        <v>5338</v>
      </c>
      <c r="L505" s="34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spans="1:22" ht="11.25" customHeight="1" x14ac:dyDescent="0.35">
      <c r="A506" s="47" t="s">
        <v>4832</v>
      </c>
      <c r="B506" s="35" t="s">
        <v>5904</v>
      </c>
      <c r="C506" s="272" t="s">
        <v>5998</v>
      </c>
      <c r="D506" s="31" t="s">
        <v>5999</v>
      </c>
      <c r="E506" s="33">
        <v>1</v>
      </c>
      <c r="F506" s="22">
        <v>45234</v>
      </c>
      <c r="G506" s="33"/>
      <c r="H506" s="159" t="s">
        <v>4732</v>
      </c>
      <c r="K506" s="33" t="s">
        <v>5338</v>
      </c>
      <c r="L506" s="34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spans="1:22" ht="11.25" customHeight="1" x14ac:dyDescent="0.35">
      <c r="A507" s="47" t="s">
        <v>4832</v>
      </c>
      <c r="B507" s="35" t="s">
        <v>5904</v>
      </c>
      <c r="C507" s="272" t="s">
        <v>5944</v>
      </c>
      <c r="D507" s="31" t="s">
        <v>6000</v>
      </c>
      <c r="E507" s="33">
        <v>9</v>
      </c>
      <c r="F507" s="22">
        <v>45234</v>
      </c>
      <c r="G507" s="33"/>
      <c r="H507" s="159" t="s">
        <v>4732</v>
      </c>
      <c r="K507" s="33" t="s">
        <v>5338</v>
      </c>
      <c r="L507" s="34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spans="1:22" ht="11.25" customHeight="1" x14ac:dyDescent="0.35">
      <c r="A508" s="47" t="s">
        <v>4832</v>
      </c>
      <c r="B508" s="35" t="s">
        <v>5904</v>
      </c>
      <c r="C508" s="272" t="s">
        <v>6001</v>
      </c>
      <c r="D508" s="31" t="s">
        <v>6002</v>
      </c>
      <c r="E508" s="33">
        <v>15</v>
      </c>
      <c r="F508" s="22">
        <v>45234</v>
      </c>
      <c r="G508" s="33"/>
      <c r="H508" s="159" t="s">
        <v>4732</v>
      </c>
      <c r="K508" s="33" t="s">
        <v>5338</v>
      </c>
      <c r="L508" s="34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spans="1:22" ht="11.25" customHeight="1" x14ac:dyDescent="0.35">
      <c r="A509" s="47" t="s">
        <v>4832</v>
      </c>
      <c r="B509" s="35" t="s">
        <v>5904</v>
      </c>
      <c r="C509" s="272" t="s">
        <v>5923</v>
      </c>
      <c r="D509" s="31" t="s">
        <v>6003</v>
      </c>
      <c r="E509" s="33">
        <v>1</v>
      </c>
      <c r="F509" s="22">
        <v>45234</v>
      </c>
      <c r="G509" s="33"/>
      <c r="H509" s="159" t="s">
        <v>4732</v>
      </c>
      <c r="K509" s="33" t="s">
        <v>5338</v>
      </c>
      <c r="L509" s="34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spans="1:22" ht="11.25" customHeight="1" x14ac:dyDescent="0.35">
      <c r="A510" s="47" t="s">
        <v>4832</v>
      </c>
      <c r="B510" s="35" t="s">
        <v>5904</v>
      </c>
      <c r="C510" s="272" t="s">
        <v>6004</v>
      </c>
      <c r="D510" s="31" t="s">
        <v>2354</v>
      </c>
      <c r="E510" s="33">
        <v>80</v>
      </c>
      <c r="F510" s="22">
        <v>45234</v>
      </c>
      <c r="G510" s="33"/>
      <c r="H510" s="159" t="s">
        <v>4732</v>
      </c>
      <c r="K510" s="33" t="s">
        <v>5338</v>
      </c>
      <c r="L510" s="34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spans="1:22" ht="11.25" customHeight="1" x14ac:dyDescent="0.35">
      <c r="A511" s="47" t="s">
        <v>4832</v>
      </c>
      <c r="B511" s="35" t="s">
        <v>5904</v>
      </c>
      <c r="C511" s="272" t="s">
        <v>6005</v>
      </c>
      <c r="D511" s="31" t="s">
        <v>6006</v>
      </c>
      <c r="E511" s="33">
        <v>1</v>
      </c>
      <c r="F511" s="22">
        <v>45234</v>
      </c>
      <c r="G511" s="33"/>
      <c r="H511" s="159" t="s">
        <v>4732</v>
      </c>
      <c r="K511" s="33" t="s">
        <v>5338</v>
      </c>
      <c r="L511" s="34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spans="1:22" ht="11.25" customHeight="1" x14ac:dyDescent="0.35">
      <c r="A512" s="47" t="s">
        <v>4832</v>
      </c>
      <c r="B512" s="35" t="s">
        <v>5904</v>
      </c>
      <c r="C512" s="272" t="s">
        <v>6007</v>
      </c>
      <c r="D512" s="31" t="s">
        <v>6008</v>
      </c>
      <c r="E512" s="33">
        <v>3</v>
      </c>
      <c r="F512" s="22">
        <v>45234</v>
      </c>
      <c r="G512" s="33"/>
      <c r="H512" s="159" t="s">
        <v>4732</v>
      </c>
      <c r="K512" s="33" t="s">
        <v>5338</v>
      </c>
      <c r="L512" s="34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spans="1:22" ht="11.25" customHeight="1" x14ac:dyDescent="0.35">
      <c r="A513" s="47" t="s">
        <v>4832</v>
      </c>
      <c r="B513" s="35" t="s">
        <v>5904</v>
      </c>
      <c r="C513" s="272" t="s">
        <v>6009</v>
      </c>
      <c r="D513" s="31" t="s">
        <v>5544</v>
      </c>
      <c r="E513" s="33">
        <v>80</v>
      </c>
      <c r="F513" s="22">
        <v>45234</v>
      </c>
      <c r="G513" s="33"/>
      <c r="H513" s="159" t="s">
        <v>4732</v>
      </c>
      <c r="K513" s="33" t="s">
        <v>5338</v>
      </c>
      <c r="L513" s="34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spans="1:22" ht="11.25" customHeight="1" x14ac:dyDescent="0.35">
      <c r="A514" s="47" t="s">
        <v>4832</v>
      </c>
      <c r="B514" s="35" t="s">
        <v>5904</v>
      </c>
      <c r="C514" s="272" t="s">
        <v>6010</v>
      </c>
      <c r="D514" s="31" t="s">
        <v>5544</v>
      </c>
      <c r="E514" s="33">
        <v>7</v>
      </c>
      <c r="F514" s="22">
        <v>45234</v>
      </c>
      <c r="G514" s="33"/>
      <c r="H514" s="159" t="s">
        <v>4732</v>
      </c>
      <c r="K514" s="33" t="s">
        <v>5338</v>
      </c>
      <c r="L514" s="34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spans="1:22" ht="11.25" customHeight="1" x14ac:dyDescent="0.35">
      <c r="A515" s="47" t="s">
        <v>4832</v>
      </c>
      <c r="B515" s="35" t="s">
        <v>5904</v>
      </c>
      <c r="C515" s="272" t="s">
        <v>6011</v>
      </c>
      <c r="D515" s="31" t="s">
        <v>4732</v>
      </c>
      <c r="E515" s="33">
        <v>1</v>
      </c>
      <c r="F515" s="22">
        <v>45234</v>
      </c>
      <c r="G515" s="33"/>
      <c r="H515" s="159" t="s">
        <v>4732</v>
      </c>
      <c r="K515" s="33" t="s">
        <v>5338</v>
      </c>
      <c r="L515" s="34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spans="1:22" ht="11.25" customHeight="1" x14ac:dyDescent="0.35">
      <c r="A516" s="47" t="s">
        <v>4832</v>
      </c>
      <c r="B516" s="35" t="s">
        <v>5904</v>
      </c>
      <c r="C516" s="272" t="s">
        <v>6012</v>
      </c>
      <c r="D516" s="31" t="s">
        <v>6013</v>
      </c>
      <c r="E516" s="33">
        <v>1</v>
      </c>
      <c r="F516" s="22">
        <v>45234</v>
      </c>
      <c r="G516" s="33"/>
      <c r="H516" s="159" t="s">
        <v>4732</v>
      </c>
      <c r="K516" s="33" t="s">
        <v>5338</v>
      </c>
      <c r="L516" s="34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spans="1:22" ht="11.25" customHeight="1" x14ac:dyDescent="0.35">
      <c r="A517" s="47" t="s">
        <v>4832</v>
      </c>
      <c r="B517" s="35" t="s">
        <v>5904</v>
      </c>
      <c r="C517" s="272" t="s">
        <v>4732</v>
      </c>
      <c r="D517" s="31" t="s">
        <v>947</v>
      </c>
      <c r="E517" s="33">
        <v>10</v>
      </c>
      <c r="F517" s="22">
        <v>45234</v>
      </c>
      <c r="G517" s="33"/>
      <c r="H517" s="159" t="s">
        <v>4732</v>
      </c>
      <c r="K517" s="33" t="s">
        <v>5338</v>
      </c>
      <c r="L517" s="34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spans="1:22" ht="11.25" customHeight="1" x14ac:dyDescent="0.35">
      <c r="A518" s="47" t="s">
        <v>4832</v>
      </c>
      <c r="B518" s="35" t="s">
        <v>5904</v>
      </c>
      <c r="C518" s="272" t="s">
        <v>6014</v>
      </c>
      <c r="D518" s="31" t="s">
        <v>6015</v>
      </c>
      <c r="E518" s="33">
        <v>3</v>
      </c>
      <c r="F518" s="22">
        <v>45234</v>
      </c>
      <c r="G518" s="33"/>
      <c r="H518" s="159" t="s">
        <v>4732</v>
      </c>
      <c r="K518" s="33" t="s">
        <v>5338</v>
      </c>
      <c r="L518" s="34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spans="1:22" s="39" customFormat="1" ht="11.25" customHeight="1" x14ac:dyDescent="0.35">
      <c r="A519" s="38" t="s">
        <v>4832</v>
      </c>
      <c r="B519" s="39" t="s">
        <v>5904</v>
      </c>
      <c r="C519" s="106" t="s">
        <v>6016</v>
      </c>
      <c r="D519" s="82" t="s">
        <v>4732</v>
      </c>
      <c r="E519" s="38">
        <v>1</v>
      </c>
      <c r="F519" s="26">
        <v>45234</v>
      </c>
      <c r="G519" s="38">
        <v>1</v>
      </c>
      <c r="H519" s="160" t="s">
        <v>6017</v>
      </c>
      <c r="I519" s="38" t="s">
        <v>5842</v>
      </c>
      <c r="J519" s="38"/>
      <c r="K519" s="38" t="s">
        <v>5365</v>
      </c>
    </row>
    <row r="520" spans="1:22" ht="11.25" customHeight="1" x14ac:dyDescent="0.35">
      <c r="A520" s="47" t="s">
        <v>4832</v>
      </c>
      <c r="B520" s="35" t="s">
        <v>5904</v>
      </c>
      <c r="C520" s="272" t="s">
        <v>6018</v>
      </c>
      <c r="D520" s="31" t="s">
        <v>6019</v>
      </c>
      <c r="E520" s="33">
        <v>1</v>
      </c>
      <c r="F520" s="22">
        <v>45234</v>
      </c>
      <c r="G520" s="33"/>
      <c r="H520" s="159" t="s">
        <v>4732</v>
      </c>
      <c r="K520" s="33" t="s">
        <v>5338</v>
      </c>
      <c r="L520" s="34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spans="1:22" ht="11.25" customHeight="1" x14ac:dyDescent="0.35">
      <c r="A521" s="47" t="s">
        <v>4832</v>
      </c>
      <c r="B521" s="35" t="s">
        <v>5904</v>
      </c>
      <c r="C521" s="272" t="s">
        <v>5945</v>
      </c>
      <c r="D521" s="31" t="s">
        <v>6020</v>
      </c>
      <c r="E521" s="33">
        <v>1</v>
      </c>
      <c r="F521" s="22">
        <v>45052</v>
      </c>
      <c r="G521" s="33"/>
      <c r="H521" s="159" t="s">
        <v>4732</v>
      </c>
      <c r="K521" s="33" t="s">
        <v>5338</v>
      </c>
      <c r="L521" s="34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spans="1:22" ht="11.25" customHeight="1" x14ac:dyDescent="0.35">
      <c r="A522" s="47" t="s">
        <v>4832</v>
      </c>
      <c r="B522" s="35" t="s">
        <v>5904</v>
      </c>
      <c r="C522" s="272" t="s">
        <v>6021</v>
      </c>
      <c r="D522" s="31" t="s">
        <v>957</v>
      </c>
      <c r="E522" s="33">
        <v>1</v>
      </c>
      <c r="F522" s="22">
        <v>45052</v>
      </c>
      <c r="G522" s="33"/>
      <c r="H522" s="159" t="s">
        <v>4732</v>
      </c>
      <c r="K522" s="33" t="s">
        <v>5338</v>
      </c>
      <c r="L522" s="34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spans="1:22" ht="11.25" customHeight="1" x14ac:dyDescent="0.35">
      <c r="A523" s="47" t="s">
        <v>4832</v>
      </c>
      <c r="B523" s="35" t="s">
        <v>5904</v>
      </c>
      <c r="C523" s="272" t="s">
        <v>6022</v>
      </c>
      <c r="D523" s="31" t="s">
        <v>1751</v>
      </c>
      <c r="E523" s="33">
        <v>1</v>
      </c>
      <c r="F523" s="22">
        <v>45052</v>
      </c>
      <c r="G523" s="33"/>
      <c r="H523" s="159" t="s">
        <v>4732</v>
      </c>
      <c r="K523" s="33" t="s">
        <v>5338</v>
      </c>
      <c r="L523" s="34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spans="1:22" ht="11.25" customHeight="1" x14ac:dyDescent="0.35">
      <c r="A524" s="47" t="s">
        <v>4832</v>
      </c>
      <c r="B524" s="35" t="s">
        <v>5904</v>
      </c>
      <c r="C524" s="272" t="s">
        <v>6023</v>
      </c>
      <c r="D524" s="31" t="s">
        <v>4732</v>
      </c>
      <c r="E524" s="33">
        <v>1</v>
      </c>
      <c r="F524" s="22">
        <v>45052</v>
      </c>
      <c r="G524" s="33"/>
      <c r="H524" s="159" t="s">
        <v>4732</v>
      </c>
      <c r="K524" s="33" t="s">
        <v>5338</v>
      </c>
      <c r="L524" s="34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spans="1:22" ht="11.25" customHeight="1" x14ac:dyDescent="0.35">
      <c r="A525" s="47" t="s">
        <v>4832</v>
      </c>
      <c r="B525" s="35" t="s">
        <v>5904</v>
      </c>
      <c r="C525" s="272" t="s">
        <v>6024</v>
      </c>
      <c r="D525" s="31" t="s">
        <v>1751</v>
      </c>
      <c r="E525" s="33">
        <v>10</v>
      </c>
      <c r="F525" s="22">
        <v>45052</v>
      </c>
      <c r="G525" s="33"/>
      <c r="H525" s="159" t="s">
        <v>4732</v>
      </c>
      <c r="K525" s="33" t="s">
        <v>5338</v>
      </c>
      <c r="L525" s="34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spans="1:22" ht="11.25" customHeight="1" x14ac:dyDescent="0.35">
      <c r="A526" s="47" t="s">
        <v>4832</v>
      </c>
      <c r="B526" s="35" t="s">
        <v>5904</v>
      </c>
      <c r="C526" s="272" t="s">
        <v>5932</v>
      </c>
      <c r="D526" s="31" t="s">
        <v>5859</v>
      </c>
      <c r="E526" s="33">
        <v>1</v>
      </c>
      <c r="F526" s="22">
        <v>45052</v>
      </c>
      <c r="G526" s="33"/>
      <c r="H526" s="159" t="s">
        <v>4732</v>
      </c>
      <c r="K526" s="33" t="s">
        <v>5338</v>
      </c>
      <c r="L526" s="34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spans="1:22" ht="11.25" customHeight="1" x14ac:dyDescent="0.35">
      <c r="A527" s="47" t="s">
        <v>4832</v>
      </c>
      <c r="B527" s="35" t="s">
        <v>5904</v>
      </c>
      <c r="C527" s="272" t="s">
        <v>6025</v>
      </c>
      <c r="D527" s="31" t="s">
        <v>4732</v>
      </c>
      <c r="E527" s="33">
        <v>48</v>
      </c>
      <c r="F527" s="22">
        <v>45052</v>
      </c>
      <c r="G527" s="33"/>
      <c r="H527" s="159" t="s">
        <v>4732</v>
      </c>
      <c r="K527" s="33" t="s">
        <v>5338</v>
      </c>
      <c r="L527" s="34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spans="1:22" ht="11.25" customHeight="1" x14ac:dyDescent="0.35">
      <c r="A528" s="47" t="s">
        <v>4832</v>
      </c>
      <c r="B528" s="35" t="s">
        <v>5904</v>
      </c>
      <c r="C528" s="272" t="s">
        <v>6026</v>
      </c>
      <c r="D528" s="31" t="s">
        <v>6027</v>
      </c>
      <c r="E528" s="33">
        <v>1</v>
      </c>
      <c r="F528" s="22">
        <v>45052</v>
      </c>
      <c r="G528" s="33"/>
      <c r="H528" s="159" t="s">
        <v>4732</v>
      </c>
      <c r="K528" s="33" t="s">
        <v>5338</v>
      </c>
      <c r="L528" s="34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spans="1:22" ht="11.25" customHeight="1" x14ac:dyDescent="0.35">
      <c r="A529" s="47" t="s">
        <v>4832</v>
      </c>
      <c r="B529" s="35" t="s">
        <v>5904</v>
      </c>
      <c r="C529" s="272" t="s">
        <v>6028</v>
      </c>
      <c r="D529" s="31" t="s">
        <v>6029</v>
      </c>
      <c r="E529" s="33">
        <v>1</v>
      </c>
      <c r="F529" s="22">
        <v>45052</v>
      </c>
      <c r="G529" s="33"/>
      <c r="H529" s="159" t="s">
        <v>4732</v>
      </c>
      <c r="K529" s="33" t="s">
        <v>5338</v>
      </c>
      <c r="L529" s="34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spans="1:22" ht="11.25" customHeight="1" x14ac:dyDescent="0.35">
      <c r="A530" s="47" t="s">
        <v>4832</v>
      </c>
      <c r="B530" s="35" t="s">
        <v>5904</v>
      </c>
      <c r="C530" s="272" t="s">
        <v>6030</v>
      </c>
      <c r="D530" s="31" t="s">
        <v>4732</v>
      </c>
      <c r="E530" s="33">
        <v>2</v>
      </c>
      <c r="F530" s="22">
        <v>45052</v>
      </c>
      <c r="G530" s="33"/>
      <c r="H530" s="159" t="s">
        <v>4732</v>
      </c>
      <c r="K530" s="33" t="s">
        <v>5338</v>
      </c>
      <c r="L530" s="34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spans="1:22" ht="11.25" customHeight="1" x14ac:dyDescent="0.35">
      <c r="A531" s="47" t="s">
        <v>4832</v>
      </c>
      <c r="B531" s="35" t="s">
        <v>5904</v>
      </c>
      <c r="C531" s="272" t="s">
        <v>6031</v>
      </c>
      <c r="D531" s="31" t="s">
        <v>4732</v>
      </c>
      <c r="E531" s="33">
        <v>5</v>
      </c>
      <c r="F531" s="22">
        <v>45052</v>
      </c>
      <c r="G531" s="33"/>
      <c r="H531" s="159" t="s">
        <v>4732</v>
      </c>
      <c r="K531" s="33" t="s">
        <v>5338</v>
      </c>
      <c r="L531" s="34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spans="1:22" ht="11.25" customHeight="1" x14ac:dyDescent="0.35">
      <c r="A532" s="47" t="s">
        <v>4832</v>
      </c>
      <c r="B532" s="35" t="s">
        <v>5904</v>
      </c>
      <c r="C532" s="272" t="s">
        <v>6032</v>
      </c>
      <c r="D532" s="31" t="s">
        <v>4732</v>
      </c>
      <c r="E532" s="33">
        <v>1</v>
      </c>
      <c r="F532" s="22">
        <v>45052</v>
      </c>
      <c r="G532" s="33"/>
      <c r="H532" s="159" t="s">
        <v>4732</v>
      </c>
      <c r="K532" s="33" t="s">
        <v>5338</v>
      </c>
      <c r="L532" s="34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spans="1:22" ht="11.25" customHeight="1" x14ac:dyDescent="0.35">
      <c r="A533" s="47" t="s">
        <v>4832</v>
      </c>
      <c r="B533" s="35" t="s">
        <v>5904</v>
      </c>
      <c r="C533" s="272" t="s">
        <v>6033</v>
      </c>
      <c r="D533" s="31" t="s">
        <v>6034</v>
      </c>
      <c r="E533" s="33">
        <v>1</v>
      </c>
      <c r="F533" s="22">
        <v>45052</v>
      </c>
      <c r="G533" s="33"/>
      <c r="H533" s="159" t="s">
        <v>4732</v>
      </c>
      <c r="K533" s="33" t="s">
        <v>5338</v>
      </c>
      <c r="L533" s="34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spans="1:22" s="39" customFormat="1" ht="11.25" customHeight="1" x14ac:dyDescent="0.35">
      <c r="A534" s="38" t="s">
        <v>4832</v>
      </c>
      <c r="B534" s="39" t="s">
        <v>5904</v>
      </c>
      <c r="C534" s="106" t="s">
        <v>6035</v>
      </c>
      <c r="D534" s="82" t="s">
        <v>6036</v>
      </c>
      <c r="E534" s="38">
        <v>1</v>
      </c>
      <c r="F534" s="26">
        <v>45052</v>
      </c>
      <c r="G534" s="38">
        <v>1</v>
      </c>
      <c r="H534" s="160">
        <v>45201</v>
      </c>
      <c r="I534" s="38" t="s">
        <v>5842</v>
      </c>
      <c r="J534" s="38"/>
      <c r="K534" s="38" t="s">
        <v>5365</v>
      </c>
    </row>
    <row r="535" spans="1:22" s="39" customFormat="1" ht="11.25" customHeight="1" x14ac:dyDescent="0.35">
      <c r="A535" s="38" t="s">
        <v>4832</v>
      </c>
      <c r="B535" s="39" t="s">
        <v>5904</v>
      </c>
      <c r="C535" s="106" t="s">
        <v>6037</v>
      </c>
      <c r="D535" s="82" t="s">
        <v>6038</v>
      </c>
      <c r="E535" s="38">
        <v>1</v>
      </c>
      <c r="F535" s="26">
        <v>45052</v>
      </c>
      <c r="G535" s="38">
        <v>1</v>
      </c>
      <c r="H535" s="160" t="s">
        <v>6039</v>
      </c>
      <c r="I535" s="38" t="s">
        <v>6040</v>
      </c>
      <c r="J535" s="38"/>
      <c r="K535" s="38" t="s">
        <v>5365</v>
      </c>
    </row>
    <row r="536" spans="1:22" s="39" customFormat="1" ht="11.25" customHeight="1" x14ac:dyDescent="0.35">
      <c r="A536" s="38" t="s">
        <v>60</v>
      </c>
      <c r="B536" s="39" t="s">
        <v>6041</v>
      </c>
      <c r="C536" s="106" t="s">
        <v>952</v>
      </c>
      <c r="D536" s="82" t="s">
        <v>6042</v>
      </c>
      <c r="E536" s="38">
        <v>48</v>
      </c>
      <c r="F536" s="26">
        <v>45268</v>
      </c>
      <c r="G536" s="38">
        <v>48</v>
      </c>
      <c r="H536" s="160" t="s">
        <v>6043</v>
      </c>
      <c r="I536" s="38" t="s">
        <v>6044</v>
      </c>
      <c r="J536" s="38"/>
      <c r="K536" s="38" t="s">
        <v>5365</v>
      </c>
      <c r="N536" s="34"/>
    </row>
    <row r="537" spans="1:22" s="39" customFormat="1" ht="11.25" customHeight="1" x14ac:dyDescent="0.35">
      <c r="A537" s="38" t="s">
        <v>60</v>
      </c>
      <c r="B537" s="39" t="s">
        <v>6041</v>
      </c>
      <c r="C537" s="106" t="s">
        <v>6045</v>
      </c>
      <c r="D537" s="82" t="s">
        <v>6046</v>
      </c>
      <c r="E537" s="38">
        <v>12</v>
      </c>
      <c r="F537" s="26" t="s">
        <v>5832</v>
      </c>
      <c r="G537" s="38">
        <v>12</v>
      </c>
      <c r="H537" s="160" t="s">
        <v>6047</v>
      </c>
      <c r="I537" s="38" t="s">
        <v>6048</v>
      </c>
      <c r="J537" s="38" t="s">
        <v>6049</v>
      </c>
      <c r="K537" s="38" t="s">
        <v>5365</v>
      </c>
      <c r="N537" s="34"/>
    </row>
    <row r="538" spans="1:22" s="39" customFormat="1" ht="11.25" customHeight="1" x14ac:dyDescent="0.35">
      <c r="A538" s="38" t="s">
        <v>60</v>
      </c>
      <c r="B538" s="39" t="s">
        <v>6041</v>
      </c>
      <c r="C538" s="106" t="s">
        <v>6050</v>
      </c>
      <c r="D538" s="82" t="s">
        <v>6051</v>
      </c>
      <c r="E538" s="38">
        <v>12</v>
      </c>
      <c r="F538" s="26" t="s">
        <v>5832</v>
      </c>
      <c r="G538" s="38">
        <v>12</v>
      </c>
      <c r="H538" s="160" t="s">
        <v>6052</v>
      </c>
      <c r="I538" s="38" t="s">
        <v>6053</v>
      </c>
      <c r="J538" s="38" t="s">
        <v>6049</v>
      </c>
      <c r="K538" s="38" t="s">
        <v>5365</v>
      </c>
      <c r="N538" s="34"/>
    </row>
    <row r="539" spans="1:22" s="39" customFormat="1" ht="11.25" customHeight="1" x14ac:dyDescent="0.35">
      <c r="A539" s="38" t="s">
        <v>60</v>
      </c>
      <c r="B539" s="39" t="s">
        <v>6041</v>
      </c>
      <c r="C539" s="106" t="s">
        <v>6054</v>
      </c>
      <c r="D539" s="82" t="s">
        <v>239</v>
      </c>
      <c r="E539" s="38">
        <v>48</v>
      </c>
      <c r="F539" s="26" t="s">
        <v>5832</v>
      </c>
      <c r="G539" s="38">
        <v>48</v>
      </c>
      <c r="H539" s="160" t="s">
        <v>6052</v>
      </c>
      <c r="I539" s="38" t="s">
        <v>6055</v>
      </c>
      <c r="J539" s="38" t="s">
        <v>6049</v>
      </c>
      <c r="K539" s="38" t="s">
        <v>5365</v>
      </c>
      <c r="N539" s="34"/>
    </row>
    <row r="540" spans="1:22" s="39" customFormat="1" ht="11.25" customHeight="1" x14ac:dyDescent="0.35">
      <c r="A540" s="38" t="s">
        <v>60</v>
      </c>
      <c r="B540" s="39" t="s">
        <v>6041</v>
      </c>
      <c r="C540" s="106" t="s">
        <v>6056</v>
      </c>
      <c r="D540" s="82" t="s">
        <v>239</v>
      </c>
      <c r="E540" s="38">
        <v>24</v>
      </c>
      <c r="F540" s="26" t="s">
        <v>5832</v>
      </c>
      <c r="G540" s="38">
        <v>24</v>
      </c>
      <c r="H540" s="160" t="s">
        <v>6057</v>
      </c>
      <c r="I540" s="38" t="s">
        <v>6055</v>
      </c>
      <c r="J540" s="38" t="s">
        <v>6049</v>
      </c>
      <c r="K540" s="38" t="s">
        <v>5365</v>
      </c>
      <c r="N540" s="34"/>
    </row>
    <row r="541" spans="1:22" s="39" customFormat="1" ht="11.25" customHeight="1" x14ac:dyDescent="0.35">
      <c r="A541" s="38" t="s">
        <v>60</v>
      </c>
      <c r="B541" s="39" t="s">
        <v>6041</v>
      </c>
      <c r="C541" s="106" t="s">
        <v>6058</v>
      </c>
      <c r="D541" s="82" t="s">
        <v>239</v>
      </c>
      <c r="E541" s="38">
        <v>24</v>
      </c>
      <c r="F541" s="26" t="s">
        <v>5832</v>
      </c>
      <c r="G541" s="38">
        <v>24</v>
      </c>
      <c r="H541" s="160" t="s">
        <v>6052</v>
      </c>
      <c r="I541" s="38" t="s">
        <v>6055</v>
      </c>
      <c r="J541" s="38" t="s">
        <v>6049</v>
      </c>
      <c r="K541" s="38" t="s">
        <v>5365</v>
      </c>
      <c r="N541" s="34"/>
    </row>
    <row r="542" spans="1:22" s="39" customFormat="1" ht="11.25" customHeight="1" x14ac:dyDescent="0.35">
      <c r="A542" s="38" t="s">
        <v>60</v>
      </c>
      <c r="B542" s="39" t="s">
        <v>6041</v>
      </c>
      <c r="C542" s="106" t="s">
        <v>6059</v>
      </c>
      <c r="D542" s="82" t="s">
        <v>2403</v>
      </c>
      <c r="E542" s="38">
        <v>48</v>
      </c>
      <c r="F542" s="26" t="s">
        <v>5832</v>
      </c>
      <c r="G542" s="38">
        <v>48</v>
      </c>
      <c r="H542" s="160" t="s">
        <v>6057</v>
      </c>
      <c r="I542" s="38" t="s">
        <v>6055</v>
      </c>
      <c r="J542" s="38" t="s">
        <v>6049</v>
      </c>
      <c r="K542" s="38" t="s">
        <v>5365</v>
      </c>
      <c r="N542" s="34"/>
    </row>
    <row r="543" spans="1:22" s="39" customFormat="1" ht="11.25" customHeight="1" x14ac:dyDescent="0.35">
      <c r="A543" s="38" t="s">
        <v>60</v>
      </c>
      <c r="B543" s="39" t="s">
        <v>6041</v>
      </c>
      <c r="C543" s="106" t="s">
        <v>6060</v>
      </c>
      <c r="D543" s="82" t="s">
        <v>2403</v>
      </c>
      <c r="E543" s="38">
        <v>48</v>
      </c>
      <c r="F543" s="26" t="s">
        <v>5832</v>
      </c>
      <c r="G543" s="38">
        <v>48</v>
      </c>
      <c r="H543" s="160" t="s">
        <v>6047</v>
      </c>
      <c r="I543" s="38" t="s">
        <v>6055</v>
      </c>
      <c r="J543" s="38" t="s">
        <v>6049</v>
      </c>
      <c r="K543" s="38" t="s">
        <v>5365</v>
      </c>
      <c r="N543" s="34"/>
    </row>
    <row r="544" spans="1:22" s="39" customFormat="1" ht="11.25" customHeight="1" x14ac:dyDescent="0.35">
      <c r="A544" s="38" t="s">
        <v>60</v>
      </c>
      <c r="B544" s="39" t="s">
        <v>6041</v>
      </c>
      <c r="C544" s="106" t="s">
        <v>6061</v>
      </c>
      <c r="D544" s="82" t="s">
        <v>5245</v>
      </c>
      <c r="E544" s="38">
        <v>24</v>
      </c>
      <c r="F544" s="26" t="s">
        <v>5832</v>
      </c>
      <c r="G544" s="38">
        <v>24</v>
      </c>
      <c r="H544" s="160" t="s">
        <v>6057</v>
      </c>
      <c r="I544" s="38" t="s">
        <v>6055</v>
      </c>
      <c r="J544" s="38" t="s">
        <v>6049</v>
      </c>
      <c r="K544" s="38" t="s">
        <v>5365</v>
      </c>
      <c r="N544" s="34"/>
    </row>
    <row r="545" spans="1:22" s="35" customFormat="1" ht="11.25" customHeight="1" x14ac:dyDescent="0.35">
      <c r="A545" s="33" t="s">
        <v>35</v>
      </c>
      <c r="B545" s="35" t="s">
        <v>6062</v>
      </c>
      <c r="C545" s="272" t="s">
        <v>6063</v>
      </c>
      <c r="D545" s="31" t="s">
        <v>6064</v>
      </c>
      <c r="E545" s="33">
        <v>10</v>
      </c>
      <c r="F545" s="22" t="s">
        <v>6065</v>
      </c>
      <c r="G545" s="33"/>
      <c r="H545" s="159" t="s">
        <v>4732</v>
      </c>
      <c r="I545" s="33"/>
      <c r="J545" s="33"/>
      <c r="K545" s="33" t="s">
        <v>5338</v>
      </c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</row>
    <row r="546" spans="1:22" s="39" customFormat="1" ht="11.25" customHeight="1" x14ac:dyDescent="0.35">
      <c r="A546" s="38" t="s">
        <v>35</v>
      </c>
      <c r="B546" s="39" t="s">
        <v>6062</v>
      </c>
      <c r="C546" s="106" t="s">
        <v>5946</v>
      </c>
      <c r="D546" s="82" t="s">
        <v>6066</v>
      </c>
      <c r="E546" s="38">
        <v>20</v>
      </c>
      <c r="F546" s="26" t="s">
        <v>6065</v>
      </c>
      <c r="G546" s="38">
        <v>20</v>
      </c>
      <c r="H546" s="160">
        <v>45103</v>
      </c>
      <c r="I546" s="38" t="s">
        <v>6067</v>
      </c>
      <c r="J546" s="38"/>
      <c r="K546" s="38" t="s">
        <v>5365</v>
      </c>
    </row>
    <row r="547" spans="1:22" s="39" customFormat="1" ht="11.25" customHeight="1" x14ac:dyDescent="0.35">
      <c r="A547" s="38" t="s">
        <v>35</v>
      </c>
      <c r="B547" s="39" t="s">
        <v>6062</v>
      </c>
      <c r="C547" s="106" t="s">
        <v>6068</v>
      </c>
      <c r="D547" s="82" t="s">
        <v>6069</v>
      </c>
      <c r="E547" s="38">
        <v>1</v>
      </c>
      <c r="F547" s="26" t="s">
        <v>6065</v>
      </c>
      <c r="G547" s="38">
        <v>1</v>
      </c>
      <c r="H547" s="160" t="s">
        <v>6070</v>
      </c>
      <c r="I547" s="38" t="s">
        <v>6067</v>
      </c>
      <c r="J547" s="38"/>
      <c r="K547" s="38" t="s">
        <v>5365</v>
      </c>
    </row>
    <row r="548" spans="1:22" s="39" customFormat="1" ht="11.25" customHeight="1" x14ac:dyDescent="0.35">
      <c r="A548" s="38" t="s">
        <v>35</v>
      </c>
      <c r="B548" s="39" t="s">
        <v>6062</v>
      </c>
      <c r="C548" s="106" t="s">
        <v>5954</v>
      </c>
      <c r="D548" s="82" t="s">
        <v>6071</v>
      </c>
      <c r="E548" s="38">
        <v>80</v>
      </c>
      <c r="F548" s="26" t="s">
        <v>6065</v>
      </c>
      <c r="G548" s="38">
        <v>80</v>
      </c>
      <c r="H548" s="160" t="s">
        <v>6070</v>
      </c>
      <c r="I548" s="38" t="s">
        <v>6067</v>
      </c>
      <c r="J548" s="38"/>
      <c r="K548" s="38" t="s">
        <v>5365</v>
      </c>
    </row>
    <row r="549" spans="1:22" s="39" customFormat="1" ht="11.25" customHeight="1" x14ac:dyDescent="0.35">
      <c r="A549" s="38" t="s">
        <v>35</v>
      </c>
      <c r="B549" s="39" t="s">
        <v>6062</v>
      </c>
      <c r="C549" s="106" t="s">
        <v>6072</v>
      </c>
      <c r="D549" s="82" t="s">
        <v>239</v>
      </c>
      <c r="E549" s="38">
        <v>50</v>
      </c>
      <c r="F549" s="26" t="s">
        <v>6065</v>
      </c>
      <c r="G549" s="38">
        <v>50</v>
      </c>
      <c r="H549" s="160" t="s">
        <v>6070</v>
      </c>
      <c r="I549" s="38" t="s">
        <v>6067</v>
      </c>
      <c r="J549" s="38"/>
      <c r="K549" s="38" t="s">
        <v>5365</v>
      </c>
    </row>
    <row r="550" spans="1:22" s="39" customFormat="1" ht="11.25" customHeight="1" x14ac:dyDescent="0.35">
      <c r="A550" s="38" t="s">
        <v>35</v>
      </c>
      <c r="B550" s="39" t="s">
        <v>6062</v>
      </c>
      <c r="C550" s="106" t="s">
        <v>6073</v>
      </c>
      <c r="D550" s="82" t="s">
        <v>1181</v>
      </c>
      <c r="E550" s="38">
        <v>35</v>
      </c>
      <c r="F550" s="26" t="s">
        <v>6065</v>
      </c>
      <c r="G550" s="38">
        <v>35</v>
      </c>
      <c r="H550" s="160" t="s">
        <v>6070</v>
      </c>
      <c r="I550" s="38" t="s">
        <v>6067</v>
      </c>
      <c r="J550" s="38"/>
      <c r="K550" s="38" t="s">
        <v>5365</v>
      </c>
    </row>
    <row r="551" spans="1:22" s="39" customFormat="1" ht="11.25" customHeight="1" x14ac:dyDescent="0.35">
      <c r="A551" s="38" t="s">
        <v>35</v>
      </c>
      <c r="B551" s="39" t="s">
        <v>6062</v>
      </c>
      <c r="C551" s="106" t="s">
        <v>6074</v>
      </c>
      <c r="D551" s="82" t="s">
        <v>6075</v>
      </c>
      <c r="E551" s="38">
        <v>5</v>
      </c>
      <c r="F551" s="26" t="s">
        <v>6065</v>
      </c>
      <c r="G551" s="38">
        <v>5</v>
      </c>
      <c r="H551" s="160">
        <v>45103</v>
      </c>
      <c r="I551" s="38" t="s">
        <v>6067</v>
      </c>
      <c r="J551" s="38"/>
      <c r="K551" s="38" t="s">
        <v>5365</v>
      </c>
    </row>
    <row r="552" spans="1:22" s="39" customFormat="1" ht="11.25" customHeight="1" x14ac:dyDescent="0.35">
      <c r="A552" s="38" t="s">
        <v>35</v>
      </c>
      <c r="B552" s="39" t="s">
        <v>6062</v>
      </c>
      <c r="C552" s="106" t="s">
        <v>6076</v>
      </c>
      <c r="D552" s="82" t="s">
        <v>1785</v>
      </c>
      <c r="E552" s="38">
        <v>120</v>
      </c>
      <c r="F552" s="26" t="s">
        <v>6065</v>
      </c>
      <c r="G552" s="38">
        <v>120</v>
      </c>
      <c r="H552" s="160" t="s">
        <v>6070</v>
      </c>
      <c r="I552" s="38" t="s">
        <v>6067</v>
      </c>
      <c r="J552" s="38"/>
      <c r="K552" s="38" t="s">
        <v>5365</v>
      </c>
    </row>
    <row r="553" spans="1:22" s="39" customFormat="1" ht="11.25" customHeight="1" x14ac:dyDescent="0.35">
      <c r="A553" s="38" t="s">
        <v>35</v>
      </c>
      <c r="B553" s="39" t="s">
        <v>6062</v>
      </c>
      <c r="C553" s="106" t="s">
        <v>6077</v>
      </c>
      <c r="D553" s="82" t="s">
        <v>138</v>
      </c>
      <c r="E553" s="38">
        <v>200</v>
      </c>
      <c r="F553" s="26" t="s">
        <v>6065</v>
      </c>
      <c r="G553" s="38">
        <v>200</v>
      </c>
      <c r="H553" s="160" t="s">
        <v>6070</v>
      </c>
      <c r="I553" s="38" t="s">
        <v>6067</v>
      </c>
      <c r="J553" s="38"/>
      <c r="K553" s="38" t="s">
        <v>5365</v>
      </c>
    </row>
    <row r="554" spans="1:22" s="39" customFormat="1" ht="11.25" customHeight="1" x14ac:dyDescent="0.35">
      <c r="A554" s="38" t="s">
        <v>35</v>
      </c>
      <c r="B554" s="39" t="s">
        <v>6062</v>
      </c>
      <c r="C554" s="106" t="s">
        <v>6078</v>
      </c>
      <c r="D554" s="82" t="s">
        <v>6079</v>
      </c>
      <c r="E554" s="38">
        <v>5</v>
      </c>
      <c r="F554" s="26" t="s">
        <v>6065</v>
      </c>
      <c r="G554" s="38">
        <v>5</v>
      </c>
      <c r="H554" s="160" t="s">
        <v>6070</v>
      </c>
      <c r="I554" s="38" t="s">
        <v>6067</v>
      </c>
      <c r="J554" s="38"/>
      <c r="K554" s="38" t="s">
        <v>5365</v>
      </c>
    </row>
    <row r="555" spans="1:22" s="39" customFormat="1" ht="11.25" customHeight="1" x14ac:dyDescent="0.35">
      <c r="A555" s="38" t="s">
        <v>35</v>
      </c>
      <c r="B555" s="39" t="s">
        <v>6062</v>
      </c>
      <c r="C555" s="106" t="s">
        <v>6080</v>
      </c>
      <c r="D555" s="82" t="s">
        <v>6081</v>
      </c>
      <c r="E555" s="38">
        <v>10</v>
      </c>
      <c r="F555" s="26" t="s">
        <v>6082</v>
      </c>
      <c r="G555" s="38">
        <v>10</v>
      </c>
      <c r="H555" s="160" t="s">
        <v>4732</v>
      </c>
      <c r="I555" s="38" t="s">
        <v>6083</v>
      </c>
      <c r="J555" s="38"/>
      <c r="K555" s="38" t="s">
        <v>5365</v>
      </c>
      <c r="L555" s="34"/>
    </row>
    <row r="556" spans="1:22" s="39" customFormat="1" ht="11.25" customHeight="1" x14ac:dyDescent="0.35">
      <c r="A556" s="38" t="s">
        <v>35</v>
      </c>
      <c r="B556" s="39" t="s">
        <v>6062</v>
      </c>
      <c r="C556" s="106" t="s">
        <v>6084</v>
      </c>
      <c r="D556" s="82" t="s">
        <v>6085</v>
      </c>
      <c r="E556" s="38">
        <v>1</v>
      </c>
      <c r="F556" s="26" t="s">
        <v>6082</v>
      </c>
      <c r="G556" s="38">
        <v>1</v>
      </c>
      <c r="H556" s="160" t="s">
        <v>4732</v>
      </c>
      <c r="I556" s="38"/>
      <c r="J556" s="38"/>
      <c r="K556" s="38" t="s">
        <v>5365</v>
      </c>
      <c r="L556" s="34"/>
    </row>
    <row r="557" spans="1:22" s="39" customFormat="1" ht="11.25" customHeight="1" x14ac:dyDescent="0.35">
      <c r="A557" s="38" t="s">
        <v>35</v>
      </c>
      <c r="B557" s="39" t="s">
        <v>6062</v>
      </c>
      <c r="C557" s="106" t="s">
        <v>6086</v>
      </c>
      <c r="D557" s="82" t="s">
        <v>6087</v>
      </c>
      <c r="E557" s="38">
        <v>10</v>
      </c>
      <c r="F557" s="26" t="s">
        <v>6082</v>
      </c>
      <c r="G557" s="38">
        <v>10</v>
      </c>
      <c r="H557" s="160" t="s">
        <v>4732</v>
      </c>
      <c r="I557" s="38" t="s">
        <v>6040</v>
      </c>
      <c r="J557" s="38"/>
      <c r="K557" s="38" t="s">
        <v>5365</v>
      </c>
      <c r="L557" s="34"/>
    </row>
    <row r="558" spans="1:22" s="39" customFormat="1" ht="11.25" customHeight="1" x14ac:dyDescent="0.35">
      <c r="A558" s="38" t="s">
        <v>35</v>
      </c>
      <c r="B558" s="39" t="s">
        <v>6062</v>
      </c>
      <c r="C558" s="106" t="s">
        <v>6088</v>
      </c>
      <c r="D558" s="82" t="s">
        <v>6089</v>
      </c>
      <c r="E558" s="38">
        <v>10</v>
      </c>
      <c r="F558" s="26" t="s">
        <v>6082</v>
      </c>
      <c r="G558" s="38">
        <v>10</v>
      </c>
      <c r="H558" s="160" t="s">
        <v>4732</v>
      </c>
      <c r="I558" s="38" t="s">
        <v>6040</v>
      </c>
      <c r="J558" s="38"/>
      <c r="K558" s="38" t="s">
        <v>5365</v>
      </c>
      <c r="L558" s="34"/>
    </row>
    <row r="559" spans="1:22" s="35" customFormat="1" ht="11.25" customHeight="1" x14ac:dyDescent="0.35">
      <c r="A559" s="33" t="s">
        <v>35</v>
      </c>
      <c r="B559" s="35" t="s">
        <v>6062</v>
      </c>
      <c r="C559" s="272" t="s">
        <v>6090</v>
      </c>
      <c r="D559" s="31" t="s">
        <v>6019</v>
      </c>
      <c r="E559" s="33">
        <v>1</v>
      </c>
      <c r="F559" s="22" t="s">
        <v>6091</v>
      </c>
      <c r="G559" s="33"/>
      <c r="H559" s="159" t="s">
        <v>4732</v>
      </c>
      <c r="I559" s="33"/>
      <c r="J559" s="33"/>
      <c r="K559" s="33" t="s">
        <v>5338</v>
      </c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</row>
    <row r="560" spans="1:22" s="39" customFormat="1" ht="11.25" customHeight="1" x14ac:dyDescent="0.35">
      <c r="A560" s="38" t="s">
        <v>4832</v>
      </c>
      <c r="B560" s="39" t="s">
        <v>5904</v>
      </c>
      <c r="C560" s="106" t="s">
        <v>6092</v>
      </c>
      <c r="D560" s="82" t="s">
        <v>6093</v>
      </c>
      <c r="E560" s="38">
        <v>1</v>
      </c>
      <c r="F560" s="26" t="s">
        <v>6094</v>
      </c>
      <c r="G560" s="38">
        <v>1</v>
      </c>
      <c r="H560" s="160" t="s">
        <v>6095</v>
      </c>
      <c r="I560" s="38" t="s">
        <v>5980</v>
      </c>
      <c r="J560" s="38"/>
      <c r="K560" s="38" t="s">
        <v>5365</v>
      </c>
    </row>
    <row r="561" spans="1:22" s="39" customFormat="1" ht="11.25" customHeight="1" x14ac:dyDescent="0.35">
      <c r="A561" s="38" t="s">
        <v>35</v>
      </c>
      <c r="B561" s="39" t="s">
        <v>6062</v>
      </c>
      <c r="C561" s="106" t="s">
        <v>6080</v>
      </c>
      <c r="D561" s="82" t="s">
        <v>6081</v>
      </c>
      <c r="E561" s="38">
        <v>10</v>
      </c>
      <c r="F561" s="26" t="s">
        <v>6082</v>
      </c>
      <c r="G561" s="38">
        <v>10</v>
      </c>
      <c r="H561" s="160">
        <v>45240</v>
      </c>
      <c r="I561" s="38" t="s">
        <v>6096</v>
      </c>
      <c r="J561" s="38"/>
      <c r="K561" s="38" t="s">
        <v>5365</v>
      </c>
    </row>
    <row r="562" spans="1:22" s="35" customFormat="1" ht="11.25" customHeight="1" x14ac:dyDescent="0.35">
      <c r="A562" s="33" t="s">
        <v>35</v>
      </c>
      <c r="B562" s="35" t="s">
        <v>6062</v>
      </c>
      <c r="C562" s="272" t="s">
        <v>6084</v>
      </c>
      <c r="D562" s="31" t="s">
        <v>6085</v>
      </c>
      <c r="E562" s="33">
        <v>10</v>
      </c>
      <c r="F562" s="22" t="s">
        <v>6082</v>
      </c>
      <c r="G562" s="33"/>
      <c r="H562" s="159" t="s">
        <v>4732</v>
      </c>
      <c r="I562" s="33"/>
      <c r="J562" s="33"/>
      <c r="K562" s="33" t="s">
        <v>5338</v>
      </c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</row>
    <row r="563" spans="1:22" s="35" customFormat="1" ht="11.25" customHeight="1" x14ac:dyDescent="0.35">
      <c r="A563" s="33" t="s">
        <v>35</v>
      </c>
      <c r="B563" s="35" t="s">
        <v>6062</v>
      </c>
      <c r="C563" s="272" t="s">
        <v>6086</v>
      </c>
      <c r="D563" s="31" t="s">
        <v>6087</v>
      </c>
      <c r="E563" s="33">
        <v>10</v>
      </c>
      <c r="F563" s="22" t="s">
        <v>6082</v>
      </c>
      <c r="G563" s="33"/>
      <c r="H563" s="159" t="s">
        <v>4732</v>
      </c>
      <c r="I563" s="33"/>
      <c r="J563" s="33"/>
      <c r="K563" s="33" t="s">
        <v>5338</v>
      </c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</row>
    <row r="564" spans="1:22" s="35" customFormat="1" ht="11.25" customHeight="1" x14ac:dyDescent="0.35">
      <c r="A564" s="33" t="s">
        <v>35</v>
      </c>
      <c r="B564" s="35" t="s">
        <v>6062</v>
      </c>
      <c r="C564" s="272" t="s">
        <v>6088</v>
      </c>
      <c r="D564" s="31" t="s">
        <v>6089</v>
      </c>
      <c r="E564" s="33">
        <v>10</v>
      </c>
      <c r="F564" s="22" t="s">
        <v>6082</v>
      </c>
      <c r="G564" s="33"/>
      <c r="H564" s="159" t="s">
        <v>4732</v>
      </c>
      <c r="I564" s="33"/>
      <c r="J564" s="33"/>
      <c r="K564" s="33" t="s">
        <v>5338</v>
      </c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</row>
    <row r="565" spans="1:22" s="35" customFormat="1" ht="11.25" customHeight="1" x14ac:dyDescent="0.35">
      <c r="A565" s="33" t="s">
        <v>35</v>
      </c>
      <c r="B565" s="35" t="s">
        <v>6062</v>
      </c>
      <c r="C565" s="272" t="s">
        <v>6090</v>
      </c>
      <c r="D565" s="31" t="s">
        <v>6019</v>
      </c>
      <c r="E565" s="33">
        <v>10</v>
      </c>
      <c r="F565" s="22" t="s">
        <v>6091</v>
      </c>
      <c r="G565" s="33"/>
      <c r="H565" s="159" t="s">
        <v>4732</v>
      </c>
      <c r="I565" s="33"/>
      <c r="J565" s="33"/>
      <c r="K565" s="33" t="s">
        <v>5338</v>
      </c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</row>
    <row r="566" spans="1:22" s="39" customFormat="1" ht="11.25" customHeight="1" x14ac:dyDescent="0.35">
      <c r="A566" s="38" t="s">
        <v>4832</v>
      </c>
      <c r="B566" s="39" t="s">
        <v>5904</v>
      </c>
      <c r="C566" s="106" t="s">
        <v>6092</v>
      </c>
      <c r="D566" s="82" t="s">
        <v>6093</v>
      </c>
      <c r="E566" s="38">
        <v>1</v>
      </c>
      <c r="F566" s="26" t="s">
        <v>6094</v>
      </c>
      <c r="G566" s="38">
        <v>1</v>
      </c>
      <c r="H566" s="160" t="s">
        <v>6097</v>
      </c>
      <c r="I566" s="38" t="s">
        <v>5980</v>
      </c>
      <c r="J566" s="38"/>
      <c r="K566" s="38" t="s">
        <v>5365</v>
      </c>
    </row>
    <row r="567" spans="1:22" s="39" customFormat="1" ht="11.25" customHeight="1" x14ac:dyDescent="0.35">
      <c r="A567" s="38" t="s">
        <v>4832</v>
      </c>
      <c r="B567" s="39" t="s">
        <v>5904</v>
      </c>
      <c r="C567" s="106" t="s">
        <v>6098</v>
      </c>
      <c r="D567" s="82" t="s">
        <v>6099</v>
      </c>
      <c r="E567" s="38">
        <v>5</v>
      </c>
      <c r="F567" s="26" t="s">
        <v>6094</v>
      </c>
      <c r="G567" s="38">
        <v>5</v>
      </c>
      <c r="H567" s="160" t="s">
        <v>6100</v>
      </c>
      <c r="I567" s="38" t="s">
        <v>6096</v>
      </c>
      <c r="J567" s="38"/>
      <c r="K567" s="38" t="s">
        <v>5365</v>
      </c>
    </row>
    <row r="568" spans="1:22" s="39" customFormat="1" ht="11.25" customHeight="1" x14ac:dyDescent="0.35">
      <c r="A568" s="38" t="s">
        <v>4832</v>
      </c>
      <c r="B568" s="39" t="s">
        <v>5904</v>
      </c>
      <c r="C568" s="106" t="s">
        <v>6101</v>
      </c>
      <c r="D568" s="82" t="s">
        <v>6102</v>
      </c>
      <c r="E568" s="38">
        <v>10</v>
      </c>
      <c r="F568" s="26" t="s">
        <v>6094</v>
      </c>
      <c r="G568" s="38">
        <v>10</v>
      </c>
      <c r="H568" s="160" t="s">
        <v>6103</v>
      </c>
      <c r="I568" s="38" t="s">
        <v>6096</v>
      </c>
      <c r="J568" s="38"/>
      <c r="K568" s="38" t="s">
        <v>5365</v>
      </c>
    </row>
    <row r="569" spans="1:22" s="39" customFormat="1" ht="11.25" customHeight="1" x14ac:dyDescent="0.35">
      <c r="A569" s="38" t="s">
        <v>4832</v>
      </c>
      <c r="B569" s="39" t="s">
        <v>5904</v>
      </c>
      <c r="C569" s="106" t="s">
        <v>6104</v>
      </c>
      <c r="D569" s="82" t="s">
        <v>5208</v>
      </c>
      <c r="E569" s="38">
        <v>1</v>
      </c>
      <c r="F569" s="26" t="s">
        <v>6094</v>
      </c>
      <c r="G569" s="38">
        <v>1</v>
      </c>
      <c r="H569" s="160" t="s">
        <v>6105</v>
      </c>
      <c r="I569" s="38" t="s">
        <v>6096</v>
      </c>
      <c r="J569" s="38"/>
      <c r="K569" s="38" t="s">
        <v>5365</v>
      </c>
    </row>
    <row r="570" spans="1:22" s="39" customFormat="1" ht="11.25" customHeight="1" x14ac:dyDescent="0.35">
      <c r="A570" s="38" t="s">
        <v>4832</v>
      </c>
      <c r="B570" s="39" t="s">
        <v>5904</v>
      </c>
      <c r="C570" s="106" t="s">
        <v>197</v>
      </c>
      <c r="D570" s="82" t="s">
        <v>6106</v>
      </c>
      <c r="E570" s="38">
        <v>5</v>
      </c>
      <c r="F570" s="26" t="s">
        <v>6094</v>
      </c>
      <c r="G570" s="38">
        <v>5</v>
      </c>
      <c r="H570" s="160" t="s">
        <v>6107</v>
      </c>
      <c r="I570" s="38" t="s">
        <v>6040</v>
      </c>
      <c r="J570" s="38"/>
      <c r="K570" s="38" t="s">
        <v>5365</v>
      </c>
    </row>
    <row r="571" spans="1:22" ht="11.25" customHeight="1" x14ac:dyDescent="0.35">
      <c r="A571" s="47" t="s">
        <v>4832</v>
      </c>
      <c r="B571" s="35" t="s">
        <v>5904</v>
      </c>
      <c r="C571" s="272" t="s">
        <v>6009</v>
      </c>
      <c r="D571" s="31" t="s">
        <v>4873</v>
      </c>
      <c r="E571" s="33">
        <v>60</v>
      </c>
      <c r="F571" s="22" t="s">
        <v>6094</v>
      </c>
      <c r="G571" s="33"/>
      <c r="H571" s="159" t="s">
        <v>4732</v>
      </c>
      <c r="K571" s="33" t="s">
        <v>5338</v>
      </c>
      <c r="L571" s="34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spans="1:22" ht="11.25" customHeight="1" x14ac:dyDescent="0.35">
      <c r="A572" s="47" t="s">
        <v>4832</v>
      </c>
      <c r="B572" s="35" t="s">
        <v>5904</v>
      </c>
      <c r="C572" s="272" t="s">
        <v>6108</v>
      </c>
      <c r="D572" s="31" t="s">
        <v>2422</v>
      </c>
      <c r="E572" s="33">
        <v>30</v>
      </c>
      <c r="F572" s="22" t="s">
        <v>6094</v>
      </c>
      <c r="G572" s="33"/>
      <c r="H572" s="159" t="s">
        <v>4732</v>
      </c>
      <c r="K572" s="33" t="s">
        <v>5338</v>
      </c>
      <c r="L572" s="34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spans="1:22" s="39" customFormat="1" ht="11.25" customHeight="1" x14ac:dyDescent="0.35">
      <c r="A573" s="38" t="s">
        <v>4832</v>
      </c>
      <c r="B573" s="39" t="s">
        <v>5904</v>
      </c>
      <c r="C573" s="106"/>
      <c r="D573" s="82" t="s">
        <v>4873</v>
      </c>
      <c r="E573" s="38">
        <v>120</v>
      </c>
      <c r="F573" s="26" t="s">
        <v>6094</v>
      </c>
      <c r="G573" s="38">
        <v>120</v>
      </c>
      <c r="H573" s="160" t="s">
        <v>5979</v>
      </c>
      <c r="I573" s="38" t="s">
        <v>6096</v>
      </c>
      <c r="J573" s="38"/>
      <c r="K573" s="38" t="s">
        <v>5365</v>
      </c>
    </row>
    <row r="574" spans="1:22" s="39" customFormat="1" ht="11.25" customHeight="1" x14ac:dyDescent="0.35">
      <c r="A574" s="38" t="s">
        <v>4832</v>
      </c>
      <c r="B574" s="39" t="s">
        <v>5904</v>
      </c>
      <c r="C574" s="106" t="s">
        <v>6109</v>
      </c>
      <c r="D574" s="82" t="s">
        <v>4815</v>
      </c>
      <c r="E574" s="38">
        <v>120</v>
      </c>
      <c r="F574" s="26" t="s">
        <v>6094</v>
      </c>
      <c r="G574" s="38">
        <v>11</v>
      </c>
      <c r="H574" s="160" t="s">
        <v>6094</v>
      </c>
      <c r="I574" s="38" t="s">
        <v>6110</v>
      </c>
      <c r="J574" s="38"/>
      <c r="K574" s="38" t="s">
        <v>5365</v>
      </c>
    </row>
    <row r="575" spans="1:22" s="39" customFormat="1" ht="11.25" customHeight="1" x14ac:dyDescent="0.35">
      <c r="A575" s="38" t="s">
        <v>4832</v>
      </c>
      <c r="B575" s="39" t="s">
        <v>5904</v>
      </c>
      <c r="C575" s="106" t="s">
        <v>6111</v>
      </c>
      <c r="D575" s="82" t="s">
        <v>6112</v>
      </c>
      <c r="E575" s="38">
        <v>5</v>
      </c>
      <c r="F575" s="26" t="s">
        <v>6094</v>
      </c>
      <c r="G575" s="38">
        <v>5</v>
      </c>
      <c r="H575" s="160" t="s">
        <v>6113</v>
      </c>
      <c r="I575" s="38" t="s">
        <v>6110</v>
      </c>
      <c r="J575" s="38"/>
      <c r="K575" s="38" t="s">
        <v>5365</v>
      </c>
    </row>
    <row r="576" spans="1:22" s="39" customFormat="1" ht="11.25" customHeight="1" x14ac:dyDescent="0.35">
      <c r="A576" s="38" t="s">
        <v>35</v>
      </c>
      <c r="B576" s="39" t="s">
        <v>6062</v>
      </c>
      <c r="C576" s="106" t="s">
        <v>6114</v>
      </c>
      <c r="D576" s="82" t="s">
        <v>6115</v>
      </c>
      <c r="E576" s="38">
        <v>10</v>
      </c>
      <c r="F576" s="26">
        <v>45053</v>
      </c>
      <c r="G576" s="38">
        <v>10</v>
      </c>
      <c r="H576" s="160" t="s">
        <v>6094</v>
      </c>
      <c r="I576" s="38" t="s">
        <v>6040</v>
      </c>
      <c r="J576" s="38"/>
      <c r="K576" s="38" t="s">
        <v>5365</v>
      </c>
    </row>
    <row r="577" spans="1:22" s="39" customFormat="1" ht="11.25" customHeight="1" x14ac:dyDescent="0.35">
      <c r="A577" s="38" t="s">
        <v>35</v>
      </c>
      <c r="B577" s="39" t="s">
        <v>6062</v>
      </c>
      <c r="C577" s="106" t="s">
        <v>1234</v>
      </c>
      <c r="D577" s="82" t="s">
        <v>6116</v>
      </c>
      <c r="E577" s="38">
        <v>10</v>
      </c>
      <c r="F577" s="26">
        <v>45053</v>
      </c>
      <c r="G577" s="38">
        <v>10</v>
      </c>
      <c r="H577" s="160" t="s">
        <v>6094</v>
      </c>
      <c r="I577" s="38" t="s">
        <v>6040</v>
      </c>
      <c r="J577" s="38"/>
      <c r="K577" s="38" t="s">
        <v>5365</v>
      </c>
    </row>
    <row r="578" spans="1:22" s="35" customFormat="1" ht="11.25" customHeight="1" x14ac:dyDescent="0.35">
      <c r="A578" s="33" t="s">
        <v>26</v>
      </c>
      <c r="B578" s="35" t="s">
        <v>5763</v>
      </c>
      <c r="C578" s="272">
        <v>1871190</v>
      </c>
      <c r="D578" s="31" t="s">
        <v>6117</v>
      </c>
      <c r="E578" s="33">
        <v>1</v>
      </c>
      <c r="F578" s="22" t="s">
        <v>6094</v>
      </c>
      <c r="G578" s="33"/>
      <c r="H578" s="159" t="s">
        <v>4732</v>
      </c>
      <c r="I578" s="33"/>
      <c r="J578" s="33"/>
      <c r="K578" s="33" t="s">
        <v>5338</v>
      </c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</row>
    <row r="579" spans="1:22" s="39" customFormat="1" ht="11.25" customHeight="1" x14ac:dyDescent="0.35">
      <c r="A579" s="38" t="s">
        <v>60</v>
      </c>
      <c r="B579" s="39" t="s">
        <v>6041</v>
      </c>
      <c r="C579" s="106" t="s">
        <v>1133</v>
      </c>
      <c r="D579" s="82" t="s">
        <v>6118</v>
      </c>
      <c r="E579" s="38">
        <v>3</v>
      </c>
      <c r="F579" s="26" t="s">
        <v>4732</v>
      </c>
      <c r="G579" s="38">
        <v>3</v>
      </c>
      <c r="H579" s="160" t="s">
        <v>6119</v>
      </c>
      <c r="I579" s="38" t="s">
        <v>6120</v>
      </c>
      <c r="J579" s="38"/>
      <c r="K579" s="38" t="s">
        <v>5365</v>
      </c>
      <c r="N579" s="34"/>
    </row>
    <row r="580" spans="1:22" s="35" customFormat="1" ht="11.25" customHeight="1" x14ac:dyDescent="0.35">
      <c r="A580" s="33" t="s">
        <v>60</v>
      </c>
      <c r="B580" s="35" t="s">
        <v>6041</v>
      </c>
      <c r="C580" s="272" t="s">
        <v>6121</v>
      </c>
      <c r="D580" s="31" t="s">
        <v>6122</v>
      </c>
      <c r="E580" s="33">
        <v>6</v>
      </c>
      <c r="F580" s="22">
        <v>45144</v>
      </c>
      <c r="G580" s="33"/>
      <c r="H580" s="159" t="s">
        <v>4732</v>
      </c>
      <c r="I580" s="33"/>
      <c r="J580" s="33"/>
      <c r="K580" s="33" t="s">
        <v>5338</v>
      </c>
      <c r="L580" s="34"/>
      <c r="M580" s="39"/>
      <c r="N580" s="34"/>
      <c r="O580" s="34"/>
      <c r="P580" s="34"/>
      <c r="Q580" s="34"/>
      <c r="R580" s="34"/>
      <c r="S580" s="34"/>
      <c r="T580" s="34"/>
      <c r="U580" s="34"/>
      <c r="V580" s="34"/>
    </row>
    <row r="581" spans="1:22" s="35" customFormat="1" ht="11.25" customHeight="1" x14ac:dyDescent="0.35">
      <c r="A581" s="33" t="s">
        <v>60</v>
      </c>
      <c r="B581" s="35" t="s">
        <v>6041</v>
      </c>
      <c r="C581" s="272" t="s">
        <v>6123</v>
      </c>
      <c r="D581" s="31" t="s">
        <v>239</v>
      </c>
      <c r="E581" s="33">
        <v>36</v>
      </c>
      <c r="F581" s="22">
        <v>45144</v>
      </c>
      <c r="G581" s="33"/>
      <c r="H581" s="159" t="s">
        <v>4732</v>
      </c>
      <c r="I581" s="33"/>
      <c r="J581" s="33"/>
      <c r="K581" s="33" t="s">
        <v>5338</v>
      </c>
      <c r="L581" s="34"/>
      <c r="M581" s="39"/>
      <c r="N581" s="34"/>
      <c r="O581" s="34"/>
      <c r="P581" s="34"/>
      <c r="Q581" s="34"/>
      <c r="R581" s="34"/>
      <c r="S581" s="34"/>
      <c r="T581" s="34"/>
      <c r="U581" s="34"/>
      <c r="V581" s="34"/>
    </row>
    <row r="582" spans="1:22" s="35" customFormat="1" ht="11.25" customHeight="1" x14ac:dyDescent="0.35">
      <c r="A582" s="33" t="s">
        <v>60</v>
      </c>
      <c r="B582" s="35" t="s">
        <v>6041</v>
      </c>
      <c r="C582" s="272" t="s">
        <v>6124</v>
      </c>
      <c r="D582" s="31" t="s">
        <v>239</v>
      </c>
      <c r="E582" s="33">
        <v>12</v>
      </c>
      <c r="F582" s="22">
        <v>45144</v>
      </c>
      <c r="G582" s="33"/>
      <c r="H582" s="159" t="s">
        <v>4732</v>
      </c>
      <c r="I582" s="33"/>
      <c r="J582" s="33"/>
      <c r="K582" s="33" t="s">
        <v>5338</v>
      </c>
      <c r="L582" s="34"/>
      <c r="M582" s="39"/>
      <c r="N582" s="34"/>
      <c r="O582" s="34"/>
      <c r="P582" s="34"/>
      <c r="Q582" s="34"/>
      <c r="R582" s="34"/>
      <c r="S582" s="34"/>
      <c r="T582" s="34"/>
      <c r="U582" s="34"/>
      <c r="V582" s="34"/>
    </row>
    <row r="583" spans="1:22" s="35" customFormat="1" ht="11.25" customHeight="1" x14ac:dyDescent="0.35">
      <c r="A583" s="33" t="s">
        <v>60</v>
      </c>
      <c r="B583" s="35" t="s">
        <v>6041</v>
      </c>
      <c r="C583" s="272" t="s">
        <v>6125</v>
      </c>
      <c r="D583" s="31" t="s">
        <v>2403</v>
      </c>
      <c r="E583" s="33">
        <v>12</v>
      </c>
      <c r="F583" s="22">
        <v>45144</v>
      </c>
      <c r="G583" s="33"/>
      <c r="H583" s="159" t="s">
        <v>4732</v>
      </c>
      <c r="I583" s="33"/>
      <c r="J583" s="33"/>
      <c r="K583" s="33" t="s">
        <v>5338</v>
      </c>
      <c r="L583" s="34"/>
      <c r="M583" s="39"/>
      <c r="N583" s="34"/>
      <c r="O583" s="34"/>
      <c r="P583" s="34"/>
      <c r="Q583" s="34"/>
      <c r="R583" s="34"/>
      <c r="S583" s="34"/>
      <c r="T583" s="34"/>
      <c r="U583" s="34"/>
      <c r="V583" s="34"/>
    </row>
    <row r="584" spans="1:22" s="39" customFormat="1" ht="11.25" customHeight="1" x14ac:dyDescent="0.35">
      <c r="A584" s="38" t="s">
        <v>60</v>
      </c>
      <c r="B584" s="39" t="s">
        <v>6041</v>
      </c>
      <c r="C584" s="106" t="s">
        <v>6126</v>
      </c>
      <c r="D584" s="82" t="s">
        <v>6127</v>
      </c>
      <c r="E584" s="38">
        <v>6</v>
      </c>
      <c r="F584" s="26">
        <v>45144</v>
      </c>
      <c r="G584" s="38">
        <v>6</v>
      </c>
      <c r="H584" s="160" t="s">
        <v>6128</v>
      </c>
      <c r="I584" s="38" t="s">
        <v>5980</v>
      </c>
      <c r="J584" s="38"/>
      <c r="K584" s="38" t="s">
        <v>5365</v>
      </c>
      <c r="N584" s="34"/>
    </row>
    <row r="585" spans="1:22" s="39" customFormat="1" ht="11.25" customHeight="1" x14ac:dyDescent="0.35">
      <c r="A585" s="38" t="s">
        <v>60</v>
      </c>
      <c r="B585" s="39" t="s">
        <v>6041</v>
      </c>
      <c r="C585" s="106" t="s">
        <v>5061</v>
      </c>
      <c r="D585" s="82" t="s">
        <v>6129</v>
      </c>
      <c r="E585" s="38">
        <v>6</v>
      </c>
      <c r="F585" s="26">
        <v>45144</v>
      </c>
      <c r="G585" s="38">
        <v>6</v>
      </c>
      <c r="H585" s="160" t="s">
        <v>6128</v>
      </c>
      <c r="I585" s="38" t="s">
        <v>5980</v>
      </c>
      <c r="J585" s="38"/>
      <c r="K585" s="38" t="s">
        <v>5365</v>
      </c>
      <c r="N585" s="34"/>
    </row>
    <row r="586" spans="1:22" s="35" customFormat="1" ht="11.25" customHeight="1" x14ac:dyDescent="0.35">
      <c r="A586" s="33" t="s">
        <v>60</v>
      </c>
      <c r="B586" s="35" t="s">
        <v>6041</v>
      </c>
      <c r="C586" s="272" t="s">
        <v>1345</v>
      </c>
      <c r="D586" s="31" t="s">
        <v>6130</v>
      </c>
      <c r="E586" s="33">
        <v>1</v>
      </c>
      <c r="F586" s="22">
        <v>45144</v>
      </c>
      <c r="G586" s="33"/>
      <c r="H586" s="159" t="s">
        <v>4732</v>
      </c>
      <c r="I586" s="33"/>
      <c r="J586" s="33"/>
      <c r="K586" s="33" t="s">
        <v>5338</v>
      </c>
      <c r="L586" s="34"/>
      <c r="M586" s="39"/>
      <c r="N586" s="34"/>
      <c r="O586" s="34"/>
      <c r="P586" s="34"/>
      <c r="Q586" s="34"/>
      <c r="R586" s="34"/>
      <c r="S586" s="34"/>
      <c r="T586" s="34"/>
      <c r="U586" s="34"/>
      <c r="V586" s="34"/>
    </row>
    <row r="587" spans="1:22" s="35" customFormat="1" ht="11.25" customHeight="1" x14ac:dyDescent="0.35">
      <c r="A587" s="33" t="s">
        <v>60</v>
      </c>
      <c r="B587" s="35" t="s">
        <v>6041</v>
      </c>
      <c r="C587" s="272" t="s">
        <v>6131</v>
      </c>
      <c r="D587" s="31" t="s">
        <v>5558</v>
      </c>
      <c r="E587" s="33">
        <v>12</v>
      </c>
      <c r="F587" s="22">
        <v>45144</v>
      </c>
      <c r="G587" s="33"/>
      <c r="H587" s="159" t="s">
        <v>4732</v>
      </c>
      <c r="I587" s="33"/>
      <c r="J587" s="33"/>
      <c r="K587" s="33" t="s">
        <v>5338</v>
      </c>
      <c r="L587" s="34"/>
      <c r="M587" s="39"/>
      <c r="N587" s="34"/>
      <c r="O587" s="34"/>
      <c r="P587" s="34"/>
      <c r="Q587" s="34"/>
      <c r="R587" s="34"/>
      <c r="S587" s="34"/>
      <c r="T587" s="34"/>
      <c r="U587" s="34"/>
      <c r="V587" s="34"/>
    </row>
    <row r="588" spans="1:22" s="39" customFormat="1" ht="11.25" customHeight="1" x14ac:dyDescent="0.35">
      <c r="A588" s="38" t="s">
        <v>60</v>
      </c>
      <c r="B588" s="39" t="s">
        <v>6041</v>
      </c>
      <c r="C588" s="106" t="s">
        <v>1348</v>
      </c>
      <c r="D588" s="118" t="s">
        <v>1348</v>
      </c>
      <c r="E588" s="38">
        <v>12</v>
      </c>
      <c r="F588" s="26">
        <v>45144</v>
      </c>
      <c r="G588" s="38">
        <v>4</v>
      </c>
      <c r="H588" s="160" t="s">
        <v>6132</v>
      </c>
      <c r="I588" s="38" t="s">
        <v>5842</v>
      </c>
      <c r="J588" s="38" t="s">
        <v>6133</v>
      </c>
      <c r="K588" s="38" t="s">
        <v>5365</v>
      </c>
      <c r="N588" s="34"/>
    </row>
    <row r="589" spans="1:22" s="35" customFormat="1" ht="11.25" customHeight="1" x14ac:dyDescent="0.35">
      <c r="A589" s="33" t="s">
        <v>60</v>
      </c>
      <c r="B589" s="35" t="s">
        <v>6041</v>
      </c>
      <c r="C589" s="272" t="s">
        <v>6134</v>
      </c>
      <c r="D589" s="31" t="s">
        <v>6135</v>
      </c>
      <c r="E589" s="33">
        <v>6</v>
      </c>
      <c r="F589" s="22">
        <v>45144</v>
      </c>
      <c r="G589" s="33"/>
      <c r="H589" s="159" t="s">
        <v>4732</v>
      </c>
      <c r="I589" s="33"/>
      <c r="J589" s="33"/>
      <c r="K589" s="33" t="s">
        <v>5338</v>
      </c>
      <c r="L589" s="34"/>
      <c r="M589" s="39"/>
      <c r="N589" s="34"/>
      <c r="O589" s="34"/>
      <c r="P589" s="34"/>
      <c r="Q589" s="34"/>
      <c r="R589" s="34"/>
      <c r="S589" s="34"/>
      <c r="T589" s="34"/>
      <c r="U589" s="34"/>
      <c r="V589" s="34"/>
    </row>
    <row r="590" spans="1:22" s="35" customFormat="1" ht="11.25" customHeight="1" x14ac:dyDescent="0.35">
      <c r="A590" s="33" t="s">
        <v>60</v>
      </c>
      <c r="B590" s="35" t="s">
        <v>6041</v>
      </c>
      <c r="C590" s="272" t="s">
        <v>6136</v>
      </c>
      <c r="D590" s="31" t="s">
        <v>239</v>
      </c>
      <c r="E590" s="33">
        <v>1</v>
      </c>
      <c r="F590" s="22">
        <v>45144</v>
      </c>
      <c r="G590" s="33"/>
      <c r="H590" s="159" t="s">
        <v>4732</v>
      </c>
      <c r="I590" s="33"/>
      <c r="J590" s="33"/>
      <c r="K590" s="33" t="s">
        <v>5338</v>
      </c>
      <c r="L590" s="34"/>
      <c r="M590" s="39"/>
      <c r="N590" s="34"/>
      <c r="O590" s="34"/>
      <c r="P590" s="34"/>
      <c r="Q590" s="34"/>
      <c r="R590" s="34"/>
      <c r="S590" s="34"/>
      <c r="T590" s="34"/>
      <c r="U590" s="34"/>
      <c r="V590" s="34"/>
    </row>
    <row r="591" spans="1:22" s="35" customFormat="1" ht="11.25" customHeight="1" x14ac:dyDescent="0.35">
      <c r="A591" s="33" t="s">
        <v>60</v>
      </c>
      <c r="B591" s="35" t="s">
        <v>6041</v>
      </c>
      <c r="C591" s="272" t="s">
        <v>6137</v>
      </c>
      <c r="D591" s="31" t="s">
        <v>6138</v>
      </c>
      <c r="E591" s="33">
        <v>1</v>
      </c>
      <c r="F591" s="22">
        <v>45144</v>
      </c>
      <c r="G591" s="33"/>
      <c r="H591" s="159" t="s">
        <v>4732</v>
      </c>
      <c r="I591" s="33"/>
      <c r="J591" s="33"/>
      <c r="K591" s="33" t="s">
        <v>5338</v>
      </c>
      <c r="L591" s="34"/>
      <c r="M591" s="39"/>
      <c r="N591" s="34"/>
      <c r="O591" s="34"/>
      <c r="P591" s="34"/>
      <c r="Q591" s="34"/>
      <c r="R591" s="34"/>
      <c r="S591" s="34"/>
      <c r="T591" s="34"/>
      <c r="U591" s="34"/>
      <c r="V591" s="34"/>
    </row>
    <row r="592" spans="1:22" s="35" customFormat="1" ht="11.25" customHeight="1" x14ac:dyDescent="0.35">
      <c r="A592" s="33" t="s">
        <v>60</v>
      </c>
      <c r="B592" s="35" t="s">
        <v>6041</v>
      </c>
      <c r="C592" s="272" t="s">
        <v>6139</v>
      </c>
      <c r="D592" s="31" t="s">
        <v>6140</v>
      </c>
      <c r="E592" s="33">
        <v>2</v>
      </c>
      <c r="F592" s="22">
        <v>45144</v>
      </c>
      <c r="G592" s="33"/>
      <c r="H592" s="159" t="s">
        <v>4732</v>
      </c>
      <c r="I592" s="33"/>
      <c r="J592" s="33"/>
      <c r="K592" s="33" t="s">
        <v>5338</v>
      </c>
      <c r="L592" s="34"/>
      <c r="M592" s="39"/>
      <c r="N592" s="34"/>
      <c r="O592" s="34"/>
      <c r="P592" s="34"/>
      <c r="Q592" s="34"/>
      <c r="R592" s="34"/>
      <c r="S592" s="34"/>
      <c r="T592" s="34"/>
      <c r="U592" s="34"/>
      <c r="V592" s="34"/>
    </row>
    <row r="593" spans="1:22" s="35" customFormat="1" ht="11.25" customHeight="1" x14ac:dyDescent="0.35">
      <c r="A593" s="33" t="s">
        <v>60</v>
      </c>
      <c r="B593" s="35" t="s">
        <v>6041</v>
      </c>
      <c r="C593" s="272" t="s">
        <v>6141</v>
      </c>
      <c r="D593" s="31" t="s">
        <v>2403</v>
      </c>
      <c r="E593" s="33">
        <v>12</v>
      </c>
      <c r="F593" s="22">
        <v>45144</v>
      </c>
      <c r="G593" s="33"/>
      <c r="H593" s="159" t="s">
        <v>4732</v>
      </c>
      <c r="I593" s="33"/>
      <c r="J593" s="33"/>
      <c r="K593" s="33" t="s">
        <v>5338</v>
      </c>
      <c r="L593" s="34"/>
      <c r="M593" s="39"/>
      <c r="N593" s="34"/>
      <c r="O593" s="34"/>
      <c r="P593" s="34"/>
      <c r="Q593" s="34"/>
      <c r="R593" s="34"/>
      <c r="S593" s="34"/>
      <c r="T593" s="34"/>
      <c r="U593" s="34"/>
      <c r="V593" s="34"/>
    </row>
    <row r="594" spans="1:22" s="39" customFormat="1" ht="11.25" customHeight="1" x14ac:dyDescent="0.35">
      <c r="A594" s="38" t="s">
        <v>60</v>
      </c>
      <c r="B594" s="39" t="s">
        <v>6142</v>
      </c>
      <c r="C594" s="106" t="s">
        <v>2471</v>
      </c>
      <c r="D594" s="82" t="s">
        <v>6143</v>
      </c>
      <c r="E594" s="38">
        <v>4</v>
      </c>
      <c r="F594" s="26">
        <v>44967</v>
      </c>
      <c r="G594" s="38">
        <v>4</v>
      </c>
      <c r="H594" s="160">
        <v>45233</v>
      </c>
      <c r="I594" s="38" t="s">
        <v>5980</v>
      </c>
      <c r="J594" s="38"/>
      <c r="K594" s="38" t="s">
        <v>5365</v>
      </c>
    </row>
    <row r="595" spans="1:22" s="39" customFormat="1" ht="11.25" customHeight="1" x14ac:dyDescent="0.35">
      <c r="A595" s="38" t="s">
        <v>60</v>
      </c>
      <c r="B595" s="39" t="s">
        <v>6142</v>
      </c>
      <c r="C595" s="106" t="s">
        <v>3994</v>
      </c>
      <c r="D595" s="82" t="s">
        <v>5603</v>
      </c>
      <c r="E595" s="38">
        <v>3</v>
      </c>
      <c r="F595" s="26">
        <v>44967</v>
      </c>
      <c r="G595" s="38">
        <v>3</v>
      </c>
      <c r="H595" s="160">
        <v>45233</v>
      </c>
      <c r="I595" s="38" t="s">
        <v>5980</v>
      </c>
      <c r="J595" s="38"/>
      <c r="K595" s="38" t="s">
        <v>5365</v>
      </c>
    </row>
    <row r="596" spans="1:22" s="39" customFormat="1" ht="11.25" customHeight="1" x14ac:dyDescent="0.35">
      <c r="A596" s="38" t="s">
        <v>60</v>
      </c>
      <c r="B596" s="39" t="s">
        <v>6142</v>
      </c>
      <c r="C596" s="106" t="s">
        <v>2225</v>
      </c>
      <c r="D596" s="82" t="s">
        <v>6144</v>
      </c>
      <c r="E596" s="38">
        <v>24</v>
      </c>
      <c r="F596" s="26">
        <v>44967</v>
      </c>
      <c r="G596" s="38">
        <v>24</v>
      </c>
      <c r="H596" s="160">
        <v>45233</v>
      </c>
      <c r="I596" s="38" t="s">
        <v>5980</v>
      </c>
      <c r="J596" s="38"/>
      <c r="K596" s="38" t="s">
        <v>5365</v>
      </c>
    </row>
    <row r="597" spans="1:22" s="42" customFormat="1" ht="11.25" customHeight="1" x14ac:dyDescent="0.35">
      <c r="A597" s="40" t="s">
        <v>60</v>
      </c>
      <c r="B597" s="636" t="s">
        <v>6142</v>
      </c>
      <c r="C597" s="273" t="s">
        <v>3575</v>
      </c>
      <c r="D597" s="117" t="s">
        <v>6145</v>
      </c>
      <c r="E597" s="40">
        <v>55</v>
      </c>
      <c r="F597" s="41">
        <v>44967</v>
      </c>
      <c r="G597" s="40">
        <v>24</v>
      </c>
      <c r="H597" s="161">
        <v>45233</v>
      </c>
      <c r="I597" s="40" t="s">
        <v>5980</v>
      </c>
      <c r="J597" s="40"/>
      <c r="K597" s="40" t="s">
        <v>5511</v>
      </c>
    </row>
    <row r="598" spans="1:22" s="39" customFormat="1" ht="11.25" customHeight="1" x14ac:dyDescent="0.35">
      <c r="A598" s="38" t="s">
        <v>60</v>
      </c>
      <c r="B598" s="39" t="s">
        <v>6142</v>
      </c>
      <c r="C598" s="106" t="s">
        <v>6146</v>
      </c>
      <c r="D598" s="82" t="s">
        <v>6147</v>
      </c>
      <c r="E598" s="38">
        <v>2</v>
      </c>
      <c r="F598" s="26">
        <v>44967</v>
      </c>
      <c r="G598" s="38">
        <v>2</v>
      </c>
      <c r="H598" s="160">
        <v>45233</v>
      </c>
      <c r="I598" s="38" t="s">
        <v>5980</v>
      </c>
      <c r="J598" s="38"/>
      <c r="K598" s="38" t="s">
        <v>5365</v>
      </c>
    </row>
    <row r="599" spans="1:22" s="39" customFormat="1" ht="11.25" customHeight="1" x14ac:dyDescent="0.35">
      <c r="A599" s="38" t="s">
        <v>60</v>
      </c>
      <c r="B599" s="39" t="s">
        <v>6142</v>
      </c>
      <c r="C599" s="106" t="s">
        <v>2177</v>
      </c>
      <c r="D599" s="82" t="s">
        <v>6148</v>
      </c>
      <c r="E599" s="38">
        <v>2</v>
      </c>
      <c r="F599" s="26">
        <v>44967</v>
      </c>
      <c r="G599" s="38">
        <v>2</v>
      </c>
      <c r="H599" s="160">
        <v>45233</v>
      </c>
      <c r="I599" s="38" t="s">
        <v>5980</v>
      </c>
      <c r="J599" s="38"/>
      <c r="K599" s="38" t="s">
        <v>5365</v>
      </c>
    </row>
    <row r="600" spans="1:22" s="39" customFormat="1" ht="11.25" customHeight="1" x14ac:dyDescent="0.35">
      <c r="A600" s="38" t="s">
        <v>60</v>
      </c>
      <c r="B600" s="39" t="s">
        <v>6142</v>
      </c>
      <c r="C600" s="106" t="s">
        <v>6149</v>
      </c>
      <c r="D600" s="82" t="s">
        <v>6150</v>
      </c>
      <c r="E600" s="38">
        <v>12</v>
      </c>
      <c r="F600" s="26">
        <v>44967</v>
      </c>
      <c r="G600" s="38">
        <v>12</v>
      </c>
      <c r="H600" s="160">
        <v>45233</v>
      </c>
      <c r="I600" s="38" t="s">
        <v>5980</v>
      </c>
      <c r="J600" s="38"/>
      <c r="K600" s="38" t="s">
        <v>5365</v>
      </c>
    </row>
    <row r="601" spans="1:22" s="39" customFormat="1" ht="11.25" customHeight="1" x14ac:dyDescent="0.35">
      <c r="A601" s="38" t="s">
        <v>60</v>
      </c>
      <c r="B601" s="39" t="s">
        <v>6142</v>
      </c>
      <c r="C601" s="106" t="s">
        <v>6151</v>
      </c>
      <c r="D601" s="82" t="s">
        <v>6152</v>
      </c>
      <c r="E601" s="38">
        <v>1</v>
      </c>
      <c r="F601" s="26">
        <v>44967</v>
      </c>
      <c r="G601" s="38">
        <v>1</v>
      </c>
      <c r="H601" s="160">
        <v>45233</v>
      </c>
      <c r="I601" s="38" t="s">
        <v>5980</v>
      </c>
      <c r="J601" s="38"/>
      <c r="K601" s="38" t="s">
        <v>5365</v>
      </c>
    </row>
    <row r="602" spans="1:22" s="39" customFormat="1" ht="11.25" customHeight="1" x14ac:dyDescent="0.35">
      <c r="A602" s="38" t="s">
        <v>60</v>
      </c>
      <c r="B602" s="39" t="s">
        <v>6142</v>
      </c>
      <c r="C602" s="106" t="s">
        <v>6153</v>
      </c>
      <c r="D602" s="82" t="s">
        <v>6154</v>
      </c>
      <c r="E602" s="38">
        <v>1</v>
      </c>
      <c r="F602" s="26">
        <v>44967</v>
      </c>
      <c r="G602" s="38">
        <v>1</v>
      </c>
      <c r="H602" s="160">
        <v>45233</v>
      </c>
      <c r="I602" s="38" t="s">
        <v>5980</v>
      </c>
      <c r="J602" s="38"/>
      <c r="K602" s="38" t="s">
        <v>5365</v>
      </c>
    </row>
    <row r="603" spans="1:22" s="39" customFormat="1" ht="11.25" customHeight="1" x14ac:dyDescent="0.35">
      <c r="A603" s="38" t="s">
        <v>60</v>
      </c>
      <c r="B603" s="39" t="s">
        <v>6142</v>
      </c>
      <c r="C603" s="106" t="s">
        <v>6155</v>
      </c>
      <c r="D603" s="82" t="s">
        <v>6156</v>
      </c>
      <c r="E603" s="38">
        <v>1</v>
      </c>
      <c r="F603" s="26">
        <v>44967</v>
      </c>
      <c r="G603" s="38">
        <v>1</v>
      </c>
      <c r="H603" s="160">
        <v>45233</v>
      </c>
      <c r="I603" s="38" t="s">
        <v>5980</v>
      </c>
      <c r="J603" s="38"/>
      <c r="K603" s="38" t="s">
        <v>5365</v>
      </c>
    </row>
    <row r="604" spans="1:22" s="39" customFormat="1" ht="11.25" customHeight="1" x14ac:dyDescent="0.35">
      <c r="A604" s="38" t="s">
        <v>60</v>
      </c>
      <c r="B604" s="39" t="s">
        <v>6142</v>
      </c>
      <c r="C604" s="106" t="s">
        <v>3991</v>
      </c>
      <c r="D604" s="82" t="s">
        <v>6157</v>
      </c>
      <c r="E604" s="38">
        <v>1</v>
      </c>
      <c r="F604" s="26">
        <v>44967</v>
      </c>
      <c r="G604" s="38">
        <v>1</v>
      </c>
      <c r="H604" s="160">
        <v>45233</v>
      </c>
      <c r="I604" s="38" t="s">
        <v>5980</v>
      </c>
      <c r="J604" s="38"/>
      <c r="K604" s="38" t="s">
        <v>5365</v>
      </c>
    </row>
    <row r="605" spans="1:22" s="35" customFormat="1" ht="11.25" customHeight="1" x14ac:dyDescent="0.35">
      <c r="A605" s="33" t="s">
        <v>60</v>
      </c>
      <c r="B605" s="35" t="s">
        <v>6142</v>
      </c>
      <c r="C605" s="272" t="s">
        <v>6158</v>
      </c>
      <c r="D605" s="31" t="s">
        <v>6159</v>
      </c>
      <c r="E605" s="33">
        <v>25</v>
      </c>
      <c r="F605" s="22">
        <v>44967</v>
      </c>
      <c r="G605" s="33">
        <v>24</v>
      </c>
      <c r="H605" s="159" t="s">
        <v>4732</v>
      </c>
      <c r="I605" s="33"/>
      <c r="J605" s="33"/>
      <c r="K605" s="33" t="s">
        <v>5338</v>
      </c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</row>
    <row r="606" spans="1:22" s="62" customFormat="1" ht="11.25" customHeight="1" x14ac:dyDescent="0.35">
      <c r="A606" s="87" t="s">
        <v>60</v>
      </c>
      <c r="B606" s="62" t="s">
        <v>6142</v>
      </c>
      <c r="C606" s="279" t="s">
        <v>6160</v>
      </c>
      <c r="D606" s="88" t="s">
        <v>6161</v>
      </c>
      <c r="E606" s="87">
        <v>1</v>
      </c>
      <c r="F606" s="28">
        <v>44967</v>
      </c>
      <c r="G606" s="87">
        <v>1</v>
      </c>
      <c r="H606" s="164">
        <v>45233</v>
      </c>
      <c r="I606" s="87" t="s">
        <v>5980</v>
      </c>
      <c r="J606" s="87"/>
      <c r="K606" s="87" t="s">
        <v>5365</v>
      </c>
    </row>
    <row r="607" spans="1:22" s="39" customFormat="1" ht="11.25" customHeight="1" x14ac:dyDescent="0.35">
      <c r="A607" s="38" t="s">
        <v>60</v>
      </c>
      <c r="B607" s="39" t="s">
        <v>6142</v>
      </c>
      <c r="C607" s="106" t="s">
        <v>3973</v>
      </c>
      <c r="D607" s="82" t="s">
        <v>249</v>
      </c>
      <c r="E607" s="38">
        <v>1</v>
      </c>
      <c r="F607" s="26">
        <v>44967</v>
      </c>
      <c r="G607" s="38">
        <v>1</v>
      </c>
      <c r="H607" s="160">
        <v>45233</v>
      </c>
      <c r="I607" s="38" t="s">
        <v>5980</v>
      </c>
      <c r="J607" s="38"/>
      <c r="K607" s="38" t="s">
        <v>5365</v>
      </c>
    </row>
    <row r="608" spans="1:22" s="39" customFormat="1" ht="11.25" customHeight="1" x14ac:dyDescent="0.35">
      <c r="A608" s="38" t="s">
        <v>60</v>
      </c>
      <c r="B608" s="39" t="s">
        <v>6142</v>
      </c>
      <c r="C608" s="106" t="s">
        <v>5604</v>
      </c>
      <c r="D608" s="82" t="s">
        <v>249</v>
      </c>
      <c r="E608" s="38">
        <v>10</v>
      </c>
      <c r="F608" s="26">
        <v>44967</v>
      </c>
      <c r="G608" s="38">
        <v>10</v>
      </c>
      <c r="H608" s="160">
        <v>45233</v>
      </c>
      <c r="I608" s="38" t="s">
        <v>5980</v>
      </c>
      <c r="J608" s="38"/>
      <c r="K608" s="38" t="s">
        <v>5365</v>
      </c>
    </row>
    <row r="609" spans="1:22" s="39" customFormat="1" ht="11.25" customHeight="1" x14ac:dyDescent="0.35">
      <c r="A609" s="38" t="s">
        <v>60</v>
      </c>
      <c r="B609" s="39" t="s">
        <v>6142</v>
      </c>
      <c r="C609" s="106" t="s">
        <v>6162</v>
      </c>
      <c r="D609" s="82" t="s">
        <v>6163</v>
      </c>
      <c r="E609" s="38">
        <v>1</v>
      </c>
      <c r="F609" s="26">
        <v>44967</v>
      </c>
      <c r="G609" s="38">
        <v>1</v>
      </c>
      <c r="H609" s="160">
        <v>45233</v>
      </c>
      <c r="I609" s="38" t="s">
        <v>5980</v>
      </c>
      <c r="J609" s="38"/>
      <c r="K609" s="38" t="s">
        <v>5365</v>
      </c>
    </row>
    <row r="610" spans="1:22" s="35" customFormat="1" ht="11.25" customHeight="1" x14ac:dyDescent="0.35">
      <c r="A610" s="33" t="s">
        <v>60</v>
      </c>
      <c r="B610" s="35" t="s">
        <v>6142</v>
      </c>
      <c r="C610" s="272" t="s">
        <v>6164</v>
      </c>
      <c r="D610" s="31" t="s">
        <v>5060</v>
      </c>
      <c r="E610" s="33">
        <v>110</v>
      </c>
      <c r="F610" s="22">
        <v>44967</v>
      </c>
      <c r="G610" s="33"/>
      <c r="H610" s="159" t="s">
        <v>4732</v>
      </c>
      <c r="I610" s="33"/>
      <c r="J610" s="33"/>
      <c r="K610" s="33" t="s">
        <v>5338</v>
      </c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</row>
    <row r="611" spans="1:22" s="42" customFormat="1" ht="11.25" customHeight="1" x14ac:dyDescent="0.35">
      <c r="A611" s="40" t="s">
        <v>60</v>
      </c>
      <c r="B611" s="636" t="s">
        <v>6062</v>
      </c>
      <c r="C611" s="273" t="s">
        <v>6165</v>
      </c>
      <c r="D611" s="117" t="s">
        <v>6166</v>
      </c>
      <c r="E611" s="40">
        <v>300</v>
      </c>
      <c r="F611" s="41">
        <v>45023</v>
      </c>
      <c r="G611" s="40">
        <v>160</v>
      </c>
      <c r="H611" s="161">
        <v>45208</v>
      </c>
      <c r="I611" s="40" t="s">
        <v>6167</v>
      </c>
      <c r="J611" s="40"/>
      <c r="K611" s="40" t="s">
        <v>5511</v>
      </c>
    </row>
    <row r="612" spans="1:22" s="42" customFormat="1" ht="11.25" customHeight="1" x14ac:dyDescent="0.35">
      <c r="A612" s="40" t="s">
        <v>60</v>
      </c>
      <c r="B612" s="636" t="s">
        <v>6062</v>
      </c>
      <c r="C612" s="273" t="s">
        <v>6168</v>
      </c>
      <c r="D612" s="117" t="s">
        <v>6166</v>
      </c>
      <c r="E612" s="40">
        <v>300</v>
      </c>
      <c r="F612" s="41">
        <v>45023</v>
      </c>
      <c r="G612" s="40">
        <v>160</v>
      </c>
      <c r="H612" s="161">
        <v>45208</v>
      </c>
      <c r="I612" s="40" t="s">
        <v>6167</v>
      </c>
      <c r="J612" s="40"/>
      <c r="K612" s="40" t="s">
        <v>5511</v>
      </c>
    </row>
    <row r="613" spans="1:22" s="39" customFormat="1" ht="11.25" customHeight="1" x14ac:dyDescent="0.35">
      <c r="A613" s="38" t="s">
        <v>60</v>
      </c>
      <c r="B613" s="39" t="s">
        <v>6041</v>
      </c>
      <c r="C613" s="106" t="s">
        <v>6169</v>
      </c>
      <c r="D613" s="82" t="s">
        <v>6170</v>
      </c>
      <c r="E613" s="38">
        <v>3</v>
      </c>
      <c r="F613" s="26">
        <v>45026</v>
      </c>
      <c r="G613" s="38">
        <v>3</v>
      </c>
      <c r="H613" s="160" t="s">
        <v>6171</v>
      </c>
      <c r="I613" s="38" t="s">
        <v>6172</v>
      </c>
      <c r="J613" s="38"/>
      <c r="K613" s="38" t="s">
        <v>5365</v>
      </c>
      <c r="N613" s="34"/>
    </row>
    <row r="614" spans="1:22" s="35" customFormat="1" ht="11.25" customHeight="1" x14ac:dyDescent="0.35">
      <c r="A614" s="33" t="s">
        <v>60</v>
      </c>
      <c r="B614" s="35" t="s">
        <v>5336</v>
      </c>
      <c r="C614" s="272" t="s">
        <v>6173</v>
      </c>
      <c r="D614" s="31" t="s">
        <v>6174</v>
      </c>
      <c r="E614" s="33">
        <v>1</v>
      </c>
      <c r="F614" s="22">
        <v>45026</v>
      </c>
      <c r="G614" s="33"/>
      <c r="H614" s="159" t="s">
        <v>4732</v>
      </c>
      <c r="I614" s="33"/>
      <c r="J614" s="33"/>
      <c r="K614" s="33" t="s">
        <v>5338</v>
      </c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</row>
    <row r="615" spans="1:22" s="35" customFormat="1" ht="11.25" customHeight="1" x14ac:dyDescent="0.35">
      <c r="A615" s="33" t="s">
        <v>60</v>
      </c>
      <c r="B615" s="35" t="s">
        <v>5336</v>
      </c>
      <c r="C615" s="272" t="s">
        <v>6175</v>
      </c>
      <c r="D615" s="31" t="s">
        <v>6176</v>
      </c>
      <c r="E615" s="33">
        <v>32</v>
      </c>
      <c r="F615" s="22"/>
      <c r="G615" s="33"/>
      <c r="H615" s="159"/>
      <c r="I615" s="33"/>
      <c r="J615" s="33"/>
      <c r="K615" s="33" t="s">
        <v>5338</v>
      </c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</row>
    <row r="616" spans="1:22" s="35" customFormat="1" ht="11.25" customHeight="1" x14ac:dyDescent="0.35">
      <c r="A616" s="33" t="s">
        <v>60</v>
      </c>
      <c r="B616" s="35" t="s">
        <v>5336</v>
      </c>
      <c r="C616" s="272" t="s">
        <v>6177</v>
      </c>
      <c r="D616" s="31" t="s">
        <v>5496</v>
      </c>
      <c r="E616" s="33">
        <v>5</v>
      </c>
      <c r="F616" s="22"/>
      <c r="G616" s="33"/>
      <c r="H616" s="159"/>
      <c r="I616" s="33"/>
      <c r="J616" s="33"/>
      <c r="K616" s="33" t="s">
        <v>5338</v>
      </c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</row>
    <row r="617" spans="1:22" s="35" customFormat="1" ht="11.25" customHeight="1" x14ac:dyDescent="0.35">
      <c r="A617" s="33" t="s">
        <v>60</v>
      </c>
      <c r="B617" s="35" t="s">
        <v>5336</v>
      </c>
      <c r="C617" s="272" t="s">
        <v>3261</v>
      </c>
      <c r="D617" s="31" t="s">
        <v>6178</v>
      </c>
      <c r="E617" s="33">
        <v>1</v>
      </c>
      <c r="F617" s="22">
        <v>45026</v>
      </c>
      <c r="G617" s="33"/>
      <c r="H617" s="159" t="s">
        <v>4732</v>
      </c>
      <c r="I617" s="33"/>
      <c r="J617" s="33"/>
      <c r="K617" s="33" t="s">
        <v>5338</v>
      </c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</row>
    <row r="618" spans="1:22" s="35" customFormat="1" ht="11.25" customHeight="1" x14ac:dyDescent="0.35">
      <c r="A618" s="33" t="s">
        <v>60</v>
      </c>
      <c r="B618" s="35" t="s">
        <v>5336</v>
      </c>
      <c r="C618" s="272" t="s">
        <v>6179</v>
      </c>
      <c r="D618" s="31" t="s">
        <v>2520</v>
      </c>
      <c r="E618" s="33">
        <v>15</v>
      </c>
      <c r="F618" s="22">
        <v>45026</v>
      </c>
      <c r="G618" s="33"/>
      <c r="H618" s="159" t="s">
        <v>4732</v>
      </c>
      <c r="I618" s="33"/>
      <c r="J618" s="33"/>
      <c r="K618" s="33" t="s">
        <v>5338</v>
      </c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</row>
    <row r="619" spans="1:22" s="44" customFormat="1" ht="11.25" customHeight="1" x14ac:dyDescent="0.35">
      <c r="A619" s="43" t="s">
        <v>60</v>
      </c>
      <c r="B619" s="44" t="s">
        <v>5336</v>
      </c>
      <c r="C619" s="275" t="s">
        <v>6180</v>
      </c>
      <c r="D619" s="89" t="s">
        <v>6181</v>
      </c>
      <c r="E619" s="43">
        <v>9</v>
      </c>
      <c r="F619" s="30">
        <v>45026</v>
      </c>
      <c r="G619" s="43">
        <v>1</v>
      </c>
      <c r="H619" s="163">
        <v>45357</v>
      </c>
      <c r="I619" s="43" t="s">
        <v>6182</v>
      </c>
      <c r="J619" s="43"/>
      <c r="K619" s="43" t="s">
        <v>5511</v>
      </c>
    </row>
    <row r="620" spans="1:22" s="35" customFormat="1" ht="11.25" customHeight="1" x14ac:dyDescent="0.35">
      <c r="A620" s="33" t="s">
        <v>60</v>
      </c>
      <c r="B620" s="35" t="s">
        <v>5336</v>
      </c>
      <c r="C620" s="272" t="s">
        <v>6183</v>
      </c>
      <c r="D620" s="31" t="s">
        <v>6184</v>
      </c>
      <c r="E620" s="33">
        <v>1</v>
      </c>
      <c r="F620" s="22">
        <v>45026</v>
      </c>
      <c r="G620" s="33"/>
      <c r="H620" s="159" t="s">
        <v>4732</v>
      </c>
      <c r="I620" s="33"/>
      <c r="J620" s="33"/>
      <c r="K620" s="33" t="s">
        <v>5338</v>
      </c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</row>
    <row r="621" spans="1:22" s="35" customFormat="1" ht="11.25" customHeight="1" x14ac:dyDescent="0.35">
      <c r="A621" s="33" t="s">
        <v>60</v>
      </c>
      <c r="B621" s="35" t="s">
        <v>5336</v>
      </c>
      <c r="C621" s="272" t="s">
        <v>6185</v>
      </c>
      <c r="D621" s="31" t="s">
        <v>6186</v>
      </c>
      <c r="E621" s="33">
        <v>1</v>
      </c>
      <c r="F621" s="22">
        <v>45026</v>
      </c>
      <c r="G621" s="33"/>
      <c r="H621" s="159" t="s">
        <v>4732</v>
      </c>
      <c r="I621" s="33"/>
      <c r="J621" s="33"/>
      <c r="K621" s="33" t="s">
        <v>5338</v>
      </c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</row>
    <row r="622" spans="1:22" s="35" customFormat="1" ht="11.25" customHeight="1" x14ac:dyDescent="0.35">
      <c r="A622" s="33" t="s">
        <v>60</v>
      </c>
      <c r="B622" s="35" t="s">
        <v>5336</v>
      </c>
      <c r="C622" s="272" t="s">
        <v>6187</v>
      </c>
      <c r="D622" s="31" t="s">
        <v>6188</v>
      </c>
      <c r="E622" s="33">
        <v>1</v>
      </c>
      <c r="F622" s="22">
        <v>45026</v>
      </c>
      <c r="G622" s="33"/>
      <c r="H622" s="159" t="s">
        <v>4732</v>
      </c>
      <c r="I622" s="33"/>
      <c r="J622" s="33"/>
      <c r="K622" s="33" t="s">
        <v>5338</v>
      </c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</row>
    <row r="623" spans="1:22" s="35" customFormat="1" ht="11.25" customHeight="1" x14ac:dyDescent="0.35">
      <c r="A623" s="33" t="s">
        <v>60</v>
      </c>
      <c r="B623" s="35" t="s">
        <v>5336</v>
      </c>
      <c r="C623" s="272" t="s">
        <v>6189</v>
      </c>
      <c r="D623" s="31" t="s">
        <v>947</v>
      </c>
      <c r="E623" s="33">
        <v>27</v>
      </c>
      <c r="F623" s="22">
        <v>45026</v>
      </c>
      <c r="G623" s="33"/>
      <c r="H623" s="159" t="s">
        <v>4732</v>
      </c>
      <c r="I623" s="33"/>
      <c r="J623" s="33"/>
      <c r="K623" s="33" t="s">
        <v>5338</v>
      </c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</row>
    <row r="624" spans="1:22" s="35" customFormat="1" ht="11.25" customHeight="1" x14ac:dyDescent="0.35">
      <c r="A624" s="33" t="s">
        <v>60</v>
      </c>
      <c r="B624" s="35" t="s">
        <v>5336</v>
      </c>
      <c r="C624" s="272" t="s">
        <v>6190</v>
      </c>
      <c r="D624" s="31" t="s">
        <v>6191</v>
      </c>
      <c r="E624" s="33">
        <v>1</v>
      </c>
      <c r="F624" s="22">
        <v>45026</v>
      </c>
      <c r="G624" s="33"/>
      <c r="H624" s="159" t="s">
        <v>4732</v>
      </c>
      <c r="I624" s="33"/>
      <c r="J624" s="33"/>
      <c r="K624" s="33" t="s">
        <v>5338</v>
      </c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</row>
    <row r="625" spans="1:22" s="35" customFormat="1" ht="11.25" customHeight="1" x14ac:dyDescent="0.35">
      <c r="A625" s="33" t="s">
        <v>60</v>
      </c>
      <c r="B625" s="35" t="s">
        <v>5336</v>
      </c>
      <c r="C625" s="272" t="s">
        <v>6192</v>
      </c>
      <c r="D625" s="31" t="s">
        <v>6193</v>
      </c>
      <c r="E625" s="33">
        <v>5</v>
      </c>
      <c r="F625" s="22">
        <v>45026</v>
      </c>
      <c r="G625" s="33"/>
      <c r="H625" s="159" t="s">
        <v>4732</v>
      </c>
      <c r="I625" s="33"/>
      <c r="J625" s="33"/>
      <c r="K625" s="33" t="s">
        <v>5338</v>
      </c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</row>
    <row r="626" spans="1:22" s="35" customFormat="1" ht="11.25" customHeight="1" x14ac:dyDescent="0.35">
      <c r="A626" s="33" t="s">
        <v>60</v>
      </c>
      <c r="B626" s="35" t="s">
        <v>5336</v>
      </c>
      <c r="C626" s="272" t="s">
        <v>6194</v>
      </c>
      <c r="D626" s="31" t="s">
        <v>6195</v>
      </c>
      <c r="E626" s="33">
        <v>2</v>
      </c>
      <c r="F626" s="22">
        <v>45026</v>
      </c>
      <c r="G626" s="33"/>
      <c r="H626" s="159" t="s">
        <v>4732</v>
      </c>
      <c r="I626" s="33"/>
      <c r="J626" s="33"/>
      <c r="K626" s="33" t="s">
        <v>5338</v>
      </c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</row>
    <row r="627" spans="1:22" s="35" customFormat="1" ht="11.25" customHeight="1" x14ac:dyDescent="0.35">
      <c r="A627" s="33" t="s">
        <v>60</v>
      </c>
      <c r="B627" s="35" t="s">
        <v>5336</v>
      </c>
      <c r="C627" s="272" t="s">
        <v>6196</v>
      </c>
      <c r="D627" s="31" t="s">
        <v>2403</v>
      </c>
      <c r="E627" s="33">
        <v>32</v>
      </c>
      <c r="F627" s="22">
        <v>45026</v>
      </c>
      <c r="G627" s="33"/>
      <c r="H627" s="159" t="s">
        <v>4732</v>
      </c>
      <c r="I627" s="33"/>
      <c r="J627" s="33"/>
      <c r="K627" s="33" t="s">
        <v>5338</v>
      </c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</row>
    <row r="628" spans="1:22" s="35" customFormat="1" ht="11.25" customHeight="1" x14ac:dyDescent="0.35">
      <c r="A628" s="33" t="s">
        <v>60</v>
      </c>
      <c r="B628" s="35" t="s">
        <v>5336</v>
      </c>
      <c r="C628" s="272" t="s">
        <v>506</v>
      </c>
      <c r="D628" s="31" t="s">
        <v>6197</v>
      </c>
      <c r="E628" s="33">
        <v>1</v>
      </c>
      <c r="F628" s="22">
        <v>45026</v>
      </c>
      <c r="G628" s="33"/>
      <c r="H628" s="159" t="s">
        <v>4732</v>
      </c>
      <c r="I628" s="33"/>
      <c r="J628" s="33"/>
      <c r="K628" s="33" t="s">
        <v>5338</v>
      </c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</row>
    <row r="629" spans="1:22" s="35" customFormat="1" ht="11.25" customHeight="1" x14ac:dyDescent="0.35">
      <c r="A629" s="33" t="s">
        <v>5336</v>
      </c>
      <c r="B629" s="35" t="s">
        <v>5336</v>
      </c>
      <c r="C629" s="272" t="s">
        <v>3613</v>
      </c>
      <c r="D629" s="31" t="s">
        <v>6198</v>
      </c>
      <c r="E629" s="33">
        <v>5</v>
      </c>
      <c r="F629" s="22">
        <v>45057</v>
      </c>
      <c r="G629" s="33" t="s">
        <v>4732</v>
      </c>
      <c r="H629" s="159" t="s">
        <v>4732</v>
      </c>
      <c r="I629" s="33" t="s">
        <v>4732</v>
      </c>
      <c r="J629" s="33"/>
      <c r="K629" s="33" t="s">
        <v>5338</v>
      </c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</row>
    <row r="630" spans="1:22" s="39" customFormat="1" ht="20.25" customHeight="1" x14ac:dyDescent="0.35">
      <c r="A630" s="38" t="s">
        <v>35</v>
      </c>
      <c r="B630" s="39" t="s">
        <v>6062</v>
      </c>
      <c r="C630" s="106" t="s">
        <v>6199</v>
      </c>
      <c r="D630" s="82" t="s">
        <v>6200</v>
      </c>
      <c r="E630" s="38">
        <v>5</v>
      </c>
      <c r="F630" s="26">
        <v>45056</v>
      </c>
      <c r="G630" s="38">
        <v>5</v>
      </c>
      <c r="H630" s="160">
        <v>45204</v>
      </c>
      <c r="I630" s="38" t="s">
        <v>6201</v>
      </c>
      <c r="J630" s="38"/>
      <c r="K630" s="38" t="s">
        <v>5365</v>
      </c>
    </row>
    <row r="631" spans="1:22" s="39" customFormat="1" ht="11.25" customHeight="1" x14ac:dyDescent="0.35">
      <c r="A631" s="38" t="s">
        <v>219</v>
      </c>
      <c r="B631" s="39" t="s">
        <v>6202</v>
      </c>
      <c r="C631" s="106">
        <v>217930100102</v>
      </c>
      <c r="D631" s="82" t="s">
        <v>6203</v>
      </c>
      <c r="E631" s="38">
        <v>1</v>
      </c>
      <c r="F631" s="26" t="s">
        <v>6204</v>
      </c>
      <c r="G631" s="38">
        <v>1</v>
      </c>
      <c r="H631" s="160">
        <v>45190</v>
      </c>
      <c r="I631" s="38" t="s">
        <v>5433</v>
      </c>
      <c r="J631" s="38"/>
      <c r="K631" s="38" t="s">
        <v>5365</v>
      </c>
    </row>
    <row r="632" spans="1:22" s="35" customFormat="1" ht="11.25" customHeight="1" x14ac:dyDescent="0.35">
      <c r="A632" s="33" t="s">
        <v>219</v>
      </c>
      <c r="B632" s="35" t="s">
        <v>6202</v>
      </c>
      <c r="C632" s="272">
        <v>585868900171</v>
      </c>
      <c r="D632" s="31" t="s">
        <v>6205</v>
      </c>
      <c r="E632" s="33">
        <v>2</v>
      </c>
      <c r="F632" s="22">
        <v>45179</v>
      </c>
      <c r="G632" s="33"/>
      <c r="H632" s="159"/>
      <c r="I632" s="33"/>
      <c r="J632" s="33"/>
      <c r="K632" s="33" t="s">
        <v>5338</v>
      </c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</row>
    <row r="633" spans="1:22" s="39" customFormat="1" ht="11.25" customHeight="1" x14ac:dyDescent="0.35">
      <c r="A633" s="38" t="s">
        <v>219</v>
      </c>
      <c r="B633" s="39" t="s">
        <v>6202</v>
      </c>
      <c r="C633" s="106">
        <v>504054400106</v>
      </c>
      <c r="D633" s="82" t="s">
        <v>6206</v>
      </c>
      <c r="E633" s="38">
        <v>16</v>
      </c>
      <c r="F633" s="26">
        <v>45179</v>
      </c>
      <c r="G633" s="38">
        <v>16</v>
      </c>
      <c r="H633" s="160">
        <v>45280</v>
      </c>
      <c r="I633" s="38" t="s">
        <v>6207</v>
      </c>
      <c r="J633" s="38" t="s">
        <v>6208</v>
      </c>
      <c r="K633" s="38" t="s">
        <v>5365</v>
      </c>
    </row>
    <row r="634" spans="1:22" s="35" customFormat="1" ht="11.25" customHeight="1" x14ac:dyDescent="0.35">
      <c r="A634" s="33" t="s">
        <v>219</v>
      </c>
      <c r="B634" s="35" t="s">
        <v>6202</v>
      </c>
      <c r="C634" s="272">
        <v>217954400104</v>
      </c>
      <c r="D634" s="31" t="s">
        <v>6209</v>
      </c>
      <c r="E634" s="33">
        <v>8</v>
      </c>
      <c r="F634" s="22">
        <v>45179</v>
      </c>
      <c r="G634" s="33"/>
      <c r="H634" s="159"/>
      <c r="I634" s="33"/>
      <c r="J634" s="33"/>
      <c r="K634" s="33" t="s">
        <v>5338</v>
      </c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</row>
    <row r="635" spans="1:22" s="35" customFormat="1" ht="11.25" customHeight="1" x14ac:dyDescent="0.35">
      <c r="A635" s="33" t="s">
        <v>219</v>
      </c>
      <c r="B635" s="35" t="s">
        <v>6202</v>
      </c>
      <c r="C635" s="272">
        <v>11906905201</v>
      </c>
      <c r="D635" s="31" t="s">
        <v>5060</v>
      </c>
      <c r="E635" s="33">
        <v>80</v>
      </c>
      <c r="F635" s="22">
        <v>45179</v>
      </c>
      <c r="G635" s="33"/>
      <c r="H635" s="159"/>
      <c r="I635" s="33"/>
      <c r="J635" s="33"/>
      <c r="K635" s="33" t="s">
        <v>5338</v>
      </c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</row>
    <row r="636" spans="1:22" s="35" customFormat="1" ht="11.25" customHeight="1" x14ac:dyDescent="0.35">
      <c r="A636" s="33" t="s">
        <v>219</v>
      </c>
      <c r="B636" s="35" t="s">
        <v>6202</v>
      </c>
      <c r="C636" s="272">
        <v>12655000532</v>
      </c>
      <c r="D636" s="31" t="s">
        <v>1264</v>
      </c>
      <c r="E636" s="33">
        <v>130</v>
      </c>
      <c r="F636" s="22">
        <v>45179</v>
      </c>
      <c r="G636" s="33"/>
      <c r="H636" s="159"/>
      <c r="I636" s="33"/>
      <c r="J636" s="33"/>
      <c r="K636" s="33" t="s">
        <v>5338</v>
      </c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</row>
    <row r="637" spans="1:22" s="39" customFormat="1" ht="11.25" customHeight="1" x14ac:dyDescent="0.35">
      <c r="A637" s="38" t="s">
        <v>219</v>
      </c>
      <c r="B637" s="39" t="s">
        <v>6202</v>
      </c>
      <c r="C637" s="106">
        <v>217954400105</v>
      </c>
      <c r="D637" s="82" t="s">
        <v>6210</v>
      </c>
      <c r="E637" s="38">
        <v>8</v>
      </c>
      <c r="F637" s="26">
        <v>45179</v>
      </c>
      <c r="G637" s="38">
        <v>8</v>
      </c>
      <c r="H637" s="160">
        <v>45499</v>
      </c>
      <c r="I637" s="38" t="s">
        <v>6211</v>
      </c>
      <c r="J637" s="38"/>
      <c r="K637" s="38" t="s">
        <v>5365</v>
      </c>
    </row>
    <row r="638" spans="1:22" s="39" customFormat="1" ht="11.25" customHeight="1" x14ac:dyDescent="0.35">
      <c r="A638" s="38" t="s">
        <v>4832</v>
      </c>
      <c r="B638" s="39" t="s">
        <v>5904</v>
      </c>
      <c r="C638" s="106" t="s">
        <v>6212</v>
      </c>
      <c r="D638" s="82" t="s">
        <v>6213</v>
      </c>
      <c r="E638" s="38">
        <v>1</v>
      </c>
      <c r="F638" s="26">
        <v>45179</v>
      </c>
      <c r="G638" s="38">
        <v>1</v>
      </c>
      <c r="H638" s="160">
        <v>45208</v>
      </c>
      <c r="I638" s="38" t="s">
        <v>5980</v>
      </c>
      <c r="J638" s="38"/>
      <c r="K638" s="38" t="s">
        <v>5365</v>
      </c>
    </row>
    <row r="639" spans="1:22" s="39" customFormat="1" ht="11.25" customHeight="1" x14ac:dyDescent="0.35">
      <c r="A639" s="38" t="s">
        <v>4832</v>
      </c>
      <c r="B639" s="39" t="s">
        <v>5904</v>
      </c>
      <c r="C639" s="106" t="s">
        <v>1240</v>
      </c>
      <c r="D639" s="82" t="s">
        <v>4732</v>
      </c>
      <c r="E639" s="38">
        <v>1</v>
      </c>
      <c r="F639" s="26">
        <v>45179</v>
      </c>
      <c r="G639" s="38">
        <v>1</v>
      </c>
      <c r="H639" s="160" t="s">
        <v>6214</v>
      </c>
      <c r="I639" s="38" t="s">
        <v>5980</v>
      </c>
      <c r="J639" s="38"/>
      <c r="K639" s="38" t="s">
        <v>5365</v>
      </c>
    </row>
    <row r="640" spans="1:22" s="39" customFormat="1" ht="11.25" customHeight="1" x14ac:dyDescent="0.35">
      <c r="A640" s="38" t="s">
        <v>4832</v>
      </c>
      <c r="B640" s="39" t="s">
        <v>5904</v>
      </c>
      <c r="C640" s="106" t="s">
        <v>6215</v>
      </c>
      <c r="D640" s="82" t="s">
        <v>6216</v>
      </c>
      <c r="E640" s="38">
        <v>1</v>
      </c>
      <c r="F640" s="26">
        <v>45179</v>
      </c>
      <c r="G640" s="38">
        <v>1</v>
      </c>
      <c r="H640" s="160">
        <v>45208</v>
      </c>
      <c r="I640" s="38" t="s">
        <v>6217</v>
      </c>
      <c r="J640" s="38"/>
      <c r="K640" s="38" t="s">
        <v>5365</v>
      </c>
    </row>
    <row r="641" spans="1:11" s="39" customFormat="1" ht="11.25" customHeight="1" x14ac:dyDescent="0.35">
      <c r="A641" s="38" t="s">
        <v>4832</v>
      </c>
      <c r="B641" s="39" t="s">
        <v>5904</v>
      </c>
      <c r="C641" s="106" t="s">
        <v>6111</v>
      </c>
      <c r="D641" s="82" t="s">
        <v>6218</v>
      </c>
      <c r="E641" s="38">
        <v>103</v>
      </c>
      <c r="F641" s="26">
        <v>45179</v>
      </c>
      <c r="G641" s="38">
        <v>103</v>
      </c>
      <c r="H641" s="160" t="s">
        <v>6214</v>
      </c>
      <c r="I641" s="38" t="s">
        <v>6217</v>
      </c>
      <c r="J641" s="38"/>
      <c r="K641" s="38" t="s">
        <v>5365</v>
      </c>
    </row>
    <row r="642" spans="1:11" s="39" customFormat="1" ht="11.25" customHeight="1" x14ac:dyDescent="0.35">
      <c r="A642" s="38" t="s">
        <v>4832</v>
      </c>
      <c r="B642" s="39" t="s">
        <v>5904</v>
      </c>
      <c r="C642" s="106" t="s">
        <v>6219</v>
      </c>
      <c r="D642" s="82" t="s">
        <v>6220</v>
      </c>
      <c r="E642" s="38">
        <v>1</v>
      </c>
      <c r="F642" s="26">
        <v>45179</v>
      </c>
      <c r="G642" s="38">
        <v>1</v>
      </c>
      <c r="H642" s="160" t="s">
        <v>6221</v>
      </c>
      <c r="I642" s="38" t="s">
        <v>6222</v>
      </c>
      <c r="J642" s="38"/>
      <c r="K642" s="38" t="s">
        <v>5365</v>
      </c>
    </row>
    <row r="643" spans="1:11" s="39" customFormat="1" ht="11.25" customHeight="1" x14ac:dyDescent="0.35">
      <c r="A643" s="38" t="s">
        <v>4832</v>
      </c>
      <c r="B643" s="39" t="s">
        <v>5904</v>
      </c>
      <c r="C643" s="106" t="s">
        <v>6223</v>
      </c>
      <c r="D643" s="82" t="s">
        <v>6224</v>
      </c>
      <c r="E643" s="38">
        <v>1</v>
      </c>
      <c r="F643" s="26">
        <v>45179</v>
      </c>
      <c r="G643" s="38">
        <v>1</v>
      </c>
      <c r="H643" s="160">
        <v>45208</v>
      </c>
      <c r="I643" s="38" t="s">
        <v>5980</v>
      </c>
      <c r="J643" s="38"/>
      <c r="K643" s="38" t="s">
        <v>5365</v>
      </c>
    </row>
    <row r="644" spans="1:11" s="39" customFormat="1" ht="11.25" customHeight="1" x14ac:dyDescent="0.35">
      <c r="A644" s="38" t="s">
        <v>35</v>
      </c>
      <c r="B644" s="39" t="s">
        <v>6225</v>
      </c>
      <c r="C644" s="106" t="s">
        <v>2420</v>
      </c>
      <c r="D644" s="82" t="s">
        <v>1181</v>
      </c>
      <c r="E644" s="38">
        <v>4</v>
      </c>
      <c r="F644" s="26" t="s">
        <v>6226</v>
      </c>
      <c r="G644" s="38">
        <v>4</v>
      </c>
      <c r="H644" s="160">
        <v>45233</v>
      </c>
      <c r="I644" s="38" t="s">
        <v>6227</v>
      </c>
      <c r="J644" s="38"/>
      <c r="K644" s="38" t="s">
        <v>5365</v>
      </c>
    </row>
    <row r="645" spans="1:11" s="39" customFormat="1" ht="11.25" customHeight="1" x14ac:dyDescent="0.35">
      <c r="A645" s="38" t="s">
        <v>35</v>
      </c>
      <c r="B645" s="39" t="s">
        <v>6225</v>
      </c>
      <c r="C645" s="106" t="s">
        <v>2250</v>
      </c>
      <c r="D645" s="82" t="s">
        <v>2422</v>
      </c>
      <c r="E645" s="38">
        <v>31</v>
      </c>
      <c r="F645" s="26" t="s">
        <v>6226</v>
      </c>
      <c r="G645" s="38">
        <v>31</v>
      </c>
      <c r="H645" s="160">
        <v>45233</v>
      </c>
      <c r="I645" s="38" t="s">
        <v>6227</v>
      </c>
      <c r="J645" s="38"/>
      <c r="K645" s="38" t="s">
        <v>5365</v>
      </c>
    </row>
    <row r="646" spans="1:11" s="39" customFormat="1" ht="11.25" customHeight="1" x14ac:dyDescent="0.35">
      <c r="A646" s="38" t="s">
        <v>35</v>
      </c>
      <c r="B646" s="39" t="s">
        <v>6225</v>
      </c>
      <c r="C646" s="106" t="s">
        <v>2424</v>
      </c>
      <c r="D646" s="82" t="s">
        <v>6228</v>
      </c>
      <c r="E646" s="38">
        <v>2</v>
      </c>
      <c r="F646" s="26" t="s">
        <v>6226</v>
      </c>
      <c r="G646" s="38">
        <v>2</v>
      </c>
      <c r="H646" s="160">
        <v>45233</v>
      </c>
      <c r="I646" s="38" t="s">
        <v>6227</v>
      </c>
      <c r="J646" s="38"/>
      <c r="K646" s="38" t="s">
        <v>5365</v>
      </c>
    </row>
    <row r="647" spans="1:11" s="39" customFormat="1" ht="11.25" customHeight="1" x14ac:dyDescent="0.35">
      <c r="A647" s="38" t="s">
        <v>35</v>
      </c>
      <c r="B647" s="39" t="s">
        <v>6225</v>
      </c>
      <c r="C647" s="106" t="s">
        <v>2426</v>
      </c>
      <c r="D647" s="82" t="s">
        <v>1181</v>
      </c>
      <c r="E647" s="38">
        <v>4</v>
      </c>
      <c r="F647" s="26" t="s">
        <v>6226</v>
      </c>
      <c r="G647" s="38">
        <v>4</v>
      </c>
      <c r="H647" s="160">
        <v>45233</v>
      </c>
      <c r="I647" s="38" t="s">
        <v>6227</v>
      </c>
      <c r="J647" s="38"/>
      <c r="K647" s="38" t="s">
        <v>5365</v>
      </c>
    </row>
    <row r="648" spans="1:11" s="39" customFormat="1" ht="11.25" customHeight="1" x14ac:dyDescent="0.35">
      <c r="A648" s="38" t="s">
        <v>35</v>
      </c>
      <c r="B648" s="39" t="s">
        <v>6225</v>
      </c>
      <c r="C648" s="106" t="s">
        <v>6229</v>
      </c>
      <c r="D648" s="82" t="s">
        <v>1785</v>
      </c>
      <c r="E648" s="38">
        <v>1</v>
      </c>
      <c r="F648" s="26" t="s">
        <v>6226</v>
      </c>
      <c r="G648" s="38">
        <v>1</v>
      </c>
      <c r="H648" s="160">
        <v>45233</v>
      </c>
      <c r="I648" s="38" t="s">
        <v>6227</v>
      </c>
      <c r="J648" s="38"/>
      <c r="K648" s="38" t="s">
        <v>5365</v>
      </c>
    </row>
    <row r="649" spans="1:11" s="39" customFormat="1" ht="11.25" customHeight="1" x14ac:dyDescent="0.35">
      <c r="A649" s="38" t="s">
        <v>35</v>
      </c>
      <c r="B649" s="39" t="s">
        <v>6225</v>
      </c>
      <c r="C649" s="106" t="s">
        <v>2257</v>
      </c>
      <c r="D649" s="82" t="s">
        <v>2422</v>
      </c>
      <c r="E649" s="38">
        <v>1</v>
      </c>
      <c r="F649" s="26" t="s">
        <v>6226</v>
      </c>
      <c r="G649" s="38">
        <v>1</v>
      </c>
      <c r="H649" s="160">
        <v>45233</v>
      </c>
      <c r="I649" s="38" t="s">
        <v>6227</v>
      </c>
      <c r="J649" s="38"/>
      <c r="K649" s="38" t="s">
        <v>5365</v>
      </c>
    </row>
    <row r="650" spans="1:11" s="39" customFormat="1" ht="11.25" customHeight="1" x14ac:dyDescent="0.35">
      <c r="A650" s="38" t="s">
        <v>35</v>
      </c>
      <c r="B650" s="39" t="s">
        <v>6225</v>
      </c>
      <c r="C650" s="106" t="s">
        <v>2429</v>
      </c>
      <c r="D650" s="82" t="s">
        <v>161</v>
      </c>
      <c r="E650" s="38">
        <v>3</v>
      </c>
      <c r="F650" s="26" t="s">
        <v>6226</v>
      </c>
      <c r="G650" s="38">
        <v>3</v>
      </c>
      <c r="H650" s="160">
        <v>45233</v>
      </c>
      <c r="I650" s="38" t="s">
        <v>6227</v>
      </c>
      <c r="J650" s="38"/>
      <c r="K650" s="38" t="s">
        <v>5365</v>
      </c>
    </row>
    <row r="651" spans="1:11" s="39" customFormat="1" ht="11.25" customHeight="1" x14ac:dyDescent="0.35">
      <c r="A651" s="38" t="s">
        <v>35</v>
      </c>
      <c r="B651" s="39" t="s">
        <v>6225</v>
      </c>
      <c r="C651" s="106" t="s">
        <v>2432</v>
      </c>
      <c r="D651" s="82" t="s">
        <v>6230</v>
      </c>
      <c r="E651" s="38">
        <v>4</v>
      </c>
      <c r="F651" s="26" t="s">
        <v>6226</v>
      </c>
      <c r="G651" s="38">
        <v>4</v>
      </c>
      <c r="H651" s="160">
        <v>45233</v>
      </c>
      <c r="I651" s="38" t="s">
        <v>6227</v>
      </c>
      <c r="J651" s="38"/>
      <c r="K651" s="38" t="s">
        <v>5365</v>
      </c>
    </row>
    <row r="652" spans="1:11" s="39" customFormat="1" ht="11.25" customHeight="1" x14ac:dyDescent="0.35">
      <c r="A652" s="38" t="s">
        <v>35</v>
      </c>
      <c r="B652" s="39" t="s">
        <v>6225</v>
      </c>
      <c r="C652" s="106" t="s">
        <v>2270</v>
      </c>
      <c r="D652" s="82" t="s">
        <v>1189</v>
      </c>
      <c r="E652" s="38">
        <v>3</v>
      </c>
      <c r="F652" s="26" t="s">
        <v>6226</v>
      </c>
      <c r="G652" s="38">
        <v>3</v>
      </c>
      <c r="H652" s="160">
        <v>45233</v>
      </c>
      <c r="I652" s="38" t="s">
        <v>6227</v>
      </c>
      <c r="J652" s="38"/>
      <c r="K652" s="38" t="s">
        <v>5365</v>
      </c>
    </row>
    <row r="653" spans="1:11" s="39" customFormat="1" ht="11.25" customHeight="1" x14ac:dyDescent="0.35">
      <c r="A653" s="38" t="s">
        <v>35</v>
      </c>
      <c r="B653" s="39" t="s">
        <v>6225</v>
      </c>
      <c r="C653" s="106" t="s">
        <v>2278</v>
      </c>
      <c r="D653" s="82" t="s">
        <v>6231</v>
      </c>
      <c r="E653" s="38">
        <v>1</v>
      </c>
      <c r="F653" s="26" t="s">
        <v>6226</v>
      </c>
      <c r="G653" s="38">
        <v>1</v>
      </c>
      <c r="H653" s="160">
        <v>45233</v>
      </c>
      <c r="I653" s="38" t="s">
        <v>6227</v>
      </c>
      <c r="J653" s="38"/>
      <c r="K653" s="38" t="s">
        <v>5365</v>
      </c>
    </row>
    <row r="654" spans="1:11" s="39" customFormat="1" ht="11.25" customHeight="1" x14ac:dyDescent="0.35">
      <c r="A654" s="38" t="s">
        <v>35</v>
      </c>
      <c r="B654" s="39" t="s">
        <v>6225</v>
      </c>
      <c r="C654" s="106" t="s">
        <v>2295</v>
      </c>
      <c r="D654" s="82" t="s">
        <v>1227</v>
      </c>
      <c r="E654" s="38">
        <v>1</v>
      </c>
      <c r="F654" s="26">
        <v>45209</v>
      </c>
      <c r="G654" s="38">
        <v>1</v>
      </c>
      <c r="H654" s="160">
        <v>45233</v>
      </c>
      <c r="I654" s="38" t="s">
        <v>6227</v>
      </c>
      <c r="J654" s="38"/>
      <c r="K654" s="38" t="s">
        <v>5365</v>
      </c>
    </row>
    <row r="655" spans="1:11" s="39" customFormat="1" ht="11.25" customHeight="1" x14ac:dyDescent="0.35">
      <c r="A655" s="38" t="s">
        <v>35</v>
      </c>
      <c r="B655" s="39" t="s">
        <v>6225</v>
      </c>
      <c r="C655" s="106" t="s">
        <v>6232</v>
      </c>
      <c r="D655" s="82" t="s">
        <v>1189</v>
      </c>
      <c r="E655" s="38">
        <v>8</v>
      </c>
      <c r="F655" s="26" t="s">
        <v>6226</v>
      </c>
      <c r="G655" s="38">
        <v>8</v>
      </c>
      <c r="H655" s="160">
        <v>45233</v>
      </c>
      <c r="I655" s="38" t="s">
        <v>6227</v>
      </c>
      <c r="J655" s="38"/>
      <c r="K655" s="38" t="s">
        <v>5365</v>
      </c>
    </row>
    <row r="656" spans="1:11" s="39" customFormat="1" ht="11.25" customHeight="1" x14ac:dyDescent="0.35">
      <c r="A656" s="38" t="s">
        <v>35</v>
      </c>
      <c r="B656" s="39" t="s">
        <v>6225</v>
      </c>
      <c r="C656" s="106" t="s">
        <v>2281</v>
      </c>
      <c r="D656" s="82" t="s">
        <v>161</v>
      </c>
      <c r="E656" s="38">
        <v>1</v>
      </c>
      <c r="F656" s="26" t="s">
        <v>6226</v>
      </c>
      <c r="G656" s="38">
        <v>1</v>
      </c>
      <c r="H656" s="160">
        <v>45233</v>
      </c>
      <c r="I656" s="38" t="s">
        <v>6227</v>
      </c>
      <c r="J656" s="38"/>
      <c r="K656" s="38" t="s">
        <v>5365</v>
      </c>
    </row>
    <row r="657" spans="1:11" s="39" customFormat="1" ht="11.25" customHeight="1" x14ac:dyDescent="0.35">
      <c r="A657" s="38" t="s">
        <v>35</v>
      </c>
      <c r="B657" s="39" t="s">
        <v>6225</v>
      </c>
      <c r="C657" s="106" t="s">
        <v>6233</v>
      </c>
      <c r="D657" s="82" t="s">
        <v>161</v>
      </c>
      <c r="E657" s="38">
        <v>2</v>
      </c>
      <c r="F657" s="26" t="s">
        <v>6226</v>
      </c>
      <c r="G657" s="38">
        <v>2</v>
      </c>
      <c r="H657" s="160">
        <v>45233</v>
      </c>
      <c r="I657" s="38" t="s">
        <v>6227</v>
      </c>
      <c r="J657" s="38"/>
      <c r="K657" s="38" t="s">
        <v>5365</v>
      </c>
    </row>
    <row r="658" spans="1:11" s="39" customFormat="1" ht="11.25" customHeight="1" x14ac:dyDescent="0.35">
      <c r="A658" s="38" t="s">
        <v>35</v>
      </c>
      <c r="B658" s="39" t="s">
        <v>6225</v>
      </c>
      <c r="C658" s="106" t="s">
        <v>2283</v>
      </c>
      <c r="D658" s="82" t="s">
        <v>6234</v>
      </c>
      <c r="E658" s="38">
        <v>4</v>
      </c>
      <c r="F658" s="26" t="s">
        <v>6226</v>
      </c>
      <c r="G658" s="38">
        <v>4</v>
      </c>
      <c r="H658" s="160">
        <v>45233</v>
      </c>
      <c r="I658" s="38" t="s">
        <v>6227</v>
      </c>
      <c r="J658" s="38"/>
      <c r="K658" s="38" t="s">
        <v>5365</v>
      </c>
    </row>
    <row r="659" spans="1:11" s="39" customFormat="1" ht="11.25" customHeight="1" x14ac:dyDescent="0.35">
      <c r="A659" s="38" t="s">
        <v>35</v>
      </c>
      <c r="B659" s="39" t="s">
        <v>6225</v>
      </c>
      <c r="C659" s="106" t="s">
        <v>6235</v>
      </c>
      <c r="D659" s="82" t="s">
        <v>6236</v>
      </c>
      <c r="E659" s="38">
        <v>2</v>
      </c>
      <c r="F659" s="26" t="s">
        <v>6226</v>
      </c>
      <c r="G659" s="38">
        <v>2</v>
      </c>
      <c r="H659" s="160">
        <v>45233</v>
      </c>
      <c r="I659" s="38" t="s">
        <v>6227</v>
      </c>
      <c r="J659" s="38"/>
      <c r="K659" s="38" t="s">
        <v>5365</v>
      </c>
    </row>
    <row r="660" spans="1:11" s="39" customFormat="1" ht="11.25" customHeight="1" x14ac:dyDescent="0.35">
      <c r="A660" s="38" t="s">
        <v>35</v>
      </c>
      <c r="B660" s="39" t="s">
        <v>6225</v>
      </c>
      <c r="C660" s="106" t="s">
        <v>6237</v>
      </c>
      <c r="D660" s="82" t="s">
        <v>6238</v>
      </c>
      <c r="E660" s="38">
        <v>1</v>
      </c>
      <c r="F660" s="26" t="s">
        <v>6226</v>
      </c>
      <c r="G660" s="38">
        <v>1</v>
      </c>
      <c r="H660" s="160">
        <v>45233</v>
      </c>
      <c r="I660" s="38" t="s">
        <v>6227</v>
      </c>
      <c r="J660" s="38"/>
      <c r="K660" s="38" t="s">
        <v>5365</v>
      </c>
    </row>
    <row r="661" spans="1:11" s="39" customFormat="1" ht="11.25" customHeight="1" x14ac:dyDescent="0.35">
      <c r="A661" s="38" t="s">
        <v>35</v>
      </c>
      <c r="B661" s="39" t="s">
        <v>6225</v>
      </c>
      <c r="C661" s="106" t="s">
        <v>6239</v>
      </c>
      <c r="D661" s="82" t="s">
        <v>6240</v>
      </c>
      <c r="E661" s="38">
        <v>4</v>
      </c>
      <c r="F661" s="26" t="s">
        <v>6226</v>
      </c>
      <c r="G661" s="38">
        <v>4</v>
      </c>
      <c r="H661" s="160">
        <v>45233</v>
      </c>
      <c r="I661" s="38" t="s">
        <v>6227</v>
      </c>
      <c r="J661" s="38"/>
      <c r="K661" s="38" t="s">
        <v>5365</v>
      </c>
    </row>
    <row r="662" spans="1:11" s="39" customFormat="1" ht="11.25" customHeight="1" x14ac:dyDescent="0.35">
      <c r="A662" s="38" t="s">
        <v>35</v>
      </c>
      <c r="B662" s="39" t="s">
        <v>6225</v>
      </c>
      <c r="C662" s="106" t="s">
        <v>2399</v>
      </c>
      <c r="D662" s="82" t="s">
        <v>5346</v>
      </c>
      <c r="E662" s="38">
        <v>8</v>
      </c>
      <c r="F662" s="26" t="s">
        <v>6226</v>
      </c>
      <c r="G662" s="38">
        <v>8</v>
      </c>
      <c r="H662" s="160">
        <v>45233</v>
      </c>
      <c r="I662" s="38" t="s">
        <v>6227</v>
      </c>
      <c r="J662" s="38"/>
      <c r="K662" s="38" t="s">
        <v>5365</v>
      </c>
    </row>
    <row r="663" spans="1:11" s="39" customFormat="1" ht="11.25" customHeight="1" x14ac:dyDescent="0.35">
      <c r="A663" s="38" t="s">
        <v>35</v>
      </c>
      <c r="B663" s="39" t="s">
        <v>6225</v>
      </c>
      <c r="C663" s="106" t="s">
        <v>2378</v>
      </c>
      <c r="D663" s="82" t="s">
        <v>3285</v>
      </c>
      <c r="E663" s="38">
        <v>2</v>
      </c>
      <c r="F663" s="26" t="s">
        <v>6226</v>
      </c>
      <c r="G663" s="38">
        <v>2</v>
      </c>
      <c r="H663" s="160">
        <v>45233</v>
      </c>
      <c r="I663" s="38" t="s">
        <v>6227</v>
      </c>
      <c r="J663" s="38"/>
      <c r="K663" s="38" t="s">
        <v>5365</v>
      </c>
    </row>
    <row r="664" spans="1:11" s="39" customFormat="1" ht="11.25" customHeight="1" x14ac:dyDescent="0.35">
      <c r="A664" s="38" t="s">
        <v>35</v>
      </c>
      <c r="B664" s="39" t="s">
        <v>6225</v>
      </c>
      <c r="C664" s="106" t="s">
        <v>2286</v>
      </c>
      <c r="D664" s="82" t="s">
        <v>6241</v>
      </c>
      <c r="E664" s="38">
        <v>1</v>
      </c>
      <c r="F664" s="26" t="s">
        <v>6226</v>
      </c>
      <c r="G664" s="38">
        <v>1</v>
      </c>
      <c r="H664" s="160">
        <v>45233</v>
      </c>
      <c r="I664" s="38" t="s">
        <v>6227</v>
      </c>
      <c r="J664" s="38"/>
      <c r="K664" s="38" t="s">
        <v>5365</v>
      </c>
    </row>
    <row r="665" spans="1:11" s="39" customFormat="1" ht="11.25" customHeight="1" x14ac:dyDescent="0.35">
      <c r="A665" s="38" t="s">
        <v>35</v>
      </c>
      <c r="B665" s="39" t="s">
        <v>6225</v>
      </c>
      <c r="C665" s="106" t="s">
        <v>6242</v>
      </c>
      <c r="D665" s="82" t="s">
        <v>6243</v>
      </c>
      <c r="E665" s="38">
        <v>1</v>
      </c>
      <c r="F665" s="26" t="s">
        <v>6226</v>
      </c>
      <c r="G665" s="38">
        <v>1</v>
      </c>
      <c r="H665" s="160">
        <v>45233</v>
      </c>
      <c r="I665" s="38" t="s">
        <v>6227</v>
      </c>
      <c r="J665" s="38"/>
      <c r="K665" s="38" t="s">
        <v>5365</v>
      </c>
    </row>
    <row r="666" spans="1:11" s="39" customFormat="1" ht="11.25" customHeight="1" x14ac:dyDescent="0.35">
      <c r="A666" s="38" t="s">
        <v>35</v>
      </c>
      <c r="B666" s="39" t="s">
        <v>6225</v>
      </c>
      <c r="C666" s="106" t="s">
        <v>2415</v>
      </c>
      <c r="D666" s="82" t="s">
        <v>6228</v>
      </c>
      <c r="E666" s="38">
        <v>1</v>
      </c>
      <c r="F666" s="26" t="s">
        <v>6226</v>
      </c>
      <c r="G666" s="38">
        <v>1</v>
      </c>
      <c r="H666" s="160">
        <v>45233</v>
      </c>
      <c r="I666" s="38" t="s">
        <v>6227</v>
      </c>
      <c r="J666" s="38"/>
      <c r="K666" s="38" t="s">
        <v>5365</v>
      </c>
    </row>
    <row r="667" spans="1:11" s="39" customFormat="1" ht="11.25" customHeight="1" x14ac:dyDescent="0.35">
      <c r="A667" s="38" t="s">
        <v>35</v>
      </c>
      <c r="B667" s="39" t="s">
        <v>6225</v>
      </c>
      <c r="C667" s="106" t="s">
        <v>2410</v>
      </c>
      <c r="D667" s="82" t="s">
        <v>5501</v>
      </c>
      <c r="E667" s="38">
        <v>1</v>
      </c>
      <c r="F667" s="26" t="s">
        <v>6226</v>
      </c>
      <c r="G667" s="38">
        <v>1</v>
      </c>
      <c r="H667" s="160">
        <v>45233</v>
      </c>
      <c r="I667" s="38" t="s">
        <v>6227</v>
      </c>
      <c r="J667" s="38"/>
      <c r="K667" s="38" t="s">
        <v>5365</v>
      </c>
    </row>
    <row r="668" spans="1:11" s="39" customFormat="1" ht="11.25" customHeight="1" x14ac:dyDescent="0.35">
      <c r="A668" s="38" t="s">
        <v>35</v>
      </c>
      <c r="B668" s="39" t="s">
        <v>6225</v>
      </c>
      <c r="C668" s="106" t="s">
        <v>2412</v>
      </c>
      <c r="D668" s="82" t="s">
        <v>6228</v>
      </c>
      <c r="E668" s="38">
        <v>1</v>
      </c>
      <c r="F668" s="26" t="s">
        <v>6226</v>
      </c>
      <c r="G668" s="38">
        <v>1</v>
      </c>
      <c r="H668" s="160">
        <v>45233</v>
      </c>
      <c r="I668" s="38" t="s">
        <v>6227</v>
      </c>
      <c r="J668" s="38"/>
      <c r="K668" s="38" t="s">
        <v>5365</v>
      </c>
    </row>
    <row r="669" spans="1:11" s="39" customFormat="1" ht="11.25" customHeight="1" x14ac:dyDescent="0.35">
      <c r="A669" s="38" t="s">
        <v>35</v>
      </c>
      <c r="B669" s="39" t="s">
        <v>6225</v>
      </c>
      <c r="C669" s="106" t="s">
        <v>2417</v>
      </c>
      <c r="D669" s="82" t="s">
        <v>6228</v>
      </c>
      <c r="E669" s="38">
        <v>3</v>
      </c>
      <c r="F669" s="26" t="s">
        <v>6226</v>
      </c>
      <c r="G669" s="38">
        <v>3</v>
      </c>
      <c r="H669" s="160">
        <v>45233</v>
      </c>
      <c r="I669" s="38" t="s">
        <v>6227</v>
      </c>
      <c r="J669" s="38"/>
      <c r="K669" s="38" t="s">
        <v>5365</v>
      </c>
    </row>
    <row r="670" spans="1:11" s="39" customFormat="1" ht="11.25" customHeight="1" x14ac:dyDescent="0.35">
      <c r="A670" s="38" t="s">
        <v>35</v>
      </c>
      <c r="B670" s="39" t="s">
        <v>6225</v>
      </c>
      <c r="C670" s="106" t="s">
        <v>6244</v>
      </c>
      <c r="D670" s="82" t="s">
        <v>6245</v>
      </c>
      <c r="E670" s="38">
        <v>1</v>
      </c>
      <c r="F670" s="26" t="s">
        <v>6226</v>
      </c>
      <c r="G670" s="38">
        <v>1</v>
      </c>
      <c r="H670" s="160">
        <v>45233</v>
      </c>
      <c r="I670" s="38" t="s">
        <v>6227</v>
      </c>
      <c r="J670" s="38"/>
      <c r="K670" s="38" t="s">
        <v>5365</v>
      </c>
    </row>
    <row r="671" spans="1:11" s="39" customFormat="1" ht="11.25" customHeight="1" x14ac:dyDescent="0.35">
      <c r="A671" s="38" t="s">
        <v>35</v>
      </c>
      <c r="B671" s="39" t="s">
        <v>6225</v>
      </c>
      <c r="C671" s="106" t="s">
        <v>2270</v>
      </c>
      <c r="D671" s="82" t="s">
        <v>1189</v>
      </c>
      <c r="E671" s="38">
        <v>3</v>
      </c>
      <c r="F671" s="26" t="s">
        <v>6226</v>
      </c>
      <c r="G671" s="38">
        <v>3</v>
      </c>
      <c r="H671" s="160">
        <v>45233</v>
      </c>
      <c r="I671" s="38" t="s">
        <v>6227</v>
      </c>
      <c r="J671" s="38"/>
      <c r="K671" s="38" t="s">
        <v>5365</v>
      </c>
    </row>
    <row r="672" spans="1:11" s="39" customFormat="1" ht="11.25" customHeight="1" x14ac:dyDescent="0.35">
      <c r="A672" s="38" t="s">
        <v>35</v>
      </c>
      <c r="B672" s="39" t="s">
        <v>6225</v>
      </c>
      <c r="C672" s="106" t="s">
        <v>292</v>
      </c>
      <c r="D672" s="82" t="s">
        <v>6224</v>
      </c>
      <c r="E672" s="38">
        <v>1</v>
      </c>
      <c r="F672" s="26" t="s">
        <v>6226</v>
      </c>
      <c r="G672" s="38">
        <v>1</v>
      </c>
      <c r="H672" s="160">
        <v>45233</v>
      </c>
      <c r="I672" s="38" t="s">
        <v>6227</v>
      </c>
      <c r="J672" s="38"/>
      <c r="K672" s="38" t="s">
        <v>5365</v>
      </c>
    </row>
    <row r="673" spans="1:11" s="39" customFormat="1" ht="11.25" customHeight="1" x14ac:dyDescent="0.35">
      <c r="A673" s="38" t="s">
        <v>35</v>
      </c>
      <c r="B673" s="39" t="s">
        <v>6225</v>
      </c>
      <c r="C673" s="106" t="s">
        <v>295</v>
      </c>
      <c r="D673" s="82" t="s">
        <v>5346</v>
      </c>
      <c r="E673" s="38">
        <v>1</v>
      </c>
      <c r="F673" s="26" t="s">
        <v>6226</v>
      </c>
      <c r="G673" s="38">
        <v>1</v>
      </c>
      <c r="H673" s="160">
        <v>45233</v>
      </c>
      <c r="I673" s="38" t="s">
        <v>6227</v>
      </c>
      <c r="J673" s="38"/>
      <c r="K673" s="38" t="s">
        <v>5365</v>
      </c>
    </row>
    <row r="674" spans="1:11" s="39" customFormat="1" ht="11.25" customHeight="1" x14ac:dyDescent="0.35">
      <c r="A674" s="38" t="s">
        <v>35</v>
      </c>
      <c r="B674" s="39" t="s">
        <v>6225</v>
      </c>
      <c r="C674" s="106" t="s">
        <v>6246</v>
      </c>
      <c r="D674" s="82" t="s">
        <v>1785</v>
      </c>
      <c r="E674" s="38">
        <v>5</v>
      </c>
      <c r="F674" s="26" t="s">
        <v>6226</v>
      </c>
      <c r="G674" s="38">
        <v>5</v>
      </c>
      <c r="H674" s="160">
        <v>45233</v>
      </c>
      <c r="I674" s="38" t="s">
        <v>6227</v>
      </c>
      <c r="J674" s="38"/>
      <c r="K674" s="38" t="s">
        <v>5365</v>
      </c>
    </row>
    <row r="675" spans="1:11" s="39" customFormat="1" ht="11.25" customHeight="1" x14ac:dyDescent="0.35">
      <c r="A675" s="38" t="s">
        <v>35</v>
      </c>
      <c r="B675" s="39" t="s">
        <v>6225</v>
      </c>
      <c r="C675" s="106" t="s">
        <v>2247</v>
      </c>
      <c r="D675" s="82" t="s">
        <v>6247</v>
      </c>
      <c r="E675" s="38">
        <v>1</v>
      </c>
      <c r="F675" s="26" t="s">
        <v>6226</v>
      </c>
      <c r="G675" s="38">
        <v>5</v>
      </c>
      <c r="H675" s="160">
        <v>45233</v>
      </c>
      <c r="I675" s="38" t="s">
        <v>6227</v>
      </c>
      <c r="J675" s="38"/>
      <c r="K675" s="38" t="s">
        <v>5365</v>
      </c>
    </row>
    <row r="676" spans="1:11" s="39" customFormat="1" ht="11.25" customHeight="1" x14ac:dyDescent="0.35">
      <c r="A676" s="38" t="s">
        <v>35</v>
      </c>
      <c r="B676" s="39" t="s">
        <v>6225</v>
      </c>
      <c r="C676" s="106" t="s">
        <v>286</v>
      </c>
      <c r="D676" s="82" t="s">
        <v>1613</v>
      </c>
      <c r="E676" s="38">
        <v>1</v>
      </c>
      <c r="F676" s="26" t="s">
        <v>6226</v>
      </c>
      <c r="G676" s="38">
        <v>1</v>
      </c>
      <c r="H676" s="160">
        <v>45233</v>
      </c>
      <c r="I676" s="38" t="s">
        <v>6227</v>
      </c>
      <c r="J676" s="38"/>
      <c r="K676" s="38" t="s">
        <v>5365</v>
      </c>
    </row>
    <row r="677" spans="1:11" s="39" customFormat="1" ht="11.25" customHeight="1" x14ac:dyDescent="0.35">
      <c r="A677" s="38" t="s">
        <v>35</v>
      </c>
      <c r="B677" s="39" t="s">
        <v>6225</v>
      </c>
      <c r="C677" s="106" t="s">
        <v>6248</v>
      </c>
      <c r="D677" s="82" t="s">
        <v>2422</v>
      </c>
      <c r="E677" s="38">
        <v>2</v>
      </c>
      <c r="F677" s="26" t="s">
        <v>6226</v>
      </c>
      <c r="G677" s="38">
        <v>2</v>
      </c>
      <c r="H677" s="160">
        <v>45233</v>
      </c>
      <c r="I677" s="38" t="s">
        <v>6227</v>
      </c>
      <c r="J677" s="38"/>
      <c r="K677" s="38" t="s">
        <v>5365</v>
      </c>
    </row>
    <row r="678" spans="1:11" s="39" customFormat="1" ht="11.25" customHeight="1" x14ac:dyDescent="0.35">
      <c r="A678" s="38" t="s">
        <v>35</v>
      </c>
      <c r="B678" s="39" t="s">
        <v>6225</v>
      </c>
      <c r="C678" s="106" t="s">
        <v>2252</v>
      </c>
      <c r="D678" s="82" t="s">
        <v>1181</v>
      </c>
      <c r="E678" s="38">
        <v>3</v>
      </c>
      <c r="F678" s="26" t="s">
        <v>6226</v>
      </c>
      <c r="G678" s="38">
        <v>3</v>
      </c>
      <c r="H678" s="160">
        <v>45233</v>
      </c>
      <c r="I678" s="38" t="s">
        <v>6227</v>
      </c>
      <c r="J678" s="38"/>
      <c r="K678" s="38" t="s">
        <v>5365</v>
      </c>
    </row>
    <row r="679" spans="1:11" s="39" customFormat="1" ht="11.25" customHeight="1" x14ac:dyDescent="0.35">
      <c r="A679" s="38" t="s">
        <v>35</v>
      </c>
      <c r="B679" s="39" t="s">
        <v>6225</v>
      </c>
      <c r="C679" s="106" t="s">
        <v>2255</v>
      </c>
      <c r="D679" s="82" t="s">
        <v>1181</v>
      </c>
      <c r="E679" s="38">
        <v>1</v>
      </c>
      <c r="F679" s="26" t="s">
        <v>6226</v>
      </c>
      <c r="G679" s="38">
        <v>1</v>
      </c>
      <c r="H679" s="160">
        <v>45233</v>
      </c>
      <c r="I679" s="38" t="s">
        <v>6227</v>
      </c>
      <c r="J679" s="38"/>
      <c r="K679" s="38" t="s">
        <v>5365</v>
      </c>
    </row>
    <row r="680" spans="1:11" s="39" customFormat="1" ht="11.25" customHeight="1" x14ac:dyDescent="0.35">
      <c r="A680" s="38" t="s">
        <v>35</v>
      </c>
      <c r="B680" s="39" t="s">
        <v>6225</v>
      </c>
      <c r="C680" s="106" t="s">
        <v>2260</v>
      </c>
      <c r="D680" s="82" t="s">
        <v>5544</v>
      </c>
      <c r="E680" s="38">
        <v>1</v>
      </c>
      <c r="F680" s="26" t="s">
        <v>6226</v>
      </c>
      <c r="G680" s="38">
        <v>1</v>
      </c>
      <c r="H680" s="160">
        <v>45233</v>
      </c>
      <c r="I680" s="38" t="s">
        <v>6227</v>
      </c>
      <c r="J680" s="38"/>
      <c r="K680" s="38" t="s">
        <v>5365</v>
      </c>
    </row>
    <row r="681" spans="1:11" s="39" customFormat="1" ht="11.25" customHeight="1" x14ac:dyDescent="0.35">
      <c r="A681" s="38" t="s">
        <v>35</v>
      </c>
      <c r="B681" s="39" t="s">
        <v>6225</v>
      </c>
      <c r="C681" s="106" t="s">
        <v>2263</v>
      </c>
      <c r="D681" s="82" t="s">
        <v>6249</v>
      </c>
      <c r="E681" s="38">
        <v>1</v>
      </c>
      <c r="F681" s="26" t="s">
        <v>6226</v>
      </c>
      <c r="G681" s="38">
        <v>1</v>
      </c>
      <c r="H681" s="160">
        <v>45233</v>
      </c>
      <c r="I681" s="38" t="s">
        <v>6227</v>
      </c>
      <c r="J681" s="38"/>
      <c r="K681" s="38" t="s">
        <v>5365</v>
      </c>
    </row>
    <row r="682" spans="1:11" s="39" customFormat="1" ht="11.25" customHeight="1" x14ac:dyDescent="0.35">
      <c r="A682" s="38" t="s">
        <v>35</v>
      </c>
      <c r="B682" s="39" t="s">
        <v>6225</v>
      </c>
      <c r="C682" s="106" t="s">
        <v>6250</v>
      </c>
      <c r="D682" s="82" t="s">
        <v>1189</v>
      </c>
      <c r="E682" s="38">
        <v>4</v>
      </c>
      <c r="F682" s="26" t="s">
        <v>6226</v>
      </c>
      <c r="G682" s="38">
        <v>4</v>
      </c>
      <c r="H682" s="160">
        <v>45233</v>
      </c>
      <c r="I682" s="38" t="s">
        <v>6227</v>
      </c>
      <c r="J682" s="38"/>
      <c r="K682" s="38" t="s">
        <v>5365</v>
      </c>
    </row>
    <row r="683" spans="1:11" s="39" customFormat="1" ht="11.25" customHeight="1" x14ac:dyDescent="0.35">
      <c r="A683" s="38" t="s">
        <v>35</v>
      </c>
      <c r="B683" s="39" t="s">
        <v>6225</v>
      </c>
      <c r="C683" s="106" t="s">
        <v>2266</v>
      </c>
      <c r="D683" s="82" t="s">
        <v>161</v>
      </c>
      <c r="E683" s="38">
        <v>4</v>
      </c>
      <c r="F683" s="26" t="s">
        <v>6226</v>
      </c>
      <c r="G683" s="38">
        <v>4</v>
      </c>
      <c r="H683" s="160">
        <v>45233</v>
      </c>
      <c r="I683" s="38" t="s">
        <v>6227</v>
      </c>
      <c r="J683" s="38"/>
      <c r="K683" s="38" t="s">
        <v>5365</v>
      </c>
    </row>
    <row r="684" spans="1:11" s="39" customFormat="1" ht="11.25" customHeight="1" x14ac:dyDescent="0.35">
      <c r="A684" s="38" t="s">
        <v>35</v>
      </c>
      <c r="B684" s="39" t="s">
        <v>6225</v>
      </c>
      <c r="C684" s="106" t="s">
        <v>2382</v>
      </c>
      <c r="D684" s="82" t="s">
        <v>2354</v>
      </c>
      <c r="E684" s="38">
        <v>2</v>
      </c>
      <c r="F684" s="26" t="s">
        <v>6226</v>
      </c>
      <c r="G684" s="38">
        <v>2</v>
      </c>
      <c r="H684" s="160">
        <v>45233</v>
      </c>
      <c r="I684" s="38" t="s">
        <v>6227</v>
      </c>
      <c r="J684" s="38"/>
      <c r="K684" s="38" t="s">
        <v>5365</v>
      </c>
    </row>
    <row r="685" spans="1:11" s="39" customFormat="1" ht="11.25" customHeight="1" x14ac:dyDescent="0.35">
      <c r="A685" s="38" t="s">
        <v>35</v>
      </c>
      <c r="B685" s="39" t="s">
        <v>6225</v>
      </c>
      <c r="C685" s="106" t="s">
        <v>2273</v>
      </c>
      <c r="D685" s="82" t="s">
        <v>1751</v>
      </c>
      <c r="E685" s="38">
        <v>1</v>
      </c>
      <c r="F685" s="26" t="s">
        <v>6226</v>
      </c>
      <c r="G685" s="38">
        <v>1</v>
      </c>
      <c r="H685" s="160">
        <v>45233</v>
      </c>
      <c r="I685" s="38" t="s">
        <v>6227</v>
      </c>
      <c r="J685" s="38"/>
      <c r="K685" s="38" t="s">
        <v>5365</v>
      </c>
    </row>
    <row r="686" spans="1:11" s="39" customFormat="1" ht="11.25" customHeight="1" x14ac:dyDescent="0.35">
      <c r="A686" s="38" t="s">
        <v>35</v>
      </c>
      <c r="B686" s="39" t="s">
        <v>6225</v>
      </c>
      <c r="C686" s="106" t="s">
        <v>6251</v>
      </c>
      <c r="D686" s="82" t="s">
        <v>6252</v>
      </c>
      <c r="E686" s="38">
        <v>1</v>
      </c>
      <c r="F686" s="26" t="s">
        <v>6226</v>
      </c>
      <c r="G686" s="38">
        <v>1</v>
      </c>
      <c r="H686" s="160">
        <v>45233</v>
      </c>
      <c r="I686" s="38" t="s">
        <v>6227</v>
      </c>
      <c r="J686" s="38"/>
      <c r="K686" s="38" t="s">
        <v>5365</v>
      </c>
    </row>
    <row r="687" spans="1:11" s="39" customFormat="1" ht="11.25" customHeight="1" x14ac:dyDescent="0.35">
      <c r="A687" s="38" t="s">
        <v>35</v>
      </c>
      <c r="B687" s="39" t="s">
        <v>6225</v>
      </c>
      <c r="C687" s="106" t="s">
        <v>2292</v>
      </c>
      <c r="D687" s="82" t="s">
        <v>1181</v>
      </c>
      <c r="E687" s="38">
        <v>1</v>
      </c>
      <c r="F687" s="26" t="s">
        <v>6226</v>
      </c>
      <c r="G687" s="38">
        <v>1</v>
      </c>
      <c r="H687" s="160">
        <v>45233</v>
      </c>
      <c r="I687" s="38" t="s">
        <v>6227</v>
      </c>
      <c r="J687" s="38"/>
      <c r="K687" s="38" t="s">
        <v>5365</v>
      </c>
    </row>
    <row r="688" spans="1:11" s="39" customFormat="1" ht="11.25" customHeight="1" x14ac:dyDescent="0.35">
      <c r="A688" s="38" t="s">
        <v>35</v>
      </c>
      <c r="B688" s="39" t="s">
        <v>6225</v>
      </c>
      <c r="C688" s="106" t="s">
        <v>2276</v>
      </c>
      <c r="D688" s="82" t="s">
        <v>1751</v>
      </c>
      <c r="E688" s="38">
        <v>1</v>
      </c>
      <c r="F688" s="26" t="s">
        <v>6226</v>
      </c>
      <c r="G688" s="38">
        <v>1</v>
      </c>
      <c r="H688" s="160">
        <v>45233</v>
      </c>
      <c r="I688" s="38" t="s">
        <v>6227</v>
      </c>
      <c r="J688" s="38"/>
      <c r="K688" s="38" t="s">
        <v>5365</v>
      </c>
    </row>
    <row r="689" spans="1:11" s="39" customFormat="1" ht="11.25" customHeight="1" x14ac:dyDescent="0.35">
      <c r="A689" s="38" t="s">
        <v>219</v>
      </c>
      <c r="B689" s="39" t="s">
        <v>6202</v>
      </c>
      <c r="C689" s="106">
        <v>3752100390</v>
      </c>
      <c r="D689" s="82" t="s">
        <v>6253</v>
      </c>
      <c r="E689" s="38">
        <v>2</v>
      </c>
      <c r="F689" s="26">
        <v>45028</v>
      </c>
      <c r="G689" s="38">
        <v>2</v>
      </c>
      <c r="H689" s="160">
        <v>45058</v>
      </c>
      <c r="I689" s="38" t="s">
        <v>5553</v>
      </c>
      <c r="J689" s="38"/>
      <c r="K689" s="38" t="s">
        <v>5365</v>
      </c>
    </row>
    <row r="690" spans="1:11" s="39" customFormat="1" ht="11.25" customHeight="1" x14ac:dyDescent="0.35">
      <c r="A690" s="38" t="s">
        <v>219</v>
      </c>
      <c r="B690" s="39" t="s">
        <v>6202</v>
      </c>
      <c r="C690" s="106">
        <v>3781300440</v>
      </c>
      <c r="D690" s="82" t="s">
        <v>6254</v>
      </c>
      <c r="E690" s="38">
        <v>1</v>
      </c>
      <c r="F690" s="26">
        <v>45028</v>
      </c>
      <c r="G690" s="38">
        <v>1</v>
      </c>
      <c r="H690" s="160">
        <v>45058</v>
      </c>
      <c r="I690" s="38" t="s">
        <v>5553</v>
      </c>
      <c r="J690" s="38"/>
      <c r="K690" s="38" t="s">
        <v>5365</v>
      </c>
    </row>
    <row r="691" spans="1:11" s="39" customFormat="1" ht="11.25" customHeight="1" x14ac:dyDescent="0.35">
      <c r="A691" s="38" t="s">
        <v>219</v>
      </c>
      <c r="B691" s="39" t="s">
        <v>6202</v>
      </c>
      <c r="C691" s="106">
        <v>3872700020</v>
      </c>
      <c r="D691" s="82" t="s">
        <v>6255</v>
      </c>
      <c r="E691" s="38">
        <v>1</v>
      </c>
      <c r="F691" s="26">
        <v>45028</v>
      </c>
      <c r="G691" s="38">
        <v>1</v>
      </c>
      <c r="H691" s="160">
        <v>45058</v>
      </c>
      <c r="I691" s="38" t="s">
        <v>5553</v>
      </c>
      <c r="J691" s="38"/>
      <c r="K691" s="38" t="s">
        <v>5365</v>
      </c>
    </row>
    <row r="692" spans="1:11" s="39" customFormat="1" ht="11.25" customHeight="1" x14ac:dyDescent="0.35">
      <c r="A692" s="38" t="s">
        <v>35</v>
      </c>
      <c r="B692" s="39" t="s">
        <v>6225</v>
      </c>
      <c r="C692" s="106" t="s">
        <v>2347</v>
      </c>
      <c r="D692" s="82" t="s">
        <v>1785</v>
      </c>
      <c r="E692" s="38">
        <v>2</v>
      </c>
      <c r="F692" s="26">
        <v>45160</v>
      </c>
      <c r="G692" s="38">
        <v>2</v>
      </c>
      <c r="H692" s="160">
        <v>45273</v>
      </c>
      <c r="I692" s="38" t="s">
        <v>6227</v>
      </c>
      <c r="J692" s="38"/>
      <c r="K692" s="38" t="s">
        <v>5365</v>
      </c>
    </row>
    <row r="693" spans="1:11" s="39" customFormat="1" ht="11.25" customHeight="1" x14ac:dyDescent="0.35">
      <c r="A693" s="38" t="s">
        <v>35</v>
      </c>
      <c r="B693" s="39" t="s">
        <v>6225</v>
      </c>
      <c r="C693" s="106" t="s">
        <v>2349</v>
      </c>
      <c r="D693" s="82" t="s">
        <v>1785</v>
      </c>
      <c r="E693" s="38">
        <v>1</v>
      </c>
      <c r="F693" s="26">
        <v>45160</v>
      </c>
      <c r="G693" s="38">
        <v>1</v>
      </c>
      <c r="H693" s="160">
        <v>45273</v>
      </c>
      <c r="I693" s="38" t="s">
        <v>6227</v>
      </c>
      <c r="J693" s="38"/>
      <c r="K693" s="38" t="s">
        <v>5365</v>
      </c>
    </row>
    <row r="694" spans="1:11" s="39" customFormat="1" ht="11.25" customHeight="1" x14ac:dyDescent="0.35">
      <c r="A694" s="38" t="s">
        <v>35</v>
      </c>
      <c r="B694" s="39" t="s">
        <v>6225</v>
      </c>
      <c r="C694" s="106" t="s">
        <v>2351</v>
      </c>
      <c r="D694" s="82" t="s">
        <v>2354</v>
      </c>
      <c r="E694" s="38">
        <v>4</v>
      </c>
      <c r="F694" s="26">
        <v>45160</v>
      </c>
      <c r="G694" s="38">
        <v>4</v>
      </c>
      <c r="H694" s="160">
        <v>45273</v>
      </c>
      <c r="I694" s="38" t="s">
        <v>6227</v>
      </c>
      <c r="J694" s="38"/>
      <c r="K694" s="38" t="s">
        <v>5365</v>
      </c>
    </row>
    <row r="695" spans="1:11" s="39" customFormat="1" ht="11.25" customHeight="1" x14ac:dyDescent="0.35">
      <c r="A695" s="38" t="s">
        <v>35</v>
      </c>
      <c r="B695" s="39" t="s">
        <v>6225</v>
      </c>
      <c r="C695" s="106" t="s">
        <v>2353</v>
      </c>
      <c r="D695" s="82" t="s">
        <v>2354</v>
      </c>
      <c r="E695" s="38">
        <v>4</v>
      </c>
      <c r="F695" s="26">
        <v>45160</v>
      </c>
      <c r="G695" s="38">
        <v>4</v>
      </c>
      <c r="H695" s="160">
        <v>45273</v>
      </c>
      <c r="I695" s="38" t="s">
        <v>6227</v>
      </c>
      <c r="J695" s="38"/>
      <c r="K695" s="38" t="s">
        <v>5365</v>
      </c>
    </row>
    <row r="696" spans="1:11" s="39" customFormat="1" ht="11.25" customHeight="1" x14ac:dyDescent="0.35">
      <c r="A696" s="38" t="s">
        <v>35</v>
      </c>
      <c r="B696" s="39" t="s">
        <v>6225</v>
      </c>
      <c r="C696" s="106" t="s">
        <v>2356</v>
      </c>
      <c r="D696" s="82" t="s">
        <v>2354</v>
      </c>
      <c r="E696" s="38">
        <v>3</v>
      </c>
      <c r="F696" s="26">
        <v>45160</v>
      </c>
      <c r="G696" s="38">
        <v>3</v>
      </c>
      <c r="H696" s="160">
        <v>45273</v>
      </c>
      <c r="I696" s="38" t="s">
        <v>6227</v>
      </c>
      <c r="J696" s="38"/>
      <c r="K696" s="38" t="s">
        <v>5365</v>
      </c>
    </row>
    <row r="697" spans="1:11" s="39" customFormat="1" ht="11.25" customHeight="1" x14ac:dyDescent="0.35">
      <c r="A697" s="38" t="s">
        <v>35</v>
      </c>
      <c r="B697" s="39" t="s">
        <v>6225</v>
      </c>
      <c r="C697" s="106" t="s">
        <v>2358</v>
      </c>
      <c r="D697" s="82" t="s">
        <v>2354</v>
      </c>
      <c r="E697" s="38">
        <v>1</v>
      </c>
      <c r="F697" s="26">
        <v>45160</v>
      </c>
      <c r="G697" s="38">
        <v>1</v>
      </c>
      <c r="H697" s="160">
        <v>45273</v>
      </c>
      <c r="I697" s="38" t="s">
        <v>6227</v>
      </c>
      <c r="J697" s="38"/>
      <c r="K697" s="38" t="s">
        <v>5365</v>
      </c>
    </row>
    <row r="698" spans="1:11" s="39" customFormat="1" ht="11.25" customHeight="1" x14ac:dyDescent="0.35">
      <c r="A698" s="38" t="s">
        <v>4832</v>
      </c>
      <c r="B698" s="39" t="s">
        <v>6225</v>
      </c>
      <c r="C698" s="106" t="s">
        <v>2360</v>
      </c>
      <c r="D698" s="82" t="s">
        <v>6256</v>
      </c>
      <c r="E698" s="38">
        <v>2</v>
      </c>
      <c r="F698" s="26">
        <v>45160</v>
      </c>
      <c r="G698" s="38">
        <v>2</v>
      </c>
      <c r="H698" s="160">
        <v>45273</v>
      </c>
      <c r="I698" s="38" t="s">
        <v>6227</v>
      </c>
      <c r="J698" s="38"/>
      <c r="K698" s="38" t="s">
        <v>5365</v>
      </c>
    </row>
    <row r="699" spans="1:11" s="39" customFormat="1" ht="11.25" customHeight="1" x14ac:dyDescent="0.35">
      <c r="A699" s="38" t="s">
        <v>35</v>
      </c>
      <c r="B699" s="39" t="s">
        <v>6225</v>
      </c>
      <c r="C699" s="106" t="s">
        <v>2362</v>
      </c>
      <c r="D699" s="82" t="s">
        <v>6256</v>
      </c>
      <c r="E699" s="38">
        <v>2</v>
      </c>
      <c r="F699" s="26">
        <v>45160</v>
      </c>
      <c r="G699" s="38">
        <v>2</v>
      </c>
      <c r="H699" s="160">
        <v>45273</v>
      </c>
      <c r="I699" s="38" t="s">
        <v>6227</v>
      </c>
      <c r="J699" s="38"/>
      <c r="K699" s="38" t="s">
        <v>5365</v>
      </c>
    </row>
    <row r="700" spans="1:11" s="39" customFormat="1" ht="11.25" customHeight="1" x14ac:dyDescent="0.35">
      <c r="A700" s="38" t="s">
        <v>35</v>
      </c>
      <c r="B700" s="39" t="s">
        <v>6225</v>
      </c>
      <c r="C700" s="106" t="s">
        <v>2364</v>
      </c>
      <c r="D700" s="82" t="s">
        <v>6256</v>
      </c>
      <c r="E700" s="38">
        <v>1</v>
      </c>
      <c r="F700" s="26">
        <v>45160</v>
      </c>
      <c r="G700" s="38">
        <v>1</v>
      </c>
      <c r="H700" s="160">
        <v>45273</v>
      </c>
      <c r="I700" s="38" t="s">
        <v>6227</v>
      </c>
      <c r="J700" s="38"/>
      <c r="K700" s="38" t="s">
        <v>5365</v>
      </c>
    </row>
    <row r="701" spans="1:11" s="39" customFormat="1" ht="11.25" customHeight="1" x14ac:dyDescent="0.35">
      <c r="A701" s="38" t="s">
        <v>35</v>
      </c>
      <c r="B701" s="39" t="s">
        <v>6225</v>
      </c>
      <c r="C701" s="106" t="s">
        <v>2366</v>
      </c>
      <c r="D701" s="82" t="s">
        <v>6256</v>
      </c>
      <c r="E701" s="38">
        <v>4</v>
      </c>
      <c r="F701" s="26">
        <v>45160</v>
      </c>
      <c r="G701" s="38">
        <v>4</v>
      </c>
      <c r="H701" s="160">
        <v>45273</v>
      </c>
      <c r="I701" s="38" t="s">
        <v>6227</v>
      </c>
      <c r="J701" s="38"/>
      <c r="K701" s="38" t="s">
        <v>5365</v>
      </c>
    </row>
    <row r="702" spans="1:11" s="39" customFormat="1" ht="11.25" customHeight="1" x14ac:dyDescent="0.35">
      <c r="A702" s="38" t="s">
        <v>35</v>
      </c>
      <c r="B702" s="39" t="s">
        <v>6225</v>
      </c>
      <c r="C702" s="106" t="s">
        <v>2368</v>
      </c>
      <c r="D702" s="82" t="s">
        <v>1785</v>
      </c>
      <c r="E702" s="38">
        <v>2</v>
      </c>
      <c r="F702" s="26">
        <v>45160</v>
      </c>
      <c r="G702" s="38">
        <v>2</v>
      </c>
      <c r="H702" s="160">
        <v>45273</v>
      </c>
      <c r="I702" s="38" t="s">
        <v>6227</v>
      </c>
      <c r="J702" s="38"/>
      <c r="K702" s="38" t="s">
        <v>5365</v>
      </c>
    </row>
    <row r="703" spans="1:11" s="39" customFormat="1" ht="11.25" customHeight="1" x14ac:dyDescent="0.35">
      <c r="A703" s="38" t="s">
        <v>35</v>
      </c>
      <c r="B703" s="39" t="s">
        <v>6225</v>
      </c>
      <c r="C703" s="106" t="s">
        <v>2370</v>
      </c>
      <c r="D703" s="82" t="s">
        <v>6256</v>
      </c>
      <c r="E703" s="38">
        <v>1</v>
      </c>
      <c r="F703" s="26">
        <v>45160</v>
      </c>
      <c r="G703" s="38">
        <v>1</v>
      </c>
      <c r="H703" s="160">
        <v>45273</v>
      </c>
      <c r="I703" s="38" t="s">
        <v>6227</v>
      </c>
      <c r="J703" s="38"/>
      <c r="K703" s="38" t="s">
        <v>5365</v>
      </c>
    </row>
    <row r="704" spans="1:11" s="39" customFormat="1" ht="11.25" customHeight="1" x14ac:dyDescent="0.35">
      <c r="A704" s="38" t="s">
        <v>35</v>
      </c>
      <c r="B704" s="39" t="s">
        <v>6225</v>
      </c>
      <c r="C704" s="106" t="s">
        <v>2372</v>
      </c>
      <c r="D704" s="82" t="s">
        <v>6256</v>
      </c>
      <c r="E704" s="38">
        <v>3</v>
      </c>
      <c r="F704" s="26">
        <v>45160</v>
      </c>
      <c r="G704" s="38">
        <v>3</v>
      </c>
      <c r="H704" s="160">
        <v>45273</v>
      </c>
      <c r="I704" s="38" t="s">
        <v>6227</v>
      </c>
      <c r="J704" s="38"/>
      <c r="K704" s="38" t="s">
        <v>5365</v>
      </c>
    </row>
    <row r="705" spans="1:22" s="39" customFormat="1" ht="11.25" customHeight="1" x14ac:dyDescent="0.35">
      <c r="A705" s="38" t="s">
        <v>35</v>
      </c>
      <c r="B705" s="39" t="s">
        <v>6225</v>
      </c>
      <c r="C705" s="106" t="s">
        <v>2374</v>
      </c>
      <c r="D705" s="82" t="s">
        <v>1785</v>
      </c>
      <c r="E705" s="38">
        <v>16</v>
      </c>
      <c r="F705" s="26">
        <v>45160</v>
      </c>
      <c r="G705" s="38">
        <v>16</v>
      </c>
      <c r="H705" s="160">
        <v>45273</v>
      </c>
      <c r="I705" s="38" t="s">
        <v>6227</v>
      </c>
      <c r="J705" s="38"/>
      <c r="K705" s="38" t="s">
        <v>5365</v>
      </c>
    </row>
    <row r="706" spans="1:22" s="39" customFormat="1" ht="11.25" customHeight="1" x14ac:dyDescent="0.35">
      <c r="A706" s="38" t="s">
        <v>35</v>
      </c>
      <c r="B706" s="39" t="s">
        <v>6225</v>
      </c>
      <c r="C706" s="106" t="s">
        <v>2376</v>
      </c>
      <c r="D706" s="82" t="s">
        <v>1785</v>
      </c>
      <c r="E706" s="38">
        <v>9</v>
      </c>
      <c r="F706" s="26">
        <v>45160</v>
      </c>
      <c r="G706" s="38">
        <v>9</v>
      </c>
      <c r="H706" s="160">
        <v>45273</v>
      </c>
      <c r="I706" s="38" t="s">
        <v>6227</v>
      </c>
      <c r="J706" s="38"/>
      <c r="K706" s="38" t="s">
        <v>5365</v>
      </c>
    </row>
    <row r="707" spans="1:22" s="39" customFormat="1" ht="11.25" customHeight="1" x14ac:dyDescent="0.35">
      <c r="A707" s="38" t="s">
        <v>35</v>
      </c>
      <c r="B707" s="39" t="s">
        <v>6225</v>
      </c>
      <c r="C707" s="106" t="s">
        <v>2378</v>
      </c>
      <c r="D707" s="82" t="s">
        <v>1785</v>
      </c>
      <c r="E707" s="38">
        <v>2</v>
      </c>
      <c r="F707" s="26">
        <v>45160</v>
      </c>
      <c r="G707" s="38">
        <v>2</v>
      </c>
      <c r="H707" s="160">
        <v>45273</v>
      </c>
      <c r="I707" s="38" t="s">
        <v>6227</v>
      </c>
      <c r="J707" s="38"/>
      <c r="K707" s="38" t="s">
        <v>5365</v>
      </c>
    </row>
    <row r="708" spans="1:22" s="39" customFormat="1" ht="11.25" customHeight="1" x14ac:dyDescent="0.35">
      <c r="A708" s="38" t="s">
        <v>35</v>
      </c>
      <c r="B708" s="39" t="s">
        <v>6225</v>
      </c>
      <c r="C708" s="106" t="s">
        <v>2380</v>
      </c>
      <c r="D708" s="82" t="s">
        <v>1785</v>
      </c>
      <c r="E708" s="38">
        <v>6</v>
      </c>
      <c r="F708" s="26">
        <v>45160</v>
      </c>
      <c r="G708" s="38">
        <v>6</v>
      </c>
      <c r="H708" s="160">
        <v>45273</v>
      </c>
      <c r="I708" s="38" t="s">
        <v>6227</v>
      </c>
      <c r="J708" s="38"/>
      <c r="K708" s="38" t="s">
        <v>5365</v>
      </c>
    </row>
    <row r="709" spans="1:22" s="39" customFormat="1" ht="11.25" customHeight="1" x14ac:dyDescent="0.35">
      <c r="A709" s="38" t="s">
        <v>35</v>
      </c>
      <c r="B709" s="39" t="s">
        <v>6225</v>
      </c>
      <c r="C709" s="106" t="s">
        <v>6257</v>
      </c>
      <c r="D709" s="82" t="s">
        <v>2354</v>
      </c>
      <c r="E709" s="38">
        <v>3</v>
      </c>
      <c r="F709" s="26">
        <v>45160</v>
      </c>
      <c r="G709" s="38">
        <v>3</v>
      </c>
      <c r="H709" s="160">
        <v>45273</v>
      </c>
      <c r="I709" s="38" t="s">
        <v>6227</v>
      </c>
      <c r="J709" s="38"/>
      <c r="K709" s="38" t="s">
        <v>5365</v>
      </c>
    </row>
    <row r="710" spans="1:22" s="39" customFormat="1" ht="11.25" customHeight="1" x14ac:dyDescent="0.35">
      <c r="A710" s="38" t="s">
        <v>35</v>
      </c>
      <c r="B710" s="39" t="s">
        <v>6225</v>
      </c>
      <c r="C710" s="106" t="s">
        <v>2384</v>
      </c>
      <c r="D710" s="82" t="s">
        <v>6256</v>
      </c>
      <c r="E710" s="38">
        <v>1</v>
      </c>
      <c r="F710" s="26">
        <v>45160</v>
      </c>
      <c r="G710" s="38">
        <v>1</v>
      </c>
      <c r="H710" s="160">
        <v>45273</v>
      </c>
      <c r="I710" s="38" t="s">
        <v>6227</v>
      </c>
      <c r="J710" s="38"/>
      <c r="K710" s="38" t="s">
        <v>5365</v>
      </c>
    </row>
    <row r="711" spans="1:22" s="39" customFormat="1" ht="11.25" customHeight="1" x14ac:dyDescent="0.35">
      <c r="A711" s="38" t="s">
        <v>35</v>
      </c>
      <c r="B711" s="39" t="s">
        <v>6225</v>
      </c>
      <c r="C711" s="106" t="s">
        <v>2386</v>
      </c>
      <c r="D711" s="82" t="s">
        <v>6256</v>
      </c>
      <c r="E711" s="38">
        <v>3</v>
      </c>
      <c r="F711" s="26">
        <v>45160</v>
      </c>
      <c r="G711" s="38">
        <v>3</v>
      </c>
      <c r="H711" s="160">
        <v>45273</v>
      </c>
      <c r="I711" s="38" t="s">
        <v>6227</v>
      </c>
      <c r="J711" s="38"/>
      <c r="K711" s="38" t="s">
        <v>5365</v>
      </c>
    </row>
    <row r="712" spans="1:22" s="39" customFormat="1" ht="11.25" customHeight="1" x14ac:dyDescent="0.35">
      <c r="A712" s="38" t="s">
        <v>35</v>
      </c>
      <c r="B712" s="39" t="s">
        <v>6225</v>
      </c>
      <c r="C712" s="106" t="s">
        <v>2388</v>
      </c>
      <c r="D712" s="82" t="s">
        <v>6256</v>
      </c>
      <c r="E712" s="38">
        <v>2</v>
      </c>
      <c r="F712" s="26">
        <v>45160</v>
      </c>
      <c r="G712" s="38">
        <v>2</v>
      </c>
      <c r="H712" s="160">
        <v>45273</v>
      </c>
      <c r="I712" s="38" t="s">
        <v>6227</v>
      </c>
      <c r="J712" s="38"/>
      <c r="K712" s="38" t="s">
        <v>5365</v>
      </c>
    </row>
    <row r="713" spans="1:22" s="39" customFormat="1" ht="11.25" customHeight="1" x14ac:dyDescent="0.35">
      <c r="A713" s="38" t="s">
        <v>35</v>
      </c>
      <c r="B713" s="39" t="s">
        <v>6225</v>
      </c>
      <c r="C713" s="106" t="s">
        <v>2390</v>
      </c>
      <c r="D713" s="82" t="s">
        <v>1785</v>
      </c>
      <c r="E713" s="38">
        <v>1</v>
      </c>
      <c r="F713" s="26">
        <v>45160</v>
      </c>
      <c r="G713" s="38">
        <v>1</v>
      </c>
      <c r="H713" s="160">
        <v>45273</v>
      </c>
      <c r="I713" s="38" t="s">
        <v>6227</v>
      </c>
      <c r="J713" s="38"/>
      <c r="K713" s="38" t="s">
        <v>5365</v>
      </c>
    </row>
    <row r="714" spans="1:22" s="39" customFormat="1" ht="11.25" customHeight="1" x14ac:dyDescent="0.35">
      <c r="A714" s="38" t="s">
        <v>35</v>
      </c>
      <c r="B714" s="39" t="s">
        <v>6225</v>
      </c>
      <c r="C714" s="106" t="s">
        <v>2392</v>
      </c>
      <c r="D714" s="82" t="s">
        <v>1613</v>
      </c>
      <c r="E714" s="38">
        <v>9</v>
      </c>
      <c r="F714" s="26">
        <v>45160</v>
      </c>
      <c r="G714" s="38">
        <v>9</v>
      </c>
      <c r="H714" s="160">
        <v>45273</v>
      </c>
      <c r="I714" s="38" t="s">
        <v>6227</v>
      </c>
      <c r="J714" s="38"/>
      <c r="K714" s="38" t="s">
        <v>5365</v>
      </c>
    </row>
    <row r="715" spans="1:22" s="39" customFormat="1" ht="11.25" customHeight="1" x14ac:dyDescent="0.35">
      <c r="A715" s="38" t="s">
        <v>60</v>
      </c>
      <c r="B715" s="39" t="s">
        <v>1776</v>
      </c>
      <c r="C715" s="106" t="s">
        <v>1784</v>
      </c>
      <c r="D715" s="82" t="s">
        <v>1785</v>
      </c>
      <c r="E715" s="38">
        <v>50</v>
      </c>
      <c r="F715" s="26">
        <v>45182</v>
      </c>
      <c r="G715" s="38">
        <v>50</v>
      </c>
      <c r="H715" s="160"/>
      <c r="I715" s="38"/>
      <c r="J715" s="38"/>
      <c r="K715" s="38" t="s">
        <v>5365</v>
      </c>
    </row>
    <row r="716" spans="1:22" s="39" customFormat="1" ht="11.25" customHeight="1" x14ac:dyDescent="0.35">
      <c r="A716" s="38" t="s">
        <v>60</v>
      </c>
      <c r="B716" s="39" t="s">
        <v>1776</v>
      </c>
      <c r="C716" s="106" t="s">
        <v>1792</v>
      </c>
      <c r="D716" s="82" t="s">
        <v>6258</v>
      </c>
      <c r="E716" s="38">
        <v>1</v>
      </c>
      <c r="F716" s="26">
        <v>45182</v>
      </c>
      <c r="G716" s="38">
        <v>1</v>
      </c>
      <c r="H716" s="160">
        <v>45338</v>
      </c>
      <c r="I716" s="38" t="s">
        <v>6259</v>
      </c>
      <c r="J716" s="38"/>
      <c r="K716" s="38" t="s">
        <v>5365</v>
      </c>
      <c r="L716" s="34"/>
    </row>
    <row r="717" spans="1:22" s="35" customFormat="1" ht="11.25" customHeight="1" x14ac:dyDescent="0.35">
      <c r="A717" s="33" t="s">
        <v>60</v>
      </c>
      <c r="B717" s="35" t="s">
        <v>1776</v>
      </c>
      <c r="C717" s="272" t="s">
        <v>6260</v>
      </c>
      <c r="D717" s="31" t="s">
        <v>6261</v>
      </c>
      <c r="E717" s="33">
        <v>10</v>
      </c>
      <c r="F717" s="22">
        <v>45182</v>
      </c>
      <c r="G717" s="33"/>
      <c r="H717" s="159"/>
      <c r="I717" s="33"/>
      <c r="J717" s="33"/>
      <c r="K717" s="33" t="s">
        <v>5338</v>
      </c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</row>
    <row r="718" spans="1:22" s="35" customFormat="1" ht="11.25" customHeight="1" x14ac:dyDescent="0.35">
      <c r="A718" s="33" t="s">
        <v>60</v>
      </c>
      <c r="B718" s="35" t="s">
        <v>1776</v>
      </c>
      <c r="C718" s="272" t="s">
        <v>6262</v>
      </c>
      <c r="D718" s="31" t="s">
        <v>1785</v>
      </c>
      <c r="E718" s="33">
        <v>1</v>
      </c>
      <c r="F718" s="22">
        <v>45182</v>
      </c>
      <c r="G718" s="33"/>
      <c r="H718" s="159"/>
      <c r="I718" s="33"/>
      <c r="J718" s="33"/>
      <c r="K718" s="33" t="s">
        <v>5338</v>
      </c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</row>
    <row r="719" spans="1:22" s="35" customFormat="1" ht="11.25" customHeight="1" x14ac:dyDescent="0.35">
      <c r="A719" s="33" t="s">
        <v>60</v>
      </c>
      <c r="B719" s="35" t="s">
        <v>1776</v>
      </c>
      <c r="C719" s="272" t="s">
        <v>6263</v>
      </c>
      <c r="D719" s="31" t="s">
        <v>1785</v>
      </c>
      <c r="E719" s="33">
        <v>2</v>
      </c>
      <c r="F719" s="22">
        <v>45182</v>
      </c>
      <c r="G719" s="33" t="s">
        <v>1675</v>
      </c>
      <c r="H719" s="159"/>
      <c r="I719" s="33"/>
      <c r="J719" s="33"/>
      <c r="K719" s="33" t="s">
        <v>5338</v>
      </c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</row>
    <row r="720" spans="1:22" s="35" customFormat="1" ht="11.25" customHeight="1" x14ac:dyDescent="0.35">
      <c r="A720" s="33" t="s">
        <v>60</v>
      </c>
      <c r="B720" s="35" t="s">
        <v>1776</v>
      </c>
      <c r="C720" s="272" t="s">
        <v>6264</v>
      </c>
      <c r="D720" s="31" t="s">
        <v>6265</v>
      </c>
      <c r="E720" s="33">
        <v>1</v>
      </c>
      <c r="F720" s="22">
        <v>45182</v>
      </c>
      <c r="G720" s="33"/>
      <c r="H720" s="159"/>
      <c r="I720" s="33"/>
      <c r="J720" s="33"/>
      <c r="K720" s="33" t="s">
        <v>5338</v>
      </c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</row>
    <row r="721" spans="1:22" s="35" customFormat="1" ht="11.25" customHeight="1" x14ac:dyDescent="0.35">
      <c r="A721" s="33" t="s">
        <v>60</v>
      </c>
      <c r="B721" s="35" t="s">
        <v>1776</v>
      </c>
      <c r="C721" s="272" t="s">
        <v>6266</v>
      </c>
      <c r="D721" s="31" t="s">
        <v>1785</v>
      </c>
      <c r="E721" s="33">
        <v>4</v>
      </c>
      <c r="F721" s="22">
        <v>45182</v>
      </c>
      <c r="G721" s="33"/>
      <c r="H721" s="159"/>
      <c r="I721" s="33"/>
      <c r="J721" s="33"/>
      <c r="K721" s="33" t="s">
        <v>5338</v>
      </c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</row>
    <row r="722" spans="1:22" s="35" customFormat="1" ht="11.25" customHeight="1" x14ac:dyDescent="0.35">
      <c r="A722" s="33" t="s">
        <v>60</v>
      </c>
      <c r="B722" s="35" t="s">
        <v>1776</v>
      </c>
      <c r="C722" s="272" t="s">
        <v>6267</v>
      </c>
      <c r="D722" s="31" t="s">
        <v>3285</v>
      </c>
      <c r="E722" s="33">
        <v>2</v>
      </c>
      <c r="F722" s="22">
        <v>45182</v>
      </c>
      <c r="G722" s="33"/>
      <c r="H722" s="159"/>
      <c r="I722" s="33"/>
      <c r="J722" s="33"/>
      <c r="K722" s="33" t="s">
        <v>5338</v>
      </c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</row>
    <row r="723" spans="1:22" s="35" customFormat="1" ht="11.25" customHeight="1" x14ac:dyDescent="0.35">
      <c r="A723" s="33" t="s">
        <v>60</v>
      </c>
      <c r="B723" s="35" t="s">
        <v>1776</v>
      </c>
      <c r="C723" s="272" t="s">
        <v>6268</v>
      </c>
      <c r="D723" s="31" t="s">
        <v>1785</v>
      </c>
      <c r="E723" s="33">
        <v>9</v>
      </c>
      <c r="F723" s="22">
        <v>45182</v>
      </c>
      <c r="G723" s="33"/>
      <c r="H723" s="159"/>
      <c r="I723" s="33"/>
      <c r="J723" s="33"/>
      <c r="K723" s="33" t="s">
        <v>5338</v>
      </c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</row>
    <row r="724" spans="1:22" s="35" customFormat="1" ht="11.25" customHeight="1" x14ac:dyDescent="0.35">
      <c r="A724" s="33" t="s">
        <v>60</v>
      </c>
      <c r="B724" s="35" t="s">
        <v>1776</v>
      </c>
      <c r="C724" s="272" t="s">
        <v>6269</v>
      </c>
      <c r="D724" s="31" t="s">
        <v>5180</v>
      </c>
      <c r="E724" s="33">
        <v>8</v>
      </c>
      <c r="F724" s="22">
        <v>45182</v>
      </c>
      <c r="G724" s="33"/>
      <c r="H724" s="159"/>
      <c r="I724" s="33"/>
      <c r="J724" s="33"/>
      <c r="K724" s="33" t="s">
        <v>5338</v>
      </c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</row>
    <row r="725" spans="1:22" s="35" customFormat="1" ht="11.25" customHeight="1" x14ac:dyDescent="0.35">
      <c r="A725" s="33" t="s">
        <v>60</v>
      </c>
      <c r="B725" s="35" t="s">
        <v>1776</v>
      </c>
      <c r="C725" s="272" t="s">
        <v>6270</v>
      </c>
      <c r="D725" s="31" t="s">
        <v>1613</v>
      </c>
      <c r="E725" s="33">
        <v>1</v>
      </c>
      <c r="F725" s="22">
        <v>45182</v>
      </c>
      <c r="G725" s="33"/>
      <c r="H725" s="159"/>
      <c r="I725" s="33"/>
      <c r="J725" s="33"/>
      <c r="K725" s="33" t="s">
        <v>5338</v>
      </c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</row>
    <row r="726" spans="1:22" s="35" customFormat="1" ht="11.25" customHeight="1" x14ac:dyDescent="0.35">
      <c r="A726" s="33" t="s">
        <v>60</v>
      </c>
      <c r="B726" s="35" t="s">
        <v>1776</v>
      </c>
      <c r="C726" s="272" t="s">
        <v>6271</v>
      </c>
      <c r="D726" s="31" t="s">
        <v>6272</v>
      </c>
      <c r="E726" s="33">
        <v>1</v>
      </c>
      <c r="F726" s="22">
        <v>45182</v>
      </c>
      <c r="G726" s="33"/>
      <c r="H726" s="159"/>
      <c r="I726" s="33"/>
      <c r="J726" s="33"/>
      <c r="K726" s="33" t="s">
        <v>5338</v>
      </c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</row>
    <row r="727" spans="1:22" s="35" customFormat="1" ht="11.25" customHeight="1" x14ac:dyDescent="0.35">
      <c r="A727" s="33" t="s">
        <v>60</v>
      </c>
      <c r="B727" s="35" t="s">
        <v>1776</v>
      </c>
      <c r="C727" s="272" t="s">
        <v>6273</v>
      </c>
      <c r="D727" s="31" t="s">
        <v>631</v>
      </c>
      <c r="E727" s="33">
        <v>1</v>
      </c>
      <c r="F727" s="22">
        <v>45182</v>
      </c>
      <c r="G727" s="33"/>
      <c r="H727" s="159"/>
      <c r="I727" s="33"/>
      <c r="J727" s="33"/>
      <c r="K727" s="33" t="s">
        <v>5338</v>
      </c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</row>
    <row r="728" spans="1:22" s="35" customFormat="1" ht="11.25" customHeight="1" x14ac:dyDescent="0.35">
      <c r="A728" s="33" t="s">
        <v>60</v>
      </c>
      <c r="B728" s="35" t="s">
        <v>1776</v>
      </c>
      <c r="C728" s="272" t="s">
        <v>6274</v>
      </c>
      <c r="D728" s="31" t="s">
        <v>6275</v>
      </c>
      <c r="E728" s="33">
        <v>3</v>
      </c>
      <c r="F728" s="22">
        <v>45182</v>
      </c>
      <c r="G728" s="33"/>
      <c r="H728" s="159"/>
      <c r="I728" s="33"/>
      <c r="J728" s="33"/>
      <c r="K728" s="33" t="s">
        <v>5338</v>
      </c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</row>
    <row r="729" spans="1:22" s="35" customFormat="1" ht="11.25" customHeight="1" x14ac:dyDescent="0.35">
      <c r="A729" s="33" t="s">
        <v>60</v>
      </c>
      <c r="B729" s="35" t="s">
        <v>1776</v>
      </c>
      <c r="C729" s="272" t="s">
        <v>6276</v>
      </c>
      <c r="D729" s="31" t="s">
        <v>6277</v>
      </c>
      <c r="E729" s="33">
        <v>1</v>
      </c>
      <c r="F729" s="22">
        <v>45182</v>
      </c>
      <c r="G729" s="33"/>
      <c r="H729" s="159"/>
      <c r="I729" s="33"/>
      <c r="J729" s="33"/>
      <c r="K729" s="33" t="s">
        <v>5338</v>
      </c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</row>
    <row r="730" spans="1:22" s="35" customFormat="1" ht="11.25" customHeight="1" x14ac:dyDescent="0.35">
      <c r="A730" s="33" t="s">
        <v>60</v>
      </c>
      <c r="B730" s="35" t="s">
        <v>1776</v>
      </c>
      <c r="C730" s="272" t="s">
        <v>6278</v>
      </c>
      <c r="D730" s="31" t="s">
        <v>6279</v>
      </c>
      <c r="E730" s="33">
        <v>1</v>
      </c>
      <c r="F730" s="22">
        <v>45182</v>
      </c>
      <c r="G730" s="33"/>
      <c r="H730" s="159"/>
      <c r="I730" s="33"/>
      <c r="J730" s="33"/>
      <c r="K730" s="33" t="s">
        <v>5338</v>
      </c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</row>
    <row r="731" spans="1:22" s="35" customFormat="1" ht="11.25" customHeight="1" x14ac:dyDescent="0.35">
      <c r="A731" s="33" t="s">
        <v>60</v>
      </c>
      <c r="B731" s="35" t="s">
        <v>1776</v>
      </c>
      <c r="C731" s="272" t="s">
        <v>6280</v>
      </c>
      <c r="D731" s="31" t="s">
        <v>6281</v>
      </c>
      <c r="E731" s="33">
        <v>1</v>
      </c>
      <c r="F731" s="22">
        <v>45182</v>
      </c>
      <c r="G731" s="33"/>
      <c r="H731" s="159"/>
      <c r="I731" s="33"/>
      <c r="J731" s="33"/>
      <c r="K731" s="33" t="s">
        <v>5338</v>
      </c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</row>
    <row r="732" spans="1:22" s="35" customFormat="1" ht="11.25" customHeight="1" x14ac:dyDescent="0.35">
      <c r="A732" s="33" t="s">
        <v>60</v>
      </c>
      <c r="B732" s="35" t="s">
        <v>1776</v>
      </c>
      <c r="C732" s="272" t="s">
        <v>6282</v>
      </c>
      <c r="D732" s="31" t="s">
        <v>6283</v>
      </c>
      <c r="E732" s="33">
        <v>1</v>
      </c>
      <c r="F732" s="22">
        <v>45182</v>
      </c>
      <c r="G732" s="33"/>
      <c r="H732" s="159"/>
      <c r="I732" s="33"/>
      <c r="J732" s="33"/>
      <c r="K732" s="33" t="s">
        <v>5338</v>
      </c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</row>
    <row r="733" spans="1:22" s="35" customFormat="1" ht="11.25" customHeight="1" x14ac:dyDescent="0.35">
      <c r="A733" s="33" t="s">
        <v>60</v>
      </c>
      <c r="B733" s="35" t="s">
        <v>1776</v>
      </c>
      <c r="C733" s="272" t="s">
        <v>6284</v>
      </c>
      <c r="D733" s="31" t="s">
        <v>6285</v>
      </c>
      <c r="E733" s="33">
        <v>1</v>
      </c>
      <c r="F733" s="22">
        <v>45182</v>
      </c>
      <c r="G733" s="33"/>
      <c r="H733" s="159"/>
      <c r="I733" s="33"/>
      <c r="J733" s="33"/>
      <c r="K733" s="33" t="s">
        <v>5338</v>
      </c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</row>
    <row r="734" spans="1:22" s="35" customFormat="1" ht="11.25" customHeight="1" x14ac:dyDescent="0.35">
      <c r="A734" s="33" t="s">
        <v>60</v>
      </c>
      <c r="B734" s="35" t="s">
        <v>1776</v>
      </c>
      <c r="C734" s="272" t="s">
        <v>6286</v>
      </c>
      <c r="D734" s="31" t="s">
        <v>6287</v>
      </c>
      <c r="E734" s="33">
        <v>10</v>
      </c>
      <c r="F734" s="22">
        <v>45182</v>
      </c>
      <c r="G734" s="33"/>
      <c r="H734" s="159"/>
      <c r="I734" s="33"/>
      <c r="J734" s="33"/>
      <c r="K734" s="33" t="s">
        <v>5338</v>
      </c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</row>
    <row r="735" spans="1:22" s="35" customFormat="1" ht="11.25" customHeight="1" x14ac:dyDescent="0.35">
      <c r="A735" s="33" t="s">
        <v>60</v>
      </c>
      <c r="B735" s="35" t="s">
        <v>1776</v>
      </c>
      <c r="C735" s="272" t="s">
        <v>6288</v>
      </c>
      <c r="D735" s="31" t="s">
        <v>6289</v>
      </c>
      <c r="E735" s="33">
        <v>10</v>
      </c>
      <c r="F735" s="22">
        <v>45182</v>
      </c>
      <c r="G735" s="33"/>
      <c r="H735" s="159"/>
      <c r="I735" s="33"/>
      <c r="J735" s="33"/>
      <c r="K735" s="33" t="s">
        <v>5338</v>
      </c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</row>
    <row r="736" spans="1:22" s="35" customFormat="1" ht="11.25" customHeight="1" x14ac:dyDescent="0.35">
      <c r="A736" s="33" t="s">
        <v>60</v>
      </c>
      <c r="B736" s="35" t="s">
        <v>1776</v>
      </c>
      <c r="C736" s="272" t="s">
        <v>6290</v>
      </c>
      <c r="D736" s="31" t="s">
        <v>6291</v>
      </c>
      <c r="E736" s="33">
        <v>10</v>
      </c>
      <c r="F736" s="22">
        <v>45182</v>
      </c>
      <c r="G736" s="33"/>
      <c r="H736" s="159"/>
      <c r="I736" s="33"/>
      <c r="J736" s="33"/>
      <c r="K736" s="33" t="s">
        <v>5338</v>
      </c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</row>
    <row r="737" spans="1:22" s="35" customFormat="1" ht="11.25" customHeight="1" x14ac:dyDescent="0.35">
      <c r="A737" s="33" t="s">
        <v>60</v>
      </c>
      <c r="B737" s="35" t="s">
        <v>1776</v>
      </c>
      <c r="C737" s="272" t="s">
        <v>6292</v>
      </c>
      <c r="D737" s="31" t="s">
        <v>6293</v>
      </c>
      <c r="E737" s="33">
        <v>10</v>
      </c>
      <c r="F737" s="22">
        <v>45182</v>
      </c>
      <c r="G737" s="33"/>
      <c r="H737" s="159"/>
      <c r="I737" s="33"/>
      <c r="J737" s="33"/>
      <c r="K737" s="33" t="s">
        <v>5338</v>
      </c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</row>
    <row r="738" spans="1:22" s="35" customFormat="1" ht="11.25" customHeight="1" x14ac:dyDescent="0.35">
      <c r="A738" s="33" t="s">
        <v>60</v>
      </c>
      <c r="B738" s="35" t="s">
        <v>1776</v>
      </c>
      <c r="C738" s="272" t="s">
        <v>6294</v>
      </c>
      <c r="D738" s="31" t="s">
        <v>1785</v>
      </c>
      <c r="E738" s="33">
        <v>15</v>
      </c>
      <c r="F738" s="22">
        <v>45182</v>
      </c>
      <c r="G738" s="33"/>
      <c r="H738" s="159"/>
      <c r="I738" s="33"/>
      <c r="J738" s="33"/>
      <c r="K738" s="33" t="s">
        <v>5338</v>
      </c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</row>
    <row r="739" spans="1:22" s="35" customFormat="1" ht="11.25" customHeight="1" x14ac:dyDescent="0.35">
      <c r="A739" s="33" t="s">
        <v>60</v>
      </c>
      <c r="B739" s="35" t="s">
        <v>1776</v>
      </c>
      <c r="C739" s="272" t="s">
        <v>6295</v>
      </c>
      <c r="D739" s="31" t="s">
        <v>1785</v>
      </c>
      <c r="E739" s="33">
        <v>7</v>
      </c>
      <c r="F739" s="22">
        <v>45182</v>
      </c>
      <c r="G739" s="33"/>
      <c r="H739" s="159"/>
      <c r="I739" s="33"/>
      <c r="J739" s="33"/>
      <c r="K739" s="33" t="s">
        <v>5338</v>
      </c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</row>
    <row r="740" spans="1:22" s="35" customFormat="1" ht="11.25" customHeight="1" x14ac:dyDescent="0.35">
      <c r="A740" s="33" t="s">
        <v>60</v>
      </c>
      <c r="B740" s="35" t="s">
        <v>1776</v>
      </c>
      <c r="C740" s="272" t="s">
        <v>6296</v>
      </c>
      <c r="D740" s="31" t="s">
        <v>1785</v>
      </c>
      <c r="E740" s="33">
        <v>58</v>
      </c>
      <c r="F740" s="22">
        <v>45182</v>
      </c>
      <c r="G740" s="33"/>
      <c r="H740" s="159"/>
      <c r="I740" s="33"/>
      <c r="J740" s="33"/>
      <c r="K740" s="33" t="s">
        <v>5338</v>
      </c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</row>
    <row r="741" spans="1:22" s="35" customFormat="1" ht="11.25" customHeight="1" x14ac:dyDescent="0.35">
      <c r="A741" s="33" t="s">
        <v>60</v>
      </c>
      <c r="B741" s="35" t="s">
        <v>1776</v>
      </c>
      <c r="C741" s="272" t="s">
        <v>6297</v>
      </c>
      <c r="D741" s="31" t="s">
        <v>6298</v>
      </c>
      <c r="E741" s="33">
        <v>1</v>
      </c>
      <c r="F741" s="22">
        <v>45182</v>
      </c>
      <c r="G741" s="33"/>
      <c r="H741" s="159"/>
      <c r="I741" s="33"/>
      <c r="J741" s="33"/>
      <c r="K741" s="33" t="s">
        <v>5338</v>
      </c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</row>
    <row r="742" spans="1:22" s="35" customFormat="1" ht="11.25" customHeight="1" x14ac:dyDescent="0.35">
      <c r="A742" s="33" t="s">
        <v>60</v>
      </c>
      <c r="B742" s="35" t="s">
        <v>1776</v>
      </c>
      <c r="C742" s="272" t="s">
        <v>6299</v>
      </c>
      <c r="D742" s="31" t="s">
        <v>1785</v>
      </c>
      <c r="E742" s="33">
        <v>2</v>
      </c>
      <c r="F742" s="22">
        <v>45182</v>
      </c>
      <c r="G742" s="33"/>
      <c r="H742" s="159"/>
      <c r="I742" s="33"/>
      <c r="J742" s="33"/>
      <c r="K742" s="33" t="s">
        <v>5338</v>
      </c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</row>
    <row r="743" spans="1:22" s="35" customFormat="1" ht="11.25" customHeight="1" x14ac:dyDescent="0.35">
      <c r="A743" s="33" t="s">
        <v>60</v>
      </c>
      <c r="B743" s="35" t="s">
        <v>1776</v>
      </c>
      <c r="C743" s="272" t="s">
        <v>6300</v>
      </c>
      <c r="D743" s="31" t="s">
        <v>6301</v>
      </c>
      <c r="E743" s="33">
        <v>1</v>
      </c>
      <c r="F743" s="22">
        <v>45182</v>
      </c>
      <c r="G743" s="33"/>
      <c r="H743" s="159"/>
      <c r="I743" s="33"/>
      <c r="J743" s="33"/>
      <c r="K743" s="33" t="s">
        <v>5338</v>
      </c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</row>
    <row r="744" spans="1:22" s="35" customFormat="1" ht="11.25" customHeight="1" x14ac:dyDescent="0.35">
      <c r="A744" s="33" t="s">
        <v>60</v>
      </c>
      <c r="B744" s="35" t="s">
        <v>1776</v>
      </c>
      <c r="C744" s="272" t="s">
        <v>6302</v>
      </c>
      <c r="D744" s="31" t="s">
        <v>6261</v>
      </c>
      <c r="E744" s="33">
        <v>7</v>
      </c>
      <c r="F744" s="22">
        <v>45182</v>
      </c>
      <c r="G744" s="33"/>
      <c r="H744" s="159"/>
      <c r="I744" s="33"/>
      <c r="J744" s="33"/>
      <c r="K744" s="33" t="s">
        <v>5338</v>
      </c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</row>
    <row r="745" spans="1:22" s="35" customFormat="1" ht="11.25" customHeight="1" x14ac:dyDescent="0.35">
      <c r="A745" s="33" t="s">
        <v>60</v>
      </c>
      <c r="B745" s="35" t="s">
        <v>1776</v>
      </c>
      <c r="C745" s="272" t="s">
        <v>6303</v>
      </c>
      <c r="D745" s="31" t="s">
        <v>5481</v>
      </c>
      <c r="E745" s="33">
        <v>3</v>
      </c>
      <c r="F745" s="22">
        <v>45182</v>
      </c>
      <c r="G745" s="33"/>
      <c r="H745" s="159"/>
      <c r="I745" s="33"/>
      <c r="J745" s="33"/>
      <c r="K745" s="33" t="s">
        <v>5338</v>
      </c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</row>
    <row r="746" spans="1:22" s="35" customFormat="1" ht="11.25" customHeight="1" x14ac:dyDescent="0.35">
      <c r="A746" s="33" t="s">
        <v>60</v>
      </c>
      <c r="B746" s="35" t="s">
        <v>1776</v>
      </c>
      <c r="C746" s="272" t="s">
        <v>6304</v>
      </c>
      <c r="D746" s="31" t="s">
        <v>3285</v>
      </c>
      <c r="E746" s="33">
        <v>1</v>
      </c>
      <c r="F746" s="22">
        <v>45182</v>
      </c>
      <c r="G746" s="33"/>
      <c r="H746" s="159"/>
      <c r="I746" s="33"/>
      <c r="J746" s="33"/>
      <c r="K746" s="33" t="s">
        <v>5338</v>
      </c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</row>
    <row r="747" spans="1:22" s="35" customFormat="1" ht="11.25" customHeight="1" x14ac:dyDescent="0.35">
      <c r="A747" s="33" t="s">
        <v>60</v>
      </c>
      <c r="B747" s="35" t="s">
        <v>1776</v>
      </c>
      <c r="C747" s="272" t="s">
        <v>6305</v>
      </c>
      <c r="D747" s="31" t="s">
        <v>1785</v>
      </c>
      <c r="E747" s="33">
        <v>1</v>
      </c>
      <c r="F747" s="22">
        <v>45182</v>
      </c>
      <c r="G747" s="33"/>
      <c r="H747" s="159"/>
      <c r="I747" s="33"/>
      <c r="J747" s="33"/>
      <c r="K747" s="33" t="s">
        <v>5338</v>
      </c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</row>
    <row r="748" spans="1:22" s="35" customFormat="1" ht="11.25" customHeight="1" x14ac:dyDescent="0.35">
      <c r="A748" s="33" t="s">
        <v>60</v>
      </c>
      <c r="B748" s="35" t="s">
        <v>1776</v>
      </c>
      <c r="C748" s="272" t="s">
        <v>6306</v>
      </c>
      <c r="D748" s="31" t="s">
        <v>6307</v>
      </c>
      <c r="E748" s="33">
        <v>1</v>
      </c>
      <c r="F748" s="22">
        <v>45182</v>
      </c>
      <c r="G748" s="33"/>
      <c r="H748" s="159"/>
      <c r="I748" s="33"/>
      <c r="J748" s="33"/>
      <c r="K748" s="33" t="s">
        <v>5338</v>
      </c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</row>
    <row r="749" spans="1:22" s="35" customFormat="1" ht="11.25" customHeight="1" x14ac:dyDescent="0.35">
      <c r="A749" s="33" t="s">
        <v>60</v>
      </c>
      <c r="B749" s="35" t="s">
        <v>1776</v>
      </c>
      <c r="C749" s="272" t="s">
        <v>6308</v>
      </c>
      <c r="D749" s="31" t="s">
        <v>1613</v>
      </c>
      <c r="E749" s="33">
        <v>20</v>
      </c>
      <c r="F749" s="22">
        <v>45182</v>
      </c>
      <c r="G749" s="33"/>
      <c r="H749" s="159"/>
      <c r="I749" s="33"/>
      <c r="J749" s="33"/>
      <c r="K749" s="33" t="s">
        <v>5338</v>
      </c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</row>
    <row r="750" spans="1:22" s="35" customFormat="1" ht="11.25" customHeight="1" x14ac:dyDescent="0.35">
      <c r="A750" s="33" t="s">
        <v>60</v>
      </c>
      <c r="B750" s="35" t="s">
        <v>1776</v>
      </c>
      <c r="C750" s="272" t="s">
        <v>6309</v>
      </c>
      <c r="D750" s="31" t="s">
        <v>6310</v>
      </c>
      <c r="E750" s="33">
        <v>5</v>
      </c>
      <c r="F750" s="22">
        <v>45182</v>
      </c>
      <c r="G750" s="33"/>
      <c r="H750" s="159"/>
      <c r="I750" s="33"/>
      <c r="J750" s="33"/>
      <c r="K750" s="33" t="s">
        <v>5338</v>
      </c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</row>
    <row r="751" spans="1:22" s="35" customFormat="1" ht="11.25" customHeight="1" x14ac:dyDescent="0.35">
      <c r="A751" s="33" t="s">
        <v>60</v>
      </c>
      <c r="B751" s="35" t="s">
        <v>1776</v>
      </c>
      <c r="C751" s="272" t="s">
        <v>6311</v>
      </c>
      <c r="D751" s="31" t="s">
        <v>1785</v>
      </c>
      <c r="E751" s="33">
        <v>6</v>
      </c>
      <c r="F751" s="22">
        <v>45182</v>
      </c>
      <c r="G751" s="33"/>
      <c r="H751" s="159"/>
      <c r="I751" s="33"/>
      <c r="J751" s="33"/>
      <c r="K751" s="33" t="s">
        <v>5338</v>
      </c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</row>
    <row r="752" spans="1:22" s="35" customFormat="1" ht="11.25" customHeight="1" x14ac:dyDescent="0.35">
      <c r="A752" s="33" t="s">
        <v>60</v>
      </c>
      <c r="B752" s="35" t="s">
        <v>1776</v>
      </c>
      <c r="C752" s="272" t="s">
        <v>6312</v>
      </c>
      <c r="D752" s="31" t="s">
        <v>1785</v>
      </c>
      <c r="E752" s="33">
        <v>39</v>
      </c>
      <c r="F752" s="22">
        <v>45182</v>
      </c>
      <c r="G752" s="33"/>
      <c r="H752" s="159"/>
      <c r="I752" s="33"/>
      <c r="J752" s="33"/>
      <c r="K752" s="33" t="s">
        <v>5338</v>
      </c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</row>
    <row r="753" spans="1:22" s="35" customFormat="1" ht="11.25" customHeight="1" x14ac:dyDescent="0.35">
      <c r="A753" s="33" t="s">
        <v>60</v>
      </c>
      <c r="B753" s="35" t="s">
        <v>1776</v>
      </c>
      <c r="C753" s="272" t="s">
        <v>6313</v>
      </c>
      <c r="D753" s="31" t="s">
        <v>1785</v>
      </c>
      <c r="E753" s="33">
        <v>22</v>
      </c>
      <c r="F753" s="22">
        <v>45182</v>
      </c>
      <c r="G753" s="33"/>
      <c r="H753" s="159"/>
      <c r="I753" s="33"/>
      <c r="J753" s="33"/>
      <c r="K753" s="33" t="s">
        <v>5338</v>
      </c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</row>
    <row r="754" spans="1:22" s="35" customFormat="1" ht="11.25" customHeight="1" x14ac:dyDescent="0.35">
      <c r="A754" s="33" t="s">
        <v>60</v>
      </c>
      <c r="B754" s="35" t="s">
        <v>1776</v>
      </c>
      <c r="C754" s="272" t="s">
        <v>6314</v>
      </c>
      <c r="D754" s="31" t="s">
        <v>1785</v>
      </c>
      <c r="E754" s="33">
        <v>11</v>
      </c>
      <c r="F754" s="22">
        <v>45182</v>
      </c>
      <c r="G754" s="33"/>
      <c r="H754" s="159"/>
      <c r="I754" s="33"/>
      <c r="J754" s="33"/>
      <c r="K754" s="33" t="s">
        <v>5338</v>
      </c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</row>
    <row r="755" spans="1:22" s="35" customFormat="1" ht="11.25" customHeight="1" x14ac:dyDescent="0.35">
      <c r="A755" s="50" t="s">
        <v>60</v>
      </c>
      <c r="B755" s="638" t="s">
        <v>1776</v>
      </c>
      <c r="C755" s="280" t="s">
        <v>6315</v>
      </c>
      <c r="D755" s="64" t="s">
        <v>1785</v>
      </c>
      <c r="E755" s="50">
        <v>1</v>
      </c>
      <c r="F755" s="15">
        <v>45182</v>
      </c>
      <c r="G755" s="50"/>
      <c r="H755" s="165"/>
      <c r="I755" s="50"/>
      <c r="J755" s="50"/>
      <c r="K755" s="50" t="s">
        <v>5338</v>
      </c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</row>
    <row r="756" spans="1:22" s="35" customFormat="1" ht="11.25" customHeight="1" x14ac:dyDescent="0.35">
      <c r="A756" s="50" t="s">
        <v>60</v>
      </c>
      <c r="B756" s="638" t="s">
        <v>1776</v>
      </c>
      <c r="C756" s="280" t="s">
        <v>6316</v>
      </c>
      <c r="D756" s="64" t="s">
        <v>6317</v>
      </c>
      <c r="E756" s="50">
        <v>15</v>
      </c>
      <c r="F756" s="15">
        <v>45182</v>
      </c>
      <c r="G756" s="50"/>
      <c r="H756" s="165"/>
      <c r="I756" s="50"/>
      <c r="J756" s="50"/>
      <c r="K756" s="50" t="s">
        <v>5338</v>
      </c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</row>
    <row r="757" spans="1:22" s="35" customFormat="1" ht="11.25" customHeight="1" x14ac:dyDescent="0.35">
      <c r="A757" s="50" t="s">
        <v>60</v>
      </c>
      <c r="B757" s="638" t="s">
        <v>1776</v>
      </c>
      <c r="C757" s="280" t="s">
        <v>5181</v>
      </c>
      <c r="D757" s="64" t="s">
        <v>1785</v>
      </c>
      <c r="E757" s="50">
        <v>2</v>
      </c>
      <c r="F757" s="15">
        <v>45182</v>
      </c>
      <c r="G757" s="50"/>
      <c r="H757" s="165"/>
      <c r="I757" s="50"/>
      <c r="J757" s="50"/>
      <c r="K757" s="50" t="s">
        <v>5338</v>
      </c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</row>
    <row r="758" spans="1:22" s="35" customFormat="1" ht="11.25" customHeight="1" x14ac:dyDescent="0.35">
      <c r="A758" s="50" t="s">
        <v>60</v>
      </c>
      <c r="B758" s="638" t="s">
        <v>1776</v>
      </c>
      <c r="C758" s="280" t="s">
        <v>6318</v>
      </c>
      <c r="D758" s="64" t="s">
        <v>1785</v>
      </c>
      <c r="E758" s="50">
        <v>1</v>
      </c>
      <c r="F758" s="15">
        <v>45182</v>
      </c>
      <c r="G758" s="50"/>
      <c r="H758" s="165"/>
      <c r="I758" s="50"/>
      <c r="J758" s="50"/>
      <c r="K758" s="50" t="s">
        <v>5338</v>
      </c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</row>
    <row r="759" spans="1:22" s="35" customFormat="1" ht="11.25" customHeight="1" x14ac:dyDescent="0.35">
      <c r="A759" s="50" t="s">
        <v>60</v>
      </c>
      <c r="B759" s="638" t="s">
        <v>1776</v>
      </c>
      <c r="C759" s="280" t="s">
        <v>6319</v>
      </c>
      <c r="D759" s="64" t="s">
        <v>1785</v>
      </c>
      <c r="E759" s="50">
        <v>1</v>
      </c>
      <c r="F759" s="15">
        <v>45182</v>
      </c>
      <c r="G759" s="50"/>
      <c r="H759" s="165"/>
      <c r="I759" s="50"/>
      <c r="J759" s="50"/>
      <c r="K759" s="50" t="s">
        <v>5338</v>
      </c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</row>
    <row r="760" spans="1:22" s="35" customFormat="1" ht="11.25" customHeight="1" x14ac:dyDescent="0.35">
      <c r="A760" s="50" t="s">
        <v>60</v>
      </c>
      <c r="B760" s="638" t="s">
        <v>1776</v>
      </c>
      <c r="C760" s="280" t="s">
        <v>6320</v>
      </c>
      <c r="D760" s="64" t="s">
        <v>6301</v>
      </c>
      <c r="E760" s="50">
        <v>6</v>
      </c>
      <c r="F760" s="15">
        <v>45182</v>
      </c>
      <c r="G760" s="50"/>
      <c r="H760" s="165"/>
      <c r="I760" s="50"/>
      <c r="J760" s="50"/>
      <c r="K760" s="50" t="s">
        <v>5338</v>
      </c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</row>
    <row r="761" spans="1:22" s="35" customFormat="1" ht="11.25" customHeight="1" x14ac:dyDescent="0.35">
      <c r="A761" s="50" t="s">
        <v>60</v>
      </c>
      <c r="B761" s="638" t="s">
        <v>1776</v>
      </c>
      <c r="C761" s="280" t="s">
        <v>6321</v>
      </c>
      <c r="D761" s="64" t="s">
        <v>1785</v>
      </c>
      <c r="E761" s="50">
        <v>2</v>
      </c>
      <c r="F761" s="15">
        <v>45182</v>
      </c>
      <c r="G761" s="50"/>
      <c r="H761" s="165"/>
      <c r="I761" s="50"/>
      <c r="J761" s="50"/>
      <c r="K761" s="50" t="s">
        <v>5338</v>
      </c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</row>
    <row r="762" spans="1:22" s="35" customFormat="1" ht="11.25" customHeight="1" x14ac:dyDescent="0.35">
      <c r="A762" s="50" t="s">
        <v>60</v>
      </c>
      <c r="B762" s="638" t="s">
        <v>1776</v>
      </c>
      <c r="C762" s="280" t="s">
        <v>6322</v>
      </c>
      <c r="D762" s="64" t="s">
        <v>1785</v>
      </c>
      <c r="E762" s="50">
        <v>7</v>
      </c>
      <c r="F762" s="15">
        <v>45182</v>
      </c>
      <c r="G762" s="50"/>
      <c r="H762" s="165"/>
      <c r="I762" s="50"/>
      <c r="J762" s="50"/>
      <c r="K762" s="50" t="s">
        <v>5338</v>
      </c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</row>
    <row r="763" spans="1:22" s="35" customFormat="1" ht="11.25" customHeight="1" x14ac:dyDescent="0.35">
      <c r="A763" s="50" t="s">
        <v>60</v>
      </c>
      <c r="B763" s="638" t="s">
        <v>1776</v>
      </c>
      <c r="C763" s="280" t="s">
        <v>6323</v>
      </c>
      <c r="D763" s="64" t="s">
        <v>1785</v>
      </c>
      <c r="E763" s="50">
        <v>18</v>
      </c>
      <c r="F763" s="15">
        <v>45182</v>
      </c>
      <c r="G763" s="50"/>
      <c r="H763" s="165"/>
      <c r="I763" s="50"/>
      <c r="J763" s="50"/>
      <c r="K763" s="50" t="s">
        <v>5338</v>
      </c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</row>
    <row r="764" spans="1:22" s="35" customFormat="1" ht="11.25" customHeight="1" x14ac:dyDescent="0.35">
      <c r="A764" s="50" t="s">
        <v>60</v>
      </c>
      <c r="B764" s="638" t="s">
        <v>1776</v>
      </c>
      <c r="C764" s="280" t="s">
        <v>6324</v>
      </c>
      <c r="D764" s="64" t="s">
        <v>5861</v>
      </c>
      <c r="E764" s="50">
        <v>1</v>
      </c>
      <c r="F764" s="15">
        <v>45182</v>
      </c>
      <c r="G764" s="50"/>
      <c r="H764" s="165"/>
      <c r="I764" s="50"/>
      <c r="J764" s="50"/>
      <c r="K764" s="50" t="s">
        <v>5338</v>
      </c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</row>
    <row r="765" spans="1:22" s="35" customFormat="1" ht="11.25" customHeight="1" x14ac:dyDescent="0.35">
      <c r="A765" s="50" t="s">
        <v>60</v>
      </c>
      <c r="B765" s="638" t="s">
        <v>1776</v>
      </c>
      <c r="C765" s="280" t="s">
        <v>6325</v>
      </c>
      <c r="D765" s="64" t="s">
        <v>1785</v>
      </c>
      <c r="E765" s="50">
        <v>2</v>
      </c>
      <c r="F765" s="15">
        <v>45182</v>
      </c>
      <c r="G765" s="50"/>
      <c r="H765" s="165"/>
      <c r="I765" s="50"/>
      <c r="J765" s="50"/>
      <c r="K765" s="50" t="s">
        <v>5338</v>
      </c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</row>
    <row r="766" spans="1:22" s="87" customFormat="1" ht="11.25" customHeight="1" x14ac:dyDescent="0.35">
      <c r="A766" s="70" t="s">
        <v>4832</v>
      </c>
      <c r="B766" s="111" t="s">
        <v>5904</v>
      </c>
      <c r="C766" s="281" t="s">
        <v>435</v>
      </c>
      <c r="D766" s="71" t="s">
        <v>6326</v>
      </c>
      <c r="E766" s="70">
        <v>1</v>
      </c>
      <c r="F766" s="72" t="s">
        <v>5484</v>
      </c>
      <c r="G766" s="70"/>
      <c r="H766" s="166"/>
      <c r="I766" s="70" t="s">
        <v>6040</v>
      </c>
      <c r="J766" s="70"/>
      <c r="K766" s="70" t="s">
        <v>5365</v>
      </c>
      <c r="L766" s="34"/>
    </row>
    <row r="767" spans="1:22" ht="11.25" customHeight="1" x14ac:dyDescent="0.35">
      <c r="A767" s="51" t="s">
        <v>4832</v>
      </c>
      <c r="B767" s="638" t="s">
        <v>5904</v>
      </c>
      <c r="C767" s="280" t="s">
        <v>149</v>
      </c>
      <c r="D767" s="64" t="s">
        <v>150</v>
      </c>
      <c r="E767" s="50">
        <v>2</v>
      </c>
      <c r="F767" s="15" t="s">
        <v>5484</v>
      </c>
      <c r="G767" s="50"/>
      <c r="H767" s="165"/>
      <c r="I767" s="50"/>
      <c r="J767" s="50"/>
      <c r="K767" s="50" t="s">
        <v>5338</v>
      </c>
      <c r="L767" s="34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spans="1:22" s="39" customFormat="1" ht="11.25" customHeight="1" x14ac:dyDescent="0.35">
      <c r="A768" s="52" t="s">
        <v>4832</v>
      </c>
      <c r="B768" s="80" t="s">
        <v>5904</v>
      </c>
      <c r="C768" s="282" t="s">
        <v>6327</v>
      </c>
      <c r="D768" s="63" t="s">
        <v>6328</v>
      </c>
      <c r="E768" s="52">
        <v>1</v>
      </c>
      <c r="F768" s="13" t="s">
        <v>5484</v>
      </c>
      <c r="G768" s="52">
        <v>1</v>
      </c>
      <c r="H768" s="167"/>
      <c r="I768" s="52" t="s">
        <v>5433</v>
      </c>
      <c r="J768" s="52"/>
      <c r="K768" s="52" t="s">
        <v>5365</v>
      </c>
    </row>
    <row r="769" spans="1:12" s="38" customFormat="1" ht="11.25" customHeight="1" x14ac:dyDescent="0.35">
      <c r="A769" s="52" t="s">
        <v>4832</v>
      </c>
      <c r="B769" s="80" t="s">
        <v>5904</v>
      </c>
      <c r="C769" s="282" t="s">
        <v>6329</v>
      </c>
      <c r="D769" s="63" t="s">
        <v>6330</v>
      </c>
      <c r="E769" s="52">
        <v>1</v>
      </c>
      <c r="F769" s="13" t="s">
        <v>5484</v>
      </c>
      <c r="G769" s="52">
        <v>1</v>
      </c>
      <c r="H769" s="167"/>
      <c r="I769" s="52" t="s">
        <v>6331</v>
      </c>
      <c r="J769" s="52" t="s">
        <v>2846</v>
      </c>
      <c r="K769" s="52" t="s">
        <v>5365</v>
      </c>
      <c r="L769" s="34"/>
    </row>
    <row r="770" spans="1:12" s="38" customFormat="1" ht="11.25" customHeight="1" x14ac:dyDescent="0.35">
      <c r="A770" s="52" t="s">
        <v>4832</v>
      </c>
      <c r="B770" s="80" t="s">
        <v>5904</v>
      </c>
      <c r="C770" s="282" t="s">
        <v>6332</v>
      </c>
      <c r="D770" s="63" t="s">
        <v>110</v>
      </c>
      <c r="E770" s="52">
        <v>1</v>
      </c>
      <c r="F770" s="13" t="s">
        <v>5484</v>
      </c>
      <c r="G770" s="52">
        <v>1</v>
      </c>
      <c r="H770" s="167">
        <v>45414</v>
      </c>
      <c r="I770" s="52" t="s">
        <v>6227</v>
      </c>
      <c r="J770" s="52"/>
      <c r="K770" s="52" t="s">
        <v>5365</v>
      </c>
      <c r="L770" s="34"/>
    </row>
    <row r="771" spans="1:12" s="39" customFormat="1" ht="11.25" customHeight="1" x14ac:dyDescent="0.35">
      <c r="A771" s="52" t="s">
        <v>4832</v>
      </c>
      <c r="B771" s="80" t="s">
        <v>5904</v>
      </c>
      <c r="C771" s="282" t="s">
        <v>6333</v>
      </c>
      <c r="D771" s="63" t="s">
        <v>6334</v>
      </c>
      <c r="E771" s="52">
        <v>6</v>
      </c>
      <c r="F771" s="13" t="s">
        <v>5484</v>
      </c>
      <c r="G771" s="52">
        <v>6</v>
      </c>
      <c r="H771" s="167" t="s">
        <v>5818</v>
      </c>
      <c r="I771" s="52" t="s">
        <v>5553</v>
      </c>
      <c r="J771" s="52"/>
      <c r="K771" s="52" t="s">
        <v>5365</v>
      </c>
    </row>
    <row r="772" spans="1:12" s="39" customFormat="1" ht="11.25" customHeight="1" x14ac:dyDescent="0.35">
      <c r="A772" s="52" t="s">
        <v>4832</v>
      </c>
      <c r="B772" s="80" t="s">
        <v>5904</v>
      </c>
      <c r="C772" s="282"/>
      <c r="D772" s="63" t="s">
        <v>6335</v>
      </c>
      <c r="E772" s="52">
        <v>1</v>
      </c>
      <c r="F772" s="13" t="s">
        <v>5484</v>
      </c>
      <c r="G772" s="52">
        <v>1</v>
      </c>
      <c r="H772" s="167">
        <v>45328</v>
      </c>
      <c r="I772" s="52" t="s">
        <v>6331</v>
      </c>
      <c r="J772" s="52"/>
      <c r="K772" s="52" t="s">
        <v>5365</v>
      </c>
    </row>
    <row r="773" spans="1:12" s="39" customFormat="1" ht="11.25" customHeight="1" x14ac:dyDescent="0.35">
      <c r="A773" s="52" t="s">
        <v>4832</v>
      </c>
      <c r="B773" s="80" t="s">
        <v>5904</v>
      </c>
      <c r="C773" s="282" t="s">
        <v>6336</v>
      </c>
      <c r="D773" s="63" t="s">
        <v>5346</v>
      </c>
      <c r="E773" s="52">
        <v>6</v>
      </c>
      <c r="F773" s="13" t="s">
        <v>5484</v>
      </c>
      <c r="G773" s="52">
        <v>6</v>
      </c>
      <c r="H773" s="167" t="s">
        <v>5818</v>
      </c>
      <c r="I773" s="52" t="s">
        <v>5553</v>
      </c>
      <c r="J773" s="52"/>
      <c r="K773" s="52" t="s">
        <v>5365</v>
      </c>
    </row>
    <row r="774" spans="1:12" s="39" customFormat="1" ht="11.25" customHeight="1" x14ac:dyDescent="0.35">
      <c r="A774" s="52" t="s">
        <v>4832</v>
      </c>
      <c r="B774" s="80" t="s">
        <v>5904</v>
      </c>
      <c r="C774" s="282" t="s">
        <v>126</v>
      </c>
      <c r="D774" s="63" t="s">
        <v>127</v>
      </c>
      <c r="E774" s="52">
        <v>1</v>
      </c>
      <c r="F774" s="13" t="s">
        <v>5484</v>
      </c>
      <c r="G774" s="52">
        <v>1</v>
      </c>
      <c r="H774" s="167">
        <v>45328</v>
      </c>
      <c r="I774" s="52" t="s">
        <v>6331</v>
      </c>
      <c r="J774" s="52"/>
      <c r="K774" s="52" t="s">
        <v>5365</v>
      </c>
    </row>
    <row r="775" spans="1:12" s="39" customFormat="1" ht="11.25" customHeight="1" x14ac:dyDescent="0.35">
      <c r="A775" s="52" t="s">
        <v>4832</v>
      </c>
      <c r="B775" s="80" t="s">
        <v>5904</v>
      </c>
      <c r="C775" s="282" t="s">
        <v>6337</v>
      </c>
      <c r="D775" s="63" t="s">
        <v>6338</v>
      </c>
      <c r="E775" s="52">
        <v>1</v>
      </c>
      <c r="F775" s="13" t="s">
        <v>5484</v>
      </c>
      <c r="G775" s="52">
        <v>1</v>
      </c>
      <c r="H775" s="167" t="s">
        <v>6097</v>
      </c>
      <c r="I775" s="52" t="s">
        <v>5553</v>
      </c>
      <c r="J775" s="52" t="s">
        <v>6339</v>
      </c>
      <c r="K775" s="52" t="s">
        <v>5365</v>
      </c>
    </row>
    <row r="776" spans="1:12" s="39" customFormat="1" ht="11.25" customHeight="1" x14ac:dyDescent="0.35">
      <c r="A776" s="52" t="s">
        <v>26</v>
      </c>
      <c r="B776" s="80" t="s">
        <v>5763</v>
      </c>
      <c r="C776" s="282">
        <v>2655792</v>
      </c>
      <c r="D776" s="63" t="s">
        <v>947</v>
      </c>
      <c r="E776" s="52">
        <v>2</v>
      </c>
      <c r="F776" s="13" t="s">
        <v>2971</v>
      </c>
      <c r="G776" s="52">
        <v>2</v>
      </c>
      <c r="H776" s="167" t="s">
        <v>6017</v>
      </c>
      <c r="I776" s="52" t="s">
        <v>6340</v>
      </c>
      <c r="J776" s="52"/>
      <c r="K776" s="52" t="s">
        <v>5365</v>
      </c>
    </row>
    <row r="777" spans="1:12" s="39" customFormat="1" ht="11.25" customHeight="1" x14ac:dyDescent="0.35">
      <c r="A777" s="52" t="s">
        <v>26</v>
      </c>
      <c r="B777" s="80" t="s">
        <v>5763</v>
      </c>
      <c r="C777" s="282">
        <v>807310</v>
      </c>
      <c r="D777" s="63" t="s">
        <v>1264</v>
      </c>
      <c r="E777" s="52">
        <v>12</v>
      </c>
      <c r="F777" s="13" t="s">
        <v>2971</v>
      </c>
      <c r="G777" s="52">
        <v>12</v>
      </c>
      <c r="H777" s="167" t="s">
        <v>6204</v>
      </c>
      <c r="I777" s="52" t="s">
        <v>6341</v>
      </c>
      <c r="J777" s="52" t="s">
        <v>6342</v>
      </c>
      <c r="K777" s="52" t="s">
        <v>5365</v>
      </c>
    </row>
    <row r="778" spans="1:12" s="39" customFormat="1" ht="11.25" customHeight="1" x14ac:dyDescent="0.35">
      <c r="A778" s="52" t="s">
        <v>26</v>
      </c>
      <c r="B778" s="80" t="s">
        <v>5763</v>
      </c>
      <c r="C778" s="282">
        <v>807311</v>
      </c>
      <c r="D778" s="63" t="s">
        <v>1264</v>
      </c>
      <c r="E778" s="52">
        <v>48</v>
      </c>
      <c r="F778" s="13" t="s">
        <v>2971</v>
      </c>
      <c r="G778" s="52">
        <v>48</v>
      </c>
      <c r="H778" s="167" t="s">
        <v>6204</v>
      </c>
      <c r="I778" s="52" t="s">
        <v>6341</v>
      </c>
      <c r="J778" s="52" t="s">
        <v>6342</v>
      </c>
      <c r="K778" s="52" t="s">
        <v>5365</v>
      </c>
    </row>
    <row r="779" spans="1:12" s="39" customFormat="1" ht="11.25" customHeight="1" x14ac:dyDescent="0.35">
      <c r="A779" s="52" t="s">
        <v>26</v>
      </c>
      <c r="B779" s="80" t="s">
        <v>5763</v>
      </c>
      <c r="C779" s="282">
        <v>809877</v>
      </c>
      <c r="D779" s="63" t="s">
        <v>5060</v>
      </c>
      <c r="E779" s="52">
        <v>24</v>
      </c>
      <c r="F779" s="13" t="s">
        <v>2971</v>
      </c>
      <c r="G779" s="52">
        <v>24</v>
      </c>
      <c r="H779" s="167" t="s">
        <v>6204</v>
      </c>
      <c r="I779" s="52" t="s">
        <v>6341</v>
      </c>
      <c r="J779" s="52" t="s">
        <v>6342</v>
      </c>
      <c r="K779" s="52" t="s">
        <v>5365</v>
      </c>
    </row>
    <row r="780" spans="1:12" s="39" customFormat="1" ht="11.25" customHeight="1" x14ac:dyDescent="0.35">
      <c r="A780" s="52" t="s">
        <v>26</v>
      </c>
      <c r="B780" s="80" t="s">
        <v>5763</v>
      </c>
      <c r="C780" s="282">
        <v>814823</v>
      </c>
      <c r="D780" s="63" t="s">
        <v>239</v>
      </c>
      <c r="E780" s="52">
        <v>12</v>
      </c>
      <c r="F780" s="13" t="s">
        <v>2971</v>
      </c>
      <c r="G780" s="52">
        <v>12</v>
      </c>
      <c r="H780" s="167" t="s">
        <v>6204</v>
      </c>
      <c r="I780" s="52" t="s">
        <v>6343</v>
      </c>
      <c r="J780" s="52" t="s">
        <v>6342</v>
      </c>
      <c r="K780" s="52" t="s">
        <v>5365</v>
      </c>
    </row>
    <row r="781" spans="1:12" s="39" customFormat="1" ht="11.25" customHeight="1" x14ac:dyDescent="0.35">
      <c r="A781" s="52" t="s">
        <v>26</v>
      </c>
      <c r="B781" s="80" t="s">
        <v>5763</v>
      </c>
      <c r="C781" s="282">
        <v>814891</v>
      </c>
      <c r="D781" s="63" t="s">
        <v>239</v>
      </c>
      <c r="E781" s="52">
        <v>24</v>
      </c>
      <c r="F781" s="13" t="s">
        <v>2971</v>
      </c>
      <c r="G781" s="52">
        <v>24</v>
      </c>
      <c r="H781" s="167" t="s">
        <v>6204</v>
      </c>
      <c r="I781" s="52" t="s">
        <v>6341</v>
      </c>
      <c r="J781" s="52" t="s">
        <v>6342</v>
      </c>
      <c r="K781" s="52" t="s">
        <v>5365</v>
      </c>
    </row>
    <row r="782" spans="1:12" s="39" customFormat="1" ht="11.25" customHeight="1" x14ac:dyDescent="0.35">
      <c r="A782" s="52" t="s">
        <v>26</v>
      </c>
      <c r="B782" s="80" t="s">
        <v>5763</v>
      </c>
      <c r="C782" s="282">
        <v>815148</v>
      </c>
      <c r="D782" s="63" t="s">
        <v>6344</v>
      </c>
      <c r="E782" s="52">
        <v>48</v>
      </c>
      <c r="F782" s="13" t="s">
        <v>2971</v>
      </c>
      <c r="G782" s="52">
        <v>48</v>
      </c>
      <c r="H782" s="167" t="s">
        <v>6204</v>
      </c>
      <c r="I782" s="52" t="s">
        <v>6341</v>
      </c>
      <c r="J782" s="52" t="s">
        <v>6342</v>
      </c>
      <c r="K782" s="52" t="s">
        <v>5365</v>
      </c>
    </row>
    <row r="783" spans="1:12" s="39" customFormat="1" ht="11.25" customHeight="1" x14ac:dyDescent="0.35">
      <c r="A783" s="52" t="s">
        <v>26</v>
      </c>
      <c r="B783" s="80" t="s">
        <v>5763</v>
      </c>
      <c r="C783" s="282">
        <v>815149</v>
      </c>
      <c r="D783" s="63" t="s">
        <v>6344</v>
      </c>
      <c r="E783" s="52">
        <v>72</v>
      </c>
      <c r="F783" s="13" t="s">
        <v>2971</v>
      </c>
      <c r="G783" s="52">
        <v>72</v>
      </c>
      <c r="H783" s="167" t="s">
        <v>6204</v>
      </c>
      <c r="I783" s="52" t="s">
        <v>6341</v>
      </c>
      <c r="J783" s="52" t="s">
        <v>6342</v>
      </c>
      <c r="K783" s="52" t="s">
        <v>5365</v>
      </c>
    </row>
    <row r="784" spans="1:12" s="39" customFormat="1" ht="11.25" customHeight="1" x14ac:dyDescent="0.35">
      <c r="A784" s="52" t="s">
        <v>26</v>
      </c>
      <c r="B784" s="80" t="s">
        <v>5763</v>
      </c>
      <c r="C784" s="282">
        <v>1796950</v>
      </c>
      <c r="D784" s="63" t="s">
        <v>4907</v>
      </c>
      <c r="E784" s="52">
        <v>24</v>
      </c>
      <c r="F784" s="13" t="s">
        <v>2971</v>
      </c>
      <c r="G784" s="52">
        <v>24</v>
      </c>
      <c r="H784" s="167" t="s">
        <v>6204</v>
      </c>
      <c r="I784" s="52" t="s">
        <v>6345</v>
      </c>
      <c r="J784" s="52" t="s">
        <v>6342</v>
      </c>
      <c r="K784" s="52" t="s">
        <v>5365</v>
      </c>
    </row>
    <row r="785" spans="1:11" s="39" customFormat="1" ht="11.25" customHeight="1" x14ac:dyDescent="0.35">
      <c r="A785" s="52" t="s">
        <v>26</v>
      </c>
      <c r="B785" s="80" t="s">
        <v>5763</v>
      </c>
      <c r="C785" s="282">
        <v>1815665</v>
      </c>
      <c r="D785" s="63" t="s">
        <v>4907</v>
      </c>
      <c r="E785" s="52">
        <v>24</v>
      </c>
      <c r="F785" s="13" t="s">
        <v>2971</v>
      </c>
      <c r="G785" s="52">
        <v>24</v>
      </c>
      <c r="H785" s="167" t="s">
        <v>6204</v>
      </c>
      <c r="I785" s="52" t="s">
        <v>6341</v>
      </c>
      <c r="J785" s="52" t="s">
        <v>6342</v>
      </c>
      <c r="K785" s="52" t="s">
        <v>5365</v>
      </c>
    </row>
    <row r="786" spans="1:11" s="39" customFormat="1" ht="11.25" customHeight="1" x14ac:dyDescent="0.35">
      <c r="A786" s="52" t="s">
        <v>26</v>
      </c>
      <c r="B786" s="80" t="s">
        <v>5763</v>
      </c>
      <c r="C786" s="282">
        <v>1829714</v>
      </c>
      <c r="D786" s="63" t="s">
        <v>6346</v>
      </c>
      <c r="E786" s="52">
        <v>12</v>
      </c>
      <c r="F786" s="13" t="s">
        <v>2971</v>
      </c>
      <c r="G786" s="52">
        <v>12</v>
      </c>
      <c r="H786" s="167" t="s">
        <v>6204</v>
      </c>
      <c r="I786" s="52" t="s">
        <v>6341</v>
      </c>
      <c r="J786" s="52" t="s">
        <v>6342</v>
      </c>
      <c r="K786" s="52" t="s">
        <v>5365</v>
      </c>
    </row>
    <row r="787" spans="1:11" s="39" customFormat="1" ht="11.25" customHeight="1" x14ac:dyDescent="0.35">
      <c r="A787" s="52" t="s">
        <v>26</v>
      </c>
      <c r="B787" s="80" t="s">
        <v>5763</v>
      </c>
      <c r="C787" s="282">
        <v>1541019</v>
      </c>
      <c r="D787" s="63" t="s">
        <v>6346</v>
      </c>
      <c r="E787" s="52">
        <v>12</v>
      </c>
      <c r="F787" s="13" t="s">
        <v>2971</v>
      </c>
      <c r="G787" s="52">
        <v>12</v>
      </c>
      <c r="H787" s="167" t="s">
        <v>6204</v>
      </c>
      <c r="I787" s="52" t="s">
        <v>6341</v>
      </c>
      <c r="J787" s="52" t="s">
        <v>6342</v>
      </c>
      <c r="K787" s="52" t="s">
        <v>5365</v>
      </c>
    </row>
    <row r="788" spans="1:11" s="39" customFormat="1" ht="11.25" customHeight="1" x14ac:dyDescent="0.35">
      <c r="A788" s="52" t="s">
        <v>26</v>
      </c>
      <c r="B788" s="80" t="s">
        <v>5763</v>
      </c>
      <c r="C788" s="282">
        <v>1776713</v>
      </c>
      <c r="D788" s="63" t="s">
        <v>6346</v>
      </c>
      <c r="E788" s="52">
        <v>12</v>
      </c>
      <c r="F788" s="13" t="s">
        <v>2971</v>
      </c>
      <c r="G788" s="52">
        <v>12</v>
      </c>
      <c r="H788" s="167" t="s">
        <v>6204</v>
      </c>
      <c r="I788" s="52" t="s">
        <v>6341</v>
      </c>
      <c r="J788" s="52" t="s">
        <v>6342</v>
      </c>
      <c r="K788" s="52" t="s">
        <v>5365</v>
      </c>
    </row>
    <row r="789" spans="1:11" s="39" customFormat="1" ht="11.25" customHeight="1" x14ac:dyDescent="0.35">
      <c r="A789" s="52" t="s">
        <v>26</v>
      </c>
      <c r="B789" s="80" t="s">
        <v>5763</v>
      </c>
      <c r="C789" s="282">
        <v>1834078</v>
      </c>
      <c r="D789" s="63" t="s">
        <v>4907</v>
      </c>
      <c r="E789" s="52">
        <v>24</v>
      </c>
      <c r="F789" s="13" t="s">
        <v>2971</v>
      </c>
      <c r="G789" s="52">
        <v>24</v>
      </c>
      <c r="H789" s="167" t="s">
        <v>6204</v>
      </c>
      <c r="I789" s="52" t="s">
        <v>6341</v>
      </c>
      <c r="J789" s="52" t="s">
        <v>6342</v>
      </c>
      <c r="K789" s="52" t="s">
        <v>5365</v>
      </c>
    </row>
    <row r="790" spans="1:11" s="39" customFormat="1" ht="11.25" customHeight="1" x14ac:dyDescent="0.35">
      <c r="A790" s="52" t="s">
        <v>26</v>
      </c>
      <c r="B790" s="80" t="s">
        <v>5763</v>
      </c>
      <c r="C790" s="282">
        <v>2089814</v>
      </c>
      <c r="D790" s="63" t="s">
        <v>6347</v>
      </c>
      <c r="E790" s="52">
        <v>24</v>
      </c>
      <c r="F790" s="13" t="s">
        <v>2971</v>
      </c>
      <c r="G790" s="52">
        <v>24</v>
      </c>
      <c r="H790" s="167" t="s">
        <v>6204</v>
      </c>
      <c r="I790" s="52" t="s">
        <v>6341</v>
      </c>
      <c r="J790" s="52" t="s">
        <v>6342</v>
      </c>
      <c r="K790" s="52" t="s">
        <v>5365</v>
      </c>
    </row>
    <row r="791" spans="1:11" s="39" customFormat="1" ht="11.25" customHeight="1" x14ac:dyDescent="0.35">
      <c r="A791" s="52" t="s">
        <v>26</v>
      </c>
      <c r="B791" s="80" t="s">
        <v>5763</v>
      </c>
      <c r="C791" s="282">
        <v>2264180</v>
      </c>
      <c r="D791" s="63" t="s">
        <v>6348</v>
      </c>
      <c r="E791" s="52">
        <v>12</v>
      </c>
      <c r="F791" s="13" t="s">
        <v>2971</v>
      </c>
      <c r="G791" s="52">
        <v>12</v>
      </c>
      <c r="H791" s="167" t="s">
        <v>6204</v>
      </c>
      <c r="I791" s="52" t="s">
        <v>6349</v>
      </c>
      <c r="J791" s="52" t="s">
        <v>6342</v>
      </c>
      <c r="K791" s="52" t="s">
        <v>5365</v>
      </c>
    </row>
    <row r="792" spans="1:11" s="39" customFormat="1" ht="11.25" customHeight="1" x14ac:dyDescent="0.35">
      <c r="A792" s="52" t="s">
        <v>26</v>
      </c>
      <c r="B792" s="80" t="s">
        <v>5763</v>
      </c>
      <c r="C792" s="282">
        <v>2273998</v>
      </c>
      <c r="D792" s="63" t="s">
        <v>6350</v>
      </c>
      <c r="E792" s="52">
        <v>24</v>
      </c>
      <c r="F792" s="13" t="s">
        <v>2971</v>
      </c>
      <c r="G792" s="52">
        <v>24</v>
      </c>
      <c r="H792" s="167" t="s">
        <v>6204</v>
      </c>
      <c r="I792" s="52" t="s">
        <v>6345</v>
      </c>
      <c r="J792" s="52" t="s">
        <v>6351</v>
      </c>
      <c r="K792" s="52" t="s">
        <v>5365</v>
      </c>
    </row>
    <row r="793" spans="1:11" s="39" customFormat="1" ht="11.25" customHeight="1" x14ac:dyDescent="0.35">
      <c r="A793" s="52" t="s">
        <v>26</v>
      </c>
      <c r="B793" s="80" t="s">
        <v>5763</v>
      </c>
      <c r="C793" s="282"/>
      <c r="D793" s="63" t="s">
        <v>6117</v>
      </c>
      <c r="E793" s="52">
        <v>2</v>
      </c>
      <c r="F793" s="13" t="s">
        <v>6352</v>
      </c>
      <c r="G793" s="52">
        <v>2</v>
      </c>
      <c r="H793" s="167" t="s">
        <v>2971</v>
      </c>
      <c r="I793" s="52" t="s">
        <v>6353</v>
      </c>
      <c r="J793" s="52" t="s">
        <v>6354</v>
      </c>
      <c r="K793" s="52" t="s">
        <v>5365</v>
      </c>
    </row>
    <row r="794" spans="1:11" s="39" customFormat="1" ht="11.25" customHeight="1" x14ac:dyDescent="0.35">
      <c r="A794" s="52" t="s">
        <v>4832</v>
      </c>
      <c r="B794" s="80" t="s">
        <v>5904</v>
      </c>
      <c r="C794" s="282" t="s">
        <v>6025</v>
      </c>
      <c r="D794" s="63" t="s">
        <v>6355</v>
      </c>
      <c r="E794" s="52">
        <v>1</v>
      </c>
      <c r="F794" s="13" t="s">
        <v>6356</v>
      </c>
      <c r="G794" s="52">
        <v>1</v>
      </c>
      <c r="H794" s="167" t="s">
        <v>6356</v>
      </c>
      <c r="I794" s="52" t="s">
        <v>6067</v>
      </c>
      <c r="J794" s="52"/>
      <c r="K794" s="52" t="s">
        <v>5365</v>
      </c>
    </row>
    <row r="795" spans="1:11" s="39" customFormat="1" ht="11.25" customHeight="1" x14ac:dyDescent="0.35">
      <c r="A795" s="52" t="s">
        <v>4832</v>
      </c>
      <c r="B795" s="80" t="s">
        <v>5904</v>
      </c>
      <c r="C795" s="282" t="s">
        <v>6357</v>
      </c>
      <c r="D795" s="63" t="s">
        <v>5139</v>
      </c>
      <c r="E795" s="52">
        <v>1</v>
      </c>
      <c r="F795" s="13"/>
      <c r="G795" s="52">
        <v>1</v>
      </c>
      <c r="H795" s="167">
        <v>45328</v>
      </c>
      <c r="I795" s="52" t="s">
        <v>6331</v>
      </c>
      <c r="J795" s="52"/>
      <c r="K795" s="52" t="s">
        <v>5365</v>
      </c>
    </row>
    <row r="796" spans="1:11" s="39" customFormat="1" ht="11.25" customHeight="1" x14ac:dyDescent="0.35">
      <c r="A796" s="52" t="s">
        <v>4832</v>
      </c>
      <c r="B796" s="80" t="s">
        <v>5904</v>
      </c>
      <c r="C796" s="282" t="s">
        <v>6358</v>
      </c>
      <c r="D796" s="63" t="s">
        <v>6359</v>
      </c>
      <c r="E796" s="52">
        <v>5</v>
      </c>
      <c r="F796" s="13" t="s">
        <v>6360</v>
      </c>
      <c r="G796" s="52">
        <v>5</v>
      </c>
      <c r="H796" s="167" t="s">
        <v>6361</v>
      </c>
      <c r="I796" s="52" t="s">
        <v>6362</v>
      </c>
      <c r="J796" s="52"/>
      <c r="K796" s="52" t="s">
        <v>5365</v>
      </c>
    </row>
    <row r="797" spans="1:11" s="39" customFormat="1" ht="11.25" customHeight="1" x14ac:dyDescent="0.35">
      <c r="A797" s="52" t="s">
        <v>4832</v>
      </c>
      <c r="B797" s="80" t="s">
        <v>5904</v>
      </c>
      <c r="C797" s="282" t="s">
        <v>6111</v>
      </c>
      <c r="D797" s="63" t="s">
        <v>6363</v>
      </c>
      <c r="E797" s="52">
        <v>2</v>
      </c>
      <c r="F797" s="13" t="s">
        <v>6360</v>
      </c>
      <c r="G797" s="52">
        <v>2</v>
      </c>
      <c r="H797" s="167" t="s">
        <v>6360</v>
      </c>
      <c r="I797" s="52" t="s">
        <v>6364</v>
      </c>
      <c r="J797" s="52"/>
      <c r="K797" s="52" t="s">
        <v>5365</v>
      </c>
    </row>
    <row r="798" spans="1:11" s="39" customFormat="1" ht="11.25" customHeight="1" x14ac:dyDescent="0.35">
      <c r="A798" s="52" t="s">
        <v>4832</v>
      </c>
      <c r="B798" s="80" t="s">
        <v>5904</v>
      </c>
      <c r="C798" s="282" t="s">
        <v>6365</v>
      </c>
      <c r="D798" s="63" t="s">
        <v>6366</v>
      </c>
      <c r="E798" s="52">
        <v>1</v>
      </c>
      <c r="F798" s="13" t="s">
        <v>6367</v>
      </c>
      <c r="G798" s="52">
        <v>1</v>
      </c>
      <c r="H798" s="167" t="s">
        <v>5785</v>
      </c>
      <c r="I798" s="52" t="s">
        <v>6368</v>
      </c>
      <c r="J798" s="52"/>
      <c r="K798" s="52" t="s">
        <v>5365</v>
      </c>
    </row>
    <row r="799" spans="1:11" s="39" customFormat="1" ht="11.25" customHeight="1" x14ac:dyDescent="0.35">
      <c r="A799" s="52" t="s">
        <v>4832</v>
      </c>
      <c r="B799" s="80" t="s">
        <v>6062</v>
      </c>
      <c r="C799" s="282" t="s">
        <v>6369</v>
      </c>
      <c r="D799" s="63" t="s">
        <v>6370</v>
      </c>
      <c r="E799" s="52">
        <v>5</v>
      </c>
      <c r="F799" s="13" t="s">
        <v>6367</v>
      </c>
      <c r="G799" s="52">
        <v>5</v>
      </c>
      <c r="H799" s="167" t="s">
        <v>5818</v>
      </c>
      <c r="I799" s="52" t="s">
        <v>6368</v>
      </c>
      <c r="J799" s="52"/>
      <c r="K799" s="52" t="s">
        <v>5365</v>
      </c>
    </row>
    <row r="800" spans="1:11" s="39" customFormat="1" ht="11.25" customHeight="1" x14ac:dyDescent="0.35">
      <c r="A800" s="52" t="s">
        <v>4832</v>
      </c>
      <c r="B800" s="80" t="s">
        <v>6062</v>
      </c>
      <c r="C800" s="282" t="s">
        <v>6371</v>
      </c>
      <c r="D800" s="63" t="s">
        <v>6372</v>
      </c>
      <c r="E800" s="52">
        <v>1</v>
      </c>
      <c r="F800" s="13" t="s">
        <v>6367</v>
      </c>
      <c r="G800" s="52">
        <v>1</v>
      </c>
      <c r="H800" s="167" t="s">
        <v>5818</v>
      </c>
      <c r="I800" s="52" t="s">
        <v>6368</v>
      </c>
      <c r="J800" s="52"/>
      <c r="K800" s="52" t="s">
        <v>5365</v>
      </c>
    </row>
    <row r="801" spans="1:22" s="35" customFormat="1" ht="11.25" customHeight="1" x14ac:dyDescent="0.35">
      <c r="A801" s="50" t="s">
        <v>5336</v>
      </c>
      <c r="B801" s="638"/>
      <c r="C801" s="280" t="s">
        <v>6373</v>
      </c>
      <c r="D801" s="64" t="s">
        <v>6374</v>
      </c>
      <c r="E801" s="50">
        <v>1</v>
      </c>
      <c r="F801" s="15">
        <v>45103</v>
      </c>
      <c r="G801" s="50" t="s">
        <v>4732</v>
      </c>
      <c r="H801" s="165"/>
      <c r="I801" s="50"/>
      <c r="J801" s="50"/>
      <c r="K801" s="50" t="s">
        <v>5338</v>
      </c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</row>
    <row r="802" spans="1:22" s="39" customFormat="1" ht="11.25" customHeight="1" x14ac:dyDescent="0.35">
      <c r="A802" s="52" t="s">
        <v>5336</v>
      </c>
      <c r="B802" s="80"/>
      <c r="C802" s="282" t="s">
        <v>3604</v>
      </c>
      <c r="D802" s="63" t="s">
        <v>6375</v>
      </c>
      <c r="E802" s="52">
        <v>1</v>
      </c>
      <c r="F802" s="13">
        <v>45094</v>
      </c>
      <c r="G802" s="52">
        <v>1</v>
      </c>
      <c r="H802" s="167">
        <v>45141</v>
      </c>
      <c r="I802" s="52" t="s">
        <v>5553</v>
      </c>
      <c r="J802" s="52"/>
      <c r="K802" s="52" t="s">
        <v>5365</v>
      </c>
    </row>
    <row r="803" spans="1:22" s="39" customFormat="1" ht="11.25" customHeight="1" x14ac:dyDescent="0.35">
      <c r="A803" s="52" t="s">
        <v>5336</v>
      </c>
      <c r="B803" s="80"/>
      <c r="C803" s="282" t="s">
        <v>6376</v>
      </c>
      <c r="D803" s="63" t="s">
        <v>5422</v>
      </c>
      <c r="E803" s="52">
        <v>14</v>
      </c>
      <c r="F803" s="13">
        <v>45094</v>
      </c>
      <c r="G803" s="52">
        <v>14</v>
      </c>
      <c r="H803" s="167">
        <v>45141</v>
      </c>
      <c r="I803" s="52" t="s">
        <v>5553</v>
      </c>
      <c r="J803" s="52"/>
      <c r="K803" s="52" t="s">
        <v>5365</v>
      </c>
    </row>
    <row r="804" spans="1:22" s="39" customFormat="1" ht="11.25" customHeight="1" x14ac:dyDescent="0.35">
      <c r="A804" s="52" t="s">
        <v>5336</v>
      </c>
      <c r="B804" s="80"/>
      <c r="C804" s="282" t="s">
        <v>6377</v>
      </c>
      <c r="D804" s="63" t="s">
        <v>6378</v>
      </c>
      <c r="E804" s="52">
        <v>12</v>
      </c>
      <c r="F804" s="13">
        <v>45094</v>
      </c>
      <c r="G804" s="52">
        <v>12</v>
      </c>
      <c r="H804" s="167">
        <v>45141</v>
      </c>
      <c r="I804" s="52" t="s">
        <v>5553</v>
      </c>
      <c r="J804" s="52"/>
      <c r="K804" s="52" t="s">
        <v>5365</v>
      </c>
    </row>
    <row r="805" spans="1:22" s="39" customFormat="1" ht="11.25" customHeight="1" x14ac:dyDescent="0.35">
      <c r="A805" s="52" t="s">
        <v>5336</v>
      </c>
      <c r="B805" s="80"/>
      <c r="C805" s="282" t="s">
        <v>6379</v>
      </c>
      <c r="D805" s="63" t="s">
        <v>6380</v>
      </c>
      <c r="E805" s="52">
        <v>12</v>
      </c>
      <c r="F805" s="13">
        <v>45094</v>
      </c>
      <c r="G805" s="52">
        <v>12</v>
      </c>
      <c r="H805" s="167">
        <v>45188</v>
      </c>
      <c r="I805" s="52" t="s">
        <v>6381</v>
      </c>
      <c r="J805" s="52"/>
      <c r="K805" s="52" t="s">
        <v>5365</v>
      </c>
    </row>
    <row r="806" spans="1:22" s="42" customFormat="1" ht="11.25" customHeight="1" x14ac:dyDescent="0.35">
      <c r="A806" s="53" t="s">
        <v>5336</v>
      </c>
      <c r="B806" s="639"/>
      <c r="C806" s="283" t="s">
        <v>6382</v>
      </c>
      <c r="D806" s="65" t="s">
        <v>6034</v>
      </c>
      <c r="E806" s="53">
        <v>2</v>
      </c>
      <c r="F806" s="16">
        <v>45094</v>
      </c>
      <c r="G806" s="53">
        <v>1</v>
      </c>
      <c r="H806" s="168">
        <v>45141</v>
      </c>
      <c r="I806" s="53" t="s">
        <v>5553</v>
      </c>
      <c r="J806" s="53" t="s">
        <v>6383</v>
      </c>
      <c r="K806" s="53" t="s">
        <v>5511</v>
      </c>
    </row>
    <row r="807" spans="1:22" s="39" customFormat="1" ht="11.25" customHeight="1" x14ac:dyDescent="0.35">
      <c r="A807" s="52" t="s">
        <v>5336</v>
      </c>
      <c r="B807" s="80"/>
      <c r="C807" s="282" t="s">
        <v>6384</v>
      </c>
      <c r="D807" s="63" t="s">
        <v>6385</v>
      </c>
      <c r="E807" s="52">
        <v>1</v>
      </c>
      <c r="F807" s="13">
        <v>45094</v>
      </c>
      <c r="G807" s="52">
        <v>1</v>
      </c>
      <c r="H807" s="167">
        <v>45156</v>
      </c>
      <c r="I807" s="52" t="s">
        <v>6386</v>
      </c>
      <c r="J807" s="52"/>
      <c r="K807" s="52" t="s">
        <v>5365</v>
      </c>
    </row>
    <row r="808" spans="1:22" s="35" customFormat="1" ht="11.25" customHeight="1" x14ac:dyDescent="0.35">
      <c r="A808" s="50" t="s">
        <v>5336</v>
      </c>
      <c r="B808" s="638"/>
      <c r="C808" s="280" t="s">
        <v>6387</v>
      </c>
      <c r="D808" s="64" t="s">
        <v>6388</v>
      </c>
      <c r="E808" s="50">
        <v>36</v>
      </c>
      <c r="F808" s="15">
        <v>45124</v>
      </c>
      <c r="G808" s="50" t="s">
        <v>4732</v>
      </c>
      <c r="H808" s="165"/>
      <c r="I808" s="50"/>
      <c r="J808" s="50"/>
      <c r="K808" s="50" t="s">
        <v>5338</v>
      </c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</row>
    <row r="809" spans="1:22" s="39" customFormat="1" ht="11.25" customHeight="1" x14ac:dyDescent="0.35">
      <c r="A809" s="52" t="s">
        <v>5336</v>
      </c>
      <c r="B809" s="80"/>
      <c r="C809" s="282" t="s">
        <v>2864</v>
      </c>
      <c r="D809" s="63" t="s">
        <v>6389</v>
      </c>
      <c r="E809" s="52">
        <v>1</v>
      </c>
      <c r="F809" s="13">
        <v>45124</v>
      </c>
      <c r="G809" s="52">
        <v>1</v>
      </c>
      <c r="H809" s="167">
        <v>45269</v>
      </c>
      <c r="I809" s="52" t="s">
        <v>6390</v>
      </c>
      <c r="J809" s="52"/>
      <c r="K809" s="52" t="s">
        <v>5365</v>
      </c>
    </row>
    <row r="810" spans="1:22" s="42" customFormat="1" ht="11.25" customHeight="1" x14ac:dyDescent="0.35">
      <c r="A810" s="50" t="s">
        <v>5336</v>
      </c>
      <c r="B810" s="638" t="s">
        <v>5336</v>
      </c>
      <c r="C810" s="280" t="s">
        <v>6391</v>
      </c>
      <c r="D810" s="64" t="s">
        <v>5060</v>
      </c>
      <c r="E810" s="50">
        <v>72</v>
      </c>
      <c r="F810" s="15">
        <v>45057</v>
      </c>
      <c r="G810" s="50" t="s">
        <v>4732</v>
      </c>
      <c r="H810" s="165" t="s">
        <v>4732</v>
      </c>
      <c r="I810" s="50" t="s">
        <v>4732</v>
      </c>
      <c r="J810" s="50"/>
      <c r="K810" s="50" t="s">
        <v>5338</v>
      </c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</row>
    <row r="811" spans="1:22" s="39" customFormat="1" ht="11.25" customHeight="1" x14ac:dyDescent="0.35">
      <c r="A811" s="50" t="s">
        <v>5336</v>
      </c>
      <c r="B811" s="638" t="s">
        <v>5336</v>
      </c>
      <c r="C811" s="280" t="s">
        <v>6392</v>
      </c>
      <c r="D811" s="64" t="s">
        <v>5984</v>
      </c>
      <c r="E811" s="50">
        <v>12</v>
      </c>
      <c r="F811" s="15">
        <v>45057</v>
      </c>
      <c r="G811" s="50" t="s">
        <v>4732</v>
      </c>
      <c r="H811" s="165" t="s">
        <v>4732</v>
      </c>
      <c r="I811" s="50" t="s">
        <v>4732</v>
      </c>
      <c r="J811" s="50"/>
      <c r="K811" s="50" t="s">
        <v>5338</v>
      </c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</row>
    <row r="812" spans="1:22" s="39" customFormat="1" ht="11.25" customHeight="1" x14ac:dyDescent="0.35">
      <c r="A812" s="50" t="s">
        <v>5336</v>
      </c>
      <c r="B812" s="638" t="s">
        <v>5336</v>
      </c>
      <c r="C812" s="280" t="s">
        <v>6393</v>
      </c>
      <c r="D812" s="64" t="s">
        <v>6394</v>
      </c>
      <c r="E812" s="50">
        <v>12</v>
      </c>
      <c r="F812" s="15">
        <v>45057</v>
      </c>
      <c r="G812" s="50" t="s">
        <v>4732</v>
      </c>
      <c r="H812" s="165" t="s">
        <v>4732</v>
      </c>
      <c r="I812" s="50" t="s">
        <v>4732</v>
      </c>
      <c r="J812" s="50"/>
      <c r="K812" s="50" t="s">
        <v>5338</v>
      </c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</row>
    <row r="813" spans="1:22" s="35" customFormat="1" ht="11.25" customHeight="1" x14ac:dyDescent="0.35">
      <c r="A813" s="50" t="s">
        <v>5336</v>
      </c>
      <c r="B813" s="638" t="s">
        <v>5336</v>
      </c>
      <c r="C813" s="280" t="s">
        <v>6395</v>
      </c>
      <c r="D813" s="64" t="s">
        <v>5558</v>
      </c>
      <c r="E813" s="50">
        <v>24</v>
      </c>
      <c r="F813" s="15">
        <v>45057</v>
      </c>
      <c r="G813" s="50" t="s">
        <v>4732</v>
      </c>
      <c r="H813" s="165" t="s">
        <v>4732</v>
      </c>
      <c r="I813" s="50" t="s">
        <v>4732</v>
      </c>
      <c r="J813" s="50"/>
      <c r="K813" s="50" t="s">
        <v>5338</v>
      </c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</row>
    <row r="814" spans="1:22" s="35" customFormat="1" ht="11.25" customHeight="1" x14ac:dyDescent="0.35">
      <c r="A814" s="50" t="s">
        <v>5336</v>
      </c>
      <c r="B814" s="638" t="s">
        <v>5336</v>
      </c>
      <c r="C814" s="280" t="s">
        <v>6396</v>
      </c>
      <c r="D814" s="64" t="s">
        <v>6397</v>
      </c>
      <c r="E814" s="50">
        <v>24</v>
      </c>
      <c r="F814" s="15">
        <v>45057</v>
      </c>
      <c r="G814" s="50" t="s">
        <v>4732</v>
      </c>
      <c r="H814" s="165" t="s">
        <v>4732</v>
      </c>
      <c r="I814" s="50" t="s">
        <v>4732</v>
      </c>
      <c r="J814" s="50"/>
      <c r="K814" s="50" t="s">
        <v>5338</v>
      </c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</row>
    <row r="815" spans="1:22" s="35" customFormat="1" ht="11.25" customHeight="1" x14ac:dyDescent="0.35">
      <c r="A815" s="50" t="s">
        <v>5336</v>
      </c>
      <c r="B815" s="638" t="s">
        <v>5336</v>
      </c>
      <c r="C815" s="280" t="s">
        <v>6398</v>
      </c>
      <c r="D815" s="64" t="s">
        <v>5859</v>
      </c>
      <c r="E815" s="50">
        <v>36</v>
      </c>
      <c r="F815" s="15">
        <v>45057</v>
      </c>
      <c r="G815" s="50" t="s">
        <v>4732</v>
      </c>
      <c r="H815" s="165" t="s">
        <v>4732</v>
      </c>
      <c r="I815" s="50" t="s">
        <v>4732</v>
      </c>
      <c r="J815" s="50"/>
      <c r="K815" s="50" t="s">
        <v>5338</v>
      </c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</row>
    <row r="816" spans="1:22" s="39" customFormat="1" ht="11.25" customHeight="1" x14ac:dyDescent="0.35">
      <c r="A816" s="50" t="s">
        <v>5336</v>
      </c>
      <c r="B816" s="638" t="s">
        <v>5336</v>
      </c>
      <c r="C816" s="280" t="s">
        <v>6399</v>
      </c>
      <c r="D816" s="64" t="s">
        <v>6397</v>
      </c>
      <c r="E816" s="50">
        <v>48</v>
      </c>
      <c r="F816" s="15">
        <v>45057</v>
      </c>
      <c r="G816" s="50" t="s">
        <v>4732</v>
      </c>
      <c r="H816" s="165" t="s">
        <v>4732</v>
      </c>
      <c r="I816" s="50" t="s">
        <v>4732</v>
      </c>
      <c r="J816" s="50"/>
      <c r="K816" s="50" t="s">
        <v>5338</v>
      </c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</row>
    <row r="817" spans="1:22" s="35" customFormat="1" ht="11.25" customHeight="1" x14ac:dyDescent="0.35">
      <c r="A817" s="50" t="s">
        <v>5336</v>
      </c>
      <c r="B817" s="638" t="s">
        <v>5336</v>
      </c>
      <c r="C817" s="280" t="s">
        <v>6400</v>
      </c>
      <c r="D817" s="64" t="s">
        <v>5558</v>
      </c>
      <c r="E817" s="50">
        <v>5</v>
      </c>
      <c r="F817" s="15">
        <v>45057</v>
      </c>
      <c r="G817" s="50" t="s">
        <v>4732</v>
      </c>
      <c r="H817" s="165" t="s">
        <v>4732</v>
      </c>
      <c r="I817" s="50" t="s">
        <v>4732</v>
      </c>
      <c r="J817" s="50"/>
      <c r="K817" s="50" t="s">
        <v>5338</v>
      </c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</row>
    <row r="818" spans="1:22" s="35" customFormat="1" ht="11.25" customHeight="1" x14ac:dyDescent="0.35">
      <c r="A818" s="50" t="s">
        <v>5336</v>
      </c>
      <c r="B818" s="638" t="s">
        <v>5336</v>
      </c>
      <c r="C818" s="280" t="s">
        <v>6401</v>
      </c>
      <c r="D818" s="64" t="s">
        <v>5713</v>
      </c>
      <c r="E818" s="50">
        <v>12</v>
      </c>
      <c r="F818" s="15">
        <v>45057</v>
      </c>
      <c r="G818" s="50" t="s">
        <v>4732</v>
      </c>
      <c r="H818" s="165" t="s">
        <v>4732</v>
      </c>
      <c r="I818" s="50" t="s">
        <v>4732</v>
      </c>
      <c r="J818" s="50"/>
      <c r="K818" s="50" t="s">
        <v>5338</v>
      </c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</row>
    <row r="819" spans="1:22" s="35" customFormat="1" ht="11.25" customHeight="1" x14ac:dyDescent="0.35">
      <c r="A819" s="50" t="s">
        <v>5336</v>
      </c>
      <c r="B819" s="638" t="s">
        <v>5336</v>
      </c>
      <c r="C819" s="280" t="s">
        <v>6402</v>
      </c>
      <c r="D819" s="64" t="s">
        <v>6403</v>
      </c>
      <c r="E819" s="50">
        <v>24</v>
      </c>
      <c r="F819" s="15">
        <v>45057</v>
      </c>
      <c r="G819" s="50" t="s">
        <v>4732</v>
      </c>
      <c r="H819" s="165" t="s">
        <v>4732</v>
      </c>
      <c r="I819" s="50" t="s">
        <v>4732</v>
      </c>
      <c r="J819" s="50"/>
      <c r="K819" s="50" t="s">
        <v>5338</v>
      </c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</row>
    <row r="820" spans="1:22" s="35" customFormat="1" ht="11.25" customHeight="1" x14ac:dyDescent="0.35">
      <c r="A820" s="50" t="s">
        <v>5336</v>
      </c>
      <c r="B820" s="638" t="s">
        <v>5336</v>
      </c>
      <c r="C820" s="280" t="s">
        <v>6404</v>
      </c>
      <c r="D820" s="64" t="s">
        <v>6405</v>
      </c>
      <c r="E820" s="50">
        <v>8</v>
      </c>
      <c r="F820" s="15">
        <v>45057</v>
      </c>
      <c r="G820" s="50" t="s">
        <v>4732</v>
      </c>
      <c r="H820" s="165" t="s">
        <v>4732</v>
      </c>
      <c r="I820" s="50" t="s">
        <v>4732</v>
      </c>
      <c r="J820" s="50"/>
      <c r="K820" s="50" t="s">
        <v>5338</v>
      </c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</row>
    <row r="821" spans="1:22" s="35" customFormat="1" ht="11.25" customHeight="1" x14ac:dyDescent="0.35">
      <c r="A821" s="50" t="s">
        <v>5336</v>
      </c>
      <c r="B821" s="638" t="s">
        <v>5336</v>
      </c>
      <c r="C821" s="280" t="s">
        <v>6406</v>
      </c>
      <c r="D821" s="64" t="s">
        <v>6407</v>
      </c>
      <c r="E821" s="50">
        <v>10</v>
      </c>
      <c r="F821" s="15">
        <v>45057</v>
      </c>
      <c r="G821" s="50" t="s">
        <v>4732</v>
      </c>
      <c r="H821" s="165" t="s">
        <v>4732</v>
      </c>
      <c r="I821" s="50" t="s">
        <v>4732</v>
      </c>
      <c r="J821" s="50"/>
      <c r="K821" s="50" t="s">
        <v>5338</v>
      </c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</row>
    <row r="822" spans="1:22" s="39" customFormat="1" ht="11.25" customHeight="1" x14ac:dyDescent="0.35">
      <c r="A822" s="50" t="s">
        <v>5336</v>
      </c>
      <c r="B822" s="638" t="s">
        <v>5336</v>
      </c>
      <c r="C822" s="280" t="s">
        <v>6408</v>
      </c>
      <c r="D822" s="64" t="s">
        <v>6409</v>
      </c>
      <c r="E822" s="50">
        <v>48</v>
      </c>
      <c r="F822" s="15">
        <v>45057</v>
      </c>
      <c r="G822" s="50" t="s">
        <v>4732</v>
      </c>
      <c r="H822" s="165" t="s">
        <v>4732</v>
      </c>
      <c r="I822" s="50" t="s">
        <v>4732</v>
      </c>
      <c r="J822" s="50"/>
      <c r="K822" s="50" t="s">
        <v>5338</v>
      </c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</row>
    <row r="823" spans="1:22" s="35" customFormat="1" ht="11.25" customHeight="1" x14ac:dyDescent="0.35">
      <c r="A823" s="50" t="s">
        <v>5336</v>
      </c>
      <c r="B823" s="638" t="s">
        <v>5336</v>
      </c>
      <c r="C823" s="280" t="s">
        <v>6410</v>
      </c>
      <c r="D823" s="64" t="s">
        <v>5795</v>
      </c>
      <c r="E823" s="50">
        <v>120</v>
      </c>
      <c r="F823" s="15">
        <v>45057</v>
      </c>
      <c r="G823" s="50" t="s">
        <v>4732</v>
      </c>
      <c r="H823" s="165" t="s">
        <v>4732</v>
      </c>
      <c r="I823" s="50" t="s">
        <v>4732</v>
      </c>
      <c r="J823" s="50"/>
      <c r="K823" s="50" t="s">
        <v>5338</v>
      </c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</row>
    <row r="824" spans="1:22" s="35" customFormat="1" ht="11.25" customHeight="1" x14ac:dyDescent="0.35">
      <c r="A824" s="50" t="s">
        <v>5336</v>
      </c>
      <c r="B824" s="638" t="s">
        <v>5336</v>
      </c>
      <c r="C824" s="280" t="s">
        <v>6411</v>
      </c>
      <c r="D824" s="64" t="s">
        <v>5795</v>
      </c>
      <c r="E824" s="50">
        <v>120</v>
      </c>
      <c r="F824" s="15">
        <v>45057</v>
      </c>
      <c r="G824" s="50" t="s">
        <v>4732</v>
      </c>
      <c r="H824" s="165" t="s">
        <v>4732</v>
      </c>
      <c r="I824" s="50" t="s">
        <v>4732</v>
      </c>
      <c r="J824" s="50"/>
      <c r="K824" s="50" t="s">
        <v>5338</v>
      </c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</row>
    <row r="825" spans="1:22" s="35" customFormat="1" ht="11.25" customHeight="1" x14ac:dyDescent="0.35">
      <c r="A825" s="50" t="s">
        <v>5336</v>
      </c>
      <c r="B825" s="638" t="s">
        <v>5336</v>
      </c>
      <c r="C825" s="280" t="s">
        <v>6412</v>
      </c>
      <c r="D825" s="64" t="s">
        <v>5859</v>
      </c>
      <c r="E825" s="50">
        <v>74</v>
      </c>
      <c r="F825" s="15">
        <v>45057</v>
      </c>
      <c r="G825" s="50" t="s">
        <v>4732</v>
      </c>
      <c r="H825" s="165" t="s">
        <v>4732</v>
      </c>
      <c r="I825" s="50" t="s">
        <v>4732</v>
      </c>
      <c r="J825" s="50"/>
      <c r="K825" s="50" t="s">
        <v>5338</v>
      </c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</row>
    <row r="826" spans="1:22" s="35" customFormat="1" ht="11.25" customHeight="1" x14ac:dyDescent="0.35">
      <c r="A826" s="50" t="s">
        <v>5336</v>
      </c>
      <c r="B826" s="638" t="s">
        <v>5336</v>
      </c>
      <c r="C826" s="280" t="s">
        <v>6413</v>
      </c>
      <c r="D826" s="64" t="s">
        <v>5859</v>
      </c>
      <c r="E826" s="50">
        <v>120</v>
      </c>
      <c r="F826" s="15">
        <v>45057</v>
      </c>
      <c r="G826" s="50" t="s">
        <v>4732</v>
      </c>
      <c r="H826" s="165" t="s">
        <v>4732</v>
      </c>
      <c r="I826" s="50" t="s">
        <v>4732</v>
      </c>
      <c r="J826" s="50"/>
      <c r="K826" s="50" t="s">
        <v>5338</v>
      </c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</row>
    <row r="827" spans="1:22" s="35" customFormat="1" ht="11.25" customHeight="1" x14ac:dyDescent="0.35">
      <c r="A827" s="50" t="s">
        <v>5336</v>
      </c>
      <c r="B827" s="638" t="s">
        <v>5336</v>
      </c>
      <c r="C827" s="280" t="s">
        <v>6414</v>
      </c>
      <c r="D827" s="64" t="s">
        <v>6415</v>
      </c>
      <c r="E827" s="50">
        <v>1</v>
      </c>
      <c r="F827" s="15">
        <v>45057</v>
      </c>
      <c r="G827" s="50" t="s">
        <v>4732</v>
      </c>
      <c r="H827" s="165" t="s">
        <v>4732</v>
      </c>
      <c r="I827" s="50" t="s">
        <v>4732</v>
      </c>
      <c r="J827" s="50"/>
      <c r="K827" s="50" t="s">
        <v>5338</v>
      </c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</row>
    <row r="828" spans="1:22" s="35" customFormat="1" ht="11.25" customHeight="1" x14ac:dyDescent="0.35">
      <c r="A828" s="50" t="s">
        <v>5336</v>
      </c>
      <c r="B828" s="638" t="s">
        <v>5336</v>
      </c>
      <c r="C828" s="280" t="s">
        <v>4732</v>
      </c>
      <c r="D828" s="64" t="s">
        <v>6416</v>
      </c>
      <c r="E828" s="50">
        <v>2</v>
      </c>
      <c r="F828" s="15">
        <v>45057</v>
      </c>
      <c r="G828" s="50" t="s">
        <v>4732</v>
      </c>
      <c r="H828" s="165" t="s">
        <v>4732</v>
      </c>
      <c r="I828" s="50" t="s">
        <v>4732</v>
      </c>
      <c r="J828" s="50"/>
      <c r="K828" s="50" t="s">
        <v>5338</v>
      </c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</row>
    <row r="829" spans="1:22" s="35" customFormat="1" ht="11.25" customHeight="1" x14ac:dyDescent="0.35">
      <c r="A829" s="50" t="s">
        <v>5336</v>
      </c>
      <c r="B829" s="638" t="s">
        <v>5336</v>
      </c>
      <c r="C829" s="280" t="s">
        <v>6417</v>
      </c>
      <c r="D829" s="64" t="s">
        <v>6418</v>
      </c>
      <c r="E829" s="50">
        <v>12</v>
      </c>
      <c r="F829" s="15">
        <v>45057</v>
      </c>
      <c r="G829" s="50" t="s">
        <v>4732</v>
      </c>
      <c r="H829" s="165" t="s">
        <v>4732</v>
      </c>
      <c r="I829" s="50" t="s">
        <v>4732</v>
      </c>
      <c r="J829" s="50"/>
      <c r="K829" s="50" t="s">
        <v>5338</v>
      </c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</row>
    <row r="830" spans="1:22" s="35" customFormat="1" ht="11.25" customHeight="1" x14ac:dyDescent="0.35">
      <c r="A830" s="50" t="s">
        <v>5336</v>
      </c>
      <c r="B830" s="638" t="s">
        <v>5336</v>
      </c>
      <c r="C830" s="280" t="s">
        <v>6419</v>
      </c>
      <c r="D830" s="64" t="s">
        <v>2403</v>
      </c>
      <c r="E830" s="50">
        <v>240</v>
      </c>
      <c r="F830" s="15">
        <v>45057</v>
      </c>
      <c r="G830" s="50" t="s">
        <v>4732</v>
      </c>
      <c r="H830" s="165" t="s">
        <v>4732</v>
      </c>
      <c r="I830" s="50" t="s">
        <v>4732</v>
      </c>
      <c r="J830" s="50"/>
      <c r="K830" s="50" t="s">
        <v>5338</v>
      </c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</row>
    <row r="831" spans="1:22" s="35" customFormat="1" ht="11.25" customHeight="1" x14ac:dyDescent="0.35">
      <c r="A831" s="50" t="s">
        <v>5336</v>
      </c>
      <c r="B831" s="638" t="s">
        <v>5336</v>
      </c>
      <c r="C831" s="280" t="s">
        <v>6420</v>
      </c>
      <c r="D831" s="64" t="s">
        <v>5795</v>
      </c>
      <c r="E831" s="50">
        <v>118</v>
      </c>
      <c r="F831" s="15">
        <v>45057</v>
      </c>
      <c r="G831" s="50" t="s">
        <v>4732</v>
      </c>
      <c r="H831" s="165" t="s">
        <v>4732</v>
      </c>
      <c r="I831" s="50" t="s">
        <v>4732</v>
      </c>
      <c r="J831" s="50"/>
      <c r="K831" s="50" t="s">
        <v>5338</v>
      </c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</row>
    <row r="832" spans="1:22" s="35" customFormat="1" ht="11.25" customHeight="1" x14ac:dyDescent="0.35">
      <c r="A832" s="50" t="s">
        <v>5336</v>
      </c>
      <c r="B832" s="638" t="s">
        <v>5336</v>
      </c>
      <c r="C832" s="280" t="s">
        <v>6421</v>
      </c>
      <c r="D832" s="64" t="s">
        <v>1181</v>
      </c>
      <c r="E832" s="50">
        <v>20</v>
      </c>
      <c r="F832" s="15">
        <v>45057</v>
      </c>
      <c r="G832" s="50"/>
      <c r="H832" s="165"/>
      <c r="I832" s="50"/>
      <c r="J832" s="50"/>
      <c r="K832" s="50" t="s">
        <v>5338</v>
      </c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</row>
    <row r="833" spans="1:22" s="35" customFormat="1" ht="11.25" customHeight="1" x14ac:dyDescent="0.35">
      <c r="A833" s="50" t="s">
        <v>5336</v>
      </c>
      <c r="B833" s="638" t="s">
        <v>5336</v>
      </c>
      <c r="C833" s="280" t="s">
        <v>6422</v>
      </c>
      <c r="D833" s="64" t="s">
        <v>6423</v>
      </c>
      <c r="E833" s="50">
        <v>8</v>
      </c>
      <c r="F833" s="15">
        <v>45057</v>
      </c>
      <c r="G833" s="50" t="s">
        <v>4732</v>
      </c>
      <c r="H833" s="165" t="s">
        <v>4732</v>
      </c>
      <c r="I833" s="50" t="s">
        <v>4732</v>
      </c>
      <c r="J833" s="50"/>
      <c r="K833" s="50" t="s">
        <v>5338</v>
      </c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</row>
    <row r="834" spans="1:22" s="39" customFormat="1" ht="11.25" customHeight="1" x14ac:dyDescent="0.35">
      <c r="A834" s="50" t="s">
        <v>5336</v>
      </c>
      <c r="B834" s="638" t="s">
        <v>5336</v>
      </c>
      <c r="C834" s="280" t="s">
        <v>6424</v>
      </c>
      <c r="D834" s="64" t="s">
        <v>5859</v>
      </c>
      <c r="E834" s="50">
        <v>120</v>
      </c>
      <c r="F834" s="15">
        <v>45057</v>
      </c>
      <c r="G834" s="50" t="s">
        <v>4732</v>
      </c>
      <c r="H834" s="165" t="s">
        <v>4732</v>
      </c>
      <c r="I834" s="50" t="s">
        <v>4732</v>
      </c>
      <c r="J834" s="50"/>
      <c r="K834" s="50" t="s">
        <v>5338</v>
      </c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</row>
    <row r="835" spans="1:22" s="35" customFormat="1" ht="11.25" customHeight="1" x14ac:dyDescent="0.35">
      <c r="A835" s="50" t="s">
        <v>5336</v>
      </c>
      <c r="B835" s="638" t="s">
        <v>5336</v>
      </c>
      <c r="C835" s="280" t="s">
        <v>4732</v>
      </c>
      <c r="D835" s="64" t="s">
        <v>6425</v>
      </c>
      <c r="E835" s="50">
        <v>2</v>
      </c>
      <c r="F835" s="15">
        <v>45057</v>
      </c>
      <c r="G835" s="50" t="s">
        <v>4732</v>
      </c>
      <c r="H835" s="165" t="s">
        <v>4732</v>
      </c>
      <c r="I835" s="50" t="s">
        <v>4732</v>
      </c>
      <c r="J835" s="50"/>
      <c r="K835" s="50" t="s">
        <v>5338</v>
      </c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</row>
    <row r="836" spans="1:22" s="42" customFormat="1" ht="11.25" customHeight="1" x14ac:dyDescent="0.35">
      <c r="A836" s="50" t="s">
        <v>5336</v>
      </c>
      <c r="B836" s="638" t="s">
        <v>5336</v>
      </c>
      <c r="C836" s="280" t="s">
        <v>4732</v>
      </c>
      <c r="D836" s="64" t="s">
        <v>5699</v>
      </c>
      <c r="E836" s="50">
        <v>2</v>
      </c>
      <c r="F836" s="15">
        <v>45057</v>
      </c>
      <c r="G836" s="50" t="s">
        <v>4732</v>
      </c>
      <c r="H836" s="165" t="s">
        <v>4732</v>
      </c>
      <c r="I836" s="50" t="s">
        <v>4732</v>
      </c>
      <c r="J836" s="50"/>
      <c r="K836" s="50" t="s">
        <v>5338</v>
      </c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</row>
    <row r="837" spans="1:22" s="35" customFormat="1" ht="11.25" customHeight="1" x14ac:dyDescent="0.35">
      <c r="A837" s="50" t="s">
        <v>5336</v>
      </c>
      <c r="B837" s="638" t="s">
        <v>5336</v>
      </c>
      <c r="C837" s="280" t="s">
        <v>4732</v>
      </c>
      <c r="D837" s="64" t="s">
        <v>5699</v>
      </c>
      <c r="E837" s="50">
        <v>1</v>
      </c>
      <c r="F837" s="15">
        <v>45057</v>
      </c>
      <c r="G837" s="50" t="s">
        <v>4732</v>
      </c>
      <c r="H837" s="165" t="s">
        <v>4732</v>
      </c>
      <c r="I837" s="50" t="s">
        <v>4732</v>
      </c>
      <c r="J837" s="50"/>
      <c r="K837" s="50" t="s">
        <v>5338</v>
      </c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</row>
    <row r="838" spans="1:22" s="35" customFormat="1" ht="11.25" customHeight="1" x14ac:dyDescent="0.35">
      <c r="A838" s="50" t="s">
        <v>4732</v>
      </c>
      <c r="B838" s="638" t="s">
        <v>4732</v>
      </c>
      <c r="C838" s="280" t="s">
        <v>4732</v>
      </c>
      <c r="D838" s="64" t="s">
        <v>6426</v>
      </c>
      <c r="E838" s="50">
        <v>1</v>
      </c>
      <c r="F838" s="15">
        <v>45057</v>
      </c>
      <c r="G838" s="50" t="s">
        <v>4732</v>
      </c>
      <c r="H838" s="165" t="s">
        <v>4732</v>
      </c>
      <c r="I838" s="50" t="s">
        <v>4732</v>
      </c>
      <c r="J838" s="50"/>
      <c r="K838" s="50" t="s">
        <v>5338</v>
      </c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</row>
    <row r="839" spans="1:22" s="42" customFormat="1" ht="11.25" customHeight="1" x14ac:dyDescent="0.35">
      <c r="A839" s="50" t="s">
        <v>5336</v>
      </c>
      <c r="B839" s="638" t="s">
        <v>5336</v>
      </c>
      <c r="C839" s="280" t="s">
        <v>6427</v>
      </c>
      <c r="D839" s="64" t="s">
        <v>239</v>
      </c>
      <c r="E839" s="50">
        <v>2</v>
      </c>
      <c r="F839" s="15">
        <v>45057</v>
      </c>
      <c r="G839" s="50" t="s">
        <v>4732</v>
      </c>
      <c r="H839" s="165" t="s">
        <v>4732</v>
      </c>
      <c r="I839" s="50" t="s">
        <v>4732</v>
      </c>
      <c r="J839" s="50"/>
      <c r="K839" s="50" t="s">
        <v>5338</v>
      </c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</row>
    <row r="840" spans="1:22" s="35" customFormat="1" ht="11.25" customHeight="1" x14ac:dyDescent="0.35">
      <c r="A840" s="50" t="s">
        <v>5336</v>
      </c>
      <c r="B840" s="638" t="s">
        <v>5336</v>
      </c>
      <c r="C840" s="280" t="s">
        <v>6428</v>
      </c>
      <c r="D840" s="64" t="s">
        <v>6429</v>
      </c>
      <c r="E840" s="50">
        <v>32</v>
      </c>
      <c r="F840" s="15">
        <v>45057</v>
      </c>
      <c r="G840" s="50" t="s">
        <v>4732</v>
      </c>
      <c r="H840" s="165" t="s">
        <v>4732</v>
      </c>
      <c r="I840" s="50" t="s">
        <v>4732</v>
      </c>
      <c r="J840" s="50"/>
      <c r="K840" s="50" t="s">
        <v>5338</v>
      </c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</row>
    <row r="841" spans="1:22" s="42" customFormat="1" ht="11.25" customHeight="1" x14ac:dyDescent="0.35">
      <c r="A841" s="50" t="s">
        <v>5336</v>
      </c>
      <c r="B841" s="638" t="s">
        <v>5336</v>
      </c>
      <c r="C841" s="280" t="s">
        <v>6430</v>
      </c>
      <c r="D841" s="64" t="s">
        <v>5859</v>
      </c>
      <c r="E841" s="50">
        <v>2</v>
      </c>
      <c r="F841" s="15">
        <v>45057</v>
      </c>
      <c r="G841" s="50" t="s">
        <v>4732</v>
      </c>
      <c r="H841" s="165" t="s">
        <v>4732</v>
      </c>
      <c r="I841" s="50" t="s">
        <v>4732</v>
      </c>
      <c r="J841" s="50"/>
      <c r="K841" s="50" t="s">
        <v>5338</v>
      </c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</row>
    <row r="842" spans="1:22" s="35" customFormat="1" ht="11.25" customHeight="1" x14ac:dyDescent="0.35">
      <c r="A842" s="50" t="s">
        <v>5336</v>
      </c>
      <c r="B842" s="638" t="s">
        <v>5336</v>
      </c>
      <c r="C842" s="280" t="s">
        <v>6431</v>
      </c>
      <c r="D842" s="64" t="s">
        <v>6429</v>
      </c>
      <c r="E842" s="50">
        <v>32</v>
      </c>
      <c r="F842" s="15">
        <v>45057</v>
      </c>
      <c r="G842" s="50" t="s">
        <v>4732</v>
      </c>
      <c r="H842" s="165" t="s">
        <v>4732</v>
      </c>
      <c r="I842" s="50" t="s">
        <v>4732</v>
      </c>
      <c r="J842" s="50"/>
      <c r="K842" s="50" t="s">
        <v>5338</v>
      </c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</row>
    <row r="843" spans="1:22" s="35" customFormat="1" ht="11.25" customHeight="1" x14ac:dyDescent="0.35">
      <c r="A843" s="50" t="s">
        <v>5336</v>
      </c>
      <c r="B843" s="638" t="s">
        <v>5336</v>
      </c>
      <c r="C843" s="280" t="s">
        <v>6432</v>
      </c>
      <c r="D843" s="64" t="s">
        <v>6433</v>
      </c>
      <c r="E843" s="50">
        <v>1</v>
      </c>
      <c r="F843" s="15">
        <v>45057</v>
      </c>
      <c r="G843" s="50" t="s">
        <v>4732</v>
      </c>
      <c r="H843" s="165" t="s">
        <v>4732</v>
      </c>
      <c r="I843" s="50" t="s">
        <v>4732</v>
      </c>
      <c r="J843" s="50"/>
      <c r="K843" s="50" t="s">
        <v>5338</v>
      </c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</row>
    <row r="844" spans="1:22" s="35" customFormat="1" ht="11.25" customHeight="1" x14ac:dyDescent="0.35">
      <c r="A844" s="50" t="s">
        <v>5336</v>
      </c>
      <c r="B844" s="638" t="s">
        <v>5336</v>
      </c>
      <c r="C844" s="280" t="s">
        <v>6434</v>
      </c>
      <c r="D844" s="64" t="s">
        <v>4732</v>
      </c>
      <c r="E844" s="50">
        <v>1</v>
      </c>
      <c r="F844" s="15">
        <v>45057</v>
      </c>
      <c r="G844" s="50" t="s">
        <v>4732</v>
      </c>
      <c r="H844" s="165" t="s">
        <v>4732</v>
      </c>
      <c r="I844" s="50" t="s">
        <v>4732</v>
      </c>
      <c r="J844" s="50"/>
      <c r="K844" s="50" t="s">
        <v>5338</v>
      </c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</row>
    <row r="845" spans="1:22" s="35" customFormat="1" ht="11.25" customHeight="1" x14ac:dyDescent="0.35">
      <c r="A845" s="50" t="s">
        <v>5336</v>
      </c>
      <c r="B845" s="638" t="s">
        <v>5336</v>
      </c>
      <c r="C845" s="280" t="s">
        <v>6435</v>
      </c>
      <c r="D845" s="64" t="s">
        <v>5859</v>
      </c>
      <c r="E845" s="50">
        <v>2</v>
      </c>
      <c r="F845" s="15">
        <v>45057</v>
      </c>
      <c r="G845" s="50" t="s">
        <v>4732</v>
      </c>
      <c r="H845" s="165" t="s">
        <v>4732</v>
      </c>
      <c r="I845" s="50" t="s">
        <v>4732</v>
      </c>
      <c r="J845" s="50"/>
      <c r="K845" s="50" t="s">
        <v>5338</v>
      </c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</row>
    <row r="846" spans="1:22" s="39" customFormat="1" ht="11.25" customHeight="1" x14ac:dyDescent="0.35">
      <c r="A846" s="50" t="s">
        <v>5336</v>
      </c>
      <c r="B846" s="638" t="s">
        <v>5336</v>
      </c>
      <c r="C846" s="280" t="s">
        <v>4732</v>
      </c>
      <c r="D846" s="64" t="s">
        <v>5558</v>
      </c>
      <c r="E846" s="50">
        <v>16</v>
      </c>
      <c r="F846" s="15">
        <v>45057</v>
      </c>
      <c r="G846" s="50" t="s">
        <v>4732</v>
      </c>
      <c r="H846" s="165" t="s">
        <v>4732</v>
      </c>
      <c r="I846" s="50" t="s">
        <v>4732</v>
      </c>
      <c r="J846" s="50"/>
      <c r="K846" s="50" t="s">
        <v>5338</v>
      </c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</row>
    <row r="847" spans="1:22" s="42" customFormat="1" ht="11.25" customHeight="1" x14ac:dyDescent="0.35">
      <c r="A847" s="50" t="s">
        <v>5336</v>
      </c>
      <c r="B847" s="638" t="s">
        <v>5336</v>
      </c>
      <c r="C847" s="280" t="s">
        <v>6436</v>
      </c>
      <c r="D847" s="64" t="s">
        <v>6437</v>
      </c>
      <c r="E847" s="50">
        <v>1</v>
      </c>
      <c r="F847" s="15">
        <v>45057</v>
      </c>
      <c r="G847" s="50" t="s">
        <v>4732</v>
      </c>
      <c r="H847" s="165" t="s">
        <v>4732</v>
      </c>
      <c r="I847" s="50" t="s">
        <v>4732</v>
      </c>
      <c r="J847" s="50"/>
      <c r="K847" s="50" t="s">
        <v>5338</v>
      </c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</row>
    <row r="848" spans="1:22" s="42" customFormat="1" ht="11.25" customHeight="1" x14ac:dyDescent="0.35">
      <c r="A848" s="50" t="s">
        <v>5336</v>
      </c>
      <c r="B848" s="638" t="s">
        <v>5336</v>
      </c>
      <c r="C848" s="280" t="s">
        <v>600</v>
      </c>
      <c r="D848" s="64" t="s">
        <v>6438</v>
      </c>
      <c r="E848" s="50">
        <v>2</v>
      </c>
      <c r="F848" s="15">
        <v>45057</v>
      </c>
      <c r="G848" s="50" t="s">
        <v>4732</v>
      </c>
      <c r="H848" s="165" t="s">
        <v>4732</v>
      </c>
      <c r="I848" s="50" t="s">
        <v>4732</v>
      </c>
      <c r="J848" s="50"/>
      <c r="K848" s="50" t="s">
        <v>5338</v>
      </c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</row>
    <row r="849" spans="1:22" s="35" customFormat="1" ht="11.25" customHeight="1" x14ac:dyDescent="0.35">
      <c r="A849" s="50" t="s">
        <v>5336</v>
      </c>
      <c r="B849" s="638" t="s">
        <v>5336</v>
      </c>
      <c r="C849" s="280" t="s">
        <v>6439</v>
      </c>
      <c r="D849" s="64" t="s">
        <v>5699</v>
      </c>
      <c r="E849" s="50">
        <v>1</v>
      </c>
      <c r="F849" s="15">
        <v>45057</v>
      </c>
      <c r="G849" s="50" t="s">
        <v>4732</v>
      </c>
      <c r="H849" s="165" t="s">
        <v>4732</v>
      </c>
      <c r="I849" s="50" t="s">
        <v>4732</v>
      </c>
      <c r="J849" s="50"/>
      <c r="K849" s="50" t="s">
        <v>5338</v>
      </c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</row>
    <row r="850" spans="1:22" s="35" customFormat="1" ht="11.25" customHeight="1" x14ac:dyDescent="0.35">
      <c r="A850" s="50" t="s">
        <v>5336</v>
      </c>
      <c r="B850" s="638" t="s">
        <v>5336</v>
      </c>
      <c r="C850" s="280" t="s">
        <v>6440</v>
      </c>
      <c r="D850" s="64" t="s">
        <v>5060</v>
      </c>
      <c r="E850" s="50">
        <v>140</v>
      </c>
      <c r="F850" s="15">
        <v>45057</v>
      </c>
      <c r="G850" s="50" t="s">
        <v>4732</v>
      </c>
      <c r="H850" s="165" t="s">
        <v>4732</v>
      </c>
      <c r="I850" s="50" t="s">
        <v>4732</v>
      </c>
      <c r="J850" s="50"/>
      <c r="K850" s="50" t="s">
        <v>5338</v>
      </c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</row>
    <row r="851" spans="1:22" s="35" customFormat="1" ht="11.25" customHeight="1" x14ac:dyDescent="0.35">
      <c r="A851" s="50" t="s">
        <v>5336</v>
      </c>
      <c r="B851" s="638" t="s">
        <v>5336</v>
      </c>
      <c r="C851" s="280" t="s">
        <v>6441</v>
      </c>
      <c r="D851" s="64" t="s">
        <v>4732</v>
      </c>
      <c r="E851" s="50">
        <v>1</v>
      </c>
      <c r="F851" s="15">
        <v>45057</v>
      </c>
      <c r="G851" s="50" t="s">
        <v>4732</v>
      </c>
      <c r="H851" s="165" t="s">
        <v>4732</v>
      </c>
      <c r="I851" s="50" t="s">
        <v>4732</v>
      </c>
      <c r="J851" s="50"/>
      <c r="K851" s="50" t="s">
        <v>5338</v>
      </c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</row>
    <row r="852" spans="1:22" s="35" customFormat="1" ht="11.25" customHeight="1" x14ac:dyDescent="0.35">
      <c r="A852" s="50" t="s">
        <v>5336</v>
      </c>
      <c r="B852" s="638" t="s">
        <v>5336</v>
      </c>
      <c r="C852" s="280" t="s">
        <v>6442</v>
      </c>
      <c r="D852" s="64" t="s">
        <v>5699</v>
      </c>
      <c r="E852" s="50">
        <v>1</v>
      </c>
      <c r="F852" s="15">
        <v>45057</v>
      </c>
      <c r="G852" s="50" t="s">
        <v>4732</v>
      </c>
      <c r="H852" s="165" t="s">
        <v>4732</v>
      </c>
      <c r="I852" s="50" t="s">
        <v>4732</v>
      </c>
      <c r="J852" s="50"/>
      <c r="K852" s="50" t="s">
        <v>5338</v>
      </c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</row>
    <row r="853" spans="1:22" s="35" customFormat="1" ht="11.25" customHeight="1" x14ac:dyDescent="0.35">
      <c r="A853" s="50" t="s">
        <v>5336</v>
      </c>
      <c r="B853" s="638" t="s">
        <v>5336</v>
      </c>
      <c r="C853" s="280" t="s">
        <v>6443</v>
      </c>
      <c r="D853" s="64" t="s">
        <v>5060</v>
      </c>
      <c r="E853" s="50">
        <v>160</v>
      </c>
      <c r="F853" s="15">
        <v>45057</v>
      </c>
      <c r="G853" s="50" t="s">
        <v>4732</v>
      </c>
      <c r="H853" s="165" t="s">
        <v>4732</v>
      </c>
      <c r="I853" s="50" t="s">
        <v>4732</v>
      </c>
      <c r="J853" s="50"/>
      <c r="K853" s="50" t="s">
        <v>5338</v>
      </c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</row>
    <row r="854" spans="1:22" s="35" customFormat="1" ht="11.25" customHeight="1" x14ac:dyDescent="0.35">
      <c r="A854" s="50" t="s">
        <v>5336</v>
      </c>
      <c r="B854" s="638" t="s">
        <v>5336</v>
      </c>
      <c r="C854" s="280" t="s">
        <v>6444</v>
      </c>
      <c r="D854" s="64" t="s">
        <v>6445</v>
      </c>
      <c r="E854" s="50">
        <v>6</v>
      </c>
      <c r="F854" s="15">
        <v>45057</v>
      </c>
      <c r="G854" s="50" t="s">
        <v>4732</v>
      </c>
      <c r="H854" s="165" t="s">
        <v>4732</v>
      </c>
      <c r="I854" s="50" t="s">
        <v>4732</v>
      </c>
      <c r="J854" s="50"/>
      <c r="K854" s="50" t="s">
        <v>5338</v>
      </c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</row>
    <row r="855" spans="1:22" s="39" customFormat="1" ht="11.25" customHeight="1" x14ac:dyDescent="0.35">
      <c r="A855" s="50" t="s">
        <v>5336</v>
      </c>
      <c r="B855" s="638" t="s">
        <v>5336</v>
      </c>
      <c r="C855" s="280" t="s">
        <v>6446</v>
      </c>
      <c r="D855" s="64" t="s">
        <v>5699</v>
      </c>
      <c r="E855" s="50">
        <v>32</v>
      </c>
      <c r="F855" s="15">
        <v>45057</v>
      </c>
      <c r="G855" s="50" t="s">
        <v>4732</v>
      </c>
      <c r="H855" s="165" t="s">
        <v>4732</v>
      </c>
      <c r="I855" s="50" t="s">
        <v>4732</v>
      </c>
      <c r="J855" s="50"/>
      <c r="K855" s="50" t="s">
        <v>5338</v>
      </c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</row>
    <row r="856" spans="1:22" s="42" customFormat="1" ht="11.25" customHeight="1" x14ac:dyDescent="0.35">
      <c r="A856" s="50" t="s">
        <v>5336</v>
      </c>
      <c r="B856" s="638" t="s">
        <v>5336</v>
      </c>
      <c r="C856" s="280" t="s">
        <v>6447</v>
      </c>
      <c r="D856" s="64" t="s">
        <v>4732</v>
      </c>
      <c r="E856" s="50">
        <v>1</v>
      </c>
      <c r="F856" s="15">
        <v>45057</v>
      </c>
      <c r="G856" s="50" t="s">
        <v>4732</v>
      </c>
      <c r="H856" s="165" t="s">
        <v>4732</v>
      </c>
      <c r="I856" s="50" t="s">
        <v>4732</v>
      </c>
      <c r="J856" s="50"/>
      <c r="K856" s="50" t="s">
        <v>5338</v>
      </c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</row>
    <row r="857" spans="1:22" s="35" customFormat="1" ht="11.25" customHeight="1" x14ac:dyDescent="0.35">
      <c r="A857" s="50" t="s">
        <v>5336</v>
      </c>
      <c r="B857" s="638" t="s">
        <v>5336</v>
      </c>
      <c r="C857" s="280" t="s">
        <v>6448</v>
      </c>
      <c r="D857" s="64" t="s">
        <v>6449</v>
      </c>
      <c r="E857" s="50">
        <v>6</v>
      </c>
      <c r="F857" s="15">
        <v>45057</v>
      </c>
      <c r="G857" s="50" t="s">
        <v>4732</v>
      </c>
      <c r="H857" s="165" t="s">
        <v>4732</v>
      </c>
      <c r="I857" s="50" t="s">
        <v>4732</v>
      </c>
      <c r="J857" s="50"/>
      <c r="K857" s="50" t="s">
        <v>5338</v>
      </c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</row>
    <row r="858" spans="1:22" s="35" customFormat="1" ht="11.25" customHeight="1" x14ac:dyDescent="0.35">
      <c r="A858" s="50" t="s">
        <v>5336</v>
      </c>
      <c r="B858" s="638" t="s">
        <v>5336</v>
      </c>
      <c r="C858" s="280" t="s">
        <v>6183</v>
      </c>
      <c r="D858" s="64" t="s">
        <v>6450</v>
      </c>
      <c r="E858" s="50">
        <v>1</v>
      </c>
      <c r="F858" s="15">
        <v>45057</v>
      </c>
      <c r="G858" s="50" t="s">
        <v>4732</v>
      </c>
      <c r="H858" s="165" t="s">
        <v>4732</v>
      </c>
      <c r="I858" s="50" t="s">
        <v>4732</v>
      </c>
      <c r="J858" s="50"/>
      <c r="K858" s="50" t="s">
        <v>5338</v>
      </c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</row>
    <row r="859" spans="1:22" s="101" customFormat="1" ht="11.25" customHeight="1" x14ac:dyDescent="0.35">
      <c r="A859" s="99" t="s">
        <v>5336</v>
      </c>
      <c r="B859" s="640" t="s">
        <v>5336</v>
      </c>
      <c r="C859" s="284" t="s">
        <v>6451</v>
      </c>
      <c r="D859" s="119" t="s">
        <v>5558</v>
      </c>
      <c r="E859" s="99">
        <v>12</v>
      </c>
      <c r="F859" s="100">
        <v>45057</v>
      </c>
      <c r="G859" s="99" t="s">
        <v>4732</v>
      </c>
      <c r="H859" s="169" t="s">
        <v>4732</v>
      </c>
      <c r="I859" s="99" t="s">
        <v>4732</v>
      </c>
      <c r="J859" s="99"/>
      <c r="K859" s="99" t="s">
        <v>5338</v>
      </c>
      <c r="L859" s="34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spans="1:22" s="35" customFormat="1" ht="11.25" customHeight="1" x14ac:dyDescent="0.35">
      <c r="A860" s="50" t="s">
        <v>5336</v>
      </c>
      <c r="B860" s="638" t="s">
        <v>5336</v>
      </c>
      <c r="C860" s="280" t="s">
        <v>6452</v>
      </c>
      <c r="D860" s="64" t="s">
        <v>6403</v>
      </c>
      <c r="E860" s="50">
        <v>6</v>
      </c>
      <c r="F860" s="15">
        <v>45057</v>
      </c>
      <c r="G860" s="50" t="s">
        <v>4732</v>
      </c>
      <c r="H860" s="165" t="s">
        <v>4732</v>
      </c>
      <c r="I860" s="50" t="s">
        <v>4732</v>
      </c>
      <c r="J860" s="50"/>
      <c r="K860" s="50" t="s">
        <v>5338</v>
      </c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</row>
    <row r="861" spans="1:22" s="35" customFormat="1" ht="11.25" customHeight="1" x14ac:dyDescent="0.35">
      <c r="A861" s="50" t="s">
        <v>5336</v>
      </c>
      <c r="B861" s="638" t="s">
        <v>5336</v>
      </c>
      <c r="C861" s="280" t="s">
        <v>3293</v>
      </c>
      <c r="D861" s="64" t="s">
        <v>5060</v>
      </c>
      <c r="E861" s="50">
        <v>20</v>
      </c>
      <c r="F861" s="15">
        <v>45057</v>
      </c>
      <c r="G861" s="50" t="s">
        <v>4732</v>
      </c>
      <c r="H861" s="165" t="s">
        <v>4732</v>
      </c>
      <c r="I861" s="50" t="s">
        <v>4732</v>
      </c>
      <c r="J861" s="50"/>
      <c r="K861" s="50" t="s">
        <v>5338</v>
      </c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</row>
    <row r="862" spans="1:22" s="35" customFormat="1" ht="11.25" customHeight="1" x14ac:dyDescent="0.35">
      <c r="A862" s="50" t="s">
        <v>5336</v>
      </c>
      <c r="B862" s="638" t="s">
        <v>5336</v>
      </c>
      <c r="C862" s="280" t="s">
        <v>6453</v>
      </c>
      <c r="D862" s="64" t="s">
        <v>2403</v>
      </c>
      <c r="E862" s="50">
        <v>3</v>
      </c>
      <c r="F862" s="15">
        <v>45057</v>
      </c>
      <c r="G862" s="50" t="s">
        <v>4732</v>
      </c>
      <c r="H862" s="165" t="s">
        <v>4732</v>
      </c>
      <c r="I862" s="50" t="s">
        <v>4732</v>
      </c>
      <c r="J862" s="50"/>
      <c r="K862" s="50" t="s">
        <v>5338</v>
      </c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</row>
    <row r="863" spans="1:22" s="35" customFormat="1" ht="11.25" customHeight="1" x14ac:dyDescent="0.35">
      <c r="A863" s="50" t="s">
        <v>5336</v>
      </c>
      <c r="B863" s="638" t="s">
        <v>5336</v>
      </c>
      <c r="C863" s="280" t="s">
        <v>4732</v>
      </c>
      <c r="D863" s="64" t="s">
        <v>6454</v>
      </c>
      <c r="E863" s="50">
        <v>32</v>
      </c>
      <c r="F863" s="15">
        <v>45057</v>
      </c>
      <c r="G863" s="50" t="s">
        <v>4732</v>
      </c>
      <c r="H863" s="165" t="s">
        <v>4732</v>
      </c>
      <c r="I863" s="50" t="s">
        <v>4732</v>
      </c>
      <c r="J863" s="50"/>
      <c r="K863" s="50" t="s">
        <v>5338</v>
      </c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</row>
    <row r="864" spans="1:22" s="35" customFormat="1" ht="11.25" customHeight="1" x14ac:dyDescent="0.35">
      <c r="A864" s="50" t="s">
        <v>5336</v>
      </c>
      <c r="B864" s="638" t="s">
        <v>5336</v>
      </c>
      <c r="C864" s="280" t="s">
        <v>6455</v>
      </c>
      <c r="D864" s="64" t="s">
        <v>6456</v>
      </c>
      <c r="E864" s="50">
        <v>10</v>
      </c>
      <c r="F864" s="15">
        <v>45057</v>
      </c>
      <c r="G864" s="50" t="s">
        <v>4732</v>
      </c>
      <c r="H864" s="165" t="s">
        <v>4732</v>
      </c>
      <c r="I864" s="50" t="s">
        <v>4732</v>
      </c>
      <c r="J864" s="50"/>
      <c r="K864" s="50" t="s">
        <v>5338</v>
      </c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</row>
    <row r="865" spans="1:22" s="39" customFormat="1" ht="11.25" customHeight="1" x14ac:dyDescent="0.35">
      <c r="A865" s="50" t="s">
        <v>5336</v>
      </c>
      <c r="B865" s="638" t="s">
        <v>5336</v>
      </c>
      <c r="C865" s="280" t="s">
        <v>6457</v>
      </c>
      <c r="D865" s="64" t="s">
        <v>6458</v>
      </c>
      <c r="E865" s="50">
        <v>12</v>
      </c>
      <c r="F865" s="15">
        <v>45057</v>
      </c>
      <c r="G865" s="50" t="s">
        <v>4732</v>
      </c>
      <c r="H865" s="165" t="s">
        <v>4732</v>
      </c>
      <c r="I865" s="50" t="s">
        <v>4732</v>
      </c>
      <c r="J865" s="50"/>
      <c r="K865" s="50" t="s">
        <v>5338</v>
      </c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</row>
    <row r="866" spans="1:22" s="35" customFormat="1" ht="11.25" customHeight="1" x14ac:dyDescent="0.35">
      <c r="A866" s="50" t="s">
        <v>5336</v>
      </c>
      <c r="B866" s="638" t="s">
        <v>5336</v>
      </c>
      <c r="C866" s="280" t="s">
        <v>6459</v>
      </c>
      <c r="D866" s="64" t="s">
        <v>6206</v>
      </c>
      <c r="E866" s="50">
        <v>3</v>
      </c>
      <c r="F866" s="15">
        <v>45057</v>
      </c>
      <c r="G866" s="50" t="s">
        <v>4732</v>
      </c>
      <c r="H866" s="165" t="s">
        <v>4732</v>
      </c>
      <c r="I866" s="50" t="s">
        <v>4732</v>
      </c>
      <c r="J866" s="50"/>
      <c r="K866" s="50" t="s">
        <v>5338</v>
      </c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</row>
    <row r="867" spans="1:22" s="35" customFormat="1" ht="11.25" customHeight="1" x14ac:dyDescent="0.35">
      <c r="A867" s="50" t="s">
        <v>5336</v>
      </c>
      <c r="B867" s="638" t="s">
        <v>5336</v>
      </c>
      <c r="C867" s="280" t="s">
        <v>6460</v>
      </c>
      <c r="D867" s="64" t="s">
        <v>6461</v>
      </c>
      <c r="E867" s="50">
        <v>10</v>
      </c>
      <c r="F867" s="15">
        <v>45057</v>
      </c>
      <c r="G867" s="50" t="s">
        <v>4732</v>
      </c>
      <c r="H867" s="165" t="s">
        <v>4732</v>
      </c>
      <c r="I867" s="50" t="s">
        <v>4732</v>
      </c>
      <c r="J867" s="50"/>
      <c r="K867" s="50" t="s">
        <v>5338</v>
      </c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</row>
    <row r="868" spans="1:22" s="35" customFormat="1" ht="11.25" customHeight="1" x14ac:dyDescent="0.35">
      <c r="A868" s="50" t="s">
        <v>5336</v>
      </c>
      <c r="B868" s="638" t="s">
        <v>5336</v>
      </c>
      <c r="C868" s="280" t="s">
        <v>6462</v>
      </c>
      <c r="D868" s="64" t="s">
        <v>6463</v>
      </c>
      <c r="E868" s="50">
        <v>12</v>
      </c>
      <c r="F868" s="15">
        <v>45057</v>
      </c>
      <c r="G868" s="50" t="s">
        <v>4732</v>
      </c>
      <c r="H868" s="165" t="s">
        <v>4732</v>
      </c>
      <c r="I868" s="50" t="s">
        <v>4732</v>
      </c>
      <c r="J868" s="50"/>
      <c r="K868" s="50" t="s">
        <v>5338</v>
      </c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</row>
    <row r="869" spans="1:22" s="39" customFormat="1" ht="11.25" customHeight="1" x14ac:dyDescent="0.35">
      <c r="A869" s="50" t="s">
        <v>5336</v>
      </c>
      <c r="B869" s="638" t="s">
        <v>5336</v>
      </c>
      <c r="C869" s="280" t="s">
        <v>6464</v>
      </c>
      <c r="D869" s="64" t="s">
        <v>6465</v>
      </c>
      <c r="E869" s="50">
        <v>12</v>
      </c>
      <c r="F869" s="15">
        <v>45057</v>
      </c>
      <c r="G869" s="50" t="s">
        <v>4732</v>
      </c>
      <c r="H869" s="165" t="s">
        <v>4732</v>
      </c>
      <c r="I869" s="50" t="s">
        <v>4732</v>
      </c>
      <c r="J869" s="50"/>
      <c r="K869" s="50" t="s">
        <v>5338</v>
      </c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</row>
    <row r="870" spans="1:22" s="35" customFormat="1" ht="11.25" customHeight="1" x14ac:dyDescent="0.35">
      <c r="A870" s="50" t="s">
        <v>5336</v>
      </c>
      <c r="B870" s="638" t="s">
        <v>5336</v>
      </c>
      <c r="C870" s="280" t="s">
        <v>6466</v>
      </c>
      <c r="D870" s="64" t="s">
        <v>5713</v>
      </c>
      <c r="E870" s="50">
        <v>70</v>
      </c>
      <c r="F870" s="15">
        <v>45057</v>
      </c>
      <c r="G870" s="50" t="s">
        <v>4732</v>
      </c>
      <c r="H870" s="165" t="s">
        <v>4732</v>
      </c>
      <c r="I870" s="50" t="s">
        <v>4732</v>
      </c>
      <c r="J870" s="50"/>
      <c r="K870" s="50" t="s">
        <v>5338</v>
      </c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</row>
    <row r="871" spans="1:22" s="35" customFormat="1" ht="11.25" customHeight="1" x14ac:dyDescent="0.35">
      <c r="A871" s="50" t="s">
        <v>5336</v>
      </c>
      <c r="B871" s="638" t="s">
        <v>5336</v>
      </c>
      <c r="C871" s="280" t="s">
        <v>6467</v>
      </c>
      <c r="D871" s="64" t="s">
        <v>239</v>
      </c>
      <c r="E871" s="50">
        <v>34</v>
      </c>
      <c r="F871" s="15">
        <v>45057</v>
      </c>
      <c r="G871" s="50" t="s">
        <v>4732</v>
      </c>
      <c r="H871" s="165" t="s">
        <v>4732</v>
      </c>
      <c r="I871" s="50" t="s">
        <v>4732</v>
      </c>
      <c r="J871" s="50"/>
      <c r="K871" s="50" t="s">
        <v>5338</v>
      </c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</row>
    <row r="872" spans="1:22" s="35" customFormat="1" ht="11.25" customHeight="1" x14ac:dyDescent="0.35">
      <c r="A872" s="50" t="s">
        <v>5336</v>
      </c>
      <c r="B872" s="638" t="s">
        <v>5336</v>
      </c>
      <c r="C872" s="280" t="s">
        <v>6468</v>
      </c>
      <c r="D872" s="64" t="s">
        <v>6469</v>
      </c>
      <c r="E872" s="50">
        <v>3</v>
      </c>
      <c r="F872" s="15">
        <v>45057</v>
      </c>
      <c r="G872" s="50" t="s">
        <v>4732</v>
      </c>
      <c r="H872" s="165" t="s">
        <v>4732</v>
      </c>
      <c r="I872" s="50" t="s">
        <v>4732</v>
      </c>
      <c r="J872" s="50"/>
      <c r="K872" s="50" t="s">
        <v>5338</v>
      </c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</row>
    <row r="873" spans="1:22" s="35" customFormat="1" ht="11.25" customHeight="1" x14ac:dyDescent="0.35">
      <c r="A873" s="50" t="s">
        <v>5336</v>
      </c>
      <c r="B873" s="638" t="s">
        <v>5336</v>
      </c>
      <c r="C873" s="280" t="s">
        <v>6470</v>
      </c>
      <c r="D873" s="64" t="s">
        <v>4732</v>
      </c>
      <c r="E873" s="50">
        <v>1</v>
      </c>
      <c r="F873" s="15">
        <v>45057</v>
      </c>
      <c r="G873" s="50" t="s">
        <v>4732</v>
      </c>
      <c r="H873" s="165" t="s">
        <v>4732</v>
      </c>
      <c r="I873" s="50" t="s">
        <v>4732</v>
      </c>
      <c r="J873" s="50"/>
      <c r="K873" s="50" t="s">
        <v>5338</v>
      </c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</row>
    <row r="874" spans="1:22" s="35" customFormat="1" ht="11.25" customHeight="1" x14ac:dyDescent="0.35">
      <c r="A874" s="50" t="s">
        <v>5336</v>
      </c>
      <c r="B874" s="638" t="s">
        <v>5336</v>
      </c>
      <c r="C874" s="280" t="s">
        <v>4732</v>
      </c>
      <c r="D874" s="64" t="s">
        <v>6471</v>
      </c>
      <c r="E874" s="50">
        <v>5</v>
      </c>
      <c r="F874" s="15">
        <v>45057</v>
      </c>
      <c r="G874" s="50" t="s">
        <v>4732</v>
      </c>
      <c r="H874" s="165" t="s">
        <v>4732</v>
      </c>
      <c r="I874" s="50" t="s">
        <v>4732</v>
      </c>
      <c r="J874" s="50"/>
      <c r="K874" s="50" t="s">
        <v>5338</v>
      </c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</row>
    <row r="875" spans="1:22" s="35" customFormat="1" ht="11.25" customHeight="1" x14ac:dyDescent="0.35">
      <c r="A875" s="50" t="s">
        <v>5336</v>
      </c>
      <c r="B875" s="638" t="s">
        <v>5336</v>
      </c>
      <c r="C875" s="280" t="s">
        <v>6472</v>
      </c>
      <c r="D875" s="64" t="s">
        <v>1264</v>
      </c>
      <c r="E875" s="50">
        <v>50</v>
      </c>
      <c r="F875" s="15">
        <v>45057</v>
      </c>
      <c r="G875" s="50" t="s">
        <v>4732</v>
      </c>
      <c r="H875" s="165" t="s">
        <v>4732</v>
      </c>
      <c r="I875" s="50" t="s">
        <v>4732</v>
      </c>
      <c r="J875" s="50"/>
      <c r="K875" s="50" t="s">
        <v>5338</v>
      </c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</row>
    <row r="876" spans="1:22" s="35" customFormat="1" ht="11.25" customHeight="1" x14ac:dyDescent="0.35">
      <c r="A876" s="50" t="s">
        <v>5336</v>
      </c>
      <c r="B876" s="638" t="s">
        <v>5336</v>
      </c>
      <c r="C876" s="280" t="s">
        <v>6473</v>
      </c>
      <c r="D876" s="64" t="s">
        <v>5699</v>
      </c>
      <c r="E876" s="50">
        <v>20</v>
      </c>
      <c r="F876" s="15">
        <v>45057</v>
      </c>
      <c r="G876" s="50" t="s">
        <v>4732</v>
      </c>
      <c r="H876" s="165" t="s">
        <v>4732</v>
      </c>
      <c r="I876" s="50" t="s">
        <v>4732</v>
      </c>
      <c r="J876" s="50"/>
      <c r="K876" s="50" t="s">
        <v>5338</v>
      </c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</row>
    <row r="877" spans="1:22" s="35" customFormat="1" ht="11.25" customHeight="1" x14ac:dyDescent="0.35">
      <c r="A877" s="50" t="s">
        <v>5336</v>
      </c>
      <c r="B877" s="638" t="s">
        <v>5336</v>
      </c>
      <c r="C877" s="280" t="s">
        <v>6474</v>
      </c>
      <c r="D877" s="64" t="s">
        <v>6013</v>
      </c>
      <c r="E877" s="50">
        <v>1</v>
      </c>
      <c r="F877" s="15">
        <v>45057</v>
      </c>
      <c r="G877" s="50" t="s">
        <v>4732</v>
      </c>
      <c r="H877" s="165" t="s">
        <v>4732</v>
      </c>
      <c r="I877" s="50" t="s">
        <v>4732</v>
      </c>
      <c r="J877" s="50"/>
      <c r="K877" s="50" t="s">
        <v>5338</v>
      </c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</row>
    <row r="878" spans="1:22" s="35" customFormat="1" ht="11.25" customHeight="1" x14ac:dyDescent="0.35">
      <c r="A878" s="50" t="s">
        <v>5336</v>
      </c>
      <c r="B878" s="638" t="s">
        <v>5336</v>
      </c>
      <c r="C878" s="280" t="s">
        <v>6475</v>
      </c>
      <c r="D878" s="64" t="s">
        <v>6476</v>
      </c>
      <c r="E878" s="50">
        <v>8</v>
      </c>
      <c r="F878" s="15">
        <v>45057</v>
      </c>
      <c r="G878" s="50" t="s">
        <v>4732</v>
      </c>
      <c r="H878" s="165" t="s">
        <v>4732</v>
      </c>
      <c r="I878" s="50" t="s">
        <v>4732</v>
      </c>
      <c r="J878" s="50"/>
      <c r="K878" s="50" t="s">
        <v>5338</v>
      </c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</row>
    <row r="879" spans="1:22" s="35" customFormat="1" ht="11.25" customHeight="1" x14ac:dyDescent="0.35">
      <c r="A879" s="50" t="s">
        <v>5336</v>
      </c>
      <c r="B879" s="638" t="s">
        <v>5336</v>
      </c>
      <c r="C879" s="280" t="s">
        <v>6477</v>
      </c>
      <c r="D879" s="64" t="s">
        <v>4732</v>
      </c>
      <c r="E879" s="50">
        <v>2</v>
      </c>
      <c r="F879" s="15">
        <v>45057</v>
      </c>
      <c r="G879" s="50" t="s">
        <v>4732</v>
      </c>
      <c r="H879" s="165" t="s">
        <v>4732</v>
      </c>
      <c r="I879" s="50" t="s">
        <v>4732</v>
      </c>
      <c r="J879" s="50"/>
      <c r="K879" s="50" t="s">
        <v>5338</v>
      </c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</row>
    <row r="880" spans="1:22" s="39" customFormat="1" ht="11.25" customHeight="1" x14ac:dyDescent="0.35">
      <c r="A880" s="52" t="s">
        <v>5336</v>
      </c>
      <c r="B880" s="80" t="s">
        <v>5336</v>
      </c>
      <c r="C880" s="282" t="s">
        <v>6478</v>
      </c>
      <c r="D880" s="63" t="s">
        <v>4732</v>
      </c>
      <c r="E880" s="52">
        <v>2</v>
      </c>
      <c r="F880" s="13">
        <v>45057</v>
      </c>
      <c r="G880" s="52">
        <v>2</v>
      </c>
      <c r="H880" s="167">
        <v>45427</v>
      </c>
      <c r="I880" s="52" t="s">
        <v>6479</v>
      </c>
      <c r="J880" s="52" t="s">
        <v>6480</v>
      </c>
      <c r="K880" s="52" t="s">
        <v>5365</v>
      </c>
    </row>
    <row r="881" spans="1:22" s="35" customFormat="1" ht="11.25" customHeight="1" x14ac:dyDescent="0.35">
      <c r="A881" s="50" t="s">
        <v>5336</v>
      </c>
      <c r="B881" s="638" t="s">
        <v>5336</v>
      </c>
      <c r="C881" s="280" t="s">
        <v>6481</v>
      </c>
      <c r="D881" s="64" t="s">
        <v>6482</v>
      </c>
      <c r="E881" s="50">
        <v>5</v>
      </c>
      <c r="F881" s="15">
        <v>45057</v>
      </c>
      <c r="G881" s="50" t="s">
        <v>4732</v>
      </c>
      <c r="H881" s="165" t="s">
        <v>4732</v>
      </c>
      <c r="I881" s="50" t="s">
        <v>4732</v>
      </c>
      <c r="J881" s="50"/>
      <c r="K881" s="50" t="s">
        <v>5338</v>
      </c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</row>
    <row r="882" spans="1:22" s="35" customFormat="1" ht="11.25" customHeight="1" x14ac:dyDescent="0.35">
      <c r="A882" s="50" t="s">
        <v>5336</v>
      </c>
      <c r="B882" s="638" t="s">
        <v>5336</v>
      </c>
      <c r="C882" s="280" t="s">
        <v>6483</v>
      </c>
      <c r="D882" s="64" t="s">
        <v>6484</v>
      </c>
      <c r="E882" s="50">
        <v>1</v>
      </c>
      <c r="F882" s="15">
        <v>45057</v>
      </c>
      <c r="G882" s="50" t="s">
        <v>4732</v>
      </c>
      <c r="H882" s="165" t="s">
        <v>4732</v>
      </c>
      <c r="I882" s="50" t="s">
        <v>4732</v>
      </c>
      <c r="J882" s="50"/>
      <c r="K882" s="50" t="s">
        <v>5338</v>
      </c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</row>
    <row r="883" spans="1:22" s="35" customFormat="1" ht="11.25" customHeight="1" x14ac:dyDescent="0.35">
      <c r="A883" s="50" t="s">
        <v>5336</v>
      </c>
      <c r="B883" s="638" t="s">
        <v>5336</v>
      </c>
      <c r="C883" s="280" t="s">
        <v>6485</v>
      </c>
      <c r="D883" s="64" t="s">
        <v>4732</v>
      </c>
      <c r="E883" s="50">
        <v>60</v>
      </c>
      <c r="F883" s="15">
        <v>45057</v>
      </c>
      <c r="G883" s="50" t="s">
        <v>4732</v>
      </c>
      <c r="H883" s="165" t="s">
        <v>4732</v>
      </c>
      <c r="I883" s="50" t="s">
        <v>4732</v>
      </c>
      <c r="J883" s="50"/>
      <c r="K883" s="50" t="s">
        <v>5338</v>
      </c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</row>
    <row r="884" spans="1:22" s="35" customFormat="1" ht="11.25" customHeight="1" x14ac:dyDescent="0.35">
      <c r="A884" s="50" t="s">
        <v>5336</v>
      </c>
      <c r="B884" s="638" t="s">
        <v>5336</v>
      </c>
      <c r="C884" s="280" t="s">
        <v>6486</v>
      </c>
      <c r="D884" s="64" t="s">
        <v>2403</v>
      </c>
      <c r="E884" s="50">
        <v>32</v>
      </c>
      <c r="F884" s="15">
        <v>45057</v>
      </c>
      <c r="G884" s="50" t="s">
        <v>4732</v>
      </c>
      <c r="H884" s="165" t="s">
        <v>4732</v>
      </c>
      <c r="I884" s="50" t="s">
        <v>4732</v>
      </c>
      <c r="J884" s="50"/>
      <c r="K884" s="50" t="s">
        <v>5338</v>
      </c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</row>
    <row r="885" spans="1:22" s="35" customFormat="1" ht="11.25" customHeight="1" x14ac:dyDescent="0.35">
      <c r="A885" s="50" t="s">
        <v>5336</v>
      </c>
      <c r="B885" s="638" t="s">
        <v>5336</v>
      </c>
      <c r="C885" s="280" t="s">
        <v>6487</v>
      </c>
      <c r="D885" s="64" t="s">
        <v>5795</v>
      </c>
      <c r="E885" s="50">
        <v>200</v>
      </c>
      <c r="F885" s="15">
        <v>45057</v>
      </c>
      <c r="G885" s="50" t="s">
        <v>4732</v>
      </c>
      <c r="H885" s="165" t="s">
        <v>4732</v>
      </c>
      <c r="I885" s="50" t="s">
        <v>4732</v>
      </c>
      <c r="J885" s="50"/>
      <c r="K885" s="50" t="s">
        <v>5338</v>
      </c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</row>
    <row r="886" spans="1:22" s="35" customFormat="1" ht="11.25" customHeight="1" x14ac:dyDescent="0.35">
      <c r="A886" s="50" t="s">
        <v>5336</v>
      </c>
      <c r="B886" s="638" t="s">
        <v>5336</v>
      </c>
      <c r="C886" s="280" t="s">
        <v>777</v>
      </c>
      <c r="D886" s="64" t="s">
        <v>6488</v>
      </c>
      <c r="E886" s="50">
        <v>30</v>
      </c>
      <c r="F886" s="15">
        <v>45057</v>
      </c>
      <c r="G886" s="50" t="s">
        <v>4732</v>
      </c>
      <c r="H886" s="165" t="s">
        <v>4732</v>
      </c>
      <c r="I886" s="50" t="s">
        <v>4732</v>
      </c>
      <c r="J886" s="50"/>
      <c r="K886" s="50" t="s">
        <v>5338</v>
      </c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</row>
    <row r="887" spans="1:22" s="35" customFormat="1" ht="11.25" customHeight="1" x14ac:dyDescent="0.35">
      <c r="A887" s="50" t="s">
        <v>5336</v>
      </c>
      <c r="B887" s="638" t="s">
        <v>5336</v>
      </c>
      <c r="C887" s="280" t="s">
        <v>2681</v>
      </c>
      <c r="D887" s="64" t="s">
        <v>5544</v>
      </c>
      <c r="E887" s="50">
        <v>64</v>
      </c>
      <c r="F887" s="15">
        <v>45057</v>
      </c>
      <c r="G887" s="50" t="s">
        <v>4732</v>
      </c>
      <c r="H887" s="165" t="s">
        <v>4732</v>
      </c>
      <c r="I887" s="50" t="s">
        <v>4732</v>
      </c>
      <c r="J887" s="50"/>
      <c r="K887" s="50" t="s">
        <v>5338</v>
      </c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</row>
    <row r="888" spans="1:22" s="35" customFormat="1" ht="11.25" customHeight="1" x14ac:dyDescent="0.35">
      <c r="A888" s="50" t="s">
        <v>5336</v>
      </c>
      <c r="B888" s="638" t="s">
        <v>5336</v>
      </c>
      <c r="C888" s="280" t="s">
        <v>6489</v>
      </c>
      <c r="D888" s="64" t="s">
        <v>6490</v>
      </c>
      <c r="E888" s="50">
        <v>1</v>
      </c>
      <c r="F888" s="15">
        <v>45057</v>
      </c>
      <c r="G888" s="50" t="s">
        <v>4732</v>
      </c>
      <c r="H888" s="165" t="s">
        <v>4732</v>
      </c>
      <c r="I888" s="50" t="s">
        <v>4732</v>
      </c>
      <c r="J888" s="50"/>
      <c r="K888" s="50" t="s">
        <v>5338</v>
      </c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</row>
    <row r="889" spans="1:22" s="35" customFormat="1" ht="11.25" customHeight="1" x14ac:dyDescent="0.35">
      <c r="A889" s="53" t="s">
        <v>5336</v>
      </c>
      <c r="B889" s="639" t="s">
        <v>5336</v>
      </c>
      <c r="C889" s="283" t="s">
        <v>6491</v>
      </c>
      <c r="D889" s="65" t="s">
        <v>6492</v>
      </c>
      <c r="E889" s="53">
        <v>2</v>
      </c>
      <c r="F889" s="15">
        <v>45057</v>
      </c>
      <c r="G889" s="53" t="s">
        <v>4732</v>
      </c>
      <c r="H889" s="168">
        <v>45055</v>
      </c>
      <c r="I889" s="53" t="s">
        <v>6386</v>
      </c>
      <c r="J889" s="53" t="s">
        <v>6383</v>
      </c>
      <c r="K889" s="53" t="s">
        <v>5511</v>
      </c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</row>
    <row r="890" spans="1:22" s="35" customFormat="1" ht="11.25" customHeight="1" x14ac:dyDescent="0.35">
      <c r="A890" s="52" t="s">
        <v>5336</v>
      </c>
      <c r="B890" s="80" t="s">
        <v>5336</v>
      </c>
      <c r="C890" s="282" t="s">
        <v>2817</v>
      </c>
      <c r="D890" s="63" t="s">
        <v>6493</v>
      </c>
      <c r="E890" s="52">
        <v>1</v>
      </c>
      <c r="F890" s="13">
        <v>45124</v>
      </c>
      <c r="G890" s="52">
        <v>1</v>
      </c>
      <c r="H890" s="167">
        <v>45147</v>
      </c>
      <c r="I890" s="52" t="s">
        <v>5553</v>
      </c>
      <c r="J890" s="52"/>
      <c r="K890" s="52" t="s">
        <v>5365</v>
      </c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</row>
    <row r="891" spans="1:22" s="35" customFormat="1" ht="11.25" customHeight="1" x14ac:dyDescent="0.35">
      <c r="A891" s="52" t="s">
        <v>5336</v>
      </c>
      <c r="B891" s="80" t="s">
        <v>5336</v>
      </c>
      <c r="C891" s="282" t="s">
        <v>6494</v>
      </c>
      <c r="D891" s="63" t="s">
        <v>6156</v>
      </c>
      <c r="E891" s="52">
        <v>1</v>
      </c>
      <c r="F891" s="13">
        <v>45124</v>
      </c>
      <c r="G891" s="52">
        <v>1</v>
      </c>
      <c r="H891" s="167" t="s">
        <v>6057</v>
      </c>
      <c r="I891" s="52" t="s">
        <v>5553</v>
      </c>
      <c r="J891" s="52"/>
      <c r="K891" s="52" t="s">
        <v>5365</v>
      </c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</row>
    <row r="892" spans="1:22" s="35" customFormat="1" ht="11.25" customHeight="1" x14ac:dyDescent="0.35">
      <c r="A892" s="52" t="s">
        <v>5336</v>
      </c>
      <c r="B892" s="80" t="s">
        <v>5336</v>
      </c>
      <c r="C892" s="282" t="s">
        <v>6495</v>
      </c>
      <c r="D892" s="63" t="s">
        <v>6496</v>
      </c>
      <c r="E892" s="52">
        <v>36</v>
      </c>
      <c r="F892" s="13">
        <v>45057</v>
      </c>
      <c r="G892" s="52" t="s">
        <v>6497</v>
      </c>
      <c r="H892" s="167" t="s">
        <v>6498</v>
      </c>
      <c r="I892" s="52" t="s">
        <v>6499</v>
      </c>
      <c r="J892" s="52"/>
      <c r="K892" s="52" t="s">
        <v>5365</v>
      </c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</row>
    <row r="893" spans="1:22" s="35" customFormat="1" ht="11.25" customHeight="1" x14ac:dyDescent="0.35">
      <c r="A893" s="52" t="s">
        <v>5336</v>
      </c>
      <c r="B893" s="80" t="s">
        <v>5336</v>
      </c>
      <c r="C893" s="282" t="s">
        <v>6500</v>
      </c>
      <c r="D893" s="63" t="s">
        <v>5558</v>
      </c>
      <c r="E893" s="52">
        <v>36</v>
      </c>
      <c r="F893" s="13">
        <v>45057</v>
      </c>
      <c r="G893" s="52">
        <v>36</v>
      </c>
      <c r="H893" s="167">
        <v>45181</v>
      </c>
      <c r="I893" s="52" t="s">
        <v>6390</v>
      </c>
      <c r="J893" s="52"/>
      <c r="K893" s="52" t="s">
        <v>5365</v>
      </c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</row>
    <row r="894" spans="1:22" s="35" customFormat="1" ht="11.25" customHeight="1" x14ac:dyDescent="0.35">
      <c r="A894" s="52" t="s">
        <v>5336</v>
      </c>
      <c r="B894" s="80" t="s">
        <v>5336</v>
      </c>
      <c r="C894" s="282" t="s">
        <v>6501</v>
      </c>
      <c r="D894" s="63" t="s">
        <v>6502</v>
      </c>
      <c r="E894" s="52">
        <v>1</v>
      </c>
      <c r="F894" s="13">
        <v>45057</v>
      </c>
      <c r="G894" s="52">
        <v>1</v>
      </c>
      <c r="H894" s="167">
        <v>45269</v>
      </c>
      <c r="I894" s="52" t="s">
        <v>6368</v>
      </c>
      <c r="J894" s="52"/>
      <c r="K894" s="52" t="s">
        <v>5365</v>
      </c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</row>
    <row r="895" spans="1:22" s="35" customFormat="1" ht="11.25" customHeight="1" x14ac:dyDescent="0.35">
      <c r="A895" s="53" t="s">
        <v>5336</v>
      </c>
      <c r="B895" s="639" t="s">
        <v>5336</v>
      </c>
      <c r="C895" s="283" t="s">
        <v>2587</v>
      </c>
      <c r="D895" s="65" t="s">
        <v>6503</v>
      </c>
      <c r="E895" s="53">
        <v>36</v>
      </c>
      <c r="F895" s="16">
        <v>45057</v>
      </c>
      <c r="G895" s="53" t="s">
        <v>6504</v>
      </c>
      <c r="H895" s="168" t="s">
        <v>6505</v>
      </c>
      <c r="I895" s="53" t="s">
        <v>6506</v>
      </c>
      <c r="J895" s="53" t="s">
        <v>6507</v>
      </c>
      <c r="K895" s="53" t="s">
        <v>5511</v>
      </c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</row>
    <row r="896" spans="1:22" s="35" customFormat="1" ht="11.25" customHeight="1" x14ac:dyDescent="0.35">
      <c r="A896" s="53" t="s">
        <v>5336</v>
      </c>
      <c r="B896" s="639" t="s">
        <v>5336</v>
      </c>
      <c r="C896" s="283" t="s">
        <v>6508</v>
      </c>
      <c r="D896" s="65" t="s">
        <v>6509</v>
      </c>
      <c r="E896" s="53">
        <v>15</v>
      </c>
      <c r="F896" s="16">
        <v>45057</v>
      </c>
      <c r="G896" s="53">
        <v>1</v>
      </c>
      <c r="H896" s="168" t="s">
        <v>3400</v>
      </c>
      <c r="I896" s="53" t="s">
        <v>6510</v>
      </c>
      <c r="J896" s="53" t="s">
        <v>6511</v>
      </c>
      <c r="K896" s="53" t="s">
        <v>5511</v>
      </c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</row>
    <row r="897" spans="1:22" s="35" customFormat="1" ht="11.25" customHeight="1" x14ac:dyDescent="0.35">
      <c r="A897" s="53" t="s">
        <v>5336</v>
      </c>
      <c r="B897" s="639" t="s">
        <v>5336</v>
      </c>
      <c r="C897" s="283" t="s">
        <v>6512</v>
      </c>
      <c r="D897" s="65" t="s">
        <v>6513</v>
      </c>
      <c r="E897" s="53">
        <v>3</v>
      </c>
      <c r="F897" s="16">
        <v>45057</v>
      </c>
      <c r="G897" s="53">
        <v>1</v>
      </c>
      <c r="H897" s="168" t="s">
        <v>3400</v>
      </c>
      <c r="I897" s="53" t="s">
        <v>5433</v>
      </c>
      <c r="J897" s="53" t="s">
        <v>6514</v>
      </c>
      <c r="K897" s="53" t="s">
        <v>5511</v>
      </c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</row>
    <row r="898" spans="1:22" s="35" customFormat="1" ht="11.25" customHeight="1" x14ac:dyDescent="0.35">
      <c r="A898" s="52" t="s">
        <v>5336</v>
      </c>
      <c r="B898" s="80" t="s">
        <v>5336</v>
      </c>
      <c r="C898" s="282" t="s">
        <v>6515</v>
      </c>
      <c r="D898" s="63" t="s">
        <v>6516</v>
      </c>
      <c r="E898" s="52">
        <v>1</v>
      </c>
      <c r="F898" s="13">
        <v>45057</v>
      </c>
      <c r="G898" s="52">
        <v>1</v>
      </c>
      <c r="H898" s="167" t="s">
        <v>3400</v>
      </c>
      <c r="I898" s="52" t="s">
        <v>5433</v>
      </c>
      <c r="J898" s="52"/>
      <c r="K898" s="52" t="s">
        <v>5365</v>
      </c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</row>
    <row r="899" spans="1:22" s="39" customFormat="1" ht="11.25" customHeight="1" x14ac:dyDescent="0.35">
      <c r="A899" s="53" t="s">
        <v>5336</v>
      </c>
      <c r="B899" s="639" t="s">
        <v>5336</v>
      </c>
      <c r="C899" s="283" t="s">
        <v>6517</v>
      </c>
      <c r="D899" s="65" t="s">
        <v>6518</v>
      </c>
      <c r="E899" s="53">
        <v>2</v>
      </c>
      <c r="F899" s="16">
        <v>45057</v>
      </c>
      <c r="G899" s="53">
        <v>1</v>
      </c>
      <c r="H899" s="168" t="s">
        <v>6519</v>
      </c>
      <c r="I899" s="53" t="s">
        <v>5842</v>
      </c>
      <c r="J899" s="53" t="s">
        <v>6383</v>
      </c>
      <c r="K899" s="53" t="s">
        <v>5511</v>
      </c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</row>
    <row r="900" spans="1:22" s="35" customFormat="1" ht="11.25" customHeight="1" x14ac:dyDescent="0.35">
      <c r="A900" s="53" t="s">
        <v>5336</v>
      </c>
      <c r="B900" s="639" t="s">
        <v>5336</v>
      </c>
      <c r="C900" s="283" t="s">
        <v>6517</v>
      </c>
      <c r="D900" s="65" t="s">
        <v>6520</v>
      </c>
      <c r="E900" s="53">
        <v>2</v>
      </c>
      <c r="F900" s="16">
        <v>45057</v>
      </c>
      <c r="G900" s="53"/>
      <c r="H900" s="168" t="s">
        <v>4732</v>
      </c>
      <c r="I900" s="53" t="s">
        <v>4732</v>
      </c>
      <c r="J900" s="53"/>
      <c r="K900" s="53" t="s">
        <v>5511</v>
      </c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</row>
    <row r="901" spans="1:22" s="35" customFormat="1" ht="11.25" customHeight="1" x14ac:dyDescent="0.35">
      <c r="A901" s="52" t="s">
        <v>5336</v>
      </c>
      <c r="B901" s="80" t="s">
        <v>5336</v>
      </c>
      <c r="C901" s="282" t="s">
        <v>6521</v>
      </c>
      <c r="D901" s="63" t="s">
        <v>6522</v>
      </c>
      <c r="E901" s="52">
        <v>1</v>
      </c>
      <c r="F901" s="13">
        <v>45057</v>
      </c>
      <c r="G901" s="52">
        <v>1</v>
      </c>
      <c r="H901" s="167" t="s">
        <v>3400</v>
      </c>
      <c r="I901" s="52" t="s">
        <v>5842</v>
      </c>
      <c r="J901" s="52"/>
      <c r="K901" s="52" t="s">
        <v>5365</v>
      </c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</row>
    <row r="902" spans="1:22" s="35" customFormat="1" ht="11.25" customHeight="1" x14ac:dyDescent="0.35">
      <c r="A902" s="53" t="s">
        <v>5336</v>
      </c>
      <c r="B902" s="639" t="s">
        <v>5336</v>
      </c>
      <c r="C902" s="283" t="s">
        <v>6523</v>
      </c>
      <c r="D902" s="65" t="s">
        <v>6397</v>
      </c>
      <c r="E902" s="53">
        <v>24</v>
      </c>
      <c r="F902" s="16">
        <v>45057</v>
      </c>
      <c r="G902" s="53" t="s">
        <v>6524</v>
      </c>
      <c r="H902" s="168" t="s">
        <v>3400</v>
      </c>
      <c r="I902" s="53" t="s">
        <v>5433</v>
      </c>
      <c r="J902" s="53" t="s">
        <v>6525</v>
      </c>
      <c r="K902" s="53" t="s">
        <v>5511</v>
      </c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</row>
    <row r="903" spans="1:22" s="35" customFormat="1" ht="11.25" customHeight="1" x14ac:dyDescent="0.35">
      <c r="A903" s="52" t="s">
        <v>5336</v>
      </c>
      <c r="B903" s="80" t="s">
        <v>5336</v>
      </c>
      <c r="C903" s="282" t="s">
        <v>6526</v>
      </c>
      <c r="D903" s="63" t="s">
        <v>4732</v>
      </c>
      <c r="E903" s="52">
        <v>16</v>
      </c>
      <c r="F903" s="13">
        <v>45057</v>
      </c>
      <c r="G903" s="52">
        <v>16</v>
      </c>
      <c r="H903" s="167" t="s">
        <v>5785</v>
      </c>
      <c r="I903" s="52" t="s">
        <v>5433</v>
      </c>
      <c r="J903" s="52"/>
      <c r="K903" s="52" t="s">
        <v>5365</v>
      </c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</row>
    <row r="904" spans="1:22" s="39" customFormat="1" ht="11.25" customHeight="1" x14ac:dyDescent="0.35">
      <c r="A904" s="52" t="s">
        <v>5336</v>
      </c>
      <c r="B904" s="80" t="s">
        <v>5336</v>
      </c>
      <c r="C904" s="282" t="s">
        <v>6527</v>
      </c>
      <c r="D904" s="63" t="s">
        <v>6528</v>
      </c>
      <c r="E904" s="52">
        <v>1</v>
      </c>
      <c r="F904" s="13">
        <v>45057</v>
      </c>
      <c r="G904" s="52">
        <v>1</v>
      </c>
      <c r="H904" s="167" t="s">
        <v>3400</v>
      </c>
      <c r="I904" s="52" t="s">
        <v>6529</v>
      </c>
      <c r="J904" s="52"/>
      <c r="K904" s="52" t="s">
        <v>5365</v>
      </c>
    </row>
    <row r="905" spans="1:22" s="35" customFormat="1" ht="11.25" customHeight="1" x14ac:dyDescent="0.35">
      <c r="A905" s="52" t="s">
        <v>5336</v>
      </c>
      <c r="B905" s="80" t="s">
        <v>5336</v>
      </c>
      <c r="C905" s="282" t="s">
        <v>1760</v>
      </c>
      <c r="D905" s="63" t="s">
        <v>5060</v>
      </c>
      <c r="E905" s="52">
        <v>21</v>
      </c>
      <c r="F905" s="13">
        <v>45057</v>
      </c>
      <c r="G905" s="52">
        <v>21</v>
      </c>
      <c r="H905" s="167" t="s">
        <v>6530</v>
      </c>
      <c r="I905" s="52" t="s">
        <v>5980</v>
      </c>
      <c r="J905" s="52"/>
      <c r="K905" s="52" t="s">
        <v>5365</v>
      </c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</row>
    <row r="906" spans="1:22" s="39" customFormat="1" ht="11.25" customHeight="1" x14ac:dyDescent="0.35">
      <c r="A906" s="52" t="s">
        <v>5336</v>
      </c>
      <c r="B906" s="80" t="s">
        <v>5336</v>
      </c>
      <c r="C906" s="282" t="s">
        <v>604</v>
      </c>
      <c r="D906" s="63" t="s">
        <v>6531</v>
      </c>
      <c r="E906" s="52">
        <v>1</v>
      </c>
      <c r="F906" s="13">
        <v>45057</v>
      </c>
      <c r="G906" s="52">
        <v>1</v>
      </c>
      <c r="H906" s="167" t="s">
        <v>6532</v>
      </c>
      <c r="I906" s="52" t="s">
        <v>6067</v>
      </c>
      <c r="J906" s="52"/>
      <c r="K906" s="52" t="s">
        <v>5365</v>
      </c>
    </row>
    <row r="907" spans="1:22" s="35" customFormat="1" ht="11.25" customHeight="1" x14ac:dyDescent="0.35">
      <c r="A907" s="50" t="s">
        <v>5215</v>
      </c>
      <c r="B907" s="638" t="s">
        <v>5539</v>
      </c>
      <c r="C907" s="280" t="s">
        <v>6533</v>
      </c>
      <c r="D907" s="64" t="s">
        <v>6534</v>
      </c>
      <c r="E907" s="50">
        <v>1</v>
      </c>
      <c r="F907" s="15">
        <v>44975</v>
      </c>
      <c r="G907" s="50" t="s">
        <v>4732</v>
      </c>
      <c r="H907" s="165"/>
      <c r="I907" s="50"/>
      <c r="J907" s="50"/>
      <c r="K907" s="50" t="s">
        <v>5338</v>
      </c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</row>
    <row r="908" spans="1:22" s="35" customFormat="1" ht="11.25" customHeight="1" x14ac:dyDescent="0.35">
      <c r="A908" s="50" t="s">
        <v>5215</v>
      </c>
      <c r="B908" s="638" t="s">
        <v>5539</v>
      </c>
      <c r="C908" s="280" t="s">
        <v>6535</v>
      </c>
      <c r="D908" s="64" t="s">
        <v>6536</v>
      </c>
      <c r="E908" s="50">
        <v>8</v>
      </c>
      <c r="F908" s="15">
        <v>44975</v>
      </c>
      <c r="G908" s="50" t="s">
        <v>4732</v>
      </c>
      <c r="H908" s="165"/>
      <c r="I908" s="50"/>
      <c r="J908" s="50"/>
      <c r="K908" s="50" t="s">
        <v>5338</v>
      </c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</row>
    <row r="909" spans="1:22" s="35" customFormat="1" ht="11.25" customHeight="1" x14ac:dyDescent="0.35">
      <c r="A909" s="50" t="s">
        <v>5215</v>
      </c>
      <c r="B909" s="638" t="s">
        <v>5539</v>
      </c>
      <c r="C909" s="280" t="s">
        <v>6537</v>
      </c>
      <c r="D909" s="64" t="s">
        <v>2682</v>
      </c>
      <c r="E909" s="50">
        <v>4</v>
      </c>
      <c r="F909" s="15">
        <v>44975</v>
      </c>
      <c r="G909" s="50" t="s">
        <v>4732</v>
      </c>
      <c r="H909" s="165"/>
      <c r="I909" s="50"/>
      <c r="J909" s="50"/>
      <c r="K909" s="50" t="s">
        <v>5338</v>
      </c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</row>
    <row r="910" spans="1:22" s="35" customFormat="1" ht="11.25" customHeight="1" x14ac:dyDescent="0.35">
      <c r="A910" s="50" t="s">
        <v>5215</v>
      </c>
      <c r="B910" s="638" t="s">
        <v>5539</v>
      </c>
      <c r="C910" s="280" t="s">
        <v>6538</v>
      </c>
      <c r="D910" s="64" t="s">
        <v>6539</v>
      </c>
      <c r="E910" s="50">
        <v>10</v>
      </c>
      <c r="F910" s="15">
        <v>44975</v>
      </c>
      <c r="G910" s="50" t="s">
        <v>4732</v>
      </c>
      <c r="H910" s="165"/>
      <c r="I910" s="50"/>
      <c r="J910" s="50"/>
      <c r="K910" s="50" t="s">
        <v>5338</v>
      </c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</row>
    <row r="911" spans="1:22" s="35" customFormat="1" ht="11.25" customHeight="1" x14ac:dyDescent="0.35">
      <c r="A911" s="50" t="s">
        <v>5215</v>
      </c>
      <c r="B911" s="638" t="s">
        <v>5539</v>
      </c>
      <c r="C911" s="280" t="s">
        <v>6540</v>
      </c>
      <c r="D911" s="64" t="s">
        <v>6541</v>
      </c>
      <c r="E911" s="50">
        <v>6</v>
      </c>
      <c r="F911" s="15">
        <v>44975</v>
      </c>
      <c r="G911" s="50" t="s">
        <v>4732</v>
      </c>
      <c r="H911" s="165"/>
      <c r="I911" s="50"/>
      <c r="J911" s="50"/>
      <c r="K911" s="50" t="s">
        <v>5338</v>
      </c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</row>
    <row r="912" spans="1:22" s="35" customFormat="1" ht="11.25" customHeight="1" x14ac:dyDescent="0.35">
      <c r="A912" s="50" t="s">
        <v>5215</v>
      </c>
      <c r="B912" s="638" t="s">
        <v>5539</v>
      </c>
      <c r="C912" s="280" t="s">
        <v>6542</v>
      </c>
      <c r="D912" s="64" t="s">
        <v>5060</v>
      </c>
      <c r="E912" s="50">
        <v>10</v>
      </c>
      <c r="F912" s="15">
        <v>44975</v>
      </c>
      <c r="G912" s="50" t="s">
        <v>4732</v>
      </c>
      <c r="H912" s="165"/>
      <c r="I912" s="50"/>
      <c r="J912" s="50"/>
      <c r="K912" s="50" t="s">
        <v>5338</v>
      </c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</row>
    <row r="913" spans="1:22" s="35" customFormat="1" ht="11.25" customHeight="1" x14ac:dyDescent="0.35">
      <c r="A913" s="50" t="s">
        <v>5215</v>
      </c>
      <c r="B913" s="638" t="s">
        <v>5539</v>
      </c>
      <c r="C913" s="280" t="s">
        <v>6543</v>
      </c>
      <c r="D913" s="64" t="s">
        <v>6544</v>
      </c>
      <c r="E913" s="50">
        <v>1</v>
      </c>
      <c r="F913" s="15">
        <v>44975</v>
      </c>
      <c r="G913" s="50" t="s">
        <v>4732</v>
      </c>
      <c r="H913" s="165"/>
      <c r="I913" s="50"/>
      <c r="J913" s="50"/>
      <c r="K913" s="50" t="s">
        <v>5338</v>
      </c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</row>
    <row r="914" spans="1:22" s="35" customFormat="1" ht="11.25" customHeight="1" x14ac:dyDescent="0.35">
      <c r="A914" s="50" t="s">
        <v>5215</v>
      </c>
      <c r="B914" s="638" t="s">
        <v>5539</v>
      </c>
      <c r="C914" s="280" t="s">
        <v>6545</v>
      </c>
      <c r="D914" s="64" t="s">
        <v>6546</v>
      </c>
      <c r="E914" s="50">
        <v>2</v>
      </c>
      <c r="F914" s="15">
        <v>44975</v>
      </c>
      <c r="G914" s="50" t="s">
        <v>4732</v>
      </c>
      <c r="H914" s="165"/>
      <c r="I914" s="50"/>
      <c r="J914" s="50"/>
      <c r="K914" s="50" t="s">
        <v>5338</v>
      </c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</row>
    <row r="915" spans="1:22" s="35" customFormat="1" ht="11.25" customHeight="1" x14ac:dyDescent="0.35">
      <c r="A915" s="50" t="s">
        <v>5215</v>
      </c>
      <c r="B915" s="638" t="s">
        <v>5539</v>
      </c>
      <c r="C915" s="280" t="s">
        <v>6547</v>
      </c>
      <c r="D915" s="64" t="s">
        <v>6548</v>
      </c>
      <c r="E915" s="50">
        <v>3</v>
      </c>
      <c r="F915" s="15">
        <v>44975</v>
      </c>
      <c r="G915" s="50" t="s">
        <v>4732</v>
      </c>
      <c r="H915" s="165"/>
      <c r="I915" s="50"/>
      <c r="J915" s="50"/>
      <c r="K915" s="50" t="s">
        <v>5338</v>
      </c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</row>
    <row r="916" spans="1:22" s="35" customFormat="1" ht="11.25" customHeight="1" x14ac:dyDescent="0.35">
      <c r="A916" s="50" t="s">
        <v>5215</v>
      </c>
      <c r="B916" s="638" t="s">
        <v>5539</v>
      </c>
      <c r="C916" s="280" t="s">
        <v>6549</v>
      </c>
      <c r="D916" s="64" t="s">
        <v>6550</v>
      </c>
      <c r="E916" s="50">
        <v>1</v>
      </c>
      <c r="F916" s="15">
        <v>44975</v>
      </c>
      <c r="G916" s="50" t="s">
        <v>4732</v>
      </c>
      <c r="H916" s="165"/>
      <c r="I916" s="50"/>
      <c r="J916" s="50"/>
      <c r="K916" s="50" t="s">
        <v>5338</v>
      </c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</row>
    <row r="917" spans="1:22" s="35" customFormat="1" ht="11.25" customHeight="1" x14ac:dyDescent="0.35">
      <c r="A917" s="50" t="s">
        <v>5215</v>
      </c>
      <c r="B917" s="638" t="s">
        <v>5539</v>
      </c>
      <c r="C917" s="280" t="s">
        <v>6551</v>
      </c>
      <c r="D917" s="64" t="s">
        <v>6552</v>
      </c>
      <c r="E917" s="50">
        <v>1</v>
      </c>
      <c r="F917" s="15">
        <v>44975</v>
      </c>
      <c r="G917" s="50" t="s">
        <v>4732</v>
      </c>
      <c r="H917" s="165"/>
      <c r="I917" s="50"/>
      <c r="J917" s="50"/>
      <c r="K917" s="50" t="s">
        <v>5338</v>
      </c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</row>
    <row r="918" spans="1:22" s="35" customFormat="1" ht="11.25" customHeight="1" x14ac:dyDescent="0.35">
      <c r="A918" s="50" t="s">
        <v>5215</v>
      </c>
      <c r="B918" s="638" t="s">
        <v>5539</v>
      </c>
      <c r="C918" s="280" t="s">
        <v>6553</v>
      </c>
      <c r="D918" s="64" t="s">
        <v>6554</v>
      </c>
      <c r="E918" s="50">
        <v>6</v>
      </c>
      <c r="F918" s="15">
        <v>44975</v>
      </c>
      <c r="G918" s="50" t="s">
        <v>4732</v>
      </c>
      <c r="H918" s="165"/>
      <c r="I918" s="50"/>
      <c r="J918" s="50"/>
      <c r="K918" s="50" t="s">
        <v>5338</v>
      </c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</row>
    <row r="919" spans="1:22" s="86" customFormat="1" ht="11.25" customHeight="1" x14ac:dyDescent="0.35">
      <c r="A919" s="90" t="s">
        <v>5215</v>
      </c>
      <c r="B919" s="641" t="s">
        <v>5539</v>
      </c>
      <c r="C919" s="285" t="s">
        <v>5471</v>
      </c>
      <c r="D919" s="91" t="s">
        <v>6555</v>
      </c>
      <c r="E919" s="90">
        <v>1</v>
      </c>
      <c r="F919" s="92">
        <v>44975</v>
      </c>
      <c r="G919" s="90">
        <v>1</v>
      </c>
      <c r="H919" s="170">
        <v>45379</v>
      </c>
      <c r="I919" s="90" t="s">
        <v>6556</v>
      </c>
      <c r="J919" s="90" t="s">
        <v>6557</v>
      </c>
      <c r="K919" s="90" t="s">
        <v>5338</v>
      </c>
      <c r="L919" s="34"/>
    </row>
    <row r="920" spans="1:22" s="35" customFormat="1" ht="11.25" customHeight="1" x14ac:dyDescent="0.35">
      <c r="A920" s="50" t="s">
        <v>5215</v>
      </c>
      <c r="B920" s="638" t="s">
        <v>5539</v>
      </c>
      <c r="C920" s="280" t="s">
        <v>6558</v>
      </c>
      <c r="D920" s="64" t="s">
        <v>6559</v>
      </c>
      <c r="E920" s="50">
        <v>1</v>
      </c>
      <c r="F920" s="15">
        <v>44975</v>
      </c>
      <c r="G920" s="50" t="s">
        <v>4732</v>
      </c>
      <c r="H920" s="165"/>
      <c r="I920" s="50"/>
      <c r="J920" s="50"/>
      <c r="K920" s="50" t="s">
        <v>5338</v>
      </c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</row>
    <row r="921" spans="1:22" s="35" customFormat="1" ht="11.25" customHeight="1" x14ac:dyDescent="0.35">
      <c r="A921" s="50" t="s">
        <v>5215</v>
      </c>
      <c r="B921" s="638" t="s">
        <v>5539</v>
      </c>
      <c r="C921" s="280" t="s">
        <v>5495</v>
      </c>
      <c r="D921" s="64" t="s">
        <v>5496</v>
      </c>
      <c r="E921" s="50">
        <v>10</v>
      </c>
      <c r="F921" s="15">
        <v>44975</v>
      </c>
      <c r="G921" s="50" t="s">
        <v>4732</v>
      </c>
      <c r="H921" s="165"/>
      <c r="I921" s="50"/>
      <c r="J921" s="50"/>
      <c r="K921" s="50" t="s">
        <v>5338</v>
      </c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</row>
    <row r="922" spans="1:22" s="35" customFormat="1" ht="11.25" customHeight="1" x14ac:dyDescent="0.35">
      <c r="A922" s="50" t="s">
        <v>5215</v>
      </c>
      <c r="B922" s="638" t="s">
        <v>5539</v>
      </c>
      <c r="C922" s="280" t="s">
        <v>6560</v>
      </c>
      <c r="D922" s="64" t="s">
        <v>5814</v>
      </c>
      <c r="E922" s="50">
        <v>1</v>
      </c>
      <c r="F922" s="15">
        <v>44975</v>
      </c>
      <c r="G922" s="50" t="s">
        <v>4732</v>
      </c>
      <c r="H922" s="165"/>
      <c r="I922" s="50"/>
      <c r="J922" s="50"/>
      <c r="K922" s="50" t="s">
        <v>5338</v>
      </c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</row>
    <row r="923" spans="1:22" s="35" customFormat="1" ht="11.25" customHeight="1" x14ac:dyDescent="0.35">
      <c r="A923" s="50" t="s">
        <v>5215</v>
      </c>
      <c r="B923" s="638" t="s">
        <v>5539</v>
      </c>
      <c r="C923" s="280" t="s">
        <v>6561</v>
      </c>
      <c r="D923" s="64" t="s">
        <v>1613</v>
      </c>
      <c r="E923" s="50">
        <v>2</v>
      </c>
      <c r="F923" s="15">
        <v>44975</v>
      </c>
      <c r="G923" s="50" t="s">
        <v>4732</v>
      </c>
      <c r="H923" s="165"/>
      <c r="I923" s="50"/>
      <c r="J923" s="50"/>
      <c r="K923" s="50" t="s">
        <v>5338</v>
      </c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</row>
    <row r="924" spans="1:22" s="35" customFormat="1" ht="11.25" customHeight="1" x14ac:dyDescent="0.35">
      <c r="A924" s="50" t="s">
        <v>5215</v>
      </c>
      <c r="B924" s="638" t="s">
        <v>5539</v>
      </c>
      <c r="C924" s="280" t="s">
        <v>6562</v>
      </c>
      <c r="D924" s="64" t="s">
        <v>6563</v>
      </c>
      <c r="E924" s="50">
        <v>1</v>
      </c>
      <c r="F924" s="15">
        <v>44975</v>
      </c>
      <c r="G924" s="50" t="s">
        <v>4732</v>
      </c>
      <c r="H924" s="165"/>
      <c r="I924" s="50"/>
      <c r="J924" s="50"/>
      <c r="K924" s="50" t="s">
        <v>5338</v>
      </c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</row>
    <row r="925" spans="1:22" s="35" customFormat="1" ht="11.25" customHeight="1" x14ac:dyDescent="0.35">
      <c r="A925" s="50" t="s">
        <v>5215</v>
      </c>
      <c r="B925" s="638" t="s">
        <v>5539</v>
      </c>
      <c r="C925" s="280" t="s">
        <v>6564</v>
      </c>
      <c r="D925" s="64" t="s">
        <v>6565</v>
      </c>
      <c r="E925" s="50">
        <v>1</v>
      </c>
      <c r="F925" s="15">
        <v>44975</v>
      </c>
      <c r="G925" s="50" t="s">
        <v>4732</v>
      </c>
      <c r="H925" s="165"/>
      <c r="I925" s="50"/>
      <c r="J925" s="50"/>
      <c r="K925" s="50" t="s">
        <v>5338</v>
      </c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</row>
    <row r="926" spans="1:22" s="35" customFormat="1" ht="11.25" customHeight="1" x14ac:dyDescent="0.35">
      <c r="A926" s="50" t="s">
        <v>5215</v>
      </c>
      <c r="B926" s="638" t="s">
        <v>5539</v>
      </c>
      <c r="C926" s="280" t="s">
        <v>6566</v>
      </c>
      <c r="D926" s="64" t="s">
        <v>6567</v>
      </c>
      <c r="E926" s="50">
        <v>3</v>
      </c>
      <c r="F926" s="15">
        <v>44975</v>
      </c>
      <c r="G926" s="50" t="s">
        <v>4732</v>
      </c>
      <c r="H926" s="165"/>
      <c r="I926" s="50"/>
      <c r="J926" s="50"/>
      <c r="K926" s="50" t="s">
        <v>5338</v>
      </c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</row>
    <row r="927" spans="1:22" s="35" customFormat="1" ht="11.25" customHeight="1" x14ac:dyDescent="0.35">
      <c r="A927" s="50" t="s">
        <v>5215</v>
      </c>
      <c r="B927" s="638" t="s">
        <v>5539</v>
      </c>
      <c r="C927" s="280" t="s">
        <v>6488</v>
      </c>
      <c r="D927" s="64" t="s">
        <v>6568</v>
      </c>
      <c r="E927" s="50">
        <v>1</v>
      </c>
      <c r="F927" s="15">
        <v>44975</v>
      </c>
      <c r="G927" s="50" t="s">
        <v>4732</v>
      </c>
      <c r="H927" s="165"/>
      <c r="I927" s="50"/>
      <c r="J927" s="50"/>
      <c r="K927" s="50" t="s">
        <v>5338</v>
      </c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</row>
    <row r="928" spans="1:22" s="35" customFormat="1" ht="11.25" customHeight="1" x14ac:dyDescent="0.35">
      <c r="A928" s="52" t="s">
        <v>5215</v>
      </c>
      <c r="B928" s="80" t="s">
        <v>5539</v>
      </c>
      <c r="C928" s="282" t="s">
        <v>5523</v>
      </c>
      <c r="D928" s="63" t="s">
        <v>5520</v>
      </c>
      <c r="E928" s="52">
        <v>1</v>
      </c>
      <c r="F928" s="13">
        <v>44975</v>
      </c>
      <c r="G928" s="52">
        <v>1</v>
      </c>
      <c r="H928" s="167">
        <v>44985</v>
      </c>
      <c r="I928" s="52" t="s">
        <v>6569</v>
      </c>
      <c r="J928" s="52"/>
      <c r="K928" s="52" t="s">
        <v>5338</v>
      </c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</row>
    <row r="929" spans="1:22" s="35" customFormat="1" ht="11.25" customHeight="1" x14ac:dyDescent="0.35">
      <c r="A929" s="50" t="s">
        <v>5215</v>
      </c>
      <c r="B929" s="638" t="s">
        <v>5539</v>
      </c>
      <c r="C929" s="280" t="s">
        <v>6570</v>
      </c>
      <c r="D929" s="64" t="s">
        <v>6567</v>
      </c>
      <c r="E929" s="50">
        <v>2</v>
      </c>
      <c r="F929" s="15">
        <v>44975</v>
      </c>
      <c r="G929" s="50" t="s">
        <v>4732</v>
      </c>
      <c r="H929" s="165"/>
      <c r="I929" s="50"/>
      <c r="J929" s="50"/>
      <c r="K929" s="50" t="s">
        <v>5338</v>
      </c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</row>
    <row r="930" spans="1:22" s="35" customFormat="1" ht="11.25" customHeight="1" x14ac:dyDescent="0.35">
      <c r="A930" s="50" t="s">
        <v>5215</v>
      </c>
      <c r="B930" s="638" t="s">
        <v>5539</v>
      </c>
      <c r="C930" s="280" t="s">
        <v>6571</v>
      </c>
      <c r="D930" s="64" t="s">
        <v>6572</v>
      </c>
      <c r="E930" s="50">
        <v>4</v>
      </c>
      <c r="F930" s="15">
        <v>44975</v>
      </c>
      <c r="G930" s="50" t="s">
        <v>4732</v>
      </c>
      <c r="H930" s="165"/>
      <c r="I930" s="50"/>
      <c r="J930" s="50"/>
      <c r="K930" s="50" t="s">
        <v>5338</v>
      </c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</row>
    <row r="931" spans="1:22" s="35" customFormat="1" ht="11.25" customHeight="1" x14ac:dyDescent="0.35">
      <c r="A931" s="50" t="s">
        <v>5215</v>
      </c>
      <c r="B931" s="638" t="s">
        <v>5539</v>
      </c>
      <c r="C931" s="280" t="s">
        <v>5393</v>
      </c>
      <c r="D931" s="64" t="s">
        <v>6573</v>
      </c>
      <c r="E931" s="50">
        <v>1</v>
      </c>
      <c r="F931" s="15">
        <v>44975</v>
      </c>
      <c r="G931" s="50" t="s">
        <v>4732</v>
      </c>
      <c r="H931" s="165"/>
      <c r="I931" s="50"/>
      <c r="J931" s="50"/>
      <c r="K931" s="50" t="s">
        <v>5338</v>
      </c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</row>
    <row r="932" spans="1:22" s="35" customFormat="1" ht="11.25" customHeight="1" x14ac:dyDescent="0.35">
      <c r="A932" s="50" t="s">
        <v>5215</v>
      </c>
      <c r="B932" s="638" t="s">
        <v>5539</v>
      </c>
      <c r="C932" s="280" t="s">
        <v>6574</v>
      </c>
      <c r="D932" s="64" t="s">
        <v>6575</v>
      </c>
      <c r="E932" s="50">
        <v>1</v>
      </c>
      <c r="F932" s="15">
        <v>44975</v>
      </c>
      <c r="G932" s="50" t="s">
        <v>4732</v>
      </c>
      <c r="H932" s="165"/>
      <c r="I932" s="50"/>
      <c r="J932" s="50"/>
      <c r="K932" s="50" t="s">
        <v>5338</v>
      </c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</row>
    <row r="933" spans="1:22" s="35" customFormat="1" ht="11.25" customHeight="1" x14ac:dyDescent="0.35">
      <c r="A933" s="50" t="s">
        <v>5215</v>
      </c>
      <c r="B933" s="638" t="s">
        <v>5539</v>
      </c>
      <c r="C933" s="280" t="s">
        <v>6576</v>
      </c>
      <c r="D933" s="64" t="s">
        <v>6577</v>
      </c>
      <c r="E933" s="50">
        <v>1</v>
      </c>
      <c r="F933" s="15">
        <v>44975</v>
      </c>
      <c r="G933" s="50" t="s">
        <v>4732</v>
      </c>
      <c r="H933" s="165"/>
      <c r="I933" s="50"/>
      <c r="J933" s="50"/>
      <c r="K933" s="50" t="s">
        <v>5338</v>
      </c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</row>
    <row r="934" spans="1:22" s="35" customFormat="1" ht="11.25" customHeight="1" x14ac:dyDescent="0.35">
      <c r="A934" s="50" t="s">
        <v>5215</v>
      </c>
      <c r="B934" s="638" t="s">
        <v>5539</v>
      </c>
      <c r="C934" s="280" t="s">
        <v>6578</v>
      </c>
      <c r="D934" s="64" t="s">
        <v>6579</v>
      </c>
      <c r="E934" s="50">
        <v>1</v>
      </c>
      <c r="F934" s="15">
        <v>44975</v>
      </c>
      <c r="G934" s="50" t="s">
        <v>4732</v>
      </c>
      <c r="H934" s="165"/>
      <c r="I934" s="50"/>
      <c r="J934" s="50"/>
      <c r="K934" s="50" t="s">
        <v>5338</v>
      </c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</row>
    <row r="935" spans="1:22" s="35" customFormat="1" ht="11.25" customHeight="1" x14ac:dyDescent="0.35">
      <c r="A935" s="50" t="s">
        <v>5215</v>
      </c>
      <c r="B935" s="638" t="s">
        <v>5539</v>
      </c>
      <c r="C935" s="280" t="s">
        <v>6580</v>
      </c>
      <c r="D935" s="64" t="s">
        <v>6581</v>
      </c>
      <c r="E935" s="50">
        <v>8</v>
      </c>
      <c r="F935" s="15">
        <v>44975</v>
      </c>
      <c r="G935" s="50" t="s">
        <v>4732</v>
      </c>
      <c r="H935" s="165"/>
      <c r="I935" s="50"/>
      <c r="J935" s="50"/>
      <c r="K935" s="50" t="s">
        <v>5338</v>
      </c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</row>
    <row r="936" spans="1:22" s="35" customFormat="1" ht="11.25" customHeight="1" x14ac:dyDescent="0.35">
      <c r="A936" s="50" t="s">
        <v>5215</v>
      </c>
      <c r="B936" s="638" t="s">
        <v>5539</v>
      </c>
      <c r="C936" s="280" t="s">
        <v>6582</v>
      </c>
      <c r="D936" s="64" t="s">
        <v>6583</v>
      </c>
      <c r="E936" s="50">
        <v>4</v>
      </c>
      <c r="F936" s="15">
        <v>44975</v>
      </c>
      <c r="G936" s="50" t="s">
        <v>4732</v>
      </c>
      <c r="H936" s="165"/>
      <c r="I936" s="50"/>
      <c r="J936" s="50"/>
      <c r="K936" s="50" t="s">
        <v>5338</v>
      </c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</row>
    <row r="937" spans="1:22" s="35" customFormat="1" ht="11.25" customHeight="1" x14ac:dyDescent="0.35">
      <c r="A937" s="50" t="s">
        <v>5215</v>
      </c>
      <c r="B937" s="638" t="s">
        <v>5539</v>
      </c>
      <c r="C937" s="280" t="s">
        <v>6584</v>
      </c>
      <c r="D937" s="64" t="s">
        <v>6536</v>
      </c>
      <c r="E937" s="50">
        <v>1</v>
      </c>
      <c r="F937" s="15">
        <v>44975</v>
      </c>
      <c r="G937" s="50" t="s">
        <v>4732</v>
      </c>
      <c r="H937" s="165"/>
      <c r="I937" s="50"/>
      <c r="J937" s="50"/>
      <c r="K937" s="50" t="s">
        <v>5338</v>
      </c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</row>
    <row r="938" spans="1:22" s="35" customFormat="1" ht="11.25" customHeight="1" x14ac:dyDescent="0.35">
      <c r="A938" s="50" t="s">
        <v>5215</v>
      </c>
      <c r="B938" s="638" t="s">
        <v>5539</v>
      </c>
      <c r="C938" s="280" t="s">
        <v>5454</v>
      </c>
      <c r="D938" s="64" t="s">
        <v>5455</v>
      </c>
      <c r="E938" s="50">
        <v>1</v>
      </c>
      <c r="F938" s="15">
        <v>44975</v>
      </c>
      <c r="G938" s="50" t="s">
        <v>4732</v>
      </c>
      <c r="H938" s="165"/>
      <c r="I938" s="50"/>
      <c r="J938" s="50"/>
      <c r="K938" s="50" t="s">
        <v>5338</v>
      </c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</row>
    <row r="939" spans="1:22" s="35" customFormat="1" ht="11.25" customHeight="1" x14ac:dyDescent="0.35">
      <c r="A939" s="50" t="s">
        <v>5215</v>
      </c>
      <c r="B939" s="638" t="s">
        <v>5539</v>
      </c>
      <c r="C939" s="280" t="s">
        <v>6585</v>
      </c>
      <c r="D939" s="64" t="s">
        <v>6586</v>
      </c>
      <c r="E939" s="50">
        <v>2</v>
      </c>
      <c r="F939" s="15">
        <v>44975</v>
      </c>
      <c r="G939" s="50" t="s">
        <v>4732</v>
      </c>
      <c r="H939" s="165"/>
      <c r="I939" s="50"/>
      <c r="J939" s="50"/>
      <c r="K939" s="50" t="s">
        <v>5338</v>
      </c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</row>
    <row r="940" spans="1:22" s="35" customFormat="1" ht="11.25" customHeight="1" x14ac:dyDescent="0.35">
      <c r="A940" s="50" t="s">
        <v>5215</v>
      </c>
      <c r="B940" s="638" t="s">
        <v>5539</v>
      </c>
      <c r="C940" s="280" t="s">
        <v>6587</v>
      </c>
      <c r="D940" s="64" t="s">
        <v>6588</v>
      </c>
      <c r="E940" s="50">
        <v>2</v>
      </c>
      <c r="F940" s="15">
        <v>44975</v>
      </c>
      <c r="G940" s="50" t="s">
        <v>4732</v>
      </c>
      <c r="H940" s="165"/>
      <c r="I940" s="50"/>
      <c r="J940" s="50"/>
      <c r="K940" s="50" t="s">
        <v>5338</v>
      </c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</row>
    <row r="941" spans="1:22" s="35" customFormat="1" ht="11.25" customHeight="1" x14ac:dyDescent="0.35">
      <c r="A941" s="50" t="s">
        <v>5215</v>
      </c>
      <c r="B941" s="638" t="s">
        <v>5539</v>
      </c>
      <c r="C941" s="280" t="s">
        <v>6589</v>
      </c>
      <c r="D941" s="64" t="s">
        <v>6590</v>
      </c>
      <c r="E941" s="50">
        <v>3</v>
      </c>
      <c r="F941" s="15">
        <v>44975</v>
      </c>
      <c r="G941" s="50" t="s">
        <v>4732</v>
      </c>
      <c r="H941" s="165"/>
      <c r="I941" s="50"/>
      <c r="J941" s="50"/>
      <c r="K941" s="50" t="s">
        <v>5338</v>
      </c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</row>
    <row r="942" spans="1:22" s="35" customFormat="1" ht="11.25" customHeight="1" x14ac:dyDescent="0.35">
      <c r="A942" s="50" t="s">
        <v>5215</v>
      </c>
      <c r="B942" s="638" t="s">
        <v>5539</v>
      </c>
      <c r="C942" s="280" t="s">
        <v>6591</v>
      </c>
      <c r="D942" s="64" t="s">
        <v>6592</v>
      </c>
      <c r="E942" s="50">
        <v>2</v>
      </c>
      <c r="F942" s="15">
        <v>44662</v>
      </c>
      <c r="G942" s="50" t="s">
        <v>4732</v>
      </c>
      <c r="H942" s="165"/>
      <c r="I942" s="50"/>
      <c r="J942" s="50"/>
      <c r="K942" s="50" t="s">
        <v>5338</v>
      </c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</row>
    <row r="943" spans="1:22" s="35" customFormat="1" ht="11.25" customHeight="1" x14ac:dyDescent="0.35">
      <c r="A943" s="50" t="s">
        <v>5215</v>
      </c>
      <c r="B943" s="638" t="s">
        <v>5539</v>
      </c>
      <c r="C943" s="280" t="s">
        <v>6593</v>
      </c>
      <c r="D943" s="64" t="s">
        <v>5544</v>
      </c>
      <c r="E943" s="50">
        <v>2</v>
      </c>
      <c r="F943" s="15">
        <v>44662</v>
      </c>
      <c r="G943" s="50" t="s">
        <v>4732</v>
      </c>
      <c r="H943" s="165"/>
      <c r="I943" s="50"/>
      <c r="J943" s="50"/>
      <c r="K943" s="50" t="s">
        <v>5338</v>
      </c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</row>
    <row r="944" spans="1:22" s="35" customFormat="1" ht="11.25" customHeight="1" x14ac:dyDescent="0.35">
      <c r="A944" s="50" t="s">
        <v>5215</v>
      </c>
      <c r="B944" s="638" t="s">
        <v>5539</v>
      </c>
      <c r="C944" s="280" t="s">
        <v>6594</v>
      </c>
      <c r="D944" s="64" t="s">
        <v>6595</v>
      </c>
      <c r="E944" s="50">
        <v>8</v>
      </c>
      <c r="F944" s="15">
        <v>44662</v>
      </c>
      <c r="G944" s="50" t="s">
        <v>4732</v>
      </c>
      <c r="H944" s="165"/>
      <c r="I944" s="50"/>
      <c r="J944" s="50"/>
      <c r="K944" s="50" t="s">
        <v>5338</v>
      </c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</row>
    <row r="945" spans="1:22" s="35" customFormat="1" ht="11.25" customHeight="1" x14ac:dyDescent="0.35">
      <c r="A945" s="50" t="s">
        <v>5215</v>
      </c>
      <c r="B945" s="638" t="s">
        <v>5539</v>
      </c>
      <c r="C945" s="280" t="s">
        <v>3650</v>
      </c>
      <c r="D945" s="64" t="s">
        <v>5296</v>
      </c>
      <c r="E945" s="50">
        <v>2</v>
      </c>
      <c r="F945" s="15">
        <v>44662</v>
      </c>
      <c r="G945" s="50" t="s">
        <v>4732</v>
      </c>
      <c r="H945" s="165"/>
      <c r="I945" s="50"/>
      <c r="J945" s="50"/>
      <c r="K945" s="50" t="s">
        <v>5338</v>
      </c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</row>
    <row r="946" spans="1:22" s="42" customFormat="1" ht="11.25" customHeight="1" x14ac:dyDescent="0.35">
      <c r="A946" s="52" t="s">
        <v>5215</v>
      </c>
      <c r="B946" s="80" t="s">
        <v>5539</v>
      </c>
      <c r="C946" s="282" t="s">
        <v>1492</v>
      </c>
      <c r="D946" s="63" t="s">
        <v>1493</v>
      </c>
      <c r="E946" s="52">
        <v>7</v>
      </c>
      <c r="F946" s="13">
        <v>44662</v>
      </c>
      <c r="G946" s="52">
        <v>7</v>
      </c>
      <c r="H946" s="167">
        <v>45118</v>
      </c>
      <c r="I946" s="52" t="s">
        <v>5842</v>
      </c>
      <c r="J946" s="52"/>
      <c r="K946" s="52" t="s">
        <v>5365</v>
      </c>
    </row>
    <row r="947" spans="1:22" s="35" customFormat="1" ht="11.25" customHeight="1" x14ac:dyDescent="0.35">
      <c r="A947" s="50" t="s">
        <v>5215</v>
      </c>
      <c r="B947" s="638" t="s">
        <v>5539</v>
      </c>
      <c r="C947" s="280" t="s">
        <v>6596</v>
      </c>
      <c r="D947" s="64" t="s">
        <v>6597</v>
      </c>
      <c r="E947" s="50">
        <v>1</v>
      </c>
      <c r="F947" s="15">
        <v>44662</v>
      </c>
      <c r="G947" s="50" t="s">
        <v>4732</v>
      </c>
      <c r="H947" s="165"/>
      <c r="I947" s="50"/>
      <c r="J947" s="50"/>
      <c r="K947" s="50" t="s">
        <v>5338</v>
      </c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</row>
    <row r="948" spans="1:22" s="35" customFormat="1" ht="11.25" customHeight="1" x14ac:dyDescent="0.35">
      <c r="A948" s="50" t="s">
        <v>5215</v>
      </c>
      <c r="B948" s="638" t="s">
        <v>5539</v>
      </c>
      <c r="C948" s="280" t="s">
        <v>6598</v>
      </c>
      <c r="D948" s="64" t="s">
        <v>1785</v>
      </c>
      <c r="E948" s="50">
        <v>250</v>
      </c>
      <c r="F948" s="15">
        <v>44662</v>
      </c>
      <c r="G948" s="50" t="s">
        <v>4732</v>
      </c>
      <c r="H948" s="165"/>
      <c r="I948" s="50"/>
      <c r="J948" s="50"/>
      <c r="K948" s="50" t="s">
        <v>5338</v>
      </c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</row>
    <row r="949" spans="1:22" s="35" customFormat="1" ht="11.25" customHeight="1" x14ac:dyDescent="0.35">
      <c r="A949" s="50" t="s">
        <v>5215</v>
      </c>
      <c r="B949" s="638" t="s">
        <v>5539</v>
      </c>
      <c r="C949" s="280" t="s">
        <v>6599</v>
      </c>
      <c r="D949" s="64" t="s">
        <v>1181</v>
      </c>
      <c r="E949" s="50">
        <v>44</v>
      </c>
      <c r="F949" s="15">
        <v>44662</v>
      </c>
      <c r="G949" s="50" t="s">
        <v>4732</v>
      </c>
      <c r="H949" s="165"/>
      <c r="I949" s="50"/>
      <c r="J949" s="50"/>
      <c r="K949" s="50" t="s">
        <v>5338</v>
      </c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</row>
    <row r="950" spans="1:22" s="35" customFormat="1" ht="11.25" customHeight="1" x14ac:dyDescent="0.35">
      <c r="A950" s="50" t="s">
        <v>5215</v>
      </c>
      <c r="B950" s="638" t="s">
        <v>5539</v>
      </c>
      <c r="C950" s="280" t="s">
        <v>6600</v>
      </c>
      <c r="D950" s="64" t="s">
        <v>5494</v>
      </c>
      <c r="E950" s="50">
        <v>10</v>
      </c>
      <c r="F950" s="15">
        <v>44662</v>
      </c>
      <c r="G950" s="50" t="s">
        <v>4732</v>
      </c>
      <c r="H950" s="165"/>
      <c r="I950" s="50"/>
      <c r="J950" s="50"/>
      <c r="K950" s="50" t="s">
        <v>5338</v>
      </c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</row>
    <row r="951" spans="1:22" s="35" customFormat="1" ht="11.25" customHeight="1" x14ac:dyDescent="0.35">
      <c r="A951" s="50" t="s">
        <v>5215</v>
      </c>
      <c r="B951" s="638" t="s">
        <v>5539</v>
      </c>
      <c r="C951" s="280" t="s">
        <v>6601</v>
      </c>
      <c r="D951" s="64" t="s">
        <v>6602</v>
      </c>
      <c r="E951" s="50">
        <v>4</v>
      </c>
      <c r="F951" s="15">
        <v>44662</v>
      </c>
      <c r="G951" s="50" t="s">
        <v>4732</v>
      </c>
      <c r="H951" s="165"/>
      <c r="I951" s="50"/>
      <c r="J951" s="50"/>
      <c r="K951" s="50" t="s">
        <v>5338</v>
      </c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</row>
    <row r="952" spans="1:22" s="35" customFormat="1" ht="11.25" customHeight="1" x14ac:dyDescent="0.35">
      <c r="A952" s="50" t="s">
        <v>5215</v>
      </c>
      <c r="B952" s="638" t="s">
        <v>5539</v>
      </c>
      <c r="C952" s="280" t="s">
        <v>6603</v>
      </c>
      <c r="D952" s="64" t="s">
        <v>6604</v>
      </c>
      <c r="E952" s="50">
        <v>1</v>
      </c>
      <c r="F952" s="15">
        <v>44662</v>
      </c>
      <c r="G952" s="50" t="s">
        <v>4732</v>
      </c>
      <c r="H952" s="165"/>
      <c r="I952" s="50"/>
      <c r="J952" s="50"/>
      <c r="K952" s="50" t="s">
        <v>5338</v>
      </c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</row>
    <row r="953" spans="1:22" s="35" customFormat="1" ht="11.25" customHeight="1" x14ac:dyDescent="0.35">
      <c r="A953" s="50" t="s">
        <v>5215</v>
      </c>
      <c r="B953" s="638" t="s">
        <v>5539</v>
      </c>
      <c r="C953" s="280" t="s">
        <v>6605</v>
      </c>
      <c r="D953" s="64" t="s">
        <v>6606</v>
      </c>
      <c r="E953" s="50">
        <v>1</v>
      </c>
      <c r="F953" s="15">
        <v>44662</v>
      </c>
      <c r="G953" s="50" t="s">
        <v>4732</v>
      </c>
      <c r="H953" s="165"/>
      <c r="I953" s="50"/>
      <c r="J953" s="50"/>
      <c r="K953" s="50" t="s">
        <v>5338</v>
      </c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</row>
    <row r="954" spans="1:22" s="35" customFormat="1" ht="11.25" customHeight="1" x14ac:dyDescent="0.35">
      <c r="A954" s="50" t="s">
        <v>5215</v>
      </c>
      <c r="B954" s="638" t="s">
        <v>5539</v>
      </c>
      <c r="C954" s="280" t="s">
        <v>6607</v>
      </c>
      <c r="D954" s="64" t="s">
        <v>6608</v>
      </c>
      <c r="E954" s="50">
        <v>1</v>
      </c>
      <c r="F954" s="15">
        <v>44662</v>
      </c>
      <c r="G954" s="50" t="s">
        <v>4732</v>
      </c>
      <c r="H954" s="165"/>
      <c r="I954" s="50"/>
      <c r="J954" s="50"/>
      <c r="K954" s="50" t="s">
        <v>5338</v>
      </c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</row>
    <row r="955" spans="1:22" s="35" customFormat="1" ht="11.25" customHeight="1" x14ac:dyDescent="0.35">
      <c r="A955" s="50" t="s">
        <v>5215</v>
      </c>
      <c r="B955" s="638" t="s">
        <v>5539</v>
      </c>
      <c r="C955" s="280" t="s">
        <v>6609</v>
      </c>
      <c r="D955" s="64" t="s">
        <v>6610</v>
      </c>
      <c r="E955" s="50">
        <v>1</v>
      </c>
      <c r="F955" s="15">
        <v>44662</v>
      </c>
      <c r="G955" s="50" t="s">
        <v>4732</v>
      </c>
      <c r="H955" s="165"/>
      <c r="I955" s="50"/>
      <c r="J955" s="50"/>
      <c r="K955" s="50" t="s">
        <v>5338</v>
      </c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</row>
    <row r="956" spans="1:22" s="35" customFormat="1" ht="11.25" customHeight="1" x14ac:dyDescent="0.35">
      <c r="A956" s="50" t="s">
        <v>5215</v>
      </c>
      <c r="B956" s="638" t="s">
        <v>5539</v>
      </c>
      <c r="C956" s="280" t="s">
        <v>6611</v>
      </c>
      <c r="D956" s="64" t="s">
        <v>6234</v>
      </c>
      <c r="E956" s="50" t="s">
        <v>6612</v>
      </c>
      <c r="F956" s="15">
        <v>44662</v>
      </c>
      <c r="G956" s="50" t="s">
        <v>4732</v>
      </c>
      <c r="H956" s="165"/>
      <c r="I956" s="50"/>
      <c r="J956" s="50"/>
      <c r="K956" s="50" t="s">
        <v>5338</v>
      </c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</row>
    <row r="957" spans="1:22" s="35" customFormat="1" ht="11.25" customHeight="1" x14ac:dyDescent="0.35">
      <c r="A957" s="50" t="s">
        <v>5215</v>
      </c>
      <c r="B957" s="638" t="s">
        <v>5539</v>
      </c>
      <c r="C957" s="280" t="s">
        <v>4525</v>
      </c>
      <c r="D957" s="64" t="s">
        <v>6613</v>
      </c>
      <c r="E957" s="50">
        <v>1</v>
      </c>
      <c r="F957" s="15">
        <v>44662</v>
      </c>
      <c r="G957" s="50" t="s">
        <v>4732</v>
      </c>
      <c r="H957" s="165"/>
      <c r="I957" s="50"/>
      <c r="J957" s="50"/>
      <c r="K957" s="50" t="s">
        <v>5338</v>
      </c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</row>
    <row r="958" spans="1:22" s="35" customFormat="1" ht="11.25" customHeight="1" x14ac:dyDescent="0.35">
      <c r="A958" s="50" t="s">
        <v>5215</v>
      </c>
      <c r="B958" s="638" t="s">
        <v>5539</v>
      </c>
      <c r="C958" s="280" t="s">
        <v>5395</v>
      </c>
      <c r="D958" s="64" t="s">
        <v>6614</v>
      </c>
      <c r="E958" s="50">
        <v>1</v>
      </c>
      <c r="F958" s="15">
        <v>44662</v>
      </c>
      <c r="G958" s="50" t="s">
        <v>4732</v>
      </c>
      <c r="H958" s="165"/>
      <c r="I958" s="50"/>
      <c r="J958" s="50"/>
      <c r="K958" s="50" t="s">
        <v>5338</v>
      </c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</row>
    <row r="959" spans="1:22" s="39" customFormat="1" ht="11.25" customHeight="1" x14ac:dyDescent="0.35">
      <c r="A959" s="52" t="s">
        <v>35</v>
      </c>
      <c r="B959" s="80"/>
      <c r="C959" s="282" t="s">
        <v>6199</v>
      </c>
      <c r="D959" s="63" t="s">
        <v>6615</v>
      </c>
      <c r="E959" s="52">
        <v>5</v>
      </c>
      <c r="F959" s="13">
        <v>45232</v>
      </c>
      <c r="G959" s="52">
        <v>5</v>
      </c>
      <c r="H959" s="167">
        <v>45237</v>
      </c>
      <c r="I959" s="52" t="s">
        <v>5842</v>
      </c>
      <c r="J959" s="52"/>
      <c r="K959" s="52" t="s">
        <v>5365</v>
      </c>
    </row>
    <row r="960" spans="1:22" s="39" customFormat="1" ht="11.25" customHeight="1" x14ac:dyDescent="0.35">
      <c r="A960" s="52" t="s">
        <v>35</v>
      </c>
      <c r="B960" s="80"/>
      <c r="C960" s="282" t="s">
        <v>6199</v>
      </c>
      <c r="D960" s="63" t="s">
        <v>6615</v>
      </c>
      <c r="E960" s="52">
        <v>5</v>
      </c>
      <c r="F960" s="13">
        <v>45245</v>
      </c>
      <c r="G960" s="52">
        <v>5</v>
      </c>
      <c r="H960" s="167">
        <v>45264</v>
      </c>
      <c r="I960" s="52" t="s">
        <v>6217</v>
      </c>
      <c r="J960" s="52"/>
      <c r="K960" s="52" t="s">
        <v>5365</v>
      </c>
    </row>
    <row r="961" spans="1:22" s="35" customFormat="1" ht="11.25" customHeight="1" x14ac:dyDescent="0.35">
      <c r="A961" s="50" t="s">
        <v>4832</v>
      </c>
      <c r="B961" s="638" t="s">
        <v>6616</v>
      </c>
      <c r="C961" s="280" t="s">
        <v>6617</v>
      </c>
      <c r="D961" s="64" t="s">
        <v>6618</v>
      </c>
      <c r="E961" s="50">
        <v>1</v>
      </c>
      <c r="F961" s="15" t="s">
        <v>4732</v>
      </c>
      <c r="G961" s="50"/>
      <c r="H961" s="165"/>
      <c r="I961" s="50"/>
      <c r="J961" s="50"/>
      <c r="K961" s="50" t="s">
        <v>5338</v>
      </c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</row>
    <row r="962" spans="1:22" s="35" customFormat="1" ht="11.25" customHeight="1" x14ac:dyDescent="0.35">
      <c r="A962" s="50"/>
      <c r="B962" s="638" t="s">
        <v>6616</v>
      </c>
      <c r="C962" s="280" t="s">
        <v>4732</v>
      </c>
      <c r="D962" s="64" t="s">
        <v>6619</v>
      </c>
      <c r="E962" s="50">
        <v>1</v>
      </c>
      <c r="F962" s="15" t="s">
        <v>4732</v>
      </c>
      <c r="G962" s="50"/>
      <c r="H962" s="165"/>
      <c r="I962" s="50"/>
      <c r="J962" s="50"/>
      <c r="K962" s="50" t="s">
        <v>5338</v>
      </c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</row>
    <row r="963" spans="1:22" s="35" customFormat="1" ht="11.25" customHeight="1" x14ac:dyDescent="0.35">
      <c r="A963" s="50"/>
      <c r="B963" s="638" t="s">
        <v>6616</v>
      </c>
      <c r="C963" s="280" t="s">
        <v>6620</v>
      </c>
      <c r="D963" s="64" t="s">
        <v>6621</v>
      </c>
      <c r="E963" s="50">
        <v>2</v>
      </c>
      <c r="F963" s="15">
        <v>43535</v>
      </c>
      <c r="G963" s="50"/>
      <c r="H963" s="165"/>
      <c r="I963" s="50"/>
      <c r="J963" s="50"/>
      <c r="K963" s="50" t="s">
        <v>5338</v>
      </c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</row>
    <row r="964" spans="1:22" s="35" customFormat="1" ht="11.25" customHeight="1" x14ac:dyDescent="0.35">
      <c r="A964" s="50"/>
      <c r="B964" s="638" t="s">
        <v>6616</v>
      </c>
      <c r="C964" s="280" t="s">
        <v>6622</v>
      </c>
      <c r="D964" s="64" t="s">
        <v>6623</v>
      </c>
      <c r="E964" s="50">
        <v>5</v>
      </c>
      <c r="F964" s="15">
        <v>43747</v>
      </c>
      <c r="G964" s="50"/>
      <c r="H964" s="165"/>
      <c r="I964" s="50"/>
      <c r="J964" s="50"/>
      <c r="K964" s="50" t="s">
        <v>5338</v>
      </c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</row>
    <row r="965" spans="1:22" s="35" customFormat="1" ht="11.25" customHeight="1" x14ac:dyDescent="0.35">
      <c r="A965" s="50"/>
      <c r="B965" s="638" t="s">
        <v>6616</v>
      </c>
      <c r="C965" s="280" t="s">
        <v>6624</v>
      </c>
      <c r="D965" s="64" t="s">
        <v>6625</v>
      </c>
      <c r="E965" s="50">
        <v>1</v>
      </c>
      <c r="F965" s="15">
        <v>45080</v>
      </c>
      <c r="G965" s="50"/>
      <c r="H965" s="165"/>
      <c r="I965" s="50"/>
      <c r="J965" s="50"/>
      <c r="K965" s="50" t="s">
        <v>5338</v>
      </c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</row>
    <row r="966" spans="1:22" s="35" customFormat="1" ht="11.25" customHeight="1" x14ac:dyDescent="0.35">
      <c r="A966" s="50"/>
      <c r="B966" s="638" t="s">
        <v>6616</v>
      </c>
      <c r="C966" s="280" t="s">
        <v>6626</v>
      </c>
      <c r="D966" s="64" t="s">
        <v>6627</v>
      </c>
      <c r="E966" s="50">
        <v>1</v>
      </c>
      <c r="F966" s="15">
        <v>45208</v>
      </c>
      <c r="G966" s="50"/>
      <c r="H966" s="165"/>
      <c r="I966" s="50"/>
      <c r="J966" s="50"/>
      <c r="K966" s="50" t="s">
        <v>5338</v>
      </c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</row>
    <row r="967" spans="1:22" s="39" customFormat="1" ht="11.25" customHeight="1" x14ac:dyDescent="0.35">
      <c r="A967" s="52"/>
      <c r="B967" s="80" t="s">
        <v>6616</v>
      </c>
      <c r="C967" s="282" t="s">
        <v>5322</v>
      </c>
      <c r="D967" s="63" t="s">
        <v>2403</v>
      </c>
      <c r="E967" s="52">
        <v>5</v>
      </c>
      <c r="F967" s="13">
        <v>43535</v>
      </c>
      <c r="G967" s="52">
        <v>5</v>
      </c>
      <c r="H967" s="167">
        <v>43536</v>
      </c>
      <c r="I967" s="52"/>
      <c r="J967" s="52"/>
      <c r="K967" s="52" t="s">
        <v>5365</v>
      </c>
    </row>
    <row r="968" spans="1:22" s="148" customFormat="1" ht="11.25" customHeight="1" x14ac:dyDescent="0.35">
      <c r="A968" s="145"/>
      <c r="B968" s="642" t="s">
        <v>6616</v>
      </c>
      <c r="C968" s="286" t="s">
        <v>6628</v>
      </c>
      <c r="D968" s="146" t="s">
        <v>6629</v>
      </c>
      <c r="E968" s="145">
        <v>4</v>
      </c>
      <c r="F968" s="147" t="s">
        <v>4732</v>
      </c>
      <c r="G968" s="145"/>
      <c r="H968" s="171"/>
      <c r="I968" s="145"/>
      <c r="J968" s="145"/>
      <c r="K968" s="145" t="s">
        <v>5511</v>
      </c>
      <c r="L968" s="39"/>
    </row>
    <row r="969" spans="1:22" s="35" customFormat="1" ht="11.25" customHeight="1" x14ac:dyDescent="0.35">
      <c r="A969" s="50"/>
      <c r="B969" s="638" t="s">
        <v>6616</v>
      </c>
      <c r="C969" s="280" t="s">
        <v>2110</v>
      </c>
      <c r="D969" s="64" t="s">
        <v>6630</v>
      </c>
      <c r="E969" s="50">
        <v>15</v>
      </c>
      <c r="F969" s="15" t="s">
        <v>4732</v>
      </c>
      <c r="G969" s="50"/>
      <c r="H969" s="165"/>
      <c r="I969" s="50"/>
      <c r="J969" s="50"/>
      <c r="K969" s="50" t="s">
        <v>5338</v>
      </c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</row>
    <row r="970" spans="1:22" s="42" customFormat="1" ht="11.25" customHeight="1" x14ac:dyDescent="0.35">
      <c r="A970" s="53"/>
      <c r="B970" s="639" t="s">
        <v>6616</v>
      </c>
      <c r="C970" s="283" t="s">
        <v>1114</v>
      </c>
      <c r="D970" s="65" t="s">
        <v>1115</v>
      </c>
      <c r="E970" s="53">
        <v>47</v>
      </c>
      <c r="F970" s="16">
        <v>45036</v>
      </c>
      <c r="G970" s="53" t="s">
        <v>6631</v>
      </c>
      <c r="H970" s="168" t="s">
        <v>6632</v>
      </c>
      <c r="I970" s="53" t="s">
        <v>6633</v>
      </c>
      <c r="J970" s="53" t="s">
        <v>6634</v>
      </c>
      <c r="K970" s="53" t="s">
        <v>5511</v>
      </c>
      <c r="M970" s="42" t="s">
        <v>6635</v>
      </c>
    </row>
    <row r="971" spans="1:22" s="35" customFormat="1" ht="11.25" customHeight="1" x14ac:dyDescent="0.35">
      <c r="A971" s="50"/>
      <c r="B971" s="638" t="s">
        <v>6616</v>
      </c>
      <c r="C971" s="280" t="s">
        <v>1299</v>
      </c>
      <c r="D971" s="64" t="s">
        <v>6636</v>
      </c>
      <c r="E971" s="50">
        <v>1</v>
      </c>
      <c r="F971" s="15" t="s">
        <v>4732</v>
      </c>
      <c r="G971" s="50"/>
      <c r="H971" s="165"/>
      <c r="I971" s="50"/>
      <c r="J971" s="50"/>
      <c r="K971" s="50" t="s">
        <v>5338</v>
      </c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</row>
    <row r="972" spans="1:22" s="35" customFormat="1" ht="11.25" customHeight="1" x14ac:dyDescent="0.35">
      <c r="A972" s="50"/>
      <c r="B972" s="638" t="s">
        <v>6616</v>
      </c>
      <c r="C972" s="280" t="s">
        <v>6637</v>
      </c>
      <c r="D972" s="64" t="s">
        <v>6638</v>
      </c>
      <c r="E972" s="50">
        <v>1</v>
      </c>
      <c r="F972" s="15" t="s">
        <v>4732</v>
      </c>
      <c r="G972" s="50"/>
      <c r="H972" s="165"/>
      <c r="I972" s="50"/>
      <c r="J972" s="50"/>
      <c r="K972" s="50" t="s">
        <v>5338</v>
      </c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</row>
    <row r="973" spans="1:22" s="35" customFormat="1" ht="11.25" customHeight="1" x14ac:dyDescent="0.35">
      <c r="A973" s="50"/>
      <c r="B973" s="638" t="s">
        <v>6616</v>
      </c>
      <c r="C973" s="280" t="s">
        <v>6639</v>
      </c>
      <c r="D973" s="64" t="s">
        <v>6640</v>
      </c>
      <c r="E973" s="50">
        <v>4</v>
      </c>
      <c r="F973" s="15">
        <v>44502</v>
      </c>
      <c r="G973" s="50"/>
      <c r="H973" s="165"/>
      <c r="I973" s="50"/>
      <c r="J973" s="50"/>
      <c r="K973" s="50" t="s">
        <v>5338</v>
      </c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</row>
    <row r="974" spans="1:22" s="44" customFormat="1" ht="11.25" customHeight="1" x14ac:dyDescent="0.35">
      <c r="A974" s="54"/>
      <c r="B974" s="643" t="s">
        <v>6616</v>
      </c>
      <c r="C974" s="287" t="s">
        <v>6641</v>
      </c>
      <c r="D974" s="78" t="s">
        <v>1181</v>
      </c>
      <c r="E974" s="54">
        <v>5</v>
      </c>
      <c r="F974" s="18">
        <v>43535</v>
      </c>
      <c r="G974" s="54">
        <v>4</v>
      </c>
      <c r="H974" s="172" t="s">
        <v>6642</v>
      </c>
      <c r="I974" s="54" t="s">
        <v>6110</v>
      </c>
      <c r="J974" s="54"/>
      <c r="K974" s="54" t="s">
        <v>5511</v>
      </c>
    </row>
    <row r="975" spans="1:22" s="39" customFormat="1" ht="11.25" customHeight="1" x14ac:dyDescent="0.35">
      <c r="A975" s="52"/>
      <c r="B975" s="80" t="s">
        <v>6616</v>
      </c>
      <c r="C975" s="282" t="s">
        <v>663</v>
      </c>
      <c r="D975" s="63" t="s">
        <v>6643</v>
      </c>
      <c r="E975" s="52">
        <v>3</v>
      </c>
      <c r="F975" s="13">
        <v>44996</v>
      </c>
      <c r="G975" s="52" t="s">
        <v>6644</v>
      </c>
      <c r="H975" s="167">
        <v>45337</v>
      </c>
      <c r="I975" s="52" t="s">
        <v>6645</v>
      </c>
      <c r="J975" s="52"/>
      <c r="K975" s="52" t="s">
        <v>5365</v>
      </c>
    </row>
    <row r="976" spans="1:22" s="39" customFormat="1" ht="11.25" customHeight="1" x14ac:dyDescent="0.35">
      <c r="A976" s="52"/>
      <c r="B976" s="80" t="s">
        <v>6616</v>
      </c>
      <c r="C976" s="282" t="s">
        <v>6646</v>
      </c>
      <c r="D976" s="63" t="s">
        <v>6647</v>
      </c>
      <c r="E976" s="52">
        <v>1</v>
      </c>
      <c r="F976" s="13" t="s">
        <v>4732</v>
      </c>
      <c r="G976" s="52">
        <v>1</v>
      </c>
      <c r="H976" s="167">
        <v>45511</v>
      </c>
      <c r="I976" s="52" t="s">
        <v>6227</v>
      </c>
      <c r="J976" s="52" t="s">
        <v>6648</v>
      </c>
      <c r="K976" s="52" t="s">
        <v>5365</v>
      </c>
    </row>
    <row r="977" spans="1:22" s="42" customFormat="1" ht="11.25" customHeight="1" x14ac:dyDescent="0.35">
      <c r="A977" s="53" t="s">
        <v>5215</v>
      </c>
      <c r="B977" s="639" t="s">
        <v>843</v>
      </c>
      <c r="C977" s="283" t="s">
        <v>6649</v>
      </c>
      <c r="D977" s="65" t="s">
        <v>5361</v>
      </c>
      <c r="E977" s="53">
        <v>48</v>
      </c>
      <c r="F977" s="16">
        <v>45132</v>
      </c>
      <c r="G977" s="53" t="s">
        <v>6650</v>
      </c>
      <c r="H977" s="168"/>
      <c r="I977" s="53"/>
      <c r="J977" s="53"/>
      <c r="K977" s="53" t="s">
        <v>5511</v>
      </c>
    </row>
    <row r="978" spans="1:22" s="39" customFormat="1" ht="11.25" customHeight="1" x14ac:dyDescent="0.35">
      <c r="A978" s="52" t="s">
        <v>5215</v>
      </c>
      <c r="B978" s="80" t="s">
        <v>843</v>
      </c>
      <c r="C978" s="282" t="s">
        <v>6651</v>
      </c>
      <c r="D978" s="63" t="s">
        <v>5302</v>
      </c>
      <c r="E978" s="52">
        <v>12</v>
      </c>
      <c r="F978" s="13">
        <v>45132</v>
      </c>
      <c r="G978" s="52">
        <v>12</v>
      </c>
      <c r="H978" s="167" t="s">
        <v>6652</v>
      </c>
      <c r="I978" s="52"/>
      <c r="J978" s="52"/>
      <c r="K978" s="52" t="s">
        <v>5365</v>
      </c>
    </row>
    <row r="979" spans="1:22" s="39" customFormat="1" ht="11.25" customHeight="1" x14ac:dyDescent="0.35">
      <c r="A979" s="52" t="s">
        <v>5215</v>
      </c>
      <c r="B979" s="80" t="s">
        <v>843</v>
      </c>
      <c r="C979" s="282" t="s">
        <v>6653</v>
      </c>
      <c r="D979" s="63" t="s">
        <v>6654</v>
      </c>
      <c r="E979" s="52">
        <v>12</v>
      </c>
      <c r="F979" s="13">
        <v>45132</v>
      </c>
      <c r="G979" s="52">
        <v>12</v>
      </c>
      <c r="H979" s="167" t="s">
        <v>6652</v>
      </c>
      <c r="I979" s="52"/>
      <c r="J979" s="52"/>
      <c r="K979" s="52" t="s">
        <v>5365</v>
      </c>
    </row>
    <row r="980" spans="1:22" s="42" customFormat="1" ht="11.25" customHeight="1" x14ac:dyDescent="0.35">
      <c r="A980" s="55" t="s">
        <v>6471</v>
      </c>
      <c r="B980" s="644" t="s">
        <v>5763</v>
      </c>
      <c r="C980" s="288">
        <v>1729333</v>
      </c>
      <c r="D980" s="120" t="s">
        <v>1426</v>
      </c>
      <c r="E980" s="55">
        <v>40</v>
      </c>
      <c r="F980" s="56">
        <v>45271</v>
      </c>
      <c r="G980" s="55">
        <v>3</v>
      </c>
      <c r="H980" s="173">
        <v>45357</v>
      </c>
      <c r="I980" s="55" t="s">
        <v>5903</v>
      </c>
      <c r="J980" s="55"/>
      <c r="K980" s="55" t="s">
        <v>5511</v>
      </c>
    </row>
    <row r="981" spans="1:22" s="44" customFormat="1" ht="11.25" customHeight="1" x14ac:dyDescent="0.35">
      <c r="A981" s="54" t="s">
        <v>6471</v>
      </c>
      <c r="B981" s="643" t="s">
        <v>5763</v>
      </c>
      <c r="C981" s="287">
        <v>1885303</v>
      </c>
      <c r="D981" s="78" t="s">
        <v>1423</v>
      </c>
      <c r="E981" s="54">
        <v>10</v>
      </c>
      <c r="F981" s="18">
        <v>45271</v>
      </c>
      <c r="G981" s="54" t="s">
        <v>6655</v>
      </c>
      <c r="H981" s="172">
        <v>45313</v>
      </c>
      <c r="I981" s="54" t="s">
        <v>5903</v>
      </c>
      <c r="J981" s="54"/>
      <c r="K981" s="54" t="s">
        <v>5511</v>
      </c>
    </row>
    <row r="982" spans="1:22" s="35" customFormat="1" ht="11.25" customHeight="1" x14ac:dyDescent="0.35">
      <c r="A982" s="50" t="s">
        <v>6471</v>
      </c>
      <c r="B982" s="638" t="s">
        <v>5763</v>
      </c>
      <c r="C982" s="280">
        <v>2161485</v>
      </c>
      <c r="D982" s="64" t="s">
        <v>6656</v>
      </c>
      <c r="E982" s="50">
        <v>3</v>
      </c>
      <c r="F982" s="15">
        <v>45271</v>
      </c>
      <c r="G982" s="50"/>
      <c r="H982" s="165"/>
      <c r="I982" s="50"/>
      <c r="J982" s="50"/>
      <c r="K982" s="50" t="s">
        <v>5338</v>
      </c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</row>
    <row r="983" spans="1:22" s="39" customFormat="1" ht="11.25" customHeight="1" x14ac:dyDescent="0.35">
      <c r="A983" s="52" t="s">
        <v>6471</v>
      </c>
      <c r="B983" s="80" t="s">
        <v>5763</v>
      </c>
      <c r="C983" s="282">
        <v>2301485</v>
      </c>
      <c r="D983" s="63" t="s">
        <v>2693</v>
      </c>
      <c r="E983" s="52">
        <v>5</v>
      </c>
      <c r="F983" s="13">
        <v>45271</v>
      </c>
      <c r="G983" s="52">
        <v>5</v>
      </c>
      <c r="H983" s="167">
        <v>45313</v>
      </c>
      <c r="I983" s="52" t="s">
        <v>5903</v>
      </c>
      <c r="J983" s="52"/>
      <c r="K983" s="52" t="s">
        <v>5365</v>
      </c>
    </row>
    <row r="984" spans="1:22" s="44" customFormat="1" ht="11.25" customHeight="1" x14ac:dyDescent="0.35">
      <c r="A984" s="54" t="s">
        <v>6471</v>
      </c>
      <c r="B984" s="643" t="s">
        <v>5763</v>
      </c>
      <c r="C984" s="287">
        <v>2379554</v>
      </c>
      <c r="D984" s="78" t="s">
        <v>6657</v>
      </c>
      <c r="E984" s="54">
        <v>14</v>
      </c>
      <c r="F984" s="18">
        <v>45271</v>
      </c>
      <c r="G984" s="54" t="s">
        <v>6655</v>
      </c>
      <c r="H984" s="172">
        <v>45313</v>
      </c>
      <c r="I984" s="54" t="s">
        <v>5903</v>
      </c>
      <c r="J984" s="54"/>
      <c r="K984" s="54" t="s">
        <v>5511</v>
      </c>
    </row>
    <row r="985" spans="1:22" s="39" customFormat="1" ht="11.25" customHeight="1" x14ac:dyDescent="0.35">
      <c r="A985" s="52" t="s">
        <v>6471</v>
      </c>
      <c r="B985" s="80" t="s">
        <v>5763</v>
      </c>
      <c r="C985" s="282">
        <v>2211859</v>
      </c>
      <c r="D985" s="63" t="s">
        <v>6658</v>
      </c>
      <c r="E985" s="52">
        <v>1</v>
      </c>
      <c r="F985" s="13">
        <v>45271</v>
      </c>
      <c r="G985" s="52"/>
      <c r="H985" s="167"/>
      <c r="I985" s="52" t="s">
        <v>5903</v>
      </c>
      <c r="J985" s="52"/>
      <c r="K985" s="52" t="s">
        <v>5338</v>
      </c>
    </row>
    <row r="986" spans="1:22" s="35" customFormat="1" ht="11.25" customHeight="1" x14ac:dyDescent="0.35">
      <c r="A986" s="50" t="s">
        <v>6471</v>
      </c>
      <c r="B986" s="638" t="s">
        <v>5763</v>
      </c>
      <c r="C986" s="280">
        <v>1878891</v>
      </c>
      <c r="D986" s="64" t="s">
        <v>2693</v>
      </c>
      <c r="E986" s="50">
        <v>9</v>
      </c>
      <c r="F986" s="15">
        <v>45271</v>
      </c>
      <c r="G986" s="50" t="s">
        <v>6655</v>
      </c>
      <c r="H986" s="165">
        <v>45313</v>
      </c>
      <c r="I986" s="50" t="s">
        <v>5903</v>
      </c>
      <c r="J986" s="50"/>
      <c r="K986" s="50" t="s">
        <v>5511</v>
      </c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</row>
    <row r="987" spans="1:22" s="42" customFormat="1" ht="11.25" customHeight="1" x14ac:dyDescent="0.35">
      <c r="A987" s="53" t="s">
        <v>6471</v>
      </c>
      <c r="B987" s="639" t="s">
        <v>5763</v>
      </c>
      <c r="C987" s="283">
        <v>2379580</v>
      </c>
      <c r="D987" s="65"/>
      <c r="E987" s="53">
        <v>16</v>
      </c>
      <c r="F987" s="16"/>
      <c r="G987" s="53" t="s">
        <v>6655</v>
      </c>
      <c r="H987" s="168"/>
      <c r="I987" s="53" t="s">
        <v>5903</v>
      </c>
      <c r="J987" s="53"/>
      <c r="K987" s="53" t="s">
        <v>5511</v>
      </c>
    </row>
    <row r="988" spans="1:22" s="39" customFormat="1" ht="11.25" customHeight="1" x14ac:dyDescent="0.35">
      <c r="A988" s="52" t="s">
        <v>5336</v>
      </c>
      <c r="B988" s="80"/>
      <c r="C988" s="282" t="s">
        <v>630</v>
      </c>
      <c r="D988" s="63" t="s">
        <v>631</v>
      </c>
      <c r="E988" s="52">
        <v>8</v>
      </c>
      <c r="F988" s="13"/>
      <c r="G988" s="52">
        <v>8</v>
      </c>
      <c r="H988" s="167">
        <v>45279</v>
      </c>
      <c r="I988" s="52" t="s">
        <v>6067</v>
      </c>
      <c r="J988" s="52"/>
      <c r="K988" s="52" t="s">
        <v>5365</v>
      </c>
    </row>
    <row r="989" spans="1:22" s="39" customFormat="1" ht="11.25" customHeight="1" x14ac:dyDescent="0.35">
      <c r="A989" s="52" t="s">
        <v>5336</v>
      </c>
      <c r="B989" s="80"/>
      <c r="C989" s="282" t="s">
        <v>627</v>
      </c>
      <c r="D989" s="63" t="s">
        <v>6433</v>
      </c>
      <c r="E989" s="52">
        <v>4</v>
      </c>
      <c r="F989" s="13"/>
      <c r="G989" s="52">
        <v>4</v>
      </c>
      <c r="H989" s="167">
        <v>45279</v>
      </c>
      <c r="I989" s="52" t="s">
        <v>6067</v>
      </c>
      <c r="J989" s="52"/>
      <c r="K989" s="52" t="s">
        <v>5365</v>
      </c>
    </row>
    <row r="990" spans="1:22" s="35" customFormat="1" ht="11.25" customHeight="1" x14ac:dyDescent="0.35">
      <c r="A990" s="50" t="s">
        <v>5336</v>
      </c>
      <c r="B990" s="638"/>
      <c r="C990" s="280" t="s">
        <v>6659</v>
      </c>
      <c r="D990" s="64" t="s">
        <v>2520</v>
      </c>
      <c r="E990" s="50">
        <v>5</v>
      </c>
      <c r="F990" s="15"/>
      <c r="G990" s="50"/>
      <c r="H990" s="165"/>
      <c r="I990" s="50"/>
      <c r="J990" s="50"/>
      <c r="K990" s="50" t="s">
        <v>5338</v>
      </c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</row>
    <row r="991" spans="1:22" s="35" customFormat="1" ht="11.25" customHeight="1" x14ac:dyDescent="0.35">
      <c r="A991" s="50" t="s">
        <v>5336</v>
      </c>
      <c r="B991" s="638"/>
      <c r="C991" s="280" t="s">
        <v>6660</v>
      </c>
      <c r="D991" s="64"/>
      <c r="E991" s="50">
        <v>10</v>
      </c>
      <c r="F991" s="15"/>
      <c r="G991" s="50"/>
      <c r="H991" s="165"/>
      <c r="I991" s="50"/>
      <c r="J991" s="50"/>
      <c r="K991" s="50" t="s">
        <v>5338</v>
      </c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</row>
    <row r="992" spans="1:22" s="35" customFormat="1" ht="11.25" customHeight="1" x14ac:dyDescent="0.35">
      <c r="A992" s="50" t="s">
        <v>5336</v>
      </c>
      <c r="B992" s="638"/>
      <c r="C992" s="280" t="s">
        <v>1730</v>
      </c>
      <c r="D992" s="64"/>
      <c r="E992" s="50">
        <v>10</v>
      </c>
      <c r="F992" s="15"/>
      <c r="G992" s="50"/>
      <c r="H992" s="165"/>
      <c r="I992" s="50"/>
      <c r="J992" s="50"/>
      <c r="K992" s="50" t="s">
        <v>5338</v>
      </c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</row>
    <row r="993" spans="1:22" s="35" customFormat="1" ht="11.25" customHeight="1" x14ac:dyDescent="0.35">
      <c r="A993" s="52" t="s">
        <v>5336</v>
      </c>
      <c r="B993" s="80"/>
      <c r="C993" s="282" t="s">
        <v>1642</v>
      </c>
      <c r="D993" s="63"/>
      <c r="E993" s="52">
        <v>1</v>
      </c>
      <c r="F993" s="13"/>
      <c r="G993" s="52">
        <v>1</v>
      </c>
      <c r="H993" s="167">
        <v>45355</v>
      </c>
      <c r="I993" s="52" t="s">
        <v>6661</v>
      </c>
      <c r="J993" s="52"/>
      <c r="K993" s="52" t="s">
        <v>5338</v>
      </c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</row>
    <row r="994" spans="1:22" s="35" customFormat="1" ht="11.25" customHeight="1" x14ac:dyDescent="0.35">
      <c r="A994" s="50" t="s">
        <v>5336</v>
      </c>
      <c r="B994" s="638"/>
      <c r="C994" s="280" t="s">
        <v>1742</v>
      </c>
      <c r="D994" s="64" t="s">
        <v>1264</v>
      </c>
      <c r="E994" s="50">
        <v>40</v>
      </c>
      <c r="F994" s="15"/>
      <c r="G994" s="50"/>
      <c r="H994" s="165"/>
      <c r="I994" s="50"/>
      <c r="J994" s="50"/>
      <c r="K994" s="50" t="s">
        <v>5338</v>
      </c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</row>
    <row r="995" spans="1:22" s="35" customFormat="1" ht="11.25" customHeight="1" x14ac:dyDescent="0.35">
      <c r="A995" s="50" t="s">
        <v>5336</v>
      </c>
      <c r="B995" s="638"/>
      <c r="C995" s="280" t="s">
        <v>6662</v>
      </c>
      <c r="D995" s="64" t="s">
        <v>6663</v>
      </c>
      <c r="E995" s="50">
        <v>9</v>
      </c>
      <c r="F995" s="15"/>
      <c r="G995" s="50"/>
      <c r="H995" s="165"/>
      <c r="I995" s="50" t="s">
        <v>6664</v>
      </c>
      <c r="J995" s="50"/>
      <c r="K995" s="50" t="s">
        <v>5338</v>
      </c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</row>
    <row r="996" spans="1:22" s="35" customFormat="1" ht="11.25" customHeight="1" x14ac:dyDescent="0.35">
      <c r="A996" s="50" t="s">
        <v>5336</v>
      </c>
      <c r="B996" s="638"/>
      <c r="C996" s="280" t="s">
        <v>6665</v>
      </c>
      <c r="D996" s="64"/>
      <c r="E996" s="50">
        <v>3</v>
      </c>
      <c r="F996" s="15"/>
      <c r="G996" s="50"/>
      <c r="H996" s="165"/>
      <c r="I996" s="50"/>
      <c r="J996" s="50"/>
      <c r="K996" s="50" t="s">
        <v>5338</v>
      </c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</row>
    <row r="997" spans="1:22" s="35" customFormat="1" ht="11.25" customHeight="1" x14ac:dyDescent="0.35">
      <c r="A997" s="50" t="s">
        <v>5336</v>
      </c>
      <c r="B997" s="638"/>
      <c r="C997" s="280" t="s">
        <v>6177</v>
      </c>
      <c r="D997" s="64"/>
      <c r="E997" s="50">
        <v>5</v>
      </c>
      <c r="F997" s="15"/>
      <c r="G997" s="50"/>
      <c r="H997" s="165"/>
      <c r="I997" s="50"/>
      <c r="J997" s="50"/>
      <c r="K997" s="50" t="s">
        <v>5338</v>
      </c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</row>
    <row r="998" spans="1:22" s="35" customFormat="1" ht="11.25" customHeight="1" x14ac:dyDescent="0.35">
      <c r="A998" s="50" t="s">
        <v>5336</v>
      </c>
      <c r="B998" s="638"/>
      <c r="C998" s="280" t="s">
        <v>6666</v>
      </c>
      <c r="D998" s="64"/>
      <c r="E998" s="50">
        <v>1</v>
      </c>
      <c r="F998" s="15"/>
      <c r="G998" s="50"/>
      <c r="H998" s="165"/>
      <c r="I998" s="50"/>
      <c r="J998" s="50"/>
      <c r="K998" s="50" t="s">
        <v>5338</v>
      </c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</row>
    <row r="999" spans="1:22" s="35" customFormat="1" ht="11.25" customHeight="1" x14ac:dyDescent="0.35">
      <c r="A999" s="50" t="s">
        <v>5336</v>
      </c>
      <c r="B999" s="638"/>
      <c r="C999" s="280" t="s">
        <v>1739</v>
      </c>
      <c r="D999" s="64"/>
      <c r="E999" s="50">
        <v>20</v>
      </c>
      <c r="F999" s="15"/>
      <c r="G999" s="50"/>
      <c r="H999" s="165"/>
      <c r="I999" s="50"/>
      <c r="J999" s="50"/>
      <c r="K999" s="50" t="s">
        <v>5338</v>
      </c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</row>
    <row r="1000" spans="1:22" s="35" customFormat="1" ht="11.25" customHeight="1" x14ac:dyDescent="0.35">
      <c r="A1000" s="50" t="s">
        <v>5336</v>
      </c>
      <c r="B1000" s="638"/>
      <c r="C1000" s="280" t="s">
        <v>6667</v>
      </c>
      <c r="D1000" s="64"/>
      <c r="E1000" s="50">
        <v>20</v>
      </c>
      <c r="F1000" s="15"/>
      <c r="G1000" s="50"/>
      <c r="H1000" s="165"/>
      <c r="I1000" s="50"/>
      <c r="J1000" s="50"/>
      <c r="K1000" s="50" t="s">
        <v>5338</v>
      </c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</row>
    <row r="1001" spans="1:22" s="35" customFormat="1" ht="11.25" customHeight="1" x14ac:dyDescent="0.35">
      <c r="A1001" s="50" t="s">
        <v>5336</v>
      </c>
      <c r="B1001" s="638"/>
      <c r="C1001" s="280" t="s">
        <v>6668</v>
      </c>
      <c r="D1001" s="64" t="s">
        <v>2403</v>
      </c>
      <c r="E1001" s="50">
        <v>82</v>
      </c>
      <c r="F1001" s="15"/>
      <c r="G1001" s="50"/>
      <c r="H1001" s="165"/>
      <c r="I1001" s="50"/>
      <c r="J1001" s="50"/>
      <c r="K1001" s="50" t="s">
        <v>5338</v>
      </c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</row>
    <row r="1002" spans="1:22" s="39" customFormat="1" ht="11.25" customHeight="1" x14ac:dyDescent="0.35">
      <c r="A1002" s="52" t="s">
        <v>5336</v>
      </c>
      <c r="B1002" s="80"/>
      <c r="C1002" s="282" t="s">
        <v>660</v>
      </c>
      <c r="D1002" s="63" t="s">
        <v>6454</v>
      </c>
      <c r="E1002" s="52">
        <v>1</v>
      </c>
      <c r="F1002" s="13"/>
      <c r="G1002" s="52"/>
      <c r="H1002" s="167">
        <v>45315</v>
      </c>
      <c r="I1002" s="52" t="s">
        <v>6669</v>
      </c>
      <c r="J1002" s="52"/>
      <c r="K1002" s="52" t="s">
        <v>5365</v>
      </c>
      <c r="L1002" s="57"/>
    </row>
    <row r="1003" spans="1:22" s="35" customFormat="1" ht="11.25" customHeight="1" x14ac:dyDescent="0.35">
      <c r="A1003" s="50" t="s">
        <v>5336</v>
      </c>
      <c r="B1003" s="638"/>
      <c r="C1003" s="280" t="s">
        <v>6670</v>
      </c>
      <c r="D1003" s="64" t="s">
        <v>5060</v>
      </c>
      <c r="E1003" s="50">
        <v>56</v>
      </c>
      <c r="F1003" s="15"/>
      <c r="G1003" s="50"/>
      <c r="H1003" s="165"/>
      <c r="I1003" s="50"/>
      <c r="J1003" s="50"/>
      <c r="K1003" s="50" t="s">
        <v>5338</v>
      </c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</row>
    <row r="1004" spans="1:22" s="35" customFormat="1" ht="11.25" customHeight="1" x14ac:dyDescent="0.35">
      <c r="A1004" s="50" t="s">
        <v>5336</v>
      </c>
      <c r="B1004" s="638"/>
      <c r="C1004" s="280" t="s">
        <v>6671</v>
      </c>
      <c r="D1004" s="64" t="s">
        <v>2403</v>
      </c>
      <c r="E1004" s="50">
        <v>40</v>
      </c>
      <c r="F1004" s="15"/>
      <c r="G1004" s="50"/>
      <c r="H1004" s="165"/>
      <c r="I1004" s="50"/>
      <c r="J1004" s="50"/>
      <c r="K1004" s="50" t="s">
        <v>5338</v>
      </c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</row>
    <row r="1005" spans="1:22" s="42" customFormat="1" ht="11.25" customHeight="1" x14ac:dyDescent="0.35">
      <c r="A1005" s="53" t="s">
        <v>5336</v>
      </c>
      <c r="B1005" s="639"/>
      <c r="C1005" s="283" t="s">
        <v>624</v>
      </c>
      <c r="D1005" s="65" t="s">
        <v>6672</v>
      </c>
      <c r="E1005" s="53">
        <v>4</v>
      </c>
      <c r="F1005" s="16"/>
      <c r="G1005" s="53" t="s">
        <v>6673</v>
      </c>
      <c r="H1005" s="168" t="s">
        <v>6674</v>
      </c>
      <c r="I1005" s="53" t="s">
        <v>6675</v>
      </c>
      <c r="J1005" s="53"/>
      <c r="K1005" s="53" t="s">
        <v>5365</v>
      </c>
    </row>
    <row r="1006" spans="1:22" s="35" customFormat="1" ht="11.25" customHeight="1" x14ac:dyDescent="0.35">
      <c r="A1006" s="50" t="s">
        <v>5336</v>
      </c>
      <c r="B1006" s="638"/>
      <c r="C1006" s="280" t="s">
        <v>6676</v>
      </c>
      <c r="D1006" s="64" t="s">
        <v>6677</v>
      </c>
      <c r="E1006" s="50">
        <v>1</v>
      </c>
      <c r="F1006" s="15"/>
      <c r="G1006" s="50"/>
      <c r="H1006" s="165"/>
      <c r="I1006" s="50"/>
      <c r="J1006" s="50"/>
      <c r="K1006" s="50" t="s">
        <v>5338</v>
      </c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</row>
    <row r="1007" spans="1:22" s="35" customFormat="1" ht="11.25" customHeight="1" x14ac:dyDescent="0.35">
      <c r="A1007" s="50" t="s">
        <v>5336</v>
      </c>
      <c r="B1007" s="638"/>
      <c r="C1007" s="280" t="s">
        <v>6678</v>
      </c>
      <c r="D1007" s="64" t="s">
        <v>5060</v>
      </c>
      <c r="E1007" s="50">
        <v>10</v>
      </c>
      <c r="F1007" s="15"/>
      <c r="G1007" s="50"/>
      <c r="H1007" s="165"/>
      <c r="I1007" s="50"/>
      <c r="J1007" s="50"/>
      <c r="K1007" s="50" t="s">
        <v>5338</v>
      </c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</row>
    <row r="1008" spans="1:22" s="35" customFormat="1" ht="11.25" customHeight="1" x14ac:dyDescent="0.35">
      <c r="A1008" s="50" t="s">
        <v>5336</v>
      </c>
      <c r="B1008" s="638"/>
      <c r="C1008" s="280" t="s">
        <v>6452</v>
      </c>
      <c r="D1008" s="64" t="s">
        <v>1264</v>
      </c>
      <c r="E1008" s="50">
        <v>330</v>
      </c>
      <c r="F1008" s="15"/>
      <c r="G1008" s="50"/>
      <c r="H1008" s="165"/>
      <c r="I1008" s="50"/>
      <c r="J1008" s="50"/>
      <c r="K1008" s="50" t="s">
        <v>5338</v>
      </c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</row>
    <row r="1009" spans="1:22" s="35" customFormat="1" ht="11.25" customHeight="1" x14ac:dyDescent="0.35">
      <c r="A1009" s="50" t="s">
        <v>5336</v>
      </c>
      <c r="B1009" s="638"/>
      <c r="C1009" s="280" t="s">
        <v>6679</v>
      </c>
      <c r="D1009" s="64" t="s">
        <v>5060</v>
      </c>
      <c r="E1009" s="50">
        <v>40</v>
      </c>
      <c r="F1009" s="15"/>
      <c r="G1009" s="50"/>
      <c r="H1009" s="165"/>
      <c r="I1009" s="50"/>
      <c r="J1009" s="50"/>
      <c r="K1009" s="50" t="s">
        <v>5338</v>
      </c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</row>
    <row r="1010" spans="1:22" s="35" customFormat="1" ht="11.25" customHeight="1" x14ac:dyDescent="0.35">
      <c r="A1010" s="50" t="s">
        <v>5336</v>
      </c>
      <c r="B1010" s="638"/>
      <c r="C1010" s="280" t="s">
        <v>6680</v>
      </c>
      <c r="D1010" s="64" t="s">
        <v>5060</v>
      </c>
      <c r="E1010" s="50">
        <v>20</v>
      </c>
      <c r="F1010" s="15"/>
      <c r="G1010" s="50"/>
      <c r="H1010" s="165"/>
      <c r="I1010" s="50"/>
      <c r="J1010" s="50"/>
      <c r="K1010" s="50" t="s">
        <v>5338</v>
      </c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</row>
    <row r="1011" spans="1:22" s="35" customFormat="1" ht="11.25" customHeight="1" x14ac:dyDescent="0.35">
      <c r="A1011" s="50" t="s">
        <v>5336</v>
      </c>
      <c r="B1011" s="638"/>
      <c r="C1011" s="280" t="s">
        <v>1767</v>
      </c>
      <c r="D1011" s="64" t="s">
        <v>5060</v>
      </c>
      <c r="E1011" s="50">
        <v>120</v>
      </c>
      <c r="F1011" s="15"/>
      <c r="G1011" s="50"/>
      <c r="H1011" s="165"/>
      <c r="I1011" s="50"/>
      <c r="J1011" s="50"/>
      <c r="K1011" s="50" t="s">
        <v>5338</v>
      </c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</row>
    <row r="1012" spans="1:22" s="35" customFormat="1" ht="11.25" customHeight="1" x14ac:dyDescent="0.35">
      <c r="A1012" s="50" t="s">
        <v>5336</v>
      </c>
      <c r="B1012" s="638"/>
      <c r="C1012" s="280" t="s">
        <v>6681</v>
      </c>
      <c r="D1012" s="64" t="s">
        <v>2403</v>
      </c>
      <c r="E1012" s="50">
        <v>360</v>
      </c>
      <c r="F1012" s="15"/>
      <c r="G1012" s="50"/>
      <c r="H1012" s="165"/>
      <c r="I1012" s="50"/>
      <c r="J1012" s="50"/>
      <c r="K1012" s="50" t="s">
        <v>5338</v>
      </c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</row>
    <row r="1013" spans="1:22" s="35" customFormat="1" ht="11.25" customHeight="1" x14ac:dyDescent="0.35">
      <c r="A1013" s="50" t="s">
        <v>5336</v>
      </c>
      <c r="B1013" s="638"/>
      <c r="C1013" s="280" t="s">
        <v>6682</v>
      </c>
      <c r="D1013" s="64" t="s">
        <v>6683</v>
      </c>
      <c r="E1013" s="50">
        <v>80</v>
      </c>
      <c r="F1013" s="15"/>
      <c r="G1013" s="50"/>
      <c r="H1013" s="165"/>
      <c r="I1013" s="50"/>
      <c r="J1013" s="50"/>
      <c r="K1013" s="50" t="s">
        <v>5338</v>
      </c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</row>
    <row r="1014" spans="1:22" s="35" customFormat="1" ht="11.25" customHeight="1" x14ac:dyDescent="0.35">
      <c r="A1014" s="50" t="s">
        <v>5336</v>
      </c>
      <c r="B1014" s="638"/>
      <c r="C1014" s="280" t="s">
        <v>6684</v>
      </c>
      <c r="D1014" s="64" t="s">
        <v>5060</v>
      </c>
      <c r="E1014" s="50">
        <v>20</v>
      </c>
      <c r="F1014" s="15"/>
      <c r="G1014" s="50"/>
      <c r="H1014" s="165"/>
      <c r="I1014" s="50"/>
      <c r="J1014" s="50"/>
      <c r="K1014" s="50" t="s">
        <v>5338</v>
      </c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</row>
    <row r="1015" spans="1:22" s="39" customFormat="1" ht="11.25" customHeight="1" x14ac:dyDescent="0.35">
      <c r="A1015" s="52" t="s">
        <v>5336</v>
      </c>
      <c r="B1015" s="80"/>
      <c r="C1015" s="282" t="s">
        <v>609</v>
      </c>
      <c r="D1015" s="63" t="s">
        <v>6685</v>
      </c>
      <c r="E1015" s="52">
        <v>1</v>
      </c>
      <c r="F1015" s="13"/>
      <c r="G1015" s="52">
        <v>1</v>
      </c>
      <c r="H1015" s="167">
        <v>45279</v>
      </c>
      <c r="I1015" s="52" t="s">
        <v>6067</v>
      </c>
      <c r="J1015" s="52"/>
      <c r="K1015" s="52" t="s">
        <v>5365</v>
      </c>
    </row>
    <row r="1016" spans="1:22" s="35" customFormat="1" ht="11.25" customHeight="1" x14ac:dyDescent="0.35">
      <c r="A1016" s="50" t="s">
        <v>5336</v>
      </c>
      <c r="B1016" s="638"/>
      <c r="C1016" s="280" t="s">
        <v>6686</v>
      </c>
      <c r="D1016" s="64"/>
      <c r="E1016" s="50">
        <v>40</v>
      </c>
      <c r="F1016" s="15"/>
      <c r="G1016" s="50"/>
      <c r="H1016" s="165"/>
      <c r="I1016" s="50" t="s">
        <v>6687</v>
      </c>
      <c r="J1016" s="50"/>
      <c r="K1016" s="50" t="s">
        <v>5338</v>
      </c>
      <c r="L1016" s="58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</row>
    <row r="1017" spans="1:22" s="35" customFormat="1" ht="11.25" customHeight="1" x14ac:dyDescent="0.35">
      <c r="A1017" s="50" t="s">
        <v>5336</v>
      </c>
      <c r="B1017" s="638"/>
      <c r="C1017" s="280" t="s">
        <v>6688</v>
      </c>
      <c r="D1017" s="64" t="s">
        <v>6689</v>
      </c>
      <c r="E1017" s="50">
        <v>8</v>
      </c>
      <c r="F1017" s="15"/>
      <c r="G1017" s="50"/>
      <c r="H1017" s="165"/>
      <c r="I1017" s="50"/>
      <c r="J1017" s="50"/>
      <c r="K1017" s="50" t="s">
        <v>5338</v>
      </c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</row>
    <row r="1018" spans="1:22" s="39" customFormat="1" ht="11.25" customHeight="1" x14ac:dyDescent="0.35">
      <c r="A1018" s="52" t="s">
        <v>5336</v>
      </c>
      <c r="B1018" s="80"/>
      <c r="C1018" s="282" t="s">
        <v>6690</v>
      </c>
      <c r="D1018" s="63" t="s">
        <v>6454</v>
      </c>
      <c r="E1018" s="52">
        <v>1</v>
      </c>
      <c r="F1018" s="13"/>
      <c r="G1018" s="52"/>
      <c r="H1018" s="167">
        <v>45315</v>
      </c>
      <c r="I1018" s="52" t="s">
        <v>6669</v>
      </c>
      <c r="J1018" s="52"/>
      <c r="K1018" s="52" t="s">
        <v>5338</v>
      </c>
      <c r="L1018" s="57"/>
    </row>
    <row r="1019" spans="1:22" s="35" customFormat="1" ht="11.25" customHeight="1" x14ac:dyDescent="0.35">
      <c r="A1019" s="50" t="s">
        <v>5336</v>
      </c>
      <c r="B1019" s="638"/>
      <c r="C1019" s="280" t="s">
        <v>6691</v>
      </c>
      <c r="D1019" s="64" t="s">
        <v>5060</v>
      </c>
      <c r="E1019" s="50">
        <v>60</v>
      </c>
      <c r="F1019" s="15"/>
      <c r="G1019" s="50"/>
      <c r="H1019" s="165"/>
      <c r="I1019" s="50"/>
      <c r="J1019" s="50"/>
      <c r="K1019" s="50" t="s">
        <v>5338</v>
      </c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</row>
    <row r="1020" spans="1:22" s="35" customFormat="1" ht="11.25" customHeight="1" x14ac:dyDescent="0.35">
      <c r="A1020" s="50" t="s">
        <v>5336</v>
      </c>
      <c r="B1020" s="638"/>
      <c r="C1020" s="280" t="s">
        <v>6421</v>
      </c>
      <c r="D1020" s="64" t="s">
        <v>6692</v>
      </c>
      <c r="E1020" s="50">
        <v>20</v>
      </c>
      <c r="F1020" s="15"/>
      <c r="G1020" s="50"/>
      <c r="H1020" s="165"/>
      <c r="I1020" s="50"/>
      <c r="J1020" s="50"/>
      <c r="K1020" s="50" t="s">
        <v>5338</v>
      </c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</row>
    <row r="1021" spans="1:22" s="35" customFormat="1" ht="11.25" customHeight="1" x14ac:dyDescent="0.35">
      <c r="A1021" s="50" t="s">
        <v>5336</v>
      </c>
      <c r="B1021" s="638"/>
      <c r="C1021" s="280" t="s">
        <v>6693</v>
      </c>
      <c r="D1021" s="64"/>
      <c r="E1021" s="50">
        <v>1</v>
      </c>
      <c r="F1021" s="15"/>
      <c r="G1021" s="50"/>
      <c r="H1021" s="165"/>
      <c r="I1021" s="50"/>
      <c r="J1021" s="50"/>
      <c r="K1021" s="50" t="s">
        <v>5338</v>
      </c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</row>
    <row r="1022" spans="1:22" s="35" customFormat="1" ht="11.25" customHeight="1" x14ac:dyDescent="0.35">
      <c r="A1022" s="50" t="s">
        <v>5336</v>
      </c>
      <c r="B1022" s="638"/>
      <c r="C1022" s="280" t="s">
        <v>6694</v>
      </c>
      <c r="D1022" s="64" t="s">
        <v>6454</v>
      </c>
      <c r="E1022" s="50">
        <v>1</v>
      </c>
      <c r="F1022" s="15"/>
      <c r="G1022" s="50"/>
      <c r="H1022" s="165"/>
      <c r="I1022" s="50"/>
      <c r="J1022" s="50"/>
      <c r="K1022" s="50" t="s">
        <v>5338</v>
      </c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</row>
    <row r="1023" spans="1:22" s="35" customFormat="1" ht="11.25" customHeight="1" x14ac:dyDescent="0.35">
      <c r="A1023" s="50" t="s">
        <v>5336</v>
      </c>
      <c r="B1023" s="638"/>
      <c r="C1023" s="280" t="s">
        <v>6695</v>
      </c>
      <c r="D1023" s="64" t="s">
        <v>239</v>
      </c>
      <c r="E1023" s="50">
        <v>60</v>
      </c>
      <c r="F1023" s="15"/>
      <c r="G1023" s="50"/>
      <c r="H1023" s="165"/>
      <c r="I1023" s="50"/>
      <c r="J1023" s="50"/>
      <c r="K1023" s="50" t="s">
        <v>5338</v>
      </c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</row>
    <row r="1024" spans="1:22" s="44" customFormat="1" ht="11.25" customHeight="1" x14ac:dyDescent="0.35">
      <c r="A1024" s="54" t="s">
        <v>5336</v>
      </c>
      <c r="B1024" s="643"/>
      <c r="C1024" s="287" t="s">
        <v>1736</v>
      </c>
      <c r="D1024" s="78" t="s">
        <v>5859</v>
      </c>
      <c r="E1024" s="54">
        <v>80</v>
      </c>
      <c r="F1024" s="18"/>
      <c r="G1024" s="54">
        <v>1</v>
      </c>
      <c r="H1024" s="172">
        <v>45315</v>
      </c>
      <c r="I1024" s="54" t="s">
        <v>6669</v>
      </c>
      <c r="J1024" s="54"/>
      <c r="K1024" s="54" t="s">
        <v>5511</v>
      </c>
      <c r="L1024" s="59"/>
    </row>
    <row r="1025" spans="1:22" s="39" customFormat="1" ht="11.25" customHeight="1" x14ac:dyDescent="0.35">
      <c r="A1025" s="52" t="s">
        <v>5336</v>
      </c>
      <c r="B1025" s="80"/>
      <c r="C1025" s="282" t="s">
        <v>6696</v>
      </c>
      <c r="D1025" s="63" t="s">
        <v>1297</v>
      </c>
      <c r="E1025" s="52">
        <v>3</v>
      </c>
      <c r="F1025" s="13"/>
      <c r="G1025" s="52">
        <v>3</v>
      </c>
      <c r="H1025" s="167">
        <v>45315</v>
      </c>
      <c r="I1025" s="52" t="s">
        <v>6669</v>
      </c>
      <c r="J1025" s="52" t="s">
        <v>6664</v>
      </c>
      <c r="K1025" s="52" t="s">
        <v>5338</v>
      </c>
      <c r="L1025" s="57"/>
    </row>
    <row r="1026" spans="1:22" s="39" customFormat="1" ht="11.25" customHeight="1" x14ac:dyDescent="0.35">
      <c r="A1026" s="52" t="s">
        <v>5336</v>
      </c>
      <c r="B1026" s="80"/>
      <c r="C1026" s="282" t="s">
        <v>6697</v>
      </c>
      <c r="D1026" s="63" t="s">
        <v>5396</v>
      </c>
      <c r="E1026" s="52">
        <v>1</v>
      </c>
      <c r="F1026" s="13"/>
      <c r="G1026" s="52">
        <v>1</v>
      </c>
      <c r="H1026" s="167">
        <v>45315</v>
      </c>
      <c r="I1026" s="52" t="s">
        <v>6669</v>
      </c>
      <c r="J1026" s="52" t="s">
        <v>6664</v>
      </c>
      <c r="K1026" s="52" t="s">
        <v>5338</v>
      </c>
      <c r="L1026" s="57"/>
    </row>
    <row r="1027" spans="1:22" s="35" customFormat="1" ht="11.25" customHeight="1" x14ac:dyDescent="0.35">
      <c r="A1027" s="50" t="s">
        <v>5336</v>
      </c>
      <c r="B1027" s="638"/>
      <c r="C1027" s="280" t="s">
        <v>6698</v>
      </c>
      <c r="D1027" s="64" t="s">
        <v>6699</v>
      </c>
      <c r="E1027" s="50">
        <v>32</v>
      </c>
      <c r="F1027" s="15"/>
      <c r="G1027" s="50"/>
      <c r="H1027" s="165"/>
      <c r="I1027" s="50"/>
      <c r="J1027" s="50" t="s">
        <v>6664</v>
      </c>
      <c r="K1027" s="50" t="s">
        <v>5338</v>
      </c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</row>
    <row r="1028" spans="1:22" s="35" customFormat="1" ht="11.25" customHeight="1" x14ac:dyDescent="0.35">
      <c r="A1028" s="50" t="s">
        <v>5336</v>
      </c>
      <c r="B1028" s="638"/>
      <c r="C1028" s="280" t="s">
        <v>6700</v>
      </c>
      <c r="D1028" s="64" t="s">
        <v>6701</v>
      </c>
      <c r="E1028" s="50">
        <v>2</v>
      </c>
      <c r="F1028" s="15"/>
      <c r="G1028" s="50"/>
      <c r="H1028" s="165"/>
      <c r="I1028" s="50"/>
      <c r="J1028" s="50" t="s">
        <v>6664</v>
      </c>
      <c r="K1028" s="50" t="s">
        <v>5338</v>
      </c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</row>
    <row r="1029" spans="1:22" s="35" customFormat="1" ht="11.25" customHeight="1" x14ac:dyDescent="0.35">
      <c r="A1029" s="50" t="s">
        <v>5336</v>
      </c>
      <c r="B1029" s="638"/>
      <c r="C1029" s="280" t="s">
        <v>6702</v>
      </c>
      <c r="D1029" s="64" t="s">
        <v>6703</v>
      </c>
      <c r="E1029" s="50">
        <v>2</v>
      </c>
      <c r="F1029" s="15"/>
      <c r="G1029" s="50"/>
      <c r="H1029" s="165"/>
      <c r="I1029" s="50"/>
      <c r="J1029" s="50" t="s">
        <v>6664</v>
      </c>
      <c r="K1029" s="50" t="s">
        <v>5338</v>
      </c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</row>
    <row r="1030" spans="1:22" s="35" customFormat="1" ht="11.25" customHeight="1" x14ac:dyDescent="0.35">
      <c r="A1030" s="50" t="s">
        <v>5336</v>
      </c>
      <c r="B1030" s="638"/>
      <c r="C1030" s="280"/>
      <c r="D1030" s="64" t="s">
        <v>6704</v>
      </c>
      <c r="E1030" s="50">
        <v>1</v>
      </c>
      <c r="F1030" s="15"/>
      <c r="G1030" s="50"/>
      <c r="H1030" s="165"/>
      <c r="I1030" s="50"/>
      <c r="J1030" s="50" t="s">
        <v>6664</v>
      </c>
      <c r="K1030" s="50" t="s">
        <v>5338</v>
      </c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</row>
    <row r="1031" spans="1:22" s="35" customFormat="1" ht="11.25" customHeight="1" x14ac:dyDescent="0.35">
      <c r="A1031" s="50" t="s">
        <v>5336</v>
      </c>
      <c r="B1031" s="638"/>
      <c r="C1031" s="280" t="s">
        <v>1764</v>
      </c>
      <c r="D1031" s="64"/>
      <c r="E1031" s="50">
        <v>20</v>
      </c>
      <c r="F1031" s="15"/>
      <c r="G1031" s="50"/>
      <c r="H1031" s="165"/>
      <c r="I1031" s="50"/>
      <c r="J1031" s="50"/>
      <c r="K1031" s="50" t="s">
        <v>5338</v>
      </c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</row>
    <row r="1032" spans="1:22" s="35" customFormat="1" ht="11.25" customHeight="1" x14ac:dyDescent="0.35">
      <c r="A1032" s="50" t="s">
        <v>5336</v>
      </c>
      <c r="B1032" s="638"/>
      <c r="C1032" s="280" t="s">
        <v>6705</v>
      </c>
      <c r="D1032" s="64" t="s">
        <v>6706</v>
      </c>
      <c r="E1032" s="50">
        <v>8</v>
      </c>
      <c r="F1032" s="15"/>
      <c r="G1032" s="50"/>
      <c r="H1032" s="165"/>
      <c r="I1032" s="50"/>
      <c r="J1032" s="50"/>
      <c r="K1032" s="50" t="s">
        <v>5338</v>
      </c>
      <c r="L1032" s="58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</row>
    <row r="1033" spans="1:22" s="35" customFormat="1" ht="11.25" customHeight="1" x14ac:dyDescent="0.35">
      <c r="A1033" s="50" t="s">
        <v>5336</v>
      </c>
      <c r="B1033" s="638"/>
      <c r="C1033" s="280" t="s">
        <v>2669</v>
      </c>
      <c r="D1033" s="64" t="s">
        <v>6707</v>
      </c>
      <c r="E1033" s="50">
        <v>32</v>
      </c>
      <c r="F1033" s="15"/>
      <c r="G1033" s="50"/>
      <c r="H1033" s="165"/>
      <c r="I1033" s="50"/>
      <c r="J1033" s="50"/>
      <c r="K1033" s="50" t="s">
        <v>5338</v>
      </c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</row>
    <row r="1034" spans="1:22" s="39" customFormat="1" ht="11.25" customHeight="1" x14ac:dyDescent="0.35">
      <c r="A1034" s="52" t="s">
        <v>5336</v>
      </c>
      <c r="B1034" s="80"/>
      <c r="C1034" s="282" t="s">
        <v>613</v>
      </c>
      <c r="D1034" s="63" t="s">
        <v>6708</v>
      </c>
      <c r="E1034" s="52">
        <v>1</v>
      </c>
      <c r="F1034" s="13"/>
      <c r="G1034" s="52">
        <v>1</v>
      </c>
      <c r="H1034" s="167">
        <v>45279</v>
      </c>
      <c r="I1034" s="52" t="s">
        <v>6067</v>
      </c>
      <c r="J1034" s="52"/>
      <c r="K1034" s="52" t="s">
        <v>5365</v>
      </c>
    </row>
    <row r="1035" spans="1:22" s="35" customFormat="1" ht="11.25" customHeight="1" x14ac:dyDescent="0.35">
      <c r="A1035" s="50" t="s">
        <v>5336</v>
      </c>
      <c r="B1035" s="638"/>
      <c r="C1035" s="280" t="s">
        <v>6709</v>
      </c>
      <c r="D1035" s="64"/>
      <c r="E1035" s="50">
        <v>10</v>
      </c>
      <c r="F1035" s="15"/>
      <c r="G1035" s="50"/>
      <c r="H1035" s="165"/>
      <c r="I1035" s="50"/>
      <c r="J1035" s="50"/>
      <c r="K1035" s="50" t="s">
        <v>5338</v>
      </c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</row>
    <row r="1036" spans="1:22" s="35" customFormat="1" ht="11.25" customHeight="1" x14ac:dyDescent="0.35">
      <c r="A1036" s="50" t="s">
        <v>5336</v>
      </c>
      <c r="B1036" s="638"/>
      <c r="C1036" s="280" t="s">
        <v>6414</v>
      </c>
      <c r="D1036" s="64" t="s">
        <v>5677</v>
      </c>
      <c r="E1036" s="50">
        <v>1</v>
      </c>
      <c r="F1036" s="15"/>
      <c r="G1036" s="50"/>
      <c r="H1036" s="165"/>
      <c r="I1036" s="50"/>
      <c r="J1036" s="50"/>
      <c r="K1036" s="50" t="s">
        <v>5338</v>
      </c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</row>
    <row r="1037" spans="1:22" s="35" customFormat="1" ht="11.25" customHeight="1" x14ac:dyDescent="0.35">
      <c r="A1037" s="50" t="s">
        <v>5336</v>
      </c>
      <c r="B1037" s="638"/>
      <c r="C1037" s="280" t="s">
        <v>6710</v>
      </c>
      <c r="D1037" s="64" t="s">
        <v>6522</v>
      </c>
      <c r="E1037" s="50">
        <v>24</v>
      </c>
      <c r="F1037" s="15"/>
      <c r="G1037" s="50"/>
      <c r="H1037" s="165"/>
      <c r="I1037" s="50"/>
      <c r="J1037" s="50"/>
      <c r="K1037" s="50" t="s">
        <v>5338</v>
      </c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</row>
    <row r="1038" spans="1:22" s="35" customFormat="1" ht="11.25" customHeight="1" x14ac:dyDescent="0.35">
      <c r="A1038" s="50" t="s">
        <v>5336</v>
      </c>
      <c r="B1038" s="638"/>
      <c r="C1038" s="280" t="s">
        <v>6489</v>
      </c>
      <c r="D1038" s="64"/>
      <c r="E1038" s="50">
        <v>1</v>
      </c>
      <c r="F1038" s="15"/>
      <c r="G1038" s="50"/>
      <c r="H1038" s="165"/>
      <c r="I1038" s="50"/>
      <c r="J1038" s="50"/>
      <c r="K1038" s="50" t="s">
        <v>5338</v>
      </c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</row>
    <row r="1039" spans="1:22" s="35" customFormat="1" ht="11.25" customHeight="1" x14ac:dyDescent="0.35">
      <c r="A1039" s="50" t="s">
        <v>5336</v>
      </c>
      <c r="B1039" s="638"/>
      <c r="C1039" s="280" t="s">
        <v>6711</v>
      </c>
      <c r="D1039" s="64" t="s">
        <v>5060</v>
      </c>
      <c r="E1039" s="50">
        <v>70</v>
      </c>
      <c r="F1039" s="15"/>
      <c r="G1039" s="50"/>
      <c r="H1039" s="165"/>
      <c r="I1039" s="50"/>
      <c r="J1039" s="50"/>
      <c r="K1039" s="50" t="s">
        <v>5338</v>
      </c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</row>
    <row r="1040" spans="1:22" s="35" customFormat="1" ht="11.25" customHeight="1" x14ac:dyDescent="0.35">
      <c r="A1040" s="50" t="s">
        <v>5336</v>
      </c>
      <c r="B1040" s="638"/>
      <c r="C1040" s="280" t="s">
        <v>2681</v>
      </c>
      <c r="D1040" s="64"/>
      <c r="E1040" s="50">
        <v>12</v>
      </c>
      <c r="F1040" s="15"/>
      <c r="G1040" s="50"/>
      <c r="H1040" s="165"/>
      <c r="I1040" s="50"/>
      <c r="J1040" s="50"/>
      <c r="K1040" s="50" t="s">
        <v>5338</v>
      </c>
      <c r="L1040" s="58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</row>
    <row r="1041" spans="1:22" s="35" customFormat="1" ht="11.25" customHeight="1" x14ac:dyDescent="0.35">
      <c r="A1041" s="50" t="s">
        <v>5336</v>
      </c>
      <c r="B1041" s="638"/>
      <c r="C1041" s="280">
        <v>19110818</v>
      </c>
      <c r="D1041" s="64" t="s">
        <v>2403</v>
      </c>
      <c r="E1041" s="50">
        <v>200</v>
      </c>
      <c r="F1041" s="15"/>
      <c r="G1041" s="50"/>
      <c r="H1041" s="165"/>
      <c r="I1041" s="50"/>
      <c r="J1041" s="50"/>
      <c r="K1041" s="50" t="s">
        <v>5338</v>
      </c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</row>
    <row r="1042" spans="1:22" s="35" customFormat="1" ht="11.25" customHeight="1" x14ac:dyDescent="0.35">
      <c r="A1042" s="50" t="s">
        <v>5336</v>
      </c>
      <c r="B1042" s="638"/>
      <c r="C1042" s="280" t="s">
        <v>6712</v>
      </c>
      <c r="D1042" s="64" t="s">
        <v>6713</v>
      </c>
      <c r="E1042" s="50">
        <v>5</v>
      </c>
      <c r="F1042" s="15"/>
      <c r="G1042" s="50"/>
      <c r="H1042" s="165"/>
      <c r="I1042" s="50"/>
      <c r="J1042" s="50"/>
      <c r="K1042" s="50" t="s">
        <v>5338</v>
      </c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</row>
    <row r="1043" spans="1:22" s="35" customFormat="1" ht="11.25" customHeight="1" x14ac:dyDescent="0.35">
      <c r="A1043" s="50" t="s">
        <v>5336</v>
      </c>
      <c r="B1043" s="638"/>
      <c r="C1043" s="280" t="s">
        <v>6714</v>
      </c>
      <c r="D1043" s="64" t="s">
        <v>5814</v>
      </c>
      <c r="E1043" s="50">
        <v>10</v>
      </c>
      <c r="F1043" s="15"/>
      <c r="G1043" s="50"/>
      <c r="H1043" s="165"/>
      <c r="I1043" s="50"/>
      <c r="J1043" s="50"/>
      <c r="K1043" s="50" t="s">
        <v>5338</v>
      </c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</row>
    <row r="1044" spans="1:22" s="35" customFormat="1" ht="11.25" customHeight="1" x14ac:dyDescent="0.35">
      <c r="A1044" s="50" t="s">
        <v>5336</v>
      </c>
      <c r="B1044" s="638"/>
      <c r="C1044" s="280" t="s">
        <v>6715</v>
      </c>
      <c r="D1044" s="64" t="s">
        <v>1264</v>
      </c>
      <c r="E1044" s="50">
        <v>24</v>
      </c>
      <c r="F1044" s="15"/>
      <c r="G1044" s="50"/>
      <c r="H1044" s="165"/>
      <c r="I1044" s="50"/>
      <c r="J1044" s="50"/>
      <c r="K1044" s="50" t="s">
        <v>5338</v>
      </c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</row>
    <row r="1045" spans="1:22" s="35" customFormat="1" ht="11.25" customHeight="1" x14ac:dyDescent="0.35">
      <c r="A1045" s="50" t="s">
        <v>5215</v>
      </c>
      <c r="B1045" s="638" t="s">
        <v>6041</v>
      </c>
      <c r="C1045" s="280" t="s">
        <v>6716</v>
      </c>
      <c r="D1045" s="64" t="s">
        <v>6717</v>
      </c>
      <c r="E1045" s="50">
        <v>114</v>
      </c>
      <c r="F1045" s="15">
        <v>45275</v>
      </c>
      <c r="G1045" s="50"/>
      <c r="H1045" s="165"/>
      <c r="I1045" s="50"/>
      <c r="J1045" s="50"/>
      <c r="K1045" s="50" t="s">
        <v>5338</v>
      </c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</row>
    <row r="1046" spans="1:22" s="35" customFormat="1" ht="11.25" customHeight="1" x14ac:dyDescent="0.35">
      <c r="A1046" s="50" t="s">
        <v>5215</v>
      </c>
      <c r="B1046" s="638" t="s">
        <v>6041</v>
      </c>
      <c r="C1046" s="280" t="s">
        <v>6718</v>
      </c>
      <c r="D1046" s="64" t="s">
        <v>6719</v>
      </c>
      <c r="E1046" s="50">
        <v>114</v>
      </c>
      <c r="F1046" s="15">
        <v>45275</v>
      </c>
      <c r="G1046" s="50"/>
      <c r="H1046" s="165"/>
      <c r="I1046" s="50"/>
      <c r="J1046" s="50"/>
      <c r="K1046" s="50" t="s">
        <v>5338</v>
      </c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</row>
    <row r="1047" spans="1:22" s="35" customFormat="1" ht="11.25" customHeight="1" x14ac:dyDescent="0.35">
      <c r="A1047" s="50" t="s">
        <v>5215</v>
      </c>
      <c r="B1047" s="638" t="s">
        <v>6041</v>
      </c>
      <c r="C1047" s="280" t="s">
        <v>6720</v>
      </c>
      <c r="D1047" s="64" t="s">
        <v>6721</v>
      </c>
      <c r="E1047" s="50">
        <v>2</v>
      </c>
      <c r="F1047" s="15">
        <v>45275</v>
      </c>
      <c r="G1047" s="50"/>
      <c r="H1047" s="165"/>
      <c r="I1047" s="50"/>
      <c r="J1047" s="50"/>
      <c r="K1047" s="50" t="s">
        <v>5338</v>
      </c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</row>
    <row r="1048" spans="1:22" s="35" customFormat="1" ht="11.25" customHeight="1" x14ac:dyDescent="0.35">
      <c r="A1048" s="50" t="s">
        <v>5215</v>
      </c>
      <c r="B1048" s="638" t="s">
        <v>6041</v>
      </c>
      <c r="C1048" s="280" t="s">
        <v>6722</v>
      </c>
      <c r="D1048" s="64" t="s">
        <v>6723</v>
      </c>
      <c r="E1048" s="50">
        <v>2</v>
      </c>
      <c r="F1048" s="15">
        <v>45275</v>
      </c>
      <c r="G1048" s="50"/>
      <c r="H1048" s="165"/>
      <c r="I1048" s="50"/>
      <c r="J1048" s="50"/>
      <c r="K1048" s="50" t="s">
        <v>5338</v>
      </c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</row>
    <row r="1049" spans="1:22" s="35" customFormat="1" ht="11.25" customHeight="1" x14ac:dyDescent="0.35">
      <c r="A1049" s="50" t="s">
        <v>5215</v>
      </c>
      <c r="B1049" s="638" t="s">
        <v>6041</v>
      </c>
      <c r="C1049" s="280" t="s">
        <v>959</v>
      </c>
      <c r="D1049" s="64" t="s">
        <v>6724</v>
      </c>
      <c r="E1049" s="50">
        <v>1</v>
      </c>
      <c r="F1049" s="15">
        <v>45275</v>
      </c>
      <c r="G1049" s="50"/>
      <c r="H1049" s="165"/>
      <c r="I1049" s="50"/>
      <c r="J1049" s="50"/>
      <c r="K1049" s="50" t="s">
        <v>5338</v>
      </c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</row>
    <row r="1050" spans="1:22" s="42" customFormat="1" ht="11.25" customHeight="1" x14ac:dyDescent="0.35">
      <c r="A1050" s="53" t="s">
        <v>5215</v>
      </c>
      <c r="B1050" s="639" t="s">
        <v>6041</v>
      </c>
      <c r="C1050" s="283" t="s">
        <v>1285</v>
      </c>
      <c r="D1050" s="65" t="s">
        <v>6135</v>
      </c>
      <c r="E1050" s="53">
        <v>6</v>
      </c>
      <c r="F1050" s="16">
        <v>45275</v>
      </c>
      <c r="G1050" s="53">
        <v>3</v>
      </c>
      <c r="H1050" s="168">
        <v>45276</v>
      </c>
      <c r="I1050" s="53" t="s">
        <v>6725</v>
      </c>
      <c r="J1050" s="53" t="s">
        <v>6726</v>
      </c>
      <c r="K1050" s="53" t="s">
        <v>5511</v>
      </c>
      <c r="N1050" s="34"/>
    </row>
    <row r="1051" spans="1:22" s="35" customFormat="1" ht="11.25" customHeight="1" x14ac:dyDescent="0.35">
      <c r="A1051" s="50" t="s">
        <v>5215</v>
      </c>
      <c r="B1051" s="638" t="s">
        <v>6041</v>
      </c>
      <c r="C1051" s="280" t="s">
        <v>952</v>
      </c>
      <c r="D1051" s="64" t="s">
        <v>953</v>
      </c>
      <c r="E1051" s="50">
        <v>2</v>
      </c>
      <c r="F1051" s="15">
        <v>45275</v>
      </c>
      <c r="G1051" s="50"/>
      <c r="H1051" s="165"/>
      <c r="I1051" s="50"/>
      <c r="J1051" s="50"/>
      <c r="K1051" s="50" t="s">
        <v>5338</v>
      </c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</row>
    <row r="1052" spans="1:22" s="35" customFormat="1" ht="11.25" customHeight="1" x14ac:dyDescent="0.35">
      <c r="A1052" s="50" t="s">
        <v>5215</v>
      </c>
      <c r="B1052" s="638" t="s">
        <v>6041</v>
      </c>
      <c r="C1052" s="280" t="s">
        <v>887</v>
      </c>
      <c r="D1052" s="64" t="s">
        <v>6727</v>
      </c>
      <c r="E1052" s="50">
        <v>1</v>
      </c>
      <c r="F1052" s="15">
        <v>45275</v>
      </c>
      <c r="G1052" s="50"/>
      <c r="H1052" s="165"/>
      <c r="I1052" s="50"/>
      <c r="J1052" s="50"/>
      <c r="K1052" s="50" t="s">
        <v>5338</v>
      </c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</row>
    <row r="1053" spans="1:22" s="35" customFormat="1" ht="11.25" customHeight="1" x14ac:dyDescent="0.35">
      <c r="A1053" s="50" t="s">
        <v>4917</v>
      </c>
      <c r="B1053" s="638" t="s">
        <v>6728</v>
      </c>
      <c r="C1053" s="280">
        <v>264189106307</v>
      </c>
      <c r="D1053" s="64" t="s">
        <v>5841</v>
      </c>
      <c r="E1053" s="50">
        <v>18</v>
      </c>
      <c r="F1053" s="15">
        <v>45274</v>
      </c>
      <c r="G1053" s="50"/>
      <c r="H1053" s="165"/>
      <c r="I1053" s="50"/>
      <c r="J1053" s="50"/>
      <c r="K1053" s="50" t="s">
        <v>5338</v>
      </c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</row>
    <row r="1054" spans="1:22" s="39" customFormat="1" ht="11.25" customHeight="1" x14ac:dyDescent="0.35">
      <c r="A1054" s="52" t="s">
        <v>4917</v>
      </c>
      <c r="B1054" s="80"/>
      <c r="C1054" s="282">
        <v>252515209909</v>
      </c>
      <c r="D1054" s="63" t="s">
        <v>6729</v>
      </c>
      <c r="E1054" s="52">
        <v>4</v>
      </c>
      <c r="F1054" s="13">
        <v>45274</v>
      </c>
      <c r="G1054" s="52">
        <v>4</v>
      </c>
      <c r="H1054" s="167">
        <v>45275</v>
      </c>
      <c r="I1054" s="52" t="s">
        <v>6479</v>
      </c>
      <c r="J1054" s="52"/>
      <c r="K1054" s="52" t="s">
        <v>5365</v>
      </c>
    </row>
    <row r="1055" spans="1:22" s="35" customFormat="1" ht="11.25" customHeight="1" x14ac:dyDescent="0.35">
      <c r="A1055" s="50" t="s">
        <v>4917</v>
      </c>
      <c r="B1055" s="638" t="s">
        <v>6730</v>
      </c>
      <c r="C1055" s="280" t="s">
        <v>4327</v>
      </c>
      <c r="D1055" s="64" t="s">
        <v>6731</v>
      </c>
      <c r="E1055" s="50">
        <v>8</v>
      </c>
      <c r="F1055" s="15">
        <v>45274</v>
      </c>
      <c r="G1055" s="50"/>
      <c r="H1055" s="165"/>
      <c r="I1055" s="50"/>
      <c r="J1055" s="50"/>
      <c r="K1055" s="50" t="s">
        <v>5338</v>
      </c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</row>
    <row r="1056" spans="1:22" s="39" customFormat="1" ht="11.25" customHeight="1" x14ac:dyDescent="0.35">
      <c r="A1056" s="52" t="s">
        <v>4917</v>
      </c>
      <c r="B1056" s="80" t="s">
        <v>6730</v>
      </c>
      <c r="C1056" s="282">
        <v>282131207120</v>
      </c>
      <c r="D1056" s="63" t="s">
        <v>6732</v>
      </c>
      <c r="E1056" s="52">
        <v>1</v>
      </c>
      <c r="F1056" s="13">
        <v>45274</v>
      </c>
      <c r="G1056" s="52">
        <v>1</v>
      </c>
      <c r="H1056" s="167">
        <v>45308</v>
      </c>
      <c r="I1056" s="52"/>
      <c r="J1056" s="52"/>
      <c r="K1056" s="52" t="s">
        <v>5365</v>
      </c>
    </row>
    <row r="1057" spans="1:22" s="35" customFormat="1" ht="11.25" customHeight="1" x14ac:dyDescent="0.35">
      <c r="A1057" s="50" t="s">
        <v>4917</v>
      </c>
      <c r="B1057" s="638" t="s">
        <v>6730</v>
      </c>
      <c r="C1057" s="280">
        <v>216729100105</v>
      </c>
      <c r="D1057" s="64" t="s">
        <v>6733</v>
      </c>
      <c r="E1057" s="50">
        <v>1</v>
      </c>
      <c r="F1057" s="15">
        <v>45274</v>
      </c>
      <c r="G1057" s="50"/>
      <c r="H1057" s="165"/>
      <c r="I1057" s="50"/>
      <c r="J1057" s="50"/>
      <c r="K1057" s="50" t="s">
        <v>5338</v>
      </c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</row>
    <row r="1058" spans="1:22" s="39" customFormat="1" ht="11.25" customHeight="1" x14ac:dyDescent="0.35">
      <c r="A1058" s="52" t="s">
        <v>4917</v>
      </c>
      <c r="B1058" s="80" t="s">
        <v>6730</v>
      </c>
      <c r="C1058" s="282">
        <v>270782400106</v>
      </c>
      <c r="D1058" s="63" t="s">
        <v>5871</v>
      </c>
      <c r="E1058" s="52">
        <v>2</v>
      </c>
      <c r="F1058" s="13">
        <v>45274</v>
      </c>
      <c r="G1058" s="52">
        <v>2</v>
      </c>
      <c r="H1058" s="167">
        <v>45306</v>
      </c>
      <c r="I1058" s="52" t="s">
        <v>6734</v>
      </c>
      <c r="J1058" s="52"/>
      <c r="K1058" s="52" t="s">
        <v>5365</v>
      </c>
    </row>
    <row r="1059" spans="1:22" s="35" customFormat="1" ht="11.25" customHeight="1" x14ac:dyDescent="0.35">
      <c r="A1059" s="50" t="s">
        <v>4917</v>
      </c>
      <c r="B1059" s="638" t="s">
        <v>6728</v>
      </c>
      <c r="C1059" s="280">
        <v>265181100125</v>
      </c>
      <c r="D1059" s="64" t="s">
        <v>1278</v>
      </c>
      <c r="E1059" s="50">
        <v>2</v>
      </c>
      <c r="F1059" s="15">
        <v>45274</v>
      </c>
      <c r="G1059" s="50"/>
      <c r="H1059" s="165"/>
      <c r="I1059" s="50"/>
      <c r="J1059" s="50"/>
      <c r="K1059" s="50" t="s">
        <v>5338</v>
      </c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</row>
    <row r="1060" spans="1:22" s="39" customFormat="1" ht="11.25" customHeight="1" x14ac:dyDescent="0.35">
      <c r="A1060" s="52" t="s">
        <v>4917</v>
      </c>
      <c r="B1060" s="80" t="s">
        <v>6730</v>
      </c>
      <c r="C1060" s="282">
        <v>264181110126</v>
      </c>
      <c r="D1060" s="63" t="s">
        <v>6735</v>
      </c>
      <c r="E1060" s="52">
        <v>1</v>
      </c>
      <c r="F1060" s="13">
        <v>45274</v>
      </c>
      <c r="G1060" s="52">
        <v>1</v>
      </c>
      <c r="H1060" s="167">
        <v>45302</v>
      </c>
      <c r="I1060" s="52" t="s">
        <v>6044</v>
      </c>
      <c r="J1060" s="52"/>
      <c r="K1060" s="52" t="s">
        <v>5365</v>
      </c>
    </row>
    <row r="1061" spans="1:22" s="44" customFormat="1" ht="11.25" customHeight="1" x14ac:dyDescent="0.35">
      <c r="A1061" s="54" t="s">
        <v>4917</v>
      </c>
      <c r="B1061" s="643" t="s">
        <v>6736</v>
      </c>
      <c r="C1061" s="287">
        <v>585872700118</v>
      </c>
      <c r="D1061" s="78" t="s">
        <v>6737</v>
      </c>
      <c r="E1061" s="54">
        <v>40</v>
      </c>
      <c r="F1061" s="18">
        <v>45274</v>
      </c>
      <c r="G1061" s="54">
        <v>20</v>
      </c>
      <c r="H1061" s="172">
        <v>45425</v>
      </c>
      <c r="I1061" s="54" t="s">
        <v>6738</v>
      </c>
      <c r="J1061" s="54"/>
      <c r="K1061" s="54" t="s">
        <v>5511</v>
      </c>
    </row>
    <row r="1062" spans="1:22" s="35" customFormat="1" ht="11.25" customHeight="1" x14ac:dyDescent="0.35">
      <c r="A1062" s="50" t="s">
        <v>4917</v>
      </c>
      <c r="B1062" s="638" t="s">
        <v>6728</v>
      </c>
      <c r="C1062" s="280">
        <v>264247600104</v>
      </c>
      <c r="D1062" s="64" t="s">
        <v>1583</v>
      </c>
      <c r="E1062" s="50">
        <v>1</v>
      </c>
      <c r="F1062" s="15">
        <v>45274</v>
      </c>
      <c r="G1062" s="50"/>
      <c r="H1062" s="165"/>
      <c r="I1062" s="50"/>
      <c r="J1062" s="50"/>
      <c r="K1062" s="50" t="s">
        <v>5338</v>
      </c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</row>
    <row r="1063" spans="1:22" s="35" customFormat="1" ht="11.25" customHeight="1" x14ac:dyDescent="0.35">
      <c r="A1063" s="50" t="s">
        <v>4917</v>
      </c>
      <c r="B1063" s="638" t="s">
        <v>6730</v>
      </c>
      <c r="C1063" s="280">
        <v>264172980101</v>
      </c>
      <c r="D1063" s="64" t="s">
        <v>6739</v>
      </c>
      <c r="E1063" s="50">
        <v>2</v>
      </c>
      <c r="F1063" s="15">
        <v>45274</v>
      </c>
      <c r="G1063" s="50"/>
      <c r="H1063" s="165"/>
      <c r="I1063" s="50"/>
      <c r="J1063" s="50"/>
      <c r="K1063" s="50" t="s">
        <v>5338</v>
      </c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</row>
    <row r="1064" spans="1:22" s="35" customFormat="1" ht="11.25" customHeight="1" x14ac:dyDescent="0.35">
      <c r="A1064" s="52" t="s">
        <v>4917</v>
      </c>
      <c r="B1064" s="80" t="s">
        <v>6740</v>
      </c>
      <c r="C1064" s="282" t="s">
        <v>6741</v>
      </c>
      <c r="D1064" s="63" t="s">
        <v>6742</v>
      </c>
      <c r="E1064" s="52">
        <v>20</v>
      </c>
      <c r="F1064" s="13">
        <v>45274</v>
      </c>
      <c r="G1064" s="52">
        <v>20</v>
      </c>
      <c r="H1064" s="167">
        <v>45421</v>
      </c>
      <c r="I1064" s="52" t="s">
        <v>6743</v>
      </c>
      <c r="J1064" s="52"/>
      <c r="K1064" s="52" t="s">
        <v>5338</v>
      </c>
      <c r="L1064" s="39"/>
      <c r="M1064" s="39"/>
      <c r="N1064" s="34"/>
      <c r="O1064" s="34"/>
      <c r="P1064" s="34"/>
      <c r="Q1064" s="34"/>
      <c r="R1064" s="34"/>
      <c r="S1064" s="34"/>
      <c r="T1064" s="34"/>
      <c r="U1064" s="34"/>
      <c r="V1064" s="34"/>
    </row>
    <row r="1065" spans="1:22" s="35" customFormat="1" ht="11.25" customHeight="1" x14ac:dyDescent="0.35">
      <c r="A1065" s="50" t="s">
        <v>4917</v>
      </c>
      <c r="B1065" s="638" t="s">
        <v>6740</v>
      </c>
      <c r="C1065" s="280">
        <v>284943700121</v>
      </c>
      <c r="D1065" s="64" t="s">
        <v>6744</v>
      </c>
      <c r="E1065" s="50">
        <v>1</v>
      </c>
      <c r="F1065" s="15">
        <v>45274</v>
      </c>
      <c r="G1065" s="50"/>
      <c r="H1065" s="165"/>
      <c r="I1065" s="50"/>
      <c r="J1065" s="50"/>
      <c r="K1065" s="50" t="s">
        <v>5338</v>
      </c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</row>
    <row r="1066" spans="1:22" s="35" customFormat="1" ht="11.25" customHeight="1" x14ac:dyDescent="0.35">
      <c r="A1066" s="50" t="s">
        <v>4917</v>
      </c>
      <c r="B1066" s="638" t="s">
        <v>6730</v>
      </c>
      <c r="C1066" s="280">
        <v>217954400105</v>
      </c>
      <c r="D1066" s="64" t="s">
        <v>6745</v>
      </c>
      <c r="E1066" s="50">
        <v>8</v>
      </c>
      <c r="F1066" s="15">
        <v>45274</v>
      </c>
      <c r="G1066" s="50"/>
      <c r="H1066" s="165"/>
      <c r="I1066" s="50"/>
      <c r="J1066" s="50"/>
      <c r="K1066" s="50" t="s">
        <v>5338</v>
      </c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</row>
    <row r="1067" spans="1:22" s="39" customFormat="1" ht="11.25" customHeight="1" x14ac:dyDescent="0.35">
      <c r="A1067" s="52" t="s">
        <v>4917</v>
      </c>
      <c r="B1067" s="80" t="s">
        <v>6736</v>
      </c>
      <c r="C1067" s="282">
        <v>585889108205</v>
      </c>
      <c r="D1067" s="63" t="s">
        <v>4541</v>
      </c>
      <c r="E1067" s="52">
        <v>11</v>
      </c>
      <c r="F1067" s="13">
        <v>45274</v>
      </c>
      <c r="G1067" s="52">
        <v>11</v>
      </c>
      <c r="H1067" s="167"/>
      <c r="I1067" s="52"/>
      <c r="J1067" s="52"/>
      <c r="K1067" s="52" t="s">
        <v>5365</v>
      </c>
    </row>
    <row r="1068" spans="1:22" s="35" customFormat="1" ht="11.25" customHeight="1" x14ac:dyDescent="0.35">
      <c r="A1068" s="50" t="s">
        <v>4917</v>
      </c>
      <c r="B1068" s="638" t="s">
        <v>6730</v>
      </c>
      <c r="C1068" s="280">
        <v>21794400104</v>
      </c>
      <c r="D1068" s="64" t="s">
        <v>6746</v>
      </c>
      <c r="E1068" s="50">
        <v>8</v>
      </c>
      <c r="F1068" s="15">
        <v>45274</v>
      </c>
      <c r="G1068" s="50"/>
      <c r="H1068" s="165"/>
      <c r="I1068" s="50"/>
      <c r="J1068" s="50"/>
      <c r="K1068" s="50" t="s">
        <v>5338</v>
      </c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</row>
    <row r="1069" spans="1:22" s="35" customFormat="1" ht="11.25" customHeight="1" x14ac:dyDescent="0.35">
      <c r="A1069" s="50" t="s">
        <v>4917</v>
      </c>
      <c r="B1069" s="638" t="s">
        <v>6736</v>
      </c>
      <c r="C1069" s="280">
        <v>12466096171</v>
      </c>
      <c r="D1069" s="64" t="s">
        <v>1264</v>
      </c>
      <c r="E1069" s="50">
        <v>680</v>
      </c>
      <c r="F1069" s="15">
        <v>45274</v>
      </c>
      <c r="G1069" s="50"/>
      <c r="H1069" s="165"/>
      <c r="I1069" s="50"/>
      <c r="J1069" s="50"/>
      <c r="K1069" s="50" t="s">
        <v>5338</v>
      </c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</row>
    <row r="1070" spans="1:22" s="39" customFormat="1" ht="11.25" customHeight="1" x14ac:dyDescent="0.35">
      <c r="A1070" s="52" t="s">
        <v>4917</v>
      </c>
      <c r="B1070" s="80"/>
      <c r="C1070" s="282">
        <v>266135107101</v>
      </c>
      <c r="D1070" s="63" t="s">
        <v>6747</v>
      </c>
      <c r="E1070" s="52">
        <v>24</v>
      </c>
      <c r="F1070" s="13">
        <v>45268</v>
      </c>
      <c r="G1070" s="52">
        <v>24</v>
      </c>
      <c r="H1070" s="167">
        <v>45269</v>
      </c>
      <c r="I1070" s="52"/>
      <c r="J1070" s="52"/>
      <c r="K1070" s="52" t="s">
        <v>5365</v>
      </c>
    </row>
    <row r="1071" spans="1:22" s="39" customFormat="1" ht="11.25" customHeight="1" x14ac:dyDescent="0.35">
      <c r="A1071" s="52" t="s">
        <v>4917</v>
      </c>
      <c r="B1071" s="80"/>
      <c r="C1071" s="282">
        <v>282131207120</v>
      </c>
      <c r="D1071" s="63" t="s">
        <v>5415</v>
      </c>
      <c r="E1071" s="52">
        <v>1</v>
      </c>
      <c r="F1071" s="13">
        <v>45268</v>
      </c>
      <c r="G1071" s="52">
        <v>1</v>
      </c>
      <c r="H1071" s="167">
        <v>45308</v>
      </c>
      <c r="I1071" s="52"/>
      <c r="J1071" s="52"/>
      <c r="K1071" s="52" t="s">
        <v>5365</v>
      </c>
    </row>
    <row r="1072" spans="1:22" s="39" customFormat="1" ht="11.25" customHeight="1" x14ac:dyDescent="0.35">
      <c r="A1072" s="52" t="s">
        <v>4917</v>
      </c>
      <c r="B1072" s="80"/>
      <c r="C1072" s="282">
        <v>585872700118</v>
      </c>
      <c r="D1072" s="63" t="s">
        <v>1297</v>
      </c>
      <c r="E1072" s="52">
        <v>18</v>
      </c>
      <c r="F1072" s="13">
        <v>45268</v>
      </c>
      <c r="G1072" s="52">
        <v>18</v>
      </c>
      <c r="H1072" s="167">
        <v>45269</v>
      </c>
      <c r="I1072" s="52"/>
      <c r="J1072" s="52"/>
      <c r="K1072" s="52" t="s">
        <v>5365</v>
      </c>
    </row>
    <row r="1073" spans="1:22" s="39" customFormat="1" ht="11.25" customHeight="1" x14ac:dyDescent="0.35">
      <c r="A1073" s="52" t="s">
        <v>4917</v>
      </c>
      <c r="B1073" s="80"/>
      <c r="C1073" s="282">
        <v>585888406305</v>
      </c>
      <c r="D1073" s="63" t="s">
        <v>6748</v>
      </c>
      <c r="E1073" s="52">
        <v>20</v>
      </c>
      <c r="F1073" s="13">
        <v>45268</v>
      </c>
      <c r="G1073" s="52">
        <v>20</v>
      </c>
      <c r="H1073" s="167">
        <v>45280</v>
      </c>
      <c r="I1073" s="52" t="s">
        <v>6381</v>
      </c>
      <c r="J1073" s="52"/>
      <c r="K1073" s="52" t="s">
        <v>5365</v>
      </c>
    </row>
    <row r="1074" spans="1:22" s="35" customFormat="1" ht="11.25" customHeight="1" x14ac:dyDescent="0.35">
      <c r="A1074" s="50" t="s">
        <v>4917</v>
      </c>
      <c r="B1074" s="638"/>
      <c r="C1074" s="280">
        <v>264342906801</v>
      </c>
      <c r="D1074" s="64" t="s">
        <v>6749</v>
      </c>
      <c r="E1074" s="50">
        <v>16</v>
      </c>
      <c r="F1074" s="15">
        <v>45268</v>
      </c>
      <c r="G1074" s="50"/>
      <c r="H1074" s="165"/>
      <c r="I1074" s="50"/>
      <c r="J1074" s="50"/>
      <c r="K1074" s="50" t="s">
        <v>5338</v>
      </c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</row>
    <row r="1075" spans="1:22" s="39" customFormat="1" ht="11.25" customHeight="1" x14ac:dyDescent="0.35">
      <c r="A1075" s="52" t="s">
        <v>5336</v>
      </c>
      <c r="B1075" s="80" t="s">
        <v>5336</v>
      </c>
      <c r="C1075" s="282" t="s">
        <v>6750</v>
      </c>
      <c r="D1075" s="63" t="s">
        <v>6751</v>
      </c>
      <c r="E1075" s="52">
        <v>2</v>
      </c>
      <c r="F1075" s="13">
        <v>45057</v>
      </c>
      <c r="G1075" s="52">
        <v>2</v>
      </c>
      <c r="H1075" s="167" t="s">
        <v>5548</v>
      </c>
      <c r="I1075" s="52" t="s">
        <v>5553</v>
      </c>
      <c r="J1075" s="52"/>
      <c r="K1075" s="52" t="s">
        <v>5365</v>
      </c>
    </row>
    <row r="1076" spans="1:22" s="39" customFormat="1" ht="11.25" customHeight="1" x14ac:dyDescent="0.35">
      <c r="A1076" s="52" t="s">
        <v>4917</v>
      </c>
      <c r="B1076" s="80" t="s">
        <v>6752</v>
      </c>
      <c r="C1076" s="282" t="s">
        <v>6753</v>
      </c>
      <c r="D1076" s="63" t="s">
        <v>6253</v>
      </c>
      <c r="E1076" s="52">
        <v>2</v>
      </c>
      <c r="F1076" s="13">
        <v>45264</v>
      </c>
      <c r="G1076" s="52">
        <v>2</v>
      </c>
      <c r="H1076" s="167">
        <v>45265</v>
      </c>
      <c r="I1076" s="52" t="s">
        <v>5553</v>
      </c>
      <c r="J1076" s="52"/>
      <c r="K1076" s="52" t="s">
        <v>5365</v>
      </c>
    </row>
    <row r="1077" spans="1:22" s="39" customFormat="1" ht="11.25" customHeight="1" x14ac:dyDescent="0.35">
      <c r="A1077" s="52" t="s">
        <v>4917</v>
      </c>
      <c r="B1077" s="80" t="s">
        <v>6752</v>
      </c>
      <c r="C1077" s="282">
        <v>3781300440</v>
      </c>
      <c r="D1077" s="63" t="s">
        <v>6754</v>
      </c>
      <c r="E1077" s="52">
        <v>1</v>
      </c>
      <c r="F1077" s="13">
        <v>45264</v>
      </c>
      <c r="G1077" s="52">
        <v>1</v>
      </c>
      <c r="H1077" s="167">
        <v>45265</v>
      </c>
      <c r="I1077" s="52" t="s">
        <v>5553</v>
      </c>
      <c r="J1077" s="52"/>
      <c r="K1077" s="52" t="s">
        <v>5365</v>
      </c>
    </row>
    <row r="1078" spans="1:22" s="35" customFormat="1" ht="11.25" customHeight="1" x14ac:dyDescent="0.35">
      <c r="A1078" s="50" t="s">
        <v>4917</v>
      </c>
      <c r="B1078" s="638"/>
      <c r="C1078" s="280">
        <v>550754440120</v>
      </c>
      <c r="D1078" s="64" t="s">
        <v>6755</v>
      </c>
      <c r="E1078" s="50">
        <v>1</v>
      </c>
      <c r="F1078" s="15" t="s">
        <v>6756</v>
      </c>
      <c r="G1078" s="50"/>
      <c r="H1078" s="165"/>
      <c r="I1078" s="50"/>
      <c r="J1078" s="50"/>
      <c r="K1078" s="50" t="s">
        <v>5338</v>
      </c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</row>
    <row r="1079" spans="1:22" s="35" customFormat="1" ht="11.25" customHeight="1" x14ac:dyDescent="0.35">
      <c r="A1079" s="50" t="s">
        <v>4917</v>
      </c>
      <c r="B1079" s="638"/>
      <c r="C1079" s="280">
        <v>550754440119</v>
      </c>
      <c r="D1079" s="64" t="s">
        <v>6757</v>
      </c>
      <c r="E1079" s="50">
        <v>1</v>
      </c>
      <c r="F1079" s="15" t="s">
        <v>6756</v>
      </c>
      <c r="G1079" s="50"/>
      <c r="H1079" s="165"/>
      <c r="I1079" s="50"/>
      <c r="J1079" s="50"/>
      <c r="K1079" s="50" t="s">
        <v>5338</v>
      </c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</row>
    <row r="1080" spans="1:22" s="39" customFormat="1" ht="11.25" customHeight="1" x14ac:dyDescent="0.35">
      <c r="A1080" s="52" t="s">
        <v>4917</v>
      </c>
      <c r="B1080" s="80" t="s">
        <v>6752</v>
      </c>
      <c r="C1080" s="282">
        <v>3872700020</v>
      </c>
      <c r="D1080" s="63" t="s">
        <v>6255</v>
      </c>
      <c r="E1080" s="52">
        <v>1</v>
      </c>
      <c r="F1080" s="13">
        <v>45264</v>
      </c>
      <c r="G1080" s="52">
        <v>1</v>
      </c>
      <c r="H1080" s="167">
        <v>45265</v>
      </c>
      <c r="I1080" s="52" t="s">
        <v>5553</v>
      </c>
      <c r="J1080" s="52"/>
      <c r="K1080" s="52" t="s">
        <v>5365</v>
      </c>
    </row>
    <row r="1081" spans="1:22" s="39" customFormat="1" ht="11.25" customHeight="1" x14ac:dyDescent="0.35">
      <c r="A1081" s="52" t="s">
        <v>4917</v>
      </c>
      <c r="B1081" s="80"/>
      <c r="C1081" s="282">
        <v>3712502040</v>
      </c>
      <c r="D1081" s="63" t="s">
        <v>6758</v>
      </c>
      <c r="E1081" s="52">
        <v>1</v>
      </c>
      <c r="F1081" s="13">
        <v>45252</v>
      </c>
      <c r="G1081" s="52">
        <v>1</v>
      </c>
      <c r="H1081" s="167">
        <v>45254</v>
      </c>
      <c r="I1081" s="52" t="s">
        <v>5842</v>
      </c>
      <c r="J1081" s="52"/>
      <c r="K1081" s="52" t="s">
        <v>5365</v>
      </c>
    </row>
    <row r="1082" spans="1:22" s="39" customFormat="1" ht="11.25" customHeight="1" x14ac:dyDescent="0.35">
      <c r="A1082" s="52" t="s">
        <v>4917</v>
      </c>
      <c r="B1082" s="80"/>
      <c r="C1082" s="282">
        <v>3541001610</v>
      </c>
      <c r="D1082" s="63" t="s">
        <v>6759</v>
      </c>
      <c r="E1082" s="52">
        <v>1</v>
      </c>
      <c r="F1082" s="13">
        <v>45252</v>
      </c>
      <c r="G1082" s="52">
        <v>1</v>
      </c>
      <c r="H1082" s="167">
        <v>45254</v>
      </c>
      <c r="I1082" s="52" t="s">
        <v>5842</v>
      </c>
      <c r="J1082" s="52"/>
      <c r="K1082" s="52" t="s">
        <v>5365</v>
      </c>
    </row>
    <row r="1083" spans="1:22" s="39" customFormat="1" ht="11.25" customHeight="1" x14ac:dyDescent="0.35">
      <c r="A1083" s="52" t="s">
        <v>4917</v>
      </c>
      <c r="B1083" s="80"/>
      <c r="C1083" s="282">
        <v>3874800040</v>
      </c>
      <c r="D1083" s="63" t="s">
        <v>6760</v>
      </c>
      <c r="E1083" s="52">
        <v>2</v>
      </c>
      <c r="F1083" s="13">
        <v>45252</v>
      </c>
      <c r="G1083" s="52">
        <v>2</v>
      </c>
      <c r="H1083" s="167">
        <v>45254</v>
      </c>
      <c r="I1083" s="52" t="s">
        <v>5842</v>
      </c>
      <c r="J1083" s="52"/>
      <c r="K1083" s="52" t="s">
        <v>5365</v>
      </c>
    </row>
    <row r="1084" spans="1:22" s="39" customFormat="1" ht="11.25" customHeight="1" x14ac:dyDescent="0.35">
      <c r="A1084" s="52" t="s">
        <v>4917</v>
      </c>
      <c r="B1084" s="80"/>
      <c r="C1084" s="282">
        <v>257681100152</v>
      </c>
      <c r="D1084" s="63" t="s">
        <v>6761</v>
      </c>
      <c r="E1084" s="52">
        <v>1</v>
      </c>
      <c r="F1084" s="13">
        <v>45252</v>
      </c>
      <c r="G1084" s="52">
        <v>1</v>
      </c>
      <c r="H1084" s="167">
        <v>45254</v>
      </c>
      <c r="I1084" s="52" t="s">
        <v>5842</v>
      </c>
      <c r="J1084" s="52"/>
      <c r="K1084" s="52" t="s">
        <v>5365</v>
      </c>
    </row>
    <row r="1085" spans="1:22" s="39" customFormat="1" ht="11.25" customHeight="1" x14ac:dyDescent="0.35">
      <c r="A1085" s="52" t="s">
        <v>4917</v>
      </c>
      <c r="B1085" s="80"/>
      <c r="C1085" s="282">
        <v>257681100153</v>
      </c>
      <c r="D1085" s="63" t="s">
        <v>6762</v>
      </c>
      <c r="E1085" s="52">
        <v>1</v>
      </c>
      <c r="F1085" s="13">
        <v>45252</v>
      </c>
      <c r="G1085" s="52">
        <v>1</v>
      </c>
      <c r="H1085" s="167">
        <v>45254</v>
      </c>
      <c r="I1085" s="52" t="s">
        <v>5842</v>
      </c>
      <c r="J1085" s="52"/>
      <c r="K1085" s="52" t="s">
        <v>5365</v>
      </c>
    </row>
    <row r="1086" spans="1:22" s="39" customFormat="1" ht="11.25" customHeight="1" x14ac:dyDescent="0.35">
      <c r="A1086" s="52" t="s">
        <v>4917</v>
      </c>
      <c r="B1086" s="80"/>
      <c r="C1086" s="282">
        <v>257681100106</v>
      </c>
      <c r="D1086" s="63" t="s">
        <v>6763</v>
      </c>
      <c r="E1086" s="52">
        <v>1</v>
      </c>
      <c r="F1086" s="13">
        <v>45252</v>
      </c>
      <c r="G1086" s="52">
        <v>1</v>
      </c>
      <c r="H1086" s="167">
        <v>45254</v>
      </c>
      <c r="I1086" s="52" t="s">
        <v>5842</v>
      </c>
      <c r="J1086" s="52"/>
      <c r="K1086" s="52" t="s">
        <v>5365</v>
      </c>
    </row>
    <row r="1087" spans="1:22" s="39" customFormat="1" ht="11.25" customHeight="1" x14ac:dyDescent="0.35">
      <c r="A1087" s="52" t="s">
        <v>4917</v>
      </c>
      <c r="B1087" s="80"/>
      <c r="C1087" s="282">
        <v>257681103301</v>
      </c>
      <c r="D1087" s="63" t="s">
        <v>6764</v>
      </c>
      <c r="E1087" s="52">
        <v>1</v>
      </c>
      <c r="F1087" s="13">
        <v>45252</v>
      </c>
      <c r="G1087" s="52">
        <v>1</v>
      </c>
      <c r="H1087" s="167">
        <v>45254</v>
      </c>
      <c r="I1087" s="52" t="s">
        <v>5842</v>
      </c>
      <c r="J1087" s="52"/>
      <c r="K1087" s="52" t="s">
        <v>5365</v>
      </c>
    </row>
    <row r="1088" spans="1:22" s="39" customFormat="1" ht="11.25" customHeight="1" x14ac:dyDescent="0.35">
      <c r="A1088" s="52" t="s">
        <v>4917</v>
      </c>
      <c r="B1088" s="80"/>
      <c r="C1088" s="282">
        <v>257681103302</v>
      </c>
      <c r="D1088" s="63" t="s">
        <v>6765</v>
      </c>
      <c r="E1088" s="52">
        <v>1</v>
      </c>
      <c r="F1088" s="13">
        <v>45252</v>
      </c>
      <c r="G1088" s="52">
        <v>1</v>
      </c>
      <c r="H1088" s="167">
        <v>45254</v>
      </c>
      <c r="I1088" s="52" t="s">
        <v>5842</v>
      </c>
      <c r="J1088" s="52"/>
      <c r="K1088" s="52" t="s">
        <v>5365</v>
      </c>
    </row>
    <row r="1089" spans="1:11" s="39" customFormat="1" ht="11.25" customHeight="1" x14ac:dyDescent="0.35">
      <c r="A1089" s="52" t="s">
        <v>5336</v>
      </c>
      <c r="B1089" s="80"/>
      <c r="C1089" s="282" t="s">
        <v>2505</v>
      </c>
      <c r="D1089" s="63" t="s">
        <v>6388</v>
      </c>
      <c r="E1089" s="52">
        <v>36</v>
      </c>
      <c r="F1089" s="13"/>
      <c r="G1089" s="52">
        <v>36</v>
      </c>
      <c r="H1089" s="167">
        <v>45269</v>
      </c>
      <c r="I1089" s="52" t="s">
        <v>6390</v>
      </c>
      <c r="J1089" s="52"/>
      <c r="K1089" s="52" t="s">
        <v>5365</v>
      </c>
    </row>
    <row r="1090" spans="1:11" s="39" customFormat="1" ht="11.25" customHeight="1" x14ac:dyDescent="0.35">
      <c r="A1090" s="52" t="s">
        <v>4832</v>
      </c>
      <c r="B1090" s="80" t="s">
        <v>6225</v>
      </c>
      <c r="C1090" s="282" t="s">
        <v>2395</v>
      </c>
      <c r="D1090" s="63" t="s">
        <v>1613</v>
      </c>
      <c r="E1090" s="52">
        <v>2</v>
      </c>
      <c r="F1090" s="13">
        <v>44938</v>
      </c>
      <c r="G1090" s="52">
        <v>2</v>
      </c>
      <c r="H1090" s="167">
        <v>45273</v>
      </c>
      <c r="I1090" s="52" t="s">
        <v>6227</v>
      </c>
      <c r="J1090" s="52"/>
      <c r="K1090" s="52" t="s">
        <v>5365</v>
      </c>
    </row>
    <row r="1091" spans="1:11" s="39" customFormat="1" ht="11.25" customHeight="1" x14ac:dyDescent="0.35">
      <c r="A1091" s="52" t="s">
        <v>4832</v>
      </c>
      <c r="B1091" s="80" t="s">
        <v>6225</v>
      </c>
      <c r="C1091" s="282" t="s">
        <v>2397</v>
      </c>
      <c r="D1091" s="63" t="s">
        <v>1613</v>
      </c>
      <c r="E1091" s="52">
        <v>15</v>
      </c>
      <c r="F1091" s="13">
        <v>44938</v>
      </c>
      <c r="G1091" s="52">
        <v>15</v>
      </c>
      <c r="H1091" s="167">
        <v>45273</v>
      </c>
      <c r="I1091" s="52" t="s">
        <v>6227</v>
      </c>
      <c r="J1091" s="52"/>
      <c r="K1091" s="52" t="s">
        <v>5365</v>
      </c>
    </row>
    <row r="1092" spans="1:11" s="39" customFormat="1" ht="11.25" customHeight="1" x14ac:dyDescent="0.35">
      <c r="A1092" s="52" t="s">
        <v>4832</v>
      </c>
      <c r="B1092" s="80" t="s">
        <v>6225</v>
      </c>
      <c r="C1092" s="282" t="s">
        <v>2399</v>
      </c>
      <c r="D1092" s="63" t="s">
        <v>5346</v>
      </c>
      <c r="E1092" s="52">
        <v>2</v>
      </c>
      <c r="F1092" s="13">
        <v>44938</v>
      </c>
      <c r="G1092" s="52">
        <v>2</v>
      </c>
      <c r="H1092" s="167">
        <v>45273</v>
      </c>
      <c r="I1092" s="52" t="s">
        <v>6227</v>
      </c>
      <c r="J1092" s="52"/>
      <c r="K1092" s="52" t="s">
        <v>5365</v>
      </c>
    </row>
    <row r="1093" spans="1:11" s="39" customFormat="1" ht="11.25" customHeight="1" x14ac:dyDescent="0.35">
      <c r="A1093" s="52" t="s">
        <v>4832</v>
      </c>
      <c r="B1093" s="80" t="s">
        <v>6225</v>
      </c>
      <c r="C1093" s="282" t="s">
        <v>2402</v>
      </c>
      <c r="D1093" s="63" t="s">
        <v>5346</v>
      </c>
      <c r="E1093" s="52">
        <v>6</v>
      </c>
      <c r="F1093" s="13">
        <v>44938</v>
      </c>
      <c r="G1093" s="52">
        <v>6</v>
      </c>
      <c r="H1093" s="167">
        <v>45273</v>
      </c>
      <c r="I1093" s="52" t="s">
        <v>6227</v>
      </c>
      <c r="J1093" s="52"/>
      <c r="K1093" s="52" t="s">
        <v>5365</v>
      </c>
    </row>
    <row r="1094" spans="1:11" s="39" customFormat="1" ht="11.25" customHeight="1" x14ac:dyDescent="0.35">
      <c r="A1094" s="52" t="s">
        <v>4832</v>
      </c>
      <c r="B1094" s="80" t="s">
        <v>6225</v>
      </c>
      <c r="C1094" s="282" t="s">
        <v>2405</v>
      </c>
      <c r="D1094" s="63" t="s">
        <v>1189</v>
      </c>
      <c r="E1094" s="52">
        <v>4</v>
      </c>
      <c r="F1094" s="13">
        <v>44938</v>
      </c>
      <c r="G1094" s="52">
        <v>4</v>
      </c>
      <c r="H1094" s="167">
        <v>45273</v>
      </c>
      <c r="I1094" s="52" t="s">
        <v>6227</v>
      </c>
      <c r="J1094" s="52"/>
      <c r="K1094" s="52" t="s">
        <v>5365</v>
      </c>
    </row>
    <row r="1095" spans="1:11" s="39" customFormat="1" ht="11.25" customHeight="1" x14ac:dyDescent="0.35">
      <c r="A1095" s="52" t="s">
        <v>4832</v>
      </c>
      <c r="B1095" s="80" t="s">
        <v>6225</v>
      </c>
      <c r="C1095" s="282" t="s">
        <v>2408</v>
      </c>
      <c r="D1095" s="63" t="s">
        <v>2354</v>
      </c>
      <c r="E1095" s="52">
        <v>6</v>
      </c>
      <c r="F1095" s="13">
        <v>44938</v>
      </c>
      <c r="G1095" s="52">
        <v>6</v>
      </c>
      <c r="H1095" s="167">
        <v>45273</v>
      </c>
      <c r="I1095" s="52" t="s">
        <v>6227</v>
      </c>
      <c r="J1095" s="52"/>
      <c r="K1095" s="52" t="s">
        <v>5365</v>
      </c>
    </row>
    <row r="1096" spans="1:11" s="39" customFormat="1" ht="11.25" customHeight="1" x14ac:dyDescent="0.35">
      <c r="A1096" s="52" t="s">
        <v>4832</v>
      </c>
      <c r="B1096" s="80" t="s">
        <v>6225</v>
      </c>
      <c r="C1096" s="282" t="s">
        <v>2410</v>
      </c>
      <c r="D1096" s="63" t="s">
        <v>5501</v>
      </c>
      <c r="E1096" s="52">
        <v>3</v>
      </c>
      <c r="F1096" s="13">
        <v>44938</v>
      </c>
      <c r="G1096" s="52">
        <v>3</v>
      </c>
      <c r="H1096" s="167">
        <v>45273</v>
      </c>
      <c r="I1096" s="52" t="s">
        <v>6227</v>
      </c>
      <c r="J1096" s="52"/>
      <c r="K1096" s="52" t="s">
        <v>5365</v>
      </c>
    </row>
    <row r="1097" spans="1:11" s="39" customFormat="1" ht="11.25" customHeight="1" x14ac:dyDescent="0.35">
      <c r="A1097" s="52" t="s">
        <v>4832</v>
      </c>
      <c r="B1097" s="80" t="s">
        <v>6225</v>
      </c>
      <c r="C1097" s="282" t="s">
        <v>2412</v>
      </c>
      <c r="D1097" s="63" t="s">
        <v>6228</v>
      </c>
      <c r="E1097" s="52">
        <v>4</v>
      </c>
      <c r="F1097" s="13">
        <v>44938</v>
      </c>
      <c r="G1097" s="52">
        <v>4</v>
      </c>
      <c r="H1097" s="167">
        <v>45273</v>
      </c>
      <c r="I1097" s="52" t="s">
        <v>6227</v>
      </c>
      <c r="J1097" s="52"/>
      <c r="K1097" s="52" t="s">
        <v>5365</v>
      </c>
    </row>
    <row r="1098" spans="1:11" s="39" customFormat="1" ht="11.25" customHeight="1" x14ac:dyDescent="0.35">
      <c r="A1098" s="52" t="s">
        <v>4832</v>
      </c>
      <c r="B1098" s="80" t="s">
        <v>6225</v>
      </c>
      <c r="C1098" s="282" t="s">
        <v>2415</v>
      </c>
      <c r="D1098" s="63" t="s">
        <v>6228</v>
      </c>
      <c r="E1098" s="52">
        <v>12</v>
      </c>
      <c r="F1098" s="13">
        <v>44938</v>
      </c>
      <c r="G1098" s="52">
        <v>12</v>
      </c>
      <c r="H1098" s="167">
        <v>45273</v>
      </c>
      <c r="I1098" s="52" t="s">
        <v>6227</v>
      </c>
      <c r="J1098" s="52"/>
      <c r="K1098" s="52" t="s">
        <v>5365</v>
      </c>
    </row>
    <row r="1099" spans="1:11" s="39" customFormat="1" ht="11.25" customHeight="1" x14ac:dyDescent="0.35">
      <c r="A1099" s="52" t="s">
        <v>4832</v>
      </c>
      <c r="B1099" s="80" t="s">
        <v>6225</v>
      </c>
      <c r="C1099" s="282" t="s">
        <v>2417</v>
      </c>
      <c r="D1099" s="63" t="s">
        <v>6228</v>
      </c>
      <c r="E1099" s="52">
        <v>9</v>
      </c>
      <c r="F1099" s="13">
        <v>44938</v>
      </c>
      <c r="G1099" s="52">
        <v>9</v>
      </c>
      <c r="H1099" s="167">
        <v>45273</v>
      </c>
      <c r="I1099" s="52" t="s">
        <v>6227</v>
      </c>
      <c r="J1099" s="52"/>
      <c r="K1099" s="52" t="s">
        <v>5365</v>
      </c>
    </row>
    <row r="1100" spans="1:11" s="39" customFormat="1" ht="11.25" customHeight="1" x14ac:dyDescent="0.35">
      <c r="A1100" s="52" t="s">
        <v>4832</v>
      </c>
      <c r="B1100" s="80" t="s">
        <v>6225</v>
      </c>
      <c r="C1100" s="282" t="s">
        <v>2420</v>
      </c>
      <c r="D1100" s="63" t="s">
        <v>6334</v>
      </c>
      <c r="E1100" s="52">
        <v>12</v>
      </c>
      <c r="F1100" s="13">
        <v>44938</v>
      </c>
      <c r="G1100" s="52">
        <v>12</v>
      </c>
      <c r="H1100" s="167">
        <v>45273</v>
      </c>
      <c r="I1100" s="52" t="s">
        <v>6227</v>
      </c>
      <c r="J1100" s="52"/>
      <c r="K1100" s="52" t="s">
        <v>5365</v>
      </c>
    </row>
    <row r="1101" spans="1:11" s="39" customFormat="1" ht="11.25" customHeight="1" x14ac:dyDescent="0.35">
      <c r="A1101" s="52" t="s">
        <v>4832</v>
      </c>
      <c r="B1101" s="80" t="s">
        <v>6225</v>
      </c>
      <c r="C1101" s="282" t="s">
        <v>2424</v>
      </c>
      <c r="D1101" s="63" t="s">
        <v>6228</v>
      </c>
      <c r="E1101" s="52">
        <v>6</v>
      </c>
      <c r="F1101" s="13">
        <v>44938</v>
      </c>
      <c r="G1101" s="52">
        <v>6</v>
      </c>
      <c r="H1101" s="167">
        <v>45273</v>
      </c>
      <c r="I1101" s="52" t="s">
        <v>6227</v>
      </c>
      <c r="J1101" s="52"/>
      <c r="K1101" s="52" t="s">
        <v>5365</v>
      </c>
    </row>
    <row r="1102" spans="1:11" s="39" customFormat="1" ht="11.25" customHeight="1" x14ac:dyDescent="0.35">
      <c r="A1102" s="52" t="s">
        <v>4832</v>
      </c>
      <c r="B1102" s="80" t="s">
        <v>6225</v>
      </c>
      <c r="C1102" s="282" t="s">
        <v>2426</v>
      </c>
      <c r="D1102" s="63" t="s">
        <v>1181</v>
      </c>
      <c r="E1102" s="52">
        <v>8</v>
      </c>
      <c r="F1102" s="13">
        <v>44938</v>
      </c>
      <c r="G1102" s="52">
        <v>8</v>
      </c>
      <c r="H1102" s="167">
        <v>45273</v>
      </c>
      <c r="I1102" s="52" t="s">
        <v>6227</v>
      </c>
      <c r="J1102" s="52"/>
      <c r="K1102" s="52" t="s">
        <v>5365</v>
      </c>
    </row>
    <row r="1103" spans="1:11" s="39" customFormat="1" ht="11.25" customHeight="1" x14ac:dyDescent="0.35">
      <c r="A1103" s="52" t="s">
        <v>4832</v>
      </c>
      <c r="B1103" s="80" t="s">
        <v>6225</v>
      </c>
      <c r="C1103" s="282" t="s">
        <v>2429</v>
      </c>
      <c r="D1103" s="63" t="s">
        <v>161</v>
      </c>
      <c r="E1103" s="52">
        <v>9</v>
      </c>
      <c r="F1103" s="13">
        <v>44938</v>
      </c>
      <c r="G1103" s="52">
        <v>9</v>
      </c>
      <c r="H1103" s="167">
        <v>45273</v>
      </c>
      <c r="I1103" s="52" t="s">
        <v>6227</v>
      </c>
      <c r="J1103" s="52"/>
      <c r="K1103" s="52" t="s">
        <v>5365</v>
      </c>
    </row>
    <row r="1104" spans="1:11" s="39" customFormat="1" ht="11.25" customHeight="1" x14ac:dyDescent="0.35">
      <c r="A1104" s="52" t="s">
        <v>4832</v>
      </c>
      <c r="B1104" s="80" t="s">
        <v>6225</v>
      </c>
      <c r="C1104" s="282" t="s">
        <v>2432</v>
      </c>
      <c r="D1104" s="63" t="s">
        <v>2433</v>
      </c>
      <c r="E1104" s="52">
        <v>4</v>
      </c>
      <c r="F1104" s="13">
        <v>44938</v>
      </c>
      <c r="G1104" s="52">
        <v>4</v>
      </c>
      <c r="H1104" s="167">
        <v>45273</v>
      </c>
      <c r="I1104" s="52" t="s">
        <v>6227</v>
      </c>
      <c r="J1104" s="52"/>
      <c r="K1104" s="52" t="s">
        <v>5365</v>
      </c>
    </row>
    <row r="1105" spans="1:11" s="39" customFormat="1" ht="11.25" customHeight="1" x14ac:dyDescent="0.35">
      <c r="A1105" s="52" t="s">
        <v>4832</v>
      </c>
      <c r="B1105" s="80" t="s">
        <v>6225</v>
      </c>
      <c r="C1105" s="282" t="s">
        <v>2437</v>
      </c>
      <c r="D1105" s="63" t="s">
        <v>2422</v>
      </c>
      <c r="E1105" s="52">
        <v>4</v>
      </c>
      <c r="F1105" s="13">
        <v>44938</v>
      </c>
      <c r="G1105" s="52">
        <v>4</v>
      </c>
      <c r="H1105" s="167">
        <v>45273</v>
      </c>
      <c r="I1105" s="52" t="s">
        <v>6227</v>
      </c>
      <c r="J1105" s="52"/>
      <c r="K1105" s="52" t="s">
        <v>5365</v>
      </c>
    </row>
    <row r="1106" spans="1:11" s="39" customFormat="1" ht="11.25" customHeight="1" x14ac:dyDescent="0.35">
      <c r="A1106" s="52" t="s">
        <v>4832</v>
      </c>
      <c r="B1106" s="80" t="s">
        <v>6225</v>
      </c>
      <c r="C1106" s="282" t="s">
        <v>2440</v>
      </c>
      <c r="D1106" s="63" t="s">
        <v>2441</v>
      </c>
      <c r="E1106" s="52">
        <v>1</v>
      </c>
      <c r="F1106" s="13">
        <v>44938</v>
      </c>
      <c r="G1106" s="52">
        <v>1</v>
      </c>
      <c r="H1106" s="167">
        <v>45273</v>
      </c>
      <c r="I1106" s="52" t="s">
        <v>6227</v>
      </c>
      <c r="J1106" s="52"/>
      <c r="K1106" s="52" t="s">
        <v>5365</v>
      </c>
    </row>
    <row r="1107" spans="1:11" s="39" customFormat="1" ht="11.25" customHeight="1" x14ac:dyDescent="0.35">
      <c r="A1107" s="52" t="s">
        <v>4832</v>
      </c>
      <c r="B1107" s="80" t="s">
        <v>6225</v>
      </c>
      <c r="C1107" s="282" t="s">
        <v>2297</v>
      </c>
      <c r="D1107" s="63" t="s">
        <v>1785</v>
      </c>
      <c r="E1107" s="52">
        <v>4</v>
      </c>
      <c r="F1107" s="13">
        <v>44938</v>
      </c>
      <c r="G1107" s="52">
        <v>4</v>
      </c>
      <c r="H1107" s="167">
        <v>45273</v>
      </c>
      <c r="I1107" s="52" t="s">
        <v>6227</v>
      </c>
      <c r="J1107" s="52"/>
      <c r="K1107" s="52" t="s">
        <v>5365</v>
      </c>
    </row>
    <row r="1108" spans="1:11" s="39" customFormat="1" ht="11.25" customHeight="1" x14ac:dyDescent="0.35">
      <c r="A1108" s="52" t="s">
        <v>4832</v>
      </c>
      <c r="B1108" s="80" t="s">
        <v>6225</v>
      </c>
      <c r="C1108" s="282" t="s">
        <v>2299</v>
      </c>
      <c r="D1108" s="63" t="s">
        <v>1785</v>
      </c>
      <c r="E1108" s="52">
        <v>10</v>
      </c>
      <c r="F1108" s="13">
        <v>44938</v>
      </c>
      <c r="G1108" s="52">
        <v>10</v>
      </c>
      <c r="H1108" s="167">
        <v>45273</v>
      </c>
      <c r="I1108" s="52" t="s">
        <v>6227</v>
      </c>
      <c r="J1108" s="52"/>
      <c r="K1108" s="52" t="s">
        <v>5365</v>
      </c>
    </row>
    <row r="1109" spans="1:11" s="39" customFormat="1" ht="11.25" customHeight="1" x14ac:dyDescent="0.35">
      <c r="A1109" s="52" t="s">
        <v>4832</v>
      </c>
      <c r="B1109" s="80" t="s">
        <v>6225</v>
      </c>
      <c r="C1109" s="282" t="s">
        <v>2301</v>
      </c>
      <c r="D1109" s="63" t="s">
        <v>1785</v>
      </c>
      <c r="E1109" s="52">
        <v>1</v>
      </c>
      <c r="F1109" s="13">
        <v>44938</v>
      </c>
      <c r="G1109" s="52">
        <v>1</v>
      </c>
      <c r="H1109" s="167">
        <v>45273</v>
      </c>
      <c r="I1109" s="52" t="s">
        <v>6227</v>
      </c>
      <c r="J1109" s="52"/>
      <c r="K1109" s="52" t="s">
        <v>5365</v>
      </c>
    </row>
    <row r="1110" spans="1:11" s="39" customFormat="1" ht="11.25" customHeight="1" x14ac:dyDescent="0.35">
      <c r="A1110" s="52" t="s">
        <v>4832</v>
      </c>
      <c r="B1110" s="80" t="s">
        <v>6225</v>
      </c>
      <c r="C1110" s="282" t="s">
        <v>2303</v>
      </c>
      <c r="D1110" s="63" t="s">
        <v>1785</v>
      </c>
      <c r="E1110" s="52">
        <v>2</v>
      </c>
      <c r="F1110" s="13">
        <v>44938</v>
      </c>
      <c r="G1110" s="52">
        <v>2</v>
      </c>
      <c r="H1110" s="167">
        <v>45273</v>
      </c>
      <c r="I1110" s="52" t="s">
        <v>6227</v>
      </c>
      <c r="J1110" s="52"/>
      <c r="K1110" s="52" t="s">
        <v>5365</v>
      </c>
    </row>
    <row r="1111" spans="1:11" s="39" customFormat="1" ht="11.25" customHeight="1" x14ac:dyDescent="0.35">
      <c r="A1111" s="52" t="s">
        <v>4832</v>
      </c>
      <c r="B1111" s="80" t="s">
        <v>6225</v>
      </c>
      <c r="C1111" s="282" t="s">
        <v>2305</v>
      </c>
      <c r="D1111" s="63" t="s">
        <v>6766</v>
      </c>
      <c r="E1111" s="52">
        <v>172</v>
      </c>
      <c r="F1111" s="13">
        <v>44938</v>
      </c>
      <c r="G1111" s="52">
        <v>172</v>
      </c>
      <c r="H1111" s="167">
        <v>45273</v>
      </c>
      <c r="I1111" s="52" t="s">
        <v>6227</v>
      </c>
      <c r="J1111" s="52"/>
      <c r="K1111" s="52" t="s">
        <v>5365</v>
      </c>
    </row>
    <row r="1112" spans="1:11" s="39" customFormat="1" ht="11.25" customHeight="1" x14ac:dyDescent="0.35">
      <c r="A1112" s="52" t="s">
        <v>4832</v>
      </c>
      <c r="B1112" s="80" t="s">
        <v>6225</v>
      </c>
      <c r="C1112" s="282" t="s">
        <v>2308</v>
      </c>
      <c r="D1112" s="63" t="s">
        <v>2314</v>
      </c>
      <c r="E1112" s="52">
        <v>8</v>
      </c>
      <c r="F1112" s="13">
        <v>44938</v>
      </c>
      <c r="G1112" s="52">
        <v>8</v>
      </c>
      <c r="H1112" s="167">
        <v>45273</v>
      </c>
      <c r="I1112" s="52" t="s">
        <v>6227</v>
      </c>
      <c r="J1112" s="52"/>
      <c r="K1112" s="52" t="s">
        <v>5365</v>
      </c>
    </row>
    <row r="1113" spans="1:11" s="39" customFormat="1" ht="11.25" customHeight="1" x14ac:dyDescent="0.35">
      <c r="A1113" s="52" t="s">
        <v>4832</v>
      </c>
      <c r="B1113" s="80" t="s">
        <v>6225</v>
      </c>
      <c r="C1113" s="282" t="s">
        <v>2311</v>
      </c>
      <c r="D1113" s="63" t="s">
        <v>2314</v>
      </c>
      <c r="E1113" s="52">
        <v>8</v>
      </c>
      <c r="F1113" s="13">
        <v>44938</v>
      </c>
      <c r="G1113" s="52">
        <v>8</v>
      </c>
      <c r="H1113" s="167">
        <v>45273</v>
      </c>
      <c r="I1113" s="52" t="s">
        <v>6227</v>
      </c>
      <c r="J1113" s="52"/>
      <c r="K1113" s="52" t="s">
        <v>5365</v>
      </c>
    </row>
    <row r="1114" spans="1:11" s="39" customFormat="1" ht="11.25" customHeight="1" x14ac:dyDescent="0.35">
      <c r="A1114" s="52" t="s">
        <v>4832</v>
      </c>
      <c r="B1114" s="80" t="s">
        <v>6225</v>
      </c>
      <c r="C1114" s="282" t="s">
        <v>2313</v>
      </c>
      <c r="D1114" s="63" t="s">
        <v>2314</v>
      </c>
      <c r="E1114" s="52">
        <v>4</v>
      </c>
      <c r="F1114" s="13">
        <v>44938</v>
      </c>
      <c r="G1114" s="52">
        <v>4</v>
      </c>
      <c r="H1114" s="167">
        <v>45273</v>
      </c>
      <c r="I1114" s="52" t="s">
        <v>6227</v>
      </c>
      <c r="J1114" s="52"/>
      <c r="K1114" s="52" t="s">
        <v>5365</v>
      </c>
    </row>
    <row r="1115" spans="1:11" s="39" customFormat="1" ht="11.25" customHeight="1" x14ac:dyDescent="0.35">
      <c r="A1115" s="52" t="s">
        <v>4832</v>
      </c>
      <c r="B1115" s="80" t="s">
        <v>6225</v>
      </c>
      <c r="C1115" s="282" t="s">
        <v>2316</v>
      </c>
      <c r="D1115" s="63" t="s">
        <v>2314</v>
      </c>
      <c r="E1115" s="52">
        <v>2</v>
      </c>
      <c r="F1115" s="13">
        <v>44938</v>
      </c>
      <c r="G1115" s="52">
        <v>2</v>
      </c>
      <c r="H1115" s="167">
        <v>45273</v>
      </c>
      <c r="I1115" s="52" t="s">
        <v>6227</v>
      </c>
      <c r="J1115" s="52"/>
      <c r="K1115" s="52" t="s">
        <v>5365</v>
      </c>
    </row>
    <row r="1116" spans="1:11" s="39" customFormat="1" ht="11.25" customHeight="1" x14ac:dyDescent="0.35">
      <c r="A1116" s="52" t="s">
        <v>4832</v>
      </c>
      <c r="B1116" s="80" t="s">
        <v>6225</v>
      </c>
      <c r="C1116" s="282" t="s">
        <v>2318</v>
      </c>
      <c r="D1116" s="63" t="s">
        <v>2314</v>
      </c>
      <c r="E1116" s="52">
        <v>6</v>
      </c>
      <c r="F1116" s="13">
        <v>44938</v>
      </c>
      <c r="G1116" s="52">
        <v>6</v>
      </c>
      <c r="H1116" s="167">
        <v>45273</v>
      </c>
      <c r="I1116" s="52" t="s">
        <v>6227</v>
      </c>
      <c r="J1116" s="52"/>
      <c r="K1116" s="52" t="s">
        <v>5365</v>
      </c>
    </row>
    <row r="1117" spans="1:11" s="39" customFormat="1" ht="11.25" customHeight="1" x14ac:dyDescent="0.35">
      <c r="A1117" s="52" t="s">
        <v>4832</v>
      </c>
      <c r="B1117" s="80" t="s">
        <v>6225</v>
      </c>
      <c r="C1117" s="282" t="s">
        <v>2320</v>
      </c>
      <c r="D1117" s="63" t="s">
        <v>2314</v>
      </c>
      <c r="E1117" s="52">
        <v>1</v>
      </c>
      <c r="F1117" s="13">
        <v>44938</v>
      </c>
      <c r="G1117" s="52">
        <v>1</v>
      </c>
      <c r="H1117" s="167">
        <v>45273</v>
      </c>
      <c r="I1117" s="52" t="s">
        <v>6227</v>
      </c>
      <c r="J1117" s="52"/>
      <c r="K1117" s="52" t="s">
        <v>5365</v>
      </c>
    </row>
    <row r="1118" spans="1:11" s="39" customFormat="1" ht="11.25" customHeight="1" x14ac:dyDescent="0.35">
      <c r="A1118" s="52" t="s">
        <v>4832</v>
      </c>
      <c r="B1118" s="80" t="s">
        <v>6225</v>
      </c>
      <c r="C1118" s="282" t="s">
        <v>2322</v>
      </c>
      <c r="D1118" s="63" t="s">
        <v>6767</v>
      </c>
      <c r="E1118" s="52">
        <v>75</v>
      </c>
      <c r="F1118" s="13">
        <v>44938</v>
      </c>
      <c r="G1118" s="52">
        <v>75</v>
      </c>
      <c r="H1118" s="167">
        <v>45273</v>
      </c>
      <c r="I1118" s="52" t="s">
        <v>6227</v>
      </c>
      <c r="J1118" s="52"/>
      <c r="K1118" s="52" t="s">
        <v>5365</v>
      </c>
    </row>
    <row r="1119" spans="1:11" s="39" customFormat="1" ht="11.25" customHeight="1" x14ac:dyDescent="0.35">
      <c r="A1119" s="52" t="s">
        <v>4832</v>
      </c>
      <c r="B1119" s="80" t="s">
        <v>6225</v>
      </c>
      <c r="C1119" s="282" t="s">
        <v>2326</v>
      </c>
      <c r="D1119" s="63" t="s">
        <v>1175</v>
      </c>
      <c r="E1119" s="52">
        <v>1</v>
      </c>
      <c r="F1119" s="13">
        <v>44938</v>
      </c>
      <c r="G1119" s="52">
        <v>1</v>
      </c>
      <c r="H1119" s="167">
        <v>45273</v>
      </c>
      <c r="I1119" s="52" t="s">
        <v>6227</v>
      </c>
      <c r="J1119" s="52"/>
      <c r="K1119" s="52" t="s">
        <v>5365</v>
      </c>
    </row>
    <row r="1120" spans="1:11" s="39" customFormat="1" ht="11.25" customHeight="1" x14ac:dyDescent="0.35">
      <c r="A1120" s="52" t="s">
        <v>4832</v>
      </c>
      <c r="B1120" s="80" t="s">
        <v>6225</v>
      </c>
      <c r="C1120" s="282" t="s">
        <v>2328</v>
      </c>
      <c r="D1120" s="63" t="s">
        <v>6228</v>
      </c>
      <c r="E1120" s="52">
        <v>2</v>
      </c>
      <c r="F1120" s="13">
        <v>44938</v>
      </c>
      <c r="G1120" s="52">
        <v>2</v>
      </c>
      <c r="H1120" s="167">
        <v>45273</v>
      </c>
      <c r="I1120" s="52" t="s">
        <v>6227</v>
      </c>
      <c r="J1120" s="52"/>
      <c r="K1120" s="52" t="s">
        <v>5365</v>
      </c>
    </row>
    <row r="1121" spans="1:11" s="39" customFormat="1" ht="11.25" customHeight="1" x14ac:dyDescent="0.35">
      <c r="A1121" s="52" t="s">
        <v>4832</v>
      </c>
      <c r="B1121" s="80" t="s">
        <v>6225</v>
      </c>
      <c r="C1121" s="282" t="s">
        <v>2331</v>
      </c>
      <c r="D1121" s="63" t="s">
        <v>6228</v>
      </c>
      <c r="E1121" s="52">
        <v>4</v>
      </c>
      <c r="F1121" s="13">
        <v>44938</v>
      </c>
      <c r="G1121" s="52">
        <v>4</v>
      </c>
      <c r="H1121" s="167">
        <v>45273</v>
      </c>
      <c r="I1121" s="52" t="s">
        <v>6227</v>
      </c>
      <c r="J1121" s="52"/>
      <c r="K1121" s="52" t="s">
        <v>5365</v>
      </c>
    </row>
    <row r="1122" spans="1:11" s="39" customFormat="1" ht="11.25" customHeight="1" x14ac:dyDescent="0.35">
      <c r="A1122" s="52" t="s">
        <v>4832</v>
      </c>
      <c r="B1122" s="80" t="s">
        <v>6225</v>
      </c>
      <c r="C1122" s="282" t="s">
        <v>2333</v>
      </c>
      <c r="D1122" s="63" t="s">
        <v>6228</v>
      </c>
      <c r="E1122" s="52">
        <v>6</v>
      </c>
      <c r="F1122" s="13">
        <v>44938</v>
      </c>
      <c r="G1122" s="52">
        <v>6</v>
      </c>
      <c r="H1122" s="167">
        <v>45273</v>
      </c>
      <c r="I1122" s="52" t="s">
        <v>6227</v>
      </c>
      <c r="J1122" s="52"/>
      <c r="K1122" s="52" t="s">
        <v>5365</v>
      </c>
    </row>
    <row r="1123" spans="1:11" s="39" customFormat="1" ht="11.25" customHeight="1" x14ac:dyDescent="0.35">
      <c r="A1123" s="52" t="s">
        <v>4832</v>
      </c>
      <c r="B1123" s="80" t="s">
        <v>6225</v>
      </c>
      <c r="C1123" s="282" t="s">
        <v>2335</v>
      </c>
      <c r="D1123" s="63" t="s">
        <v>1785</v>
      </c>
      <c r="E1123" s="52">
        <v>2</v>
      </c>
      <c r="F1123" s="13">
        <v>45160</v>
      </c>
      <c r="G1123" s="52">
        <v>2</v>
      </c>
      <c r="H1123" s="167">
        <v>45273</v>
      </c>
      <c r="I1123" s="52" t="s">
        <v>6227</v>
      </c>
      <c r="J1123" s="52"/>
      <c r="K1123" s="52" t="s">
        <v>5365</v>
      </c>
    </row>
    <row r="1124" spans="1:11" s="39" customFormat="1" ht="11.25" customHeight="1" x14ac:dyDescent="0.35">
      <c r="A1124" s="52" t="s">
        <v>4832</v>
      </c>
      <c r="B1124" s="80" t="s">
        <v>6225</v>
      </c>
      <c r="C1124" s="282" t="s">
        <v>2337</v>
      </c>
      <c r="D1124" s="63" t="s">
        <v>1785</v>
      </c>
      <c r="E1124" s="52">
        <v>2</v>
      </c>
      <c r="F1124" s="13">
        <v>44938</v>
      </c>
      <c r="G1124" s="52">
        <v>2</v>
      </c>
      <c r="H1124" s="167">
        <v>45273</v>
      </c>
      <c r="I1124" s="52" t="s">
        <v>6227</v>
      </c>
      <c r="J1124" s="52"/>
      <c r="K1124" s="52" t="s">
        <v>5365</v>
      </c>
    </row>
    <row r="1125" spans="1:11" s="39" customFormat="1" ht="11.25" customHeight="1" x14ac:dyDescent="0.35">
      <c r="A1125" s="52" t="s">
        <v>4832</v>
      </c>
      <c r="B1125" s="80" t="s">
        <v>6225</v>
      </c>
      <c r="C1125" s="282" t="s">
        <v>2339</v>
      </c>
      <c r="D1125" s="63" t="s">
        <v>1785</v>
      </c>
      <c r="E1125" s="52">
        <v>3</v>
      </c>
      <c r="F1125" s="13">
        <v>44938</v>
      </c>
      <c r="G1125" s="52">
        <v>3</v>
      </c>
      <c r="H1125" s="167">
        <v>45273</v>
      </c>
      <c r="I1125" s="52" t="s">
        <v>6227</v>
      </c>
      <c r="J1125" s="52"/>
      <c r="K1125" s="52" t="s">
        <v>5365</v>
      </c>
    </row>
    <row r="1126" spans="1:11" s="39" customFormat="1" ht="11.25" customHeight="1" x14ac:dyDescent="0.35">
      <c r="A1126" s="52" t="s">
        <v>4832</v>
      </c>
      <c r="B1126" s="80" t="s">
        <v>6225</v>
      </c>
      <c r="C1126" s="282" t="s">
        <v>2341</v>
      </c>
      <c r="D1126" s="63" t="s">
        <v>1785</v>
      </c>
      <c r="E1126" s="52">
        <v>8</v>
      </c>
      <c r="F1126" s="13">
        <v>44938</v>
      </c>
      <c r="G1126" s="52">
        <v>8</v>
      </c>
      <c r="H1126" s="167">
        <v>45273</v>
      </c>
      <c r="I1126" s="52" t="s">
        <v>6227</v>
      </c>
      <c r="J1126" s="52"/>
      <c r="K1126" s="52" t="s">
        <v>5365</v>
      </c>
    </row>
    <row r="1127" spans="1:11" s="39" customFormat="1" ht="11.25" customHeight="1" x14ac:dyDescent="0.35">
      <c r="A1127" s="52" t="s">
        <v>4832</v>
      </c>
      <c r="B1127" s="80" t="s">
        <v>6225</v>
      </c>
      <c r="C1127" s="282" t="s">
        <v>2343</v>
      </c>
      <c r="D1127" s="63" t="s">
        <v>1785</v>
      </c>
      <c r="E1127" s="52">
        <v>3</v>
      </c>
      <c r="F1127" s="13">
        <v>44938</v>
      </c>
      <c r="G1127" s="52">
        <v>3</v>
      </c>
      <c r="H1127" s="167">
        <v>45273</v>
      </c>
      <c r="I1127" s="52" t="s">
        <v>6227</v>
      </c>
      <c r="J1127" s="52"/>
      <c r="K1127" s="52" t="s">
        <v>5365</v>
      </c>
    </row>
    <row r="1128" spans="1:11" s="39" customFormat="1" ht="11.25" customHeight="1" x14ac:dyDescent="0.35">
      <c r="A1128" s="52" t="s">
        <v>4832</v>
      </c>
      <c r="B1128" s="80" t="s">
        <v>6225</v>
      </c>
      <c r="C1128" s="282" t="s">
        <v>2345</v>
      </c>
      <c r="D1128" s="63" t="s">
        <v>1785</v>
      </c>
      <c r="E1128" s="52">
        <v>1</v>
      </c>
      <c r="F1128" s="13">
        <v>44938</v>
      </c>
      <c r="G1128" s="52">
        <v>1</v>
      </c>
      <c r="H1128" s="167">
        <v>45273</v>
      </c>
      <c r="I1128" s="52" t="s">
        <v>6227</v>
      </c>
      <c r="J1128" s="52"/>
      <c r="K1128" s="52" t="s">
        <v>5365</v>
      </c>
    </row>
    <row r="1129" spans="1:11" s="39" customFormat="1" ht="11.25" customHeight="1" x14ac:dyDescent="0.35">
      <c r="A1129" s="52" t="s">
        <v>4832</v>
      </c>
      <c r="B1129" s="80" t="s">
        <v>6225</v>
      </c>
      <c r="C1129" s="282" t="s">
        <v>292</v>
      </c>
      <c r="D1129" s="63" t="s">
        <v>6768</v>
      </c>
      <c r="E1129" s="52">
        <v>1</v>
      </c>
      <c r="F1129" s="13">
        <v>44938</v>
      </c>
      <c r="G1129" s="52">
        <v>1</v>
      </c>
      <c r="H1129" s="167">
        <v>45273</v>
      </c>
      <c r="I1129" s="52" t="s">
        <v>6227</v>
      </c>
      <c r="J1129" s="52"/>
      <c r="K1129" s="52" t="s">
        <v>5365</v>
      </c>
    </row>
    <row r="1130" spans="1:11" s="39" customFormat="1" ht="11.25" customHeight="1" x14ac:dyDescent="0.35">
      <c r="A1130" s="52" t="s">
        <v>4832</v>
      </c>
      <c r="B1130" s="80" t="s">
        <v>6225</v>
      </c>
      <c r="C1130" s="282" t="s">
        <v>295</v>
      </c>
      <c r="D1130" s="63" t="s">
        <v>5346</v>
      </c>
      <c r="E1130" s="52">
        <v>3</v>
      </c>
      <c r="F1130" s="13">
        <v>44938</v>
      </c>
      <c r="G1130" s="52">
        <v>3</v>
      </c>
      <c r="H1130" s="167">
        <v>45273</v>
      </c>
      <c r="I1130" s="52" t="s">
        <v>6227</v>
      </c>
      <c r="J1130" s="52"/>
      <c r="K1130" s="52" t="s">
        <v>5365</v>
      </c>
    </row>
    <row r="1131" spans="1:11" s="39" customFormat="1" ht="11.25" customHeight="1" x14ac:dyDescent="0.35">
      <c r="A1131" s="52" t="s">
        <v>4832</v>
      </c>
      <c r="B1131" s="80" t="s">
        <v>6225</v>
      </c>
      <c r="C1131" s="282" t="s">
        <v>2247</v>
      </c>
      <c r="D1131" s="63" t="s">
        <v>6769</v>
      </c>
      <c r="E1131" s="52">
        <v>1</v>
      </c>
      <c r="F1131" s="13">
        <v>44938</v>
      </c>
      <c r="G1131" s="52">
        <v>1</v>
      </c>
      <c r="H1131" s="167">
        <v>45273</v>
      </c>
      <c r="I1131" s="52" t="s">
        <v>6227</v>
      </c>
      <c r="J1131" s="52"/>
      <c r="K1131" s="52" t="s">
        <v>5365</v>
      </c>
    </row>
    <row r="1132" spans="1:11" s="39" customFormat="1" ht="11.25" customHeight="1" x14ac:dyDescent="0.35">
      <c r="A1132" s="52" t="s">
        <v>4832</v>
      </c>
      <c r="B1132" s="80" t="s">
        <v>6225</v>
      </c>
      <c r="C1132" s="282" t="s">
        <v>286</v>
      </c>
      <c r="D1132" s="63" t="s">
        <v>1613</v>
      </c>
      <c r="E1132" s="52">
        <v>1</v>
      </c>
      <c r="F1132" s="13">
        <v>44938</v>
      </c>
      <c r="G1132" s="52">
        <v>1</v>
      </c>
      <c r="H1132" s="167">
        <v>45273</v>
      </c>
      <c r="I1132" s="52" t="s">
        <v>6227</v>
      </c>
      <c r="J1132" s="52"/>
      <c r="K1132" s="52" t="s">
        <v>5365</v>
      </c>
    </row>
    <row r="1133" spans="1:11" s="39" customFormat="1" ht="11.25" customHeight="1" x14ac:dyDescent="0.35">
      <c r="A1133" s="52" t="s">
        <v>4832</v>
      </c>
      <c r="B1133" s="80" t="s">
        <v>6225</v>
      </c>
      <c r="C1133" s="282" t="s">
        <v>2250</v>
      </c>
      <c r="D1133" s="63" t="s">
        <v>2422</v>
      </c>
      <c r="E1133" s="52">
        <v>126</v>
      </c>
      <c r="F1133" s="13">
        <v>44938</v>
      </c>
      <c r="G1133" s="52">
        <v>126</v>
      </c>
      <c r="H1133" s="167">
        <v>45273</v>
      </c>
      <c r="I1133" s="52" t="s">
        <v>6227</v>
      </c>
      <c r="J1133" s="52"/>
      <c r="K1133" s="52" t="s">
        <v>5365</v>
      </c>
    </row>
    <row r="1134" spans="1:11" s="39" customFormat="1" ht="11.25" customHeight="1" x14ac:dyDescent="0.35">
      <c r="A1134" s="52" t="s">
        <v>4832</v>
      </c>
      <c r="B1134" s="80" t="s">
        <v>6225</v>
      </c>
      <c r="C1134" s="282" t="s">
        <v>2252</v>
      </c>
      <c r="D1134" s="63" t="s">
        <v>1181</v>
      </c>
      <c r="E1134" s="52">
        <v>10</v>
      </c>
      <c r="F1134" s="13">
        <v>44938</v>
      </c>
      <c r="G1134" s="52">
        <v>10</v>
      </c>
      <c r="H1134" s="167">
        <v>45273</v>
      </c>
      <c r="I1134" s="52" t="s">
        <v>6227</v>
      </c>
      <c r="J1134" s="52"/>
      <c r="K1134" s="52" t="s">
        <v>5365</v>
      </c>
    </row>
    <row r="1135" spans="1:11" s="39" customFormat="1" ht="11.25" customHeight="1" x14ac:dyDescent="0.35">
      <c r="A1135" s="52" t="s">
        <v>4832</v>
      </c>
      <c r="B1135" s="80" t="s">
        <v>6225</v>
      </c>
      <c r="C1135" s="282" t="s">
        <v>2255</v>
      </c>
      <c r="D1135" s="63" t="s">
        <v>1181</v>
      </c>
      <c r="E1135" s="52">
        <v>1</v>
      </c>
      <c r="F1135" s="13">
        <v>44938</v>
      </c>
      <c r="G1135" s="52">
        <v>1</v>
      </c>
      <c r="H1135" s="167">
        <v>45273</v>
      </c>
      <c r="I1135" s="52" t="s">
        <v>6227</v>
      </c>
      <c r="J1135" s="52"/>
      <c r="K1135" s="52" t="s">
        <v>5365</v>
      </c>
    </row>
    <row r="1136" spans="1:11" s="39" customFormat="1" ht="11.25" customHeight="1" x14ac:dyDescent="0.35">
      <c r="A1136" s="52" t="s">
        <v>4832</v>
      </c>
      <c r="B1136" s="80" t="s">
        <v>6225</v>
      </c>
      <c r="C1136" s="282" t="s">
        <v>2257</v>
      </c>
      <c r="D1136" s="63" t="s">
        <v>2422</v>
      </c>
      <c r="E1136" s="52">
        <v>4</v>
      </c>
      <c r="F1136" s="13">
        <v>44938</v>
      </c>
      <c r="G1136" s="52">
        <v>4</v>
      </c>
      <c r="H1136" s="167">
        <v>45273</v>
      </c>
      <c r="I1136" s="52" t="s">
        <v>6227</v>
      </c>
      <c r="J1136" s="52"/>
      <c r="K1136" s="52" t="s">
        <v>5365</v>
      </c>
    </row>
    <row r="1137" spans="1:11" s="39" customFormat="1" ht="11.25" customHeight="1" x14ac:dyDescent="0.35">
      <c r="A1137" s="52" t="s">
        <v>4832</v>
      </c>
      <c r="B1137" s="80" t="s">
        <v>6225</v>
      </c>
      <c r="C1137" s="282" t="s">
        <v>2260</v>
      </c>
      <c r="D1137" s="63" t="s">
        <v>5544</v>
      </c>
      <c r="E1137" s="52">
        <v>1</v>
      </c>
      <c r="F1137" s="13">
        <v>44938</v>
      </c>
      <c r="G1137" s="52">
        <v>1</v>
      </c>
      <c r="H1137" s="167">
        <v>45273</v>
      </c>
      <c r="I1137" s="52" t="s">
        <v>6227</v>
      </c>
      <c r="J1137" s="52"/>
      <c r="K1137" s="52" t="s">
        <v>5365</v>
      </c>
    </row>
    <row r="1138" spans="1:11" s="39" customFormat="1" ht="11.25" customHeight="1" x14ac:dyDescent="0.35">
      <c r="A1138" s="52" t="s">
        <v>4832</v>
      </c>
      <c r="B1138" s="80" t="s">
        <v>6225</v>
      </c>
      <c r="C1138" s="282" t="s">
        <v>2263</v>
      </c>
      <c r="D1138" s="63" t="s">
        <v>6249</v>
      </c>
      <c r="E1138" s="52">
        <v>2</v>
      </c>
      <c r="F1138" s="13">
        <v>44938</v>
      </c>
      <c r="G1138" s="52">
        <v>2</v>
      </c>
      <c r="H1138" s="167">
        <v>45273</v>
      </c>
      <c r="I1138" s="52" t="s">
        <v>6227</v>
      </c>
      <c r="J1138" s="52"/>
      <c r="K1138" s="52" t="s">
        <v>5365</v>
      </c>
    </row>
    <row r="1139" spans="1:11" s="39" customFormat="1" ht="11.25" customHeight="1" x14ac:dyDescent="0.35">
      <c r="A1139" s="52" t="s">
        <v>4832</v>
      </c>
      <c r="B1139" s="80" t="s">
        <v>6225</v>
      </c>
      <c r="C1139" s="282" t="s">
        <v>2266</v>
      </c>
      <c r="D1139" s="63" t="s">
        <v>161</v>
      </c>
      <c r="E1139" s="52">
        <v>2</v>
      </c>
      <c r="F1139" s="13">
        <v>44938</v>
      </c>
      <c r="G1139" s="52">
        <v>2</v>
      </c>
      <c r="H1139" s="167">
        <v>45273</v>
      </c>
      <c r="I1139" s="52" t="s">
        <v>6227</v>
      </c>
      <c r="J1139" s="52"/>
      <c r="K1139" s="52" t="s">
        <v>5365</v>
      </c>
    </row>
    <row r="1140" spans="1:11" s="39" customFormat="1" ht="11.25" customHeight="1" x14ac:dyDescent="0.35">
      <c r="A1140" s="52" t="s">
        <v>4832</v>
      </c>
      <c r="B1140" s="80" t="s">
        <v>6225</v>
      </c>
      <c r="C1140" s="282" t="s">
        <v>2270</v>
      </c>
      <c r="D1140" s="63" t="s">
        <v>1189</v>
      </c>
      <c r="E1140" s="52">
        <v>14</v>
      </c>
      <c r="F1140" s="13">
        <v>44938</v>
      </c>
      <c r="G1140" s="52">
        <v>14</v>
      </c>
      <c r="H1140" s="167">
        <v>45273</v>
      </c>
      <c r="I1140" s="52" t="s">
        <v>6227</v>
      </c>
      <c r="J1140" s="52"/>
      <c r="K1140" s="52" t="s">
        <v>5365</v>
      </c>
    </row>
    <row r="1141" spans="1:11" s="39" customFormat="1" ht="11.25" customHeight="1" x14ac:dyDescent="0.35">
      <c r="A1141" s="52" t="s">
        <v>4832</v>
      </c>
      <c r="B1141" s="80" t="s">
        <v>6225</v>
      </c>
      <c r="C1141" s="282" t="s">
        <v>2273</v>
      </c>
      <c r="D1141" s="63" t="s">
        <v>1751</v>
      </c>
      <c r="E1141" s="52">
        <v>1</v>
      </c>
      <c r="F1141" s="13">
        <v>44938</v>
      </c>
      <c r="G1141" s="52">
        <v>1</v>
      </c>
      <c r="H1141" s="167">
        <v>45273</v>
      </c>
      <c r="I1141" s="52" t="s">
        <v>6227</v>
      </c>
      <c r="J1141" s="52"/>
      <c r="K1141" s="52" t="s">
        <v>5365</v>
      </c>
    </row>
    <row r="1142" spans="1:11" s="39" customFormat="1" ht="11.25" customHeight="1" x14ac:dyDescent="0.35">
      <c r="A1142" s="52" t="s">
        <v>4832</v>
      </c>
      <c r="B1142" s="80" t="s">
        <v>6225</v>
      </c>
      <c r="C1142" s="282" t="s">
        <v>2276</v>
      </c>
      <c r="D1142" s="63" t="s">
        <v>1751</v>
      </c>
      <c r="E1142" s="52">
        <v>6</v>
      </c>
      <c r="F1142" s="13">
        <v>44938</v>
      </c>
      <c r="G1142" s="52">
        <v>6</v>
      </c>
      <c r="H1142" s="167">
        <v>45273</v>
      </c>
      <c r="I1142" s="52" t="s">
        <v>6227</v>
      </c>
      <c r="J1142" s="52"/>
      <c r="K1142" s="52" t="s">
        <v>5365</v>
      </c>
    </row>
    <row r="1143" spans="1:11" s="39" customFormat="1" ht="11.25" customHeight="1" x14ac:dyDescent="0.35">
      <c r="A1143" s="52" t="s">
        <v>4832</v>
      </c>
      <c r="B1143" s="80" t="s">
        <v>6225</v>
      </c>
      <c r="C1143" s="282" t="s">
        <v>2278</v>
      </c>
      <c r="D1143" s="63" t="s">
        <v>6231</v>
      </c>
      <c r="E1143" s="52">
        <v>1</v>
      </c>
      <c r="F1143" s="13">
        <v>44938</v>
      </c>
      <c r="G1143" s="52">
        <v>1</v>
      </c>
      <c r="H1143" s="167">
        <v>45273</v>
      </c>
      <c r="I1143" s="52" t="s">
        <v>6227</v>
      </c>
      <c r="J1143" s="52"/>
      <c r="K1143" s="52" t="s">
        <v>5365</v>
      </c>
    </row>
    <row r="1144" spans="1:11" s="39" customFormat="1" ht="11.25" customHeight="1" x14ac:dyDescent="0.35">
      <c r="A1144" s="52" t="s">
        <v>4832</v>
      </c>
      <c r="B1144" s="80" t="s">
        <v>6225</v>
      </c>
      <c r="C1144" s="282" t="s">
        <v>2281</v>
      </c>
      <c r="D1144" s="63" t="s">
        <v>161</v>
      </c>
      <c r="E1144" s="52">
        <v>2</v>
      </c>
      <c r="F1144" s="13">
        <v>44938</v>
      </c>
      <c r="G1144" s="52">
        <v>2</v>
      </c>
      <c r="H1144" s="167">
        <v>45273</v>
      </c>
      <c r="I1144" s="52" t="s">
        <v>6227</v>
      </c>
      <c r="J1144" s="52"/>
      <c r="K1144" s="52" t="s">
        <v>5365</v>
      </c>
    </row>
    <row r="1145" spans="1:11" s="39" customFormat="1" ht="11.25" customHeight="1" x14ac:dyDescent="0.35">
      <c r="A1145" s="52" t="s">
        <v>4832</v>
      </c>
      <c r="B1145" s="80" t="s">
        <v>6225</v>
      </c>
      <c r="C1145" s="282" t="s">
        <v>2283</v>
      </c>
      <c r="D1145" s="63" t="s">
        <v>6234</v>
      </c>
      <c r="E1145" s="52">
        <v>4</v>
      </c>
      <c r="F1145" s="13">
        <v>44938</v>
      </c>
      <c r="G1145" s="52">
        <v>4</v>
      </c>
      <c r="H1145" s="167">
        <v>45273</v>
      </c>
      <c r="I1145" s="52" t="s">
        <v>6227</v>
      </c>
      <c r="J1145" s="52"/>
      <c r="K1145" s="52" t="s">
        <v>5365</v>
      </c>
    </row>
    <row r="1146" spans="1:11" s="39" customFormat="1" ht="11.25" customHeight="1" x14ac:dyDescent="0.35">
      <c r="A1146" s="52" t="s">
        <v>4832</v>
      </c>
      <c r="B1146" s="80" t="s">
        <v>6225</v>
      </c>
      <c r="C1146" s="282" t="s">
        <v>2286</v>
      </c>
      <c r="D1146" s="63" t="s">
        <v>6770</v>
      </c>
      <c r="E1146" s="52">
        <v>1</v>
      </c>
      <c r="F1146" s="13">
        <v>44938</v>
      </c>
      <c r="G1146" s="52">
        <v>1</v>
      </c>
      <c r="H1146" s="167">
        <v>45273</v>
      </c>
      <c r="I1146" s="52" t="s">
        <v>6227</v>
      </c>
      <c r="J1146" s="52"/>
      <c r="K1146" s="52" t="s">
        <v>5365</v>
      </c>
    </row>
    <row r="1147" spans="1:11" s="39" customFormat="1" ht="11.25" customHeight="1" x14ac:dyDescent="0.35">
      <c r="A1147" s="52" t="s">
        <v>4832</v>
      </c>
      <c r="B1147" s="80" t="s">
        <v>6225</v>
      </c>
      <c r="C1147" s="282" t="s">
        <v>2289</v>
      </c>
      <c r="D1147" s="63" t="s">
        <v>6771</v>
      </c>
      <c r="E1147" s="52">
        <v>1</v>
      </c>
      <c r="F1147" s="13">
        <v>44938</v>
      </c>
      <c r="G1147" s="52">
        <v>1</v>
      </c>
      <c r="H1147" s="167">
        <v>45273</v>
      </c>
      <c r="I1147" s="52" t="s">
        <v>6227</v>
      </c>
      <c r="J1147" s="52"/>
      <c r="K1147" s="52" t="s">
        <v>5365</v>
      </c>
    </row>
    <row r="1148" spans="1:11" s="39" customFormat="1" ht="11.25" customHeight="1" x14ac:dyDescent="0.35">
      <c r="A1148" s="52" t="s">
        <v>4832</v>
      </c>
      <c r="B1148" s="80" t="s">
        <v>6225</v>
      </c>
      <c r="C1148" s="282" t="s">
        <v>2292</v>
      </c>
      <c r="D1148" s="63" t="s">
        <v>6334</v>
      </c>
      <c r="E1148" s="52">
        <v>2</v>
      </c>
      <c r="F1148" s="13">
        <v>44938</v>
      </c>
      <c r="G1148" s="52">
        <v>2</v>
      </c>
      <c r="H1148" s="167">
        <v>45273</v>
      </c>
      <c r="I1148" s="52" t="s">
        <v>6227</v>
      </c>
      <c r="J1148" s="52"/>
      <c r="K1148" s="52" t="s">
        <v>5365</v>
      </c>
    </row>
    <row r="1149" spans="1:11" s="39" customFormat="1" ht="11.25" customHeight="1" x14ac:dyDescent="0.35">
      <c r="A1149" s="52" t="s">
        <v>4832</v>
      </c>
      <c r="B1149" s="80" t="s">
        <v>6225</v>
      </c>
      <c r="C1149" s="282" t="s">
        <v>275</v>
      </c>
      <c r="D1149" s="63" t="s">
        <v>2422</v>
      </c>
      <c r="E1149" s="52">
        <v>2</v>
      </c>
      <c r="F1149" s="13">
        <v>44938</v>
      </c>
      <c r="G1149" s="52">
        <v>2</v>
      </c>
      <c r="H1149" s="167">
        <v>45273</v>
      </c>
      <c r="I1149" s="52" t="s">
        <v>6227</v>
      </c>
      <c r="J1149" s="52"/>
      <c r="K1149" s="52" t="s">
        <v>5365</v>
      </c>
    </row>
    <row r="1150" spans="1:11" s="39" customFormat="1" ht="11.25" customHeight="1" x14ac:dyDescent="0.35">
      <c r="A1150" s="52" t="s">
        <v>4832</v>
      </c>
      <c r="B1150" s="80" t="s">
        <v>6225</v>
      </c>
      <c r="C1150" s="282" t="s">
        <v>2295</v>
      </c>
      <c r="D1150" s="63" t="s">
        <v>161</v>
      </c>
      <c r="E1150" s="52">
        <v>2</v>
      </c>
      <c r="F1150" s="13">
        <v>44938</v>
      </c>
      <c r="G1150" s="52">
        <v>2</v>
      </c>
      <c r="H1150" s="167">
        <v>45273</v>
      </c>
      <c r="I1150" s="52" t="s">
        <v>6227</v>
      </c>
      <c r="J1150" s="52"/>
      <c r="K1150" s="52" t="s">
        <v>5365</v>
      </c>
    </row>
    <row r="1151" spans="1:11" s="39" customFormat="1" ht="11.25" customHeight="1" x14ac:dyDescent="0.35">
      <c r="A1151" s="52" t="s">
        <v>4832</v>
      </c>
      <c r="B1151" s="80" t="s">
        <v>6225</v>
      </c>
      <c r="C1151" s="282" t="s">
        <v>2343</v>
      </c>
      <c r="D1151" s="63" t="s">
        <v>1785</v>
      </c>
      <c r="E1151" s="52">
        <v>6</v>
      </c>
      <c r="F1151" s="13">
        <v>45191</v>
      </c>
      <c r="G1151" s="52">
        <v>6</v>
      </c>
      <c r="H1151" s="167">
        <v>45202</v>
      </c>
      <c r="I1151" s="52" t="s">
        <v>6227</v>
      </c>
      <c r="J1151" s="52"/>
      <c r="K1151" s="52" t="s">
        <v>5365</v>
      </c>
    </row>
    <row r="1152" spans="1:11" s="39" customFormat="1" ht="11.25" customHeight="1" x14ac:dyDescent="0.35">
      <c r="A1152" s="52" t="s">
        <v>4832</v>
      </c>
      <c r="B1152" s="80" t="s">
        <v>6225</v>
      </c>
      <c r="C1152" s="282" t="s">
        <v>2395</v>
      </c>
      <c r="D1152" s="63" t="s">
        <v>1613</v>
      </c>
      <c r="E1152" s="52">
        <v>10</v>
      </c>
      <c r="F1152" s="13">
        <v>45191</v>
      </c>
      <c r="G1152" s="52">
        <v>10</v>
      </c>
      <c r="H1152" s="167">
        <v>45202</v>
      </c>
      <c r="I1152" s="52" t="s">
        <v>6227</v>
      </c>
      <c r="J1152" s="52"/>
      <c r="K1152" s="52" t="s">
        <v>5365</v>
      </c>
    </row>
    <row r="1153" spans="1:22" s="39" customFormat="1" ht="11.25" customHeight="1" x14ac:dyDescent="0.35">
      <c r="A1153" s="52" t="s">
        <v>4832</v>
      </c>
      <c r="B1153" s="80" t="s">
        <v>6225</v>
      </c>
      <c r="C1153" s="282" t="s">
        <v>6772</v>
      </c>
      <c r="D1153" s="63" t="s">
        <v>1181</v>
      </c>
      <c r="E1153" s="52">
        <v>1</v>
      </c>
      <c r="F1153" s="13">
        <v>45191</v>
      </c>
      <c r="G1153" s="52">
        <v>1</v>
      </c>
      <c r="H1153" s="167">
        <v>45202</v>
      </c>
      <c r="I1153" s="52" t="s">
        <v>6227</v>
      </c>
      <c r="J1153" s="52"/>
      <c r="K1153" s="52" t="s">
        <v>5365</v>
      </c>
    </row>
    <row r="1154" spans="1:22" s="39" customFormat="1" ht="11.25" customHeight="1" x14ac:dyDescent="0.35">
      <c r="A1154" s="52" t="s">
        <v>4832</v>
      </c>
      <c r="B1154" s="80" t="s">
        <v>6225</v>
      </c>
      <c r="C1154" s="282" t="s">
        <v>1191</v>
      </c>
      <c r="D1154" s="63" t="s">
        <v>6773</v>
      </c>
      <c r="E1154" s="52">
        <v>2</v>
      </c>
      <c r="F1154" s="13">
        <v>45191</v>
      </c>
      <c r="G1154" s="52">
        <v>2</v>
      </c>
      <c r="H1154" s="167">
        <v>45202</v>
      </c>
      <c r="I1154" s="52" t="s">
        <v>6227</v>
      </c>
      <c r="J1154" s="52"/>
      <c r="K1154" s="52" t="s">
        <v>5365</v>
      </c>
    </row>
    <row r="1155" spans="1:22" s="39" customFormat="1" ht="11.25" customHeight="1" x14ac:dyDescent="0.35">
      <c r="A1155" s="52" t="s">
        <v>4832</v>
      </c>
      <c r="B1155" s="80" t="s">
        <v>6225</v>
      </c>
      <c r="C1155" s="282" t="s">
        <v>6774</v>
      </c>
      <c r="D1155" s="63" t="s">
        <v>6775</v>
      </c>
      <c r="E1155" s="52">
        <v>2</v>
      </c>
      <c r="F1155" s="13">
        <v>45191</v>
      </c>
      <c r="G1155" s="52">
        <v>2</v>
      </c>
      <c r="H1155" s="167">
        <v>45202</v>
      </c>
      <c r="I1155" s="52" t="s">
        <v>6227</v>
      </c>
      <c r="J1155" s="52"/>
      <c r="K1155" s="52" t="s">
        <v>5365</v>
      </c>
    </row>
    <row r="1156" spans="1:22" s="39" customFormat="1" ht="11.25" customHeight="1" x14ac:dyDescent="0.35">
      <c r="A1156" s="52" t="s">
        <v>4832</v>
      </c>
      <c r="B1156" s="80" t="s">
        <v>6225</v>
      </c>
      <c r="C1156" s="282" t="s">
        <v>6776</v>
      </c>
      <c r="D1156" s="63" t="s">
        <v>6777</v>
      </c>
      <c r="E1156" s="52">
        <v>1</v>
      </c>
      <c r="F1156" s="13">
        <v>45191</v>
      </c>
      <c r="G1156" s="52">
        <v>1</v>
      </c>
      <c r="H1156" s="167">
        <v>45202</v>
      </c>
      <c r="I1156" s="52" t="s">
        <v>6227</v>
      </c>
      <c r="J1156" s="52"/>
      <c r="K1156" s="52" t="s">
        <v>5365</v>
      </c>
    </row>
    <row r="1157" spans="1:22" s="39" customFormat="1" ht="11.25" customHeight="1" x14ac:dyDescent="0.35">
      <c r="A1157" s="52" t="s">
        <v>4832</v>
      </c>
      <c r="B1157" s="80" t="s">
        <v>6225</v>
      </c>
      <c r="C1157" s="282" t="s">
        <v>6778</v>
      </c>
      <c r="D1157" s="63" t="s">
        <v>6779</v>
      </c>
      <c r="E1157" s="52">
        <v>2</v>
      </c>
      <c r="F1157" s="13">
        <v>45191</v>
      </c>
      <c r="G1157" s="52">
        <v>2</v>
      </c>
      <c r="H1157" s="167">
        <v>45202</v>
      </c>
      <c r="I1157" s="52" t="s">
        <v>6227</v>
      </c>
      <c r="J1157" s="52"/>
      <c r="K1157" s="52" t="s">
        <v>5365</v>
      </c>
    </row>
    <row r="1158" spans="1:22" s="62" customFormat="1" ht="11.25" customHeight="1" x14ac:dyDescent="0.35">
      <c r="A1158" s="70" t="s">
        <v>4832</v>
      </c>
      <c r="B1158" s="111" t="s">
        <v>6225</v>
      </c>
      <c r="C1158" s="281" t="s">
        <v>6780</v>
      </c>
      <c r="D1158" s="71" t="s">
        <v>6781</v>
      </c>
      <c r="E1158" s="70">
        <v>1</v>
      </c>
      <c r="F1158" s="72">
        <v>45191</v>
      </c>
      <c r="G1158" s="70">
        <v>1</v>
      </c>
      <c r="H1158" s="166">
        <v>45202</v>
      </c>
      <c r="I1158" s="70" t="s">
        <v>6227</v>
      </c>
      <c r="J1158" s="70"/>
      <c r="K1158" s="70" t="s">
        <v>5365</v>
      </c>
      <c r="L1158" s="39"/>
    </row>
    <row r="1159" spans="1:22" s="39" customFormat="1" ht="11.25" customHeight="1" x14ac:dyDescent="0.35">
      <c r="A1159" s="52" t="s">
        <v>4832</v>
      </c>
      <c r="B1159" s="80" t="s">
        <v>6225</v>
      </c>
      <c r="C1159" s="282" t="s">
        <v>275</v>
      </c>
      <c r="D1159" s="63" t="s">
        <v>2422</v>
      </c>
      <c r="E1159" s="52">
        <v>4</v>
      </c>
      <c r="F1159" s="13">
        <v>45191</v>
      </c>
      <c r="G1159" s="52">
        <v>4</v>
      </c>
      <c r="H1159" s="167">
        <v>45202</v>
      </c>
      <c r="I1159" s="52" t="s">
        <v>6227</v>
      </c>
      <c r="J1159" s="52"/>
      <c r="K1159" s="52" t="s">
        <v>5365</v>
      </c>
    </row>
    <row r="1160" spans="1:22" s="39" customFormat="1" ht="11.25" customHeight="1" x14ac:dyDescent="0.35">
      <c r="A1160" s="52" t="s">
        <v>4832</v>
      </c>
      <c r="B1160" s="80" t="s">
        <v>6225</v>
      </c>
      <c r="C1160" s="282" t="s">
        <v>280</v>
      </c>
      <c r="D1160" s="63" t="s">
        <v>6782</v>
      </c>
      <c r="E1160" s="52">
        <v>2</v>
      </c>
      <c r="F1160" s="13">
        <v>45191</v>
      </c>
      <c r="G1160" s="52">
        <v>2</v>
      </c>
      <c r="H1160" s="167">
        <v>45202</v>
      </c>
      <c r="I1160" s="52" t="s">
        <v>6227</v>
      </c>
      <c r="J1160" s="52"/>
      <c r="K1160" s="52" t="s">
        <v>5365</v>
      </c>
    </row>
    <row r="1161" spans="1:22" s="39" customFormat="1" ht="11.25" customHeight="1" x14ac:dyDescent="0.35">
      <c r="A1161" s="52" t="s">
        <v>4832</v>
      </c>
      <c r="B1161" s="80" t="s">
        <v>6225</v>
      </c>
      <c r="C1161" s="282" t="s">
        <v>283</v>
      </c>
      <c r="D1161" s="63" t="s">
        <v>6769</v>
      </c>
      <c r="E1161" s="52">
        <v>2</v>
      </c>
      <c r="F1161" s="13">
        <v>45191</v>
      </c>
      <c r="G1161" s="52">
        <v>2</v>
      </c>
      <c r="H1161" s="167">
        <v>45202</v>
      </c>
      <c r="I1161" s="52" t="s">
        <v>6227</v>
      </c>
      <c r="J1161" s="52"/>
      <c r="K1161" s="52" t="s">
        <v>5365</v>
      </c>
    </row>
    <row r="1162" spans="1:22" s="39" customFormat="1" ht="11.25" customHeight="1" x14ac:dyDescent="0.35">
      <c r="A1162" s="52" t="s">
        <v>4832</v>
      </c>
      <c r="B1162" s="80" t="s">
        <v>6225</v>
      </c>
      <c r="C1162" s="282" t="s">
        <v>286</v>
      </c>
      <c r="D1162" s="63" t="s">
        <v>1613</v>
      </c>
      <c r="E1162" s="52">
        <v>2</v>
      </c>
      <c r="F1162" s="13">
        <v>45191</v>
      </c>
      <c r="G1162" s="52">
        <v>2</v>
      </c>
      <c r="H1162" s="167">
        <v>45202</v>
      </c>
      <c r="I1162" s="52" t="s">
        <v>6227</v>
      </c>
      <c r="J1162" s="52"/>
      <c r="K1162" s="52" t="s">
        <v>5365</v>
      </c>
    </row>
    <row r="1163" spans="1:22" s="39" customFormat="1" ht="11.25" customHeight="1" x14ac:dyDescent="0.35">
      <c r="A1163" s="52" t="s">
        <v>4832</v>
      </c>
      <c r="B1163" s="80" t="s">
        <v>6225</v>
      </c>
      <c r="C1163" s="282" t="s">
        <v>289</v>
      </c>
      <c r="D1163" s="63" t="s">
        <v>6783</v>
      </c>
      <c r="E1163" s="52">
        <v>8</v>
      </c>
      <c r="F1163" s="13">
        <v>45191</v>
      </c>
      <c r="G1163" s="52">
        <v>8</v>
      </c>
      <c r="H1163" s="167">
        <v>45202</v>
      </c>
      <c r="I1163" s="52" t="s">
        <v>6227</v>
      </c>
      <c r="J1163" s="52"/>
      <c r="K1163" s="52" t="s">
        <v>5365</v>
      </c>
    </row>
    <row r="1164" spans="1:22" s="39" customFormat="1" ht="11.25" customHeight="1" x14ac:dyDescent="0.35">
      <c r="A1164" s="52" t="s">
        <v>4832</v>
      </c>
      <c r="B1164" s="80" t="s">
        <v>6225</v>
      </c>
      <c r="C1164" s="282" t="s">
        <v>292</v>
      </c>
      <c r="D1164" s="63" t="s">
        <v>6768</v>
      </c>
      <c r="E1164" s="52">
        <v>2</v>
      </c>
      <c r="F1164" s="13">
        <v>45191</v>
      </c>
      <c r="G1164" s="52">
        <v>2</v>
      </c>
      <c r="H1164" s="167">
        <v>45202</v>
      </c>
      <c r="I1164" s="52" t="s">
        <v>6227</v>
      </c>
      <c r="J1164" s="52"/>
      <c r="K1164" s="52" t="s">
        <v>5365</v>
      </c>
    </row>
    <row r="1165" spans="1:22" s="39" customFormat="1" ht="11.25" customHeight="1" x14ac:dyDescent="0.35">
      <c r="A1165" s="52" t="s">
        <v>4832</v>
      </c>
      <c r="B1165" s="80" t="s">
        <v>6225</v>
      </c>
      <c r="C1165" s="282" t="s">
        <v>295</v>
      </c>
      <c r="D1165" s="63" t="s">
        <v>5346</v>
      </c>
      <c r="E1165" s="52">
        <v>2</v>
      </c>
      <c r="F1165" s="13">
        <v>45191</v>
      </c>
      <c r="G1165" s="52">
        <v>2</v>
      </c>
      <c r="H1165" s="167">
        <v>45202</v>
      </c>
      <c r="I1165" s="52" t="s">
        <v>6227</v>
      </c>
      <c r="J1165" s="52"/>
      <c r="K1165" s="52" t="s">
        <v>5365</v>
      </c>
    </row>
    <row r="1166" spans="1:22" s="42" customFormat="1" ht="11.25" customHeight="1" x14ac:dyDescent="0.35">
      <c r="A1166" s="53" t="s">
        <v>4832</v>
      </c>
      <c r="B1166" s="639" t="s">
        <v>6784</v>
      </c>
      <c r="C1166" s="283" t="s">
        <v>84</v>
      </c>
      <c r="D1166" s="65" t="s">
        <v>6785</v>
      </c>
      <c r="E1166" s="53">
        <v>5</v>
      </c>
      <c r="F1166" s="16" t="s">
        <v>3400</v>
      </c>
      <c r="G1166" s="53">
        <v>1</v>
      </c>
      <c r="H1166" s="168">
        <v>45302</v>
      </c>
      <c r="I1166" s="53" t="s">
        <v>5842</v>
      </c>
      <c r="J1166" s="53" t="s">
        <v>6786</v>
      </c>
      <c r="K1166" s="53" t="s">
        <v>5511</v>
      </c>
    </row>
    <row r="1167" spans="1:22" s="44" customFormat="1" ht="11.25" customHeight="1" x14ac:dyDescent="0.35">
      <c r="A1167" s="54" t="s">
        <v>4832</v>
      </c>
      <c r="B1167" s="643" t="s">
        <v>6784</v>
      </c>
      <c r="C1167" s="287" t="s">
        <v>663</v>
      </c>
      <c r="D1167" s="78" t="s">
        <v>6787</v>
      </c>
      <c r="E1167" s="54">
        <v>10</v>
      </c>
      <c r="F1167" s="18" t="s">
        <v>3400</v>
      </c>
      <c r="G1167" s="54" t="s">
        <v>6788</v>
      </c>
      <c r="H1167" s="172" t="s">
        <v>6789</v>
      </c>
      <c r="I1167" s="54" t="s">
        <v>6790</v>
      </c>
      <c r="J1167" s="54"/>
      <c r="K1167" s="54" t="s">
        <v>5511</v>
      </c>
    </row>
    <row r="1168" spans="1:22" s="35" customFormat="1" ht="11.25" customHeight="1" x14ac:dyDescent="0.35">
      <c r="A1168" s="50" t="s">
        <v>4832</v>
      </c>
      <c r="B1168" s="638" t="s">
        <v>6784</v>
      </c>
      <c r="C1168" s="280" t="s">
        <v>2094</v>
      </c>
      <c r="D1168" s="64" t="s">
        <v>6791</v>
      </c>
      <c r="E1168" s="50">
        <v>1</v>
      </c>
      <c r="F1168" s="15" t="s">
        <v>3400</v>
      </c>
      <c r="G1168" s="50"/>
      <c r="H1168" s="165"/>
      <c r="I1168" s="50"/>
      <c r="J1168" s="50"/>
      <c r="K1168" s="50" t="s">
        <v>5338</v>
      </c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</row>
    <row r="1169" spans="1:22" s="39" customFormat="1" ht="11.25" customHeight="1" x14ac:dyDescent="0.35">
      <c r="A1169" s="52" t="s">
        <v>4832</v>
      </c>
      <c r="B1169" s="80" t="s">
        <v>6784</v>
      </c>
      <c r="C1169" s="282" t="s">
        <v>75</v>
      </c>
      <c r="D1169" s="63" t="s">
        <v>6792</v>
      </c>
      <c r="E1169" s="52">
        <v>1</v>
      </c>
      <c r="F1169" s="13" t="s">
        <v>3400</v>
      </c>
      <c r="G1169" s="52">
        <v>1</v>
      </c>
      <c r="H1169" s="167">
        <v>45264</v>
      </c>
      <c r="I1169" s="52" t="s">
        <v>6793</v>
      </c>
      <c r="J1169" s="52"/>
      <c r="K1169" s="52" t="s">
        <v>5365</v>
      </c>
    </row>
    <row r="1170" spans="1:22" s="39" customFormat="1" ht="11.25" customHeight="1" x14ac:dyDescent="0.35">
      <c r="A1170" s="52" t="s">
        <v>4832</v>
      </c>
      <c r="B1170" s="80" t="s">
        <v>6784</v>
      </c>
      <c r="C1170" s="282" t="s">
        <v>79</v>
      </c>
      <c r="D1170" s="63" t="s">
        <v>6794</v>
      </c>
      <c r="E1170" s="52">
        <v>2</v>
      </c>
      <c r="F1170" s="13" t="s">
        <v>3400</v>
      </c>
      <c r="G1170" s="52">
        <v>2</v>
      </c>
      <c r="H1170" s="167">
        <v>45264</v>
      </c>
      <c r="I1170" s="52" t="s">
        <v>6793</v>
      </c>
      <c r="J1170" s="52"/>
      <c r="K1170" s="52" t="s">
        <v>5365</v>
      </c>
    </row>
    <row r="1171" spans="1:22" s="39" customFormat="1" ht="11.25" customHeight="1" x14ac:dyDescent="0.35">
      <c r="A1171" s="52" t="s">
        <v>4832</v>
      </c>
      <c r="B1171" s="80" t="s">
        <v>6784</v>
      </c>
      <c r="C1171" s="282" t="s">
        <v>77</v>
      </c>
      <c r="D1171" s="63" t="s">
        <v>6795</v>
      </c>
      <c r="E1171" s="52">
        <v>1</v>
      </c>
      <c r="F1171" s="13" t="s">
        <v>3400</v>
      </c>
      <c r="G1171" s="52">
        <v>1</v>
      </c>
      <c r="H1171" s="167">
        <v>45264</v>
      </c>
      <c r="I1171" s="52" t="s">
        <v>6793</v>
      </c>
      <c r="J1171" s="52"/>
      <c r="K1171" s="52" t="s">
        <v>5365</v>
      </c>
    </row>
    <row r="1172" spans="1:22" s="39" customFormat="1" ht="11.25" customHeight="1" x14ac:dyDescent="0.35">
      <c r="A1172" s="52" t="s">
        <v>4832</v>
      </c>
      <c r="B1172" s="80" t="s">
        <v>6784</v>
      </c>
      <c r="C1172" s="282" t="s">
        <v>72</v>
      </c>
      <c r="D1172" s="63" t="s">
        <v>6796</v>
      </c>
      <c r="E1172" s="52">
        <v>1</v>
      </c>
      <c r="F1172" s="13" t="s">
        <v>3400</v>
      </c>
      <c r="G1172" s="52">
        <v>1</v>
      </c>
      <c r="H1172" s="167">
        <v>45264</v>
      </c>
      <c r="I1172" s="52" t="s">
        <v>6793</v>
      </c>
      <c r="J1172" s="52"/>
      <c r="K1172" s="52" t="s">
        <v>5365</v>
      </c>
    </row>
    <row r="1173" spans="1:22" s="39" customFormat="1" ht="11.25" customHeight="1" x14ac:dyDescent="0.35">
      <c r="A1173" s="52" t="s">
        <v>4832</v>
      </c>
      <c r="B1173" s="80" t="s">
        <v>6784</v>
      </c>
      <c r="C1173" s="282" t="s">
        <v>725</v>
      </c>
      <c r="D1173" s="63" t="s">
        <v>6797</v>
      </c>
      <c r="E1173" s="52">
        <v>1</v>
      </c>
      <c r="F1173" s="13" t="s">
        <v>3400</v>
      </c>
      <c r="G1173" s="52">
        <v>1</v>
      </c>
      <c r="H1173" s="167">
        <v>45280</v>
      </c>
      <c r="I1173" s="52" t="s">
        <v>5980</v>
      </c>
      <c r="J1173" s="52"/>
      <c r="K1173" s="52" t="s">
        <v>5365</v>
      </c>
    </row>
    <row r="1174" spans="1:22" s="39" customFormat="1" ht="11.25" customHeight="1" x14ac:dyDescent="0.35">
      <c r="A1174" s="52" t="s">
        <v>4832</v>
      </c>
      <c r="B1174" s="80" t="s">
        <v>6784</v>
      </c>
      <c r="C1174" s="282" t="s">
        <v>6798</v>
      </c>
      <c r="D1174" s="63" t="s">
        <v>6799</v>
      </c>
      <c r="E1174" s="52">
        <v>1</v>
      </c>
      <c r="F1174" s="13" t="s">
        <v>3400</v>
      </c>
      <c r="G1174" s="52">
        <v>1</v>
      </c>
      <c r="H1174" s="167">
        <v>45280</v>
      </c>
      <c r="I1174" s="52" t="s">
        <v>5980</v>
      </c>
      <c r="J1174" s="52"/>
      <c r="K1174" s="52" t="s">
        <v>5365</v>
      </c>
    </row>
    <row r="1175" spans="1:22" s="35" customFormat="1" ht="11.25" customHeight="1" x14ac:dyDescent="0.35">
      <c r="A1175" s="50" t="s">
        <v>4832</v>
      </c>
      <c r="B1175" s="638" t="s">
        <v>6784</v>
      </c>
      <c r="C1175" s="280" t="s">
        <v>1916</v>
      </c>
      <c r="D1175" s="64" t="s">
        <v>5180</v>
      </c>
      <c r="E1175" s="50">
        <v>1</v>
      </c>
      <c r="F1175" s="15" t="s">
        <v>3400</v>
      </c>
      <c r="G1175" s="50"/>
      <c r="H1175" s="165"/>
      <c r="I1175" s="50"/>
      <c r="J1175" s="50"/>
      <c r="K1175" s="50" t="s">
        <v>5338</v>
      </c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</row>
    <row r="1176" spans="1:22" s="39" customFormat="1" ht="11.25" customHeight="1" x14ac:dyDescent="0.35">
      <c r="A1176" s="52" t="s">
        <v>4832</v>
      </c>
      <c r="B1176" s="80" t="s">
        <v>6784</v>
      </c>
      <c r="C1176" s="282" t="s">
        <v>81</v>
      </c>
      <c r="D1176" s="63" t="s">
        <v>6800</v>
      </c>
      <c r="E1176" s="52">
        <v>1</v>
      </c>
      <c r="F1176" s="13" t="s">
        <v>3400</v>
      </c>
      <c r="G1176" s="52">
        <v>1</v>
      </c>
      <c r="H1176" s="167">
        <v>45264</v>
      </c>
      <c r="I1176" s="52" t="s">
        <v>6793</v>
      </c>
      <c r="J1176" s="52"/>
      <c r="K1176" s="52" t="s">
        <v>5365</v>
      </c>
    </row>
    <row r="1177" spans="1:22" s="35" customFormat="1" ht="11.25" customHeight="1" x14ac:dyDescent="0.35">
      <c r="A1177" s="50" t="s">
        <v>4832</v>
      </c>
      <c r="B1177" s="638" t="s">
        <v>6784</v>
      </c>
      <c r="C1177" s="280" t="s">
        <v>831</v>
      </c>
      <c r="D1177" s="64" t="s">
        <v>6801</v>
      </c>
      <c r="E1177" s="50">
        <v>1</v>
      </c>
      <c r="F1177" s="15" t="s">
        <v>3400</v>
      </c>
      <c r="G1177" s="50"/>
      <c r="H1177" s="165"/>
      <c r="I1177" s="50"/>
      <c r="J1177" s="50"/>
      <c r="K1177" s="50" t="s">
        <v>5338</v>
      </c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</row>
    <row r="1178" spans="1:22" s="42" customFormat="1" ht="11.25" customHeight="1" x14ac:dyDescent="0.35">
      <c r="A1178" s="53" t="s">
        <v>4832</v>
      </c>
      <c r="B1178" s="639" t="s">
        <v>6784</v>
      </c>
      <c r="C1178" s="283" t="s">
        <v>6802</v>
      </c>
      <c r="D1178" s="65" t="s">
        <v>6803</v>
      </c>
      <c r="E1178" s="53">
        <v>1</v>
      </c>
      <c r="F1178" s="16" t="s">
        <v>3400</v>
      </c>
      <c r="G1178" s="53"/>
      <c r="H1178" s="168"/>
      <c r="I1178" s="53"/>
      <c r="J1178" s="53" t="s">
        <v>6804</v>
      </c>
      <c r="K1178" s="53" t="s">
        <v>5511</v>
      </c>
    </row>
    <row r="1179" spans="1:22" s="39" customFormat="1" ht="11.25" customHeight="1" x14ac:dyDescent="0.35">
      <c r="A1179" s="52" t="s">
        <v>4917</v>
      </c>
      <c r="B1179" s="80"/>
      <c r="C1179" s="282">
        <v>217954601610</v>
      </c>
      <c r="D1179" s="63" t="s">
        <v>6805</v>
      </c>
      <c r="E1179" s="52">
        <v>1</v>
      </c>
      <c r="F1179" s="13" t="s">
        <v>6806</v>
      </c>
      <c r="G1179" s="52">
        <v>1</v>
      </c>
      <c r="H1179" s="167">
        <v>45301</v>
      </c>
      <c r="I1179" s="52" t="s">
        <v>5510</v>
      </c>
      <c r="J1179" s="52" t="s">
        <v>6664</v>
      </c>
      <c r="K1179" s="52" t="s">
        <v>5365</v>
      </c>
    </row>
    <row r="1180" spans="1:22" s="39" customFormat="1" ht="11.25" customHeight="1" x14ac:dyDescent="0.35">
      <c r="A1180" s="52" t="s">
        <v>4917</v>
      </c>
      <c r="B1180" s="80"/>
      <c r="C1180" s="282">
        <v>992673831022</v>
      </c>
      <c r="D1180" s="63" t="s">
        <v>6807</v>
      </c>
      <c r="E1180" s="52">
        <v>1</v>
      </c>
      <c r="F1180" s="13" t="s">
        <v>6806</v>
      </c>
      <c r="G1180" s="52">
        <v>1</v>
      </c>
      <c r="H1180" s="167">
        <v>45302</v>
      </c>
      <c r="I1180" s="52" t="s">
        <v>6044</v>
      </c>
      <c r="J1180" s="52" t="s">
        <v>6664</v>
      </c>
      <c r="K1180" s="52" t="s">
        <v>5365</v>
      </c>
    </row>
    <row r="1181" spans="1:22" s="35" customFormat="1" ht="11.25" customHeight="1" x14ac:dyDescent="0.35">
      <c r="A1181" s="52" t="s">
        <v>4917</v>
      </c>
      <c r="B1181" s="80"/>
      <c r="C1181" s="282" t="s">
        <v>6808</v>
      </c>
      <c r="D1181" s="63" t="s">
        <v>6809</v>
      </c>
      <c r="E1181" s="52">
        <v>2</v>
      </c>
      <c r="F1181" s="13" t="s">
        <v>6806</v>
      </c>
      <c r="G1181" s="52">
        <v>2</v>
      </c>
      <c r="H1181" s="167">
        <v>45421</v>
      </c>
      <c r="I1181" s="52" t="s">
        <v>6810</v>
      </c>
      <c r="J1181" s="52" t="s">
        <v>6664</v>
      </c>
      <c r="K1181" s="52" t="s">
        <v>5338</v>
      </c>
      <c r="L1181" s="39"/>
      <c r="M1181" s="39"/>
      <c r="N1181" s="34"/>
      <c r="O1181" s="34"/>
      <c r="P1181" s="34"/>
      <c r="Q1181" s="34"/>
      <c r="R1181" s="34"/>
      <c r="S1181" s="34"/>
      <c r="T1181" s="34"/>
      <c r="U1181" s="34"/>
      <c r="V1181" s="34"/>
    </row>
    <row r="1182" spans="1:22" s="35" customFormat="1" ht="11.25" customHeight="1" x14ac:dyDescent="0.35">
      <c r="A1182" s="50" t="s">
        <v>4917</v>
      </c>
      <c r="B1182" s="638"/>
      <c r="C1182" s="280">
        <v>265168906389</v>
      </c>
      <c r="D1182" s="64" t="s">
        <v>6811</v>
      </c>
      <c r="E1182" s="50">
        <v>48</v>
      </c>
      <c r="F1182" s="15" t="s">
        <v>6806</v>
      </c>
      <c r="G1182" s="50"/>
      <c r="H1182" s="165"/>
      <c r="I1182" s="50"/>
      <c r="J1182" s="50" t="s">
        <v>6664</v>
      </c>
      <c r="K1182" s="50" t="s">
        <v>5338</v>
      </c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</row>
    <row r="1183" spans="1:22" s="35" customFormat="1" ht="11.25" customHeight="1" x14ac:dyDescent="0.35">
      <c r="A1183" s="50" t="s">
        <v>4917</v>
      </c>
      <c r="B1183" s="638"/>
      <c r="C1183" s="280">
        <v>217530100102</v>
      </c>
      <c r="D1183" s="64" t="s">
        <v>6812</v>
      </c>
      <c r="E1183" s="50">
        <v>1</v>
      </c>
      <c r="F1183" s="15" t="s">
        <v>6806</v>
      </c>
      <c r="G1183" s="50"/>
      <c r="H1183" s="165"/>
      <c r="I1183" s="50"/>
      <c r="J1183" s="50" t="s">
        <v>6664</v>
      </c>
      <c r="K1183" s="50" t="s">
        <v>5338</v>
      </c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</row>
    <row r="1184" spans="1:22" s="35" customFormat="1" ht="11.25" customHeight="1" x14ac:dyDescent="0.35">
      <c r="A1184" s="50" t="s">
        <v>4917</v>
      </c>
      <c r="B1184" s="638"/>
      <c r="C1184" s="280">
        <v>217930100102</v>
      </c>
      <c r="D1184" s="64" t="s">
        <v>6812</v>
      </c>
      <c r="E1184" s="50">
        <v>2</v>
      </c>
      <c r="F1184" s="15" t="s">
        <v>6806</v>
      </c>
      <c r="G1184" s="50"/>
      <c r="H1184" s="165"/>
      <c r="I1184" s="50"/>
      <c r="J1184" s="50" t="s">
        <v>6664</v>
      </c>
      <c r="K1184" s="50" t="s">
        <v>5338</v>
      </c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</row>
    <row r="1185" spans="1:22" s="35" customFormat="1" ht="11.25" customHeight="1" x14ac:dyDescent="0.35">
      <c r="A1185" s="50" t="s">
        <v>4917</v>
      </c>
      <c r="B1185" s="638"/>
      <c r="C1185" s="280">
        <v>274772300103</v>
      </c>
      <c r="D1185" s="64" t="s">
        <v>6813</v>
      </c>
      <c r="E1185" s="50">
        <v>1</v>
      </c>
      <c r="F1185" s="15" t="s">
        <v>6806</v>
      </c>
      <c r="G1185" s="50"/>
      <c r="H1185" s="165"/>
      <c r="I1185" s="50"/>
      <c r="J1185" s="50" t="s">
        <v>6664</v>
      </c>
      <c r="K1185" s="50" t="s">
        <v>5338</v>
      </c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</row>
    <row r="1186" spans="1:22" s="39" customFormat="1" ht="11.25" customHeight="1" x14ac:dyDescent="0.35">
      <c r="A1186" s="52" t="s">
        <v>4917</v>
      </c>
      <c r="B1186" s="80"/>
      <c r="C1186" s="282">
        <v>264181906333</v>
      </c>
      <c r="D1186" s="63" t="s">
        <v>6814</v>
      </c>
      <c r="E1186" s="52">
        <v>2</v>
      </c>
      <c r="F1186" s="13" t="s">
        <v>6806</v>
      </c>
      <c r="G1186" s="52">
        <v>2</v>
      </c>
      <c r="H1186" s="167">
        <v>45303</v>
      </c>
      <c r="I1186" s="52"/>
      <c r="J1186" s="52" t="s">
        <v>6664</v>
      </c>
      <c r="K1186" s="52" t="s">
        <v>5365</v>
      </c>
    </row>
    <row r="1187" spans="1:22" s="39" customFormat="1" ht="11.25" customHeight="1" x14ac:dyDescent="0.35">
      <c r="A1187" s="52" t="s">
        <v>4917</v>
      </c>
      <c r="B1187" s="80"/>
      <c r="C1187" s="282" t="s">
        <v>6815</v>
      </c>
      <c r="D1187" s="63" t="s">
        <v>6816</v>
      </c>
      <c r="E1187" s="52">
        <v>2</v>
      </c>
      <c r="F1187" s="13" t="s">
        <v>6806</v>
      </c>
      <c r="G1187" s="52">
        <v>2</v>
      </c>
      <c r="H1187" s="167">
        <v>45303</v>
      </c>
      <c r="I1187" s="52"/>
      <c r="J1187" s="52" t="s">
        <v>6664</v>
      </c>
      <c r="K1187" s="52" t="s">
        <v>5365</v>
      </c>
    </row>
    <row r="1188" spans="1:22" s="35" customFormat="1" ht="11.25" customHeight="1" x14ac:dyDescent="0.35">
      <c r="A1188" s="50" t="s">
        <v>4917</v>
      </c>
      <c r="B1188" s="638"/>
      <c r="C1188" s="280">
        <v>2707824000106</v>
      </c>
      <c r="D1188" s="64" t="s">
        <v>5871</v>
      </c>
      <c r="E1188" s="50">
        <v>1</v>
      </c>
      <c r="F1188" s="15" t="s">
        <v>6806</v>
      </c>
      <c r="G1188" s="50"/>
      <c r="H1188" s="165"/>
      <c r="I1188" s="50"/>
      <c r="J1188" s="50" t="s">
        <v>6664</v>
      </c>
      <c r="K1188" s="50" t="s">
        <v>5338</v>
      </c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</row>
    <row r="1189" spans="1:22" s="35" customFormat="1" ht="11.25" customHeight="1" x14ac:dyDescent="0.35">
      <c r="A1189" s="50" t="s">
        <v>4917</v>
      </c>
      <c r="B1189" s="638"/>
      <c r="C1189" s="280">
        <v>264175200137</v>
      </c>
      <c r="D1189" s="64" t="s">
        <v>6817</v>
      </c>
      <c r="E1189" s="50">
        <v>2</v>
      </c>
      <c r="F1189" s="15" t="s">
        <v>6806</v>
      </c>
      <c r="G1189" s="50"/>
      <c r="H1189" s="165"/>
      <c r="I1189" s="50"/>
      <c r="J1189" s="50" t="s">
        <v>6664</v>
      </c>
      <c r="K1189" s="50" t="s">
        <v>5338</v>
      </c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</row>
    <row r="1190" spans="1:22" s="39" customFormat="1" ht="11.25" customHeight="1" x14ac:dyDescent="0.35">
      <c r="A1190" s="52" t="s">
        <v>4917</v>
      </c>
      <c r="B1190" s="80"/>
      <c r="C1190" s="282">
        <v>261855249911</v>
      </c>
      <c r="D1190" s="63" t="s">
        <v>6818</v>
      </c>
      <c r="E1190" s="52">
        <v>1</v>
      </c>
      <c r="F1190" s="13" t="s">
        <v>6806</v>
      </c>
      <c r="G1190" s="52">
        <v>1</v>
      </c>
      <c r="H1190" s="167">
        <v>45302</v>
      </c>
      <c r="I1190" s="52" t="s">
        <v>6044</v>
      </c>
      <c r="J1190" s="52" t="s">
        <v>6664</v>
      </c>
      <c r="K1190" s="52" t="s">
        <v>5365</v>
      </c>
    </row>
    <row r="1191" spans="1:22" s="62" customFormat="1" ht="11.25" customHeight="1" x14ac:dyDescent="0.35">
      <c r="A1191" s="70" t="s">
        <v>4917</v>
      </c>
      <c r="B1191" s="111"/>
      <c r="C1191" s="281">
        <v>206033105301</v>
      </c>
      <c r="D1191" s="71" t="s">
        <v>6819</v>
      </c>
      <c r="E1191" s="70">
        <v>2</v>
      </c>
      <c r="F1191" s="72" t="s">
        <v>6806</v>
      </c>
      <c r="G1191" s="70">
        <v>2</v>
      </c>
      <c r="H1191" s="166">
        <v>45471</v>
      </c>
      <c r="I1191" s="70" t="s">
        <v>6820</v>
      </c>
      <c r="J1191" s="70" t="s">
        <v>6664</v>
      </c>
      <c r="K1191" s="70" t="s">
        <v>5365</v>
      </c>
    </row>
    <row r="1192" spans="1:22" s="39" customFormat="1" ht="11.25" customHeight="1" x14ac:dyDescent="0.35">
      <c r="A1192" s="52" t="s">
        <v>4917</v>
      </c>
      <c r="B1192" s="80"/>
      <c r="C1192" s="282">
        <v>264169506305</v>
      </c>
      <c r="D1192" s="63" t="s">
        <v>6821</v>
      </c>
      <c r="E1192" s="52">
        <v>16</v>
      </c>
      <c r="F1192" s="13" t="s">
        <v>6806</v>
      </c>
      <c r="G1192" s="52">
        <v>16</v>
      </c>
      <c r="H1192" s="167">
        <v>45301</v>
      </c>
      <c r="I1192" s="52" t="s">
        <v>5510</v>
      </c>
      <c r="J1192" s="52" t="s">
        <v>6664</v>
      </c>
      <c r="K1192" s="52" t="s">
        <v>5365</v>
      </c>
    </row>
    <row r="1193" spans="1:22" s="39" customFormat="1" ht="11.25" customHeight="1" x14ac:dyDescent="0.35">
      <c r="A1193" s="52" t="s">
        <v>4917</v>
      </c>
      <c r="B1193" s="80"/>
      <c r="C1193" s="282">
        <v>264169506308</v>
      </c>
      <c r="D1193" s="63" t="s">
        <v>6822</v>
      </c>
      <c r="E1193" s="52">
        <v>16</v>
      </c>
      <c r="F1193" s="13" t="s">
        <v>6806</v>
      </c>
      <c r="G1193" s="52">
        <v>16</v>
      </c>
      <c r="H1193" s="167">
        <v>45301</v>
      </c>
      <c r="I1193" s="52" t="s">
        <v>5510</v>
      </c>
      <c r="J1193" s="52" t="s">
        <v>6664</v>
      </c>
      <c r="K1193" s="52" t="s">
        <v>5365</v>
      </c>
    </row>
    <row r="1194" spans="1:22" s="39" customFormat="1" ht="11.25" customHeight="1" x14ac:dyDescent="0.35">
      <c r="A1194" s="52" t="s">
        <v>6471</v>
      </c>
      <c r="B1194" s="80" t="s">
        <v>5763</v>
      </c>
      <c r="C1194" s="282">
        <v>2244332</v>
      </c>
      <c r="D1194" s="63" t="s">
        <v>6490</v>
      </c>
      <c r="E1194" s="52">
        <v>1</v>
      </c>
      <c r="F1194" s="13">
        <v>45058</v>
      </c>
      <c r="G1194" s="52">
        <v>1</v>
      </c>
      <c r="H1194" s="167">
        <v>45278</v>
      </c>
      <c r="I1194" s="52" t="s">
        <v>5766</v>
      </c>
      <c r="J1194" s="52" t="s">
        <v>6823</v>
      </c>
      <c r="K1194" s="52" t="s">
        <v>5365</v>
      </c>
    </row>
    <row r="1195" spans="1:22" s="39" customFormat="1" ht="11.25" customHeight="1" x14ac:dyDescent="0.35">
      <c r="A1195" s="52" t="s">
        <v>6471</v>
      </c>
      <c r="B1195" s="80" t="s">
        <v>5763</v>
      </c>
      <c r="C1195" s="282">
        <v>2116023</v>
      </c>
      <c r="D1195" s="63" t="s">
        <v>6490</v>
      </c>
      <c r="E1195" s="52">
        <v>1</v>
      </c>
      <c r="F1195" s="13">
        <v>45058</v>
      </c>
      <c r="G1195" s="52">
        <v>1</v>
      </c>
      <c r="H1195" s="167">
        <v>45278</v>
      </c>
      <c r="I1195" s="52" t="s">
        <v>5766</v>
      </c>
      <c r="J1195" s="52" t="s">
        <v>6823</v>
      </c>
      <c r="K1195" s="52" t="s">
        <v>5365</v>
      </c>
    </row>
    <row r="1196" spans="1:22" s="39" customFormat="1" ht="11.25" customHeight="1" x14ac:dyDescent="0.35">
      <c r="A1196" s="52" t="s">
        <v>6471</v>
      </c>
      <c r="B1196" s="80" t="s">
        <v>5763</v>
      </c>
      <c r="C1196" s="282">
        <v>2334728</v>
      </c>
      <c r="D1196" s="63" t="s">
        <v>6824</v>
      </c>
      <c r="E1196" s="52">
        <v>1</v>
      </c>
      <c r="F1196" s="13">
        <v>45058</v>
      </c>
      <c r="G1196" s="52">
        <v>1</v>
      </c>
      <c r="H1196" s="167">
        <v>45267</v>
      </c>
      <c r="I1196" s="52" t="s">
        <v>6825</v>
      </c>
      <c r="J1196" s="52" t="s">
        <v>6823</v>
      </c>
      <c r="K1196" s="52" t="s">
        <v>5365</v>
      </c>
    </row>
    <row r="1197" spans="1:22" s="39" customFormat="1" ht="11.25" customHeight="1" x14ac:dyDescent="0.35">
      <c r="A1197" s="52" t="s">
        <v>6471</v>
      </c>
      <c r="B1197" s="80" t="s">
        <v>5763</v>
      </c>
      <c r="C1197" s="282">
        <v>2025316</v>
      </c>
      <c r="D1197" s="63" t="s">
        <v>6826</v>
      </c>
      <c r="E1197" s="52">
        <v>1</v>
      </c>
      <c r="F1197" s="13">
        <v>45058</v>
      </c>
      <c r="G1197" s="52">
        <v>1</v>
      </c>
      <c r="H1197" s="167">
        <v>45278</v>
      </c>
      <c r="I1197" s="52" t="s">
        <v>5766</v>
      </c>
      <c r="J1197" s="52" t="s">
        <v>6827</v>
      </c>
      <c r="K1197" s="52" t="s">
        <v>5365</v>
      </c>
    </row>
    <row r="1198" spans="1:22" s="35" customFormat="1" ht="11.25" customHeight="1" x14ac:dyDescent="0.35">
      <c r="A1198" s="50" t="s">
        <v>6471</v>
      </c>
      <c r="B1198" s="638" t="s">
        <v>5763</v>
      </c>
      <c r="C1198" s="280">
        <v>2707337</v>
      </c>
      <c r="D1198" s="64"/>
      <c r="E1198" s="50">
        <v>11</v>
      </c>
      <c r="F1198" s="15">
        <v>45058</v>
      </c>
      <c r="G1198" s="50"/>
      <c r="H1198" s="165"/>
      <c r="I1198" s="50"/>
      <c r="J1198" s="50" t="s">
        <v>6823</v>
      </c>
      <c r="K1198" s="50" t="s">
        <v>5338</v>
      </c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</row>
    <row r="1199" spans="1:22" s="39" customFormat="1" ht="11.25" customHeight="1" x14ac:dyDescent="0.35">
      <c r="A1199" s="52" t="s">
        <v>6471</v>
      </c>
      <c r="B1199" s="80" t="s">
        <v>5763</v>
      </c>
      <c r="C1199" s="282">
        <v>2246831</v>
      </c>
      <c r="D1199" s="63"/>
      <c r="E1199" s="52">
        <v>1</v>
      </c>
      <c r="F1199" s="13">
        <v>45058</v>
      </c>
      <c r="G1199" s="52">
        <v>1</v>
      </c>
      <c r="H1199" s="167">
        <v>45267</v>
      </c>
      <c r="I1199" s="52" t="s">
        <v>6825</v>
      </c>
      <c r="J1199" s="52" t="s">
        <v>6823</v>
      </c>
      <c r="K1199" s="52" t="s">
        <v>5365</v>
      </c>
    </row>
    <row r="1200" spans="1:22" s="35" customFormat="1" ht="11.25" customHeight="1" x14ac:dyDescent="0.35">
      <c r="A1200" s="50" t="s">
        <v>6471</v>
      </c>
      <c r="B1200" s="638" t="s">
        <v>5763</v>
      </c>
      <c r="C1200" s="280">
        <v>2094699</v>
      </c>
      <c r="D1200" s="64"/>
      <c r="E1200" s="50">
        <v>1</v>
      </c>
      <c r="F1200" s="15">
        <v>45058</v>
      </c>
      <c r="G1200" s="50"/>
      <c r="H1200" s="165"/>
      <c r="I1200" s="50"/>
      <c r="J1200" s="50" t="s">
        <v>6823</v>
      </c>
      <c r="K1200" s="50" t="s">
        <v>5338</v>
      </c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</row>
    <row r="1201" spans="1:22" s="35" customFormat="1" ht="11.25" customHeight="1" x14ac:dyDescent="0.35">
      <c r="A1201" s="50" t="s">
        <v>6471</v>
      </c>
      <c r="B1201" s="638" t="s">
        <v>5763</v>
      </c>
      <c r="C1201" s="280">
        <v>2673171</v>
      </c>
      <c r="D1201" s="64"/>
      <c r="E1201" s="50">
        <v>12</v>
      </c>
      <c r="F1201" s="15">
        <v>45058</v>
      </c>
      <c r="G1201" s="50"/>
      <c r="H1201" s="165"/>
      <c r="I1201" s="50"/>
      <c r="J1201" s="50" t="s">
        <v>6823</v>
      </c>
      <c r="K1201" s="50" t="s">
        <v>5338</v>
      </c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</row>
    <row r="1202" spans="1:22" s="39" customFormat="1" ht="11.25" customHeight="1" x14ac:dyDescent="0.35">
      <c r="A1202" s="52" t="s">
        <v>6471</v>
      </c>
      <c r="B1202" s="80" t="s">
        <v>5763</v>
      </c>
      <c r="C1202" s="282">
        <v>2246834</v>
      </c>
      <c r="D1202" s="63"/>
      <c r="E1202" s="52">
        <v>2</v>
      </c>
      <c r="F1202" s="13">
        <v>45058</v>
      </c>
      <c r="G1202" s="52">
        <v>2</v>
      </c>
      <c r="H1202" s="167">
        <v>45267</v>
      </c>
      <c r="I1202" s="52" t="s">
        <v>6825</v>
      </c>
      <c r="J1202" s="52" t="s">
        <v>6823</v>
      </c>
      <c r="K1202" s="52" t="s">
        <v>5365</v>
      </c>
    </row>
    <row r="1203" spans="1:22" s="39" customFormat="1" ht="11.25" customHeight="1" x14ac:dyDescent="0.35">
      <c r="A1203" s="52" t="s">
        <v>6471</v>
      </c>
      <c r="B1203" s="80" t="s">
        <v>5763</v>
      </c>
      <c r="C1203" s="282">
        <v>2449495</v>
      </c>
      <c r="D1203" s="63" t="s">
        <v>6051</v>
      </c>
      <c r="E1203" s="52">
        <v>1</v>
      </c>
      <c r="F1203" s="13">
        <v>45058</v>
      </c>
      <c r="G1203" s="52">
        <v>1</v>
      </c>
      <c r="H1203" s="167">
        <v>45267</v>
      </c>
      <c r="I1203" s="52" t="s">
        <v>6825</v>
      </c>
      <c r="J1203" s="52" t="s">
        <v>6823</v>
      </c>
      <c r="K1203" s="52" t="s">
        <v>5365</v>
      </c>
    </row>
    <row r="1204" spans="1:22" s="39" customFormat="1" ht="11.25" customHeight="1" x14ac:dyDescent="0.35">
      <c r="A1204" s="52" t="s">
        <v>6471</v>
      </c>
      <c r="B1204" s="80" t="s">
        <v>5763</v>
      </c>
      <c r="C1204" s="282">
        <v>2497306</v>
      </c>
      <c r="D1204" s="63"/>
      <c r="E1204" s="52">
        <v>2</v>
      </c>
      <c r="F1204" s="13">
        <v>45058</v>
      </c>
      <c r="G1204" s="52">
        <v>2</v>
      </c>
      <c r="H1204" s="167">
        <v>45267</v>
      </c>
      <c r="I1204" s="52" t="s">
        <v>6825</v>
      </c>
      <c r="J1204" s="52" t="s">
        <v>6823</v>
      </c>
      <c r="K1204" s="52" t="s">
        <v>5365</v>
      </c>
    </row>
    <row r="1205" spans="1:22" s="39" customFormat="1" ht="11.25" customHeight="1" x14ac:dyDescent="0.35">
      <c r="A1205" s="52" t="s">
        <v>6471</v>
      </c>
      <c r="B1205" s="80" t="s">
        <v>5763</v>
      </c>
      <c r="C1205" s="282" t="s">
        <v>6828</v>
      </c>
      <c r="D1205" s="63"/>
      <c r="E1205" s="52">
        <v>4</v>
      </c>
      <c r="F1205" s="13">
        <v>45058</v>
      </c>
      <c r="G1205" s="52">
        <v>4</v>
      </c>
      <c r="H1205" s="167">
        <v>45267</v>
      </c>
      <c r="I1205" s="52" t="s">
        <v>6825</v>
      </c>
      <c r="J1205" s="52" t="s">
        <v>6823</v>
      </c>
      <c r="K1205" s="52" t="s">
        <v>5365</v>
      </c>
    </row>
    <row r="1206" spans="1:22" s="39" customFormat="1" ht="11.25" customHeight="1" x14ac:dyDescent="0.35">
      <c r="A1206" s="52" t="s">
        <v>5336</v>
      </c>
      <c r="B1206" s="80"/>
      <c r="C1206" s="282" t="s">
        <v>6829</v>
      </c>
      <c r="D1206" s="63" t="s">
        <v>2441</v>
      </c>
      <c r="E1206" s="52">
        <v>16</v>
      </c>
      <c r="F1206" s="13" t="s">
        <v>6806</v>
      </c>
      <c r="G1206" s="52">
        <v>16</v>
      </c>
      <c r="H1206" s="167">
        <v>45281</v>
      </c>
      <c r="I1206" s="52" t="s">
        <v>6830</v>
      </c>
      <c r="J1206" s="52" t="s">
        <v>6664</v>
      </c>
      <c r="K1206" s="52" t="s">
        <v>5365</v>
      </c>
    </row>
    <row r="1207" spans="1:22" s="39" customFormat="1" ht="11.25" customHeight="1" x14ac:dyDescent="0.35">
      <c r="A1207" s="52" t="s">
        <v>5336</v>
      </c>
      <c r="B1207" s="80"/>
      <c r="C1207" s="282" t="s">
        <v>6831</v>
      </c>
      <c r="D1207" s="63" t="s">
        <v>5953</v>
      </c>
      <c r="E1207" s="52">
        <v>16</v>
      </c>
      <c r="F1207" s="13" t="s">
        <v>6806</v>
      </c>
      <c r="G1207" s="52">
        <v>16</v>
      </c>
      <c r="H1207" s="167">
        <v>45281</v>
      </c>
      <c r="I1207" s="52" t="s">
        <v>6830</v>
      </c>
      <c r="J1207" s="52" t="s">
        <v>6664</v>
      </c>
      <c r="K1207" s="52" t="s">
        <v>5365</v>
      </c>
    </row>
    <row r="1208" spans="1:22" s="35" customFormat="1" ht="11.25" customHeight="1" x14ac:dyDescent="0.35">
      <c r="A1208" s="50" t="s">
        <v>5336</v>
      </c>
      <c r="B1208" s="638"/>
      <c r="C1208" s="280" t="s">
        <v>6447</v>
      </c>
      <c r="D1208" s="64"/>
      <c r="E1208" s="50">
        <v>1</v>
      </c>
      <c r="F1208" s="15" t="s">
        <v>6806</v>
      </c>
      <c r="G1208" s="50"/>
      <c r="H1208" s="165"/>
      <c r="I1208" s="50"/>
      <c r="J1208" s="50" t="s">
        <v>6664</v>
      </c>
      <c r="K1208" s="50" t="s">
        <v>5338</v>
      </c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</row>
    <row r="1209" spans="1:22" s="35" customFormat="1" ht="11.25" customHeight="1" x14ac:dyDescent="0.35">
      <c r="A1209" s="50" t="s">
        <v>5336</v>
      </c>
      <c r="B1209" s="638"/>
      <c r="C1209" s="280" t="s">
        <v>6832</v>
      </c>
      <c r="D1209" s="64" t="s">
        <v>2403</v>
      </c>
      <c r="E1209" s="50">
        <v>32</v>
      </c>
      <c r="F1209" s="15" t="s">
        <v>6806</v>
      </c>
      <c r="G1209" s="50"/>
      <c r="H1209" s="165"/>
      <c r="I1209" s="50"/>
      <c r="J1209" s="50" t="s">
        <v>6664</v>
      </c>
      <c r="K1209" s="50" t="s">
        <v>5338</v>
      </c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</row>
    <row r="1210" spans="1:22" s="35" customFormat="1" ht="11.25" customHeight="1" x14ac:dyDescent="0.35">
      <c r="A1210" s="50" t="s">
        <v>5336</v>
      </c>
      <c r="B1210" s="638"/>
      <c r="C1210" s="280" t="s">
        <v>6833</v>
      </c>
      <c r="D1210" s="64" t="s">
        <v>5699</v>
      </c>
      <c r="E1210" s="50">
        <v>16</v>
      </c>
      <c r="F1210" s="15" t="s">
        <v>6806</v>
      </c>
      <c r="G1210" s="50"/>
      <c r="H1210" s="165"/>
      <c r="I1210" s="50"/>
      <c r="J1210" s="50" t="s">
        <v>6664</v>
      </c>
      <c r="K1210" s="50" t="s">
        <v>5338</v>
      </c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</row>
    <row r="1211" spans="1:22" s="35" customFormat="1" ht="11.25" customHeight="1" x14ac:dyDescent="0.35">
      <c r="A1211" s="50" t="s">
        <v>5336</v>
      </c>
      <c r="B1211" s="638"/>
      <c r="C1211" s="280" t="s">
        <v>6834</v>
      </c>
      <c r="D1211" s="64" t="s">
        <v>5060</v>
      </c>
      <c r="E1211" s="50">
        <v>64</v>
      </c>
      <c r="F1211" s="15" t="s">
        <v>6806</v>
      </c>
      <c r="G1211" s="50"/>
      <c r="H1211" s="165"/>
      <c r="I1211" s="50"/>
      <c r="J1211" s="50" t="s">
        <v>6664</v>
      </c>
      <c r="K1211" s="50" t="s">
        <v>5338</v>
      </c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</row>
    <row r="1212" spans="1:22" s="35" customFormat="1" ht="11.25" customHeight="1" x14ac:dyDescent="0.35">
      <c r="A1212" s="50" t="s">
        <v>5336</v>
      </c>
      <c r="B1212" s="638"/>
      <c r="C1212" s="280" t="s">
        <v>6835</v>
      </c>
      <c r="D1212" s="64" t="s">
        <v>5699</v>
      </c>
      <c r="E1212" s="50">
        <v>16</v>
      </c>
      <c r="F1212" s="15" t="s">
        <v>6806</v>
      </c>
      <c r="G1212" s="50"/>
      <c r="H1212" s="165"/>
      <c r="I1212" s="50"/>
      <c r="J1212" s="50" t="s">
        <v>6664</v>
      </c>
      <c r="K1212" s="50" t="s">
        <v>5338</v>
      </c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</row>
    <row r="1213" spans="1:22" s="35" customFormat="1" ht="11.25" customHeight="1" x14ac:dyDescent="0.35">
      <c r="A1213" s="50" t="s">
        <v>5336</v>
      </c>
      <c r="B1213" s="638"/>
      <c r="C1213" s="280" t="s">
        <v>6836</v>
      </c>
      <c r="D1213" s="64" t="s">
        <v>5787</v>
      </c>
      <c r="E1213" s="50">
        <v>16</v>
      </c>
      <c r="F1213" s="15" t="s">
        <v>6806</v>
      </c>
      <c r="G1213" s="50"/>
      <c r="H1213" s="165"/>
      <c r="I1213" s="50"/>
      <c r="J1213" s="50"/>
      <c r="K1213" s="50" t="s">
        <v>5338</v>
      </c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</row>
    <row r="1214" spans="1:22" s="35" customFormat="1" ht="11.25" customHeight="1" x14ac:dyDescent="0.35">
      <c r="A1214" s="50" t="s">
        <v>5336</v>
      </c>
      <c r="B1214" s="638"/>
      <c r="C1214" s="280" t="s">
        <v>6837</v>
      </c>
      <c r="D1214" s="64" t="s">
        <v>5194</v>
      </c>
      <c r="E1214" s="50">
        <v>56</v>
      </c>
      <c r="F1214" s="15" t="s">
        <v>6806</v>
      </c>
      <c r="G1214" s="50"/>
      <c r="H1214" s="165"/>
      <c r="I1214" s="50"/>
      <c r="J1214" s="50"/>
      <c r="K1214" s="50" t="s">
        <v>5338</v>
      </c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</row>
    <row r="1215" spans="1:22" s="35" customFormat="1" ht="11.25" customHeight="1" x14ac:dyDescent="0.35">
      <c r="A1215" s="50" t="s">
        <v>6471</v>
      </c>
      <c r="B1215" s="638" t="s">
        <v>6838</v>
      </c>
      <c r="C1215" s="280">
        <v>11127318</v>
      </c>
      <c r="D1215" s="64" t="s">
        <v>6839</v>
      </c>
      <c r="E1215" s="50">
        <v>6</v>
      </c>
      <c r="F1215" s="15">
        <v>44986</v>
      </c>
      <c r="G1215" s="50"/>
      <c r="H1215" s="165"/>
      <c r="I1215" s="50"/>
      <c r="J1215" s="50"/>
      <c r="K1215" s="50" t="s">
        <v>5338</v>
      </c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</row>
    <row r="1216" spans="1:22" s="35" customFormat="1" ht="11.25" customHeight="1" x14ac:dyDescent="0.35">
      <c r="A1216" s="50" t="s">
        <v>6471</v>
      </c>
      <c r="B1216" s="638" t="s">
        <v>6838</v>
      </c>
      <c r="C1216" s="280">
        <v>1127319</v>
      </c>
      <c r="D1216" s="64" t="s">
        <v>6839</v>
      </c>
      <c r="E1216" s="50">
        <v>8</v>
      </c>
      <c r="F1216" s="15">
        <v>44986</v>
      </c>
      <c r="G1216" s="50"/>
      <c r="H1216" s="165"/>
      <c r="I1216" s="50"/>
      <c r="J1216" s="50"/>
      <c r="K1216" s="50" t="s">
        <v>5338</v>
      </c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</row>
    <row r="1217" spans="1:11" s="61" customFormat="1" ht="11.25" customHeight="1" x14ac:dyDescent="0.35">
      <c r="A1217" s="54" t="s">
        <v>6471</v>
      </c>
      <c r="B1217" s="643" t="s">
        <v>5763</v>
      </c>
      <c r="C1217" s="287">
        <v>2075150</v>
      </c>
      <c r="D1217" s="78" t="s">
        <v>1423</v>
      </c>
      <c r="E1217" s="54">
        <v>9</v>
      </c>
      <c r="F1217" s="18"/>
      <c r="G1217" s="54">
        <v>6</v>
      </c>
      <c r="H1217" s="172">
        <v>45294</v>
      </c>
      <c r="I1217" s="54" t="s">
        <v>5903</v>
      </c>
      <c r="J1217" s="54" t="s">
        <v>6840</v>
      </c>
      <c r="K1217" s="54" t="s">
        <v>5511</v>
      </c>
    </row>
    <row r="1218" spans="1:11" s="39" customFormat="1" ht="11.25" customHeight="1" x14ac:dyDescent="0.35">
      <c r="A1218" s="52" t="s">
        <v>6471</v>
      </c>
      <c r="B1218" s="80" t="s">
        <v>5763</v>
      </c>
      <c r="C1218" s="282">
        <v>816122</v>
      </c>
      <c r="D1218" s="63" t="s">
        <v>1426</v>
      </c>
      <c r="E1218" s="52"/>
      <c r="F1218" s="13"/>
      <c r="G1218" s="52">
        <v>50</v>
      </c>
      <c r="H1218" s="167">
        <v>45294</v>
      </c>
      <c r="I1218" s="52" t="s">
        <v>5903</v>
      </c>
      <c r="J1218" s="52" t="s">
        <v>6840</v>
      </c>
      <c r="K1218" s="52" t="s">
        <v>5365</v>
      </c>
    </row>
    <row r="1219" spans="1:11" s="44" customFormat="1" ht="11.25" customHeight="1" x14ac:dyDescent="0.35">
      <c r="A1219" s="222" t="s">
        <v>6471</v>
      </c>
      <c r="B1219" s="645" t="s">
        <v>5763</v>
      </c>
      <c r="C1219" s="289">
        <v>816132</v>
      </c>
      <c r="D1219" s="223" t="s">
        <v>1426</v>
      </c>
      <c r="E1219" s="222">
        <v>100</v>
      </c>
      <c r="F1219" s="224"/>
      <c r="G1219" s="222">
        <v>200</v>
      </c>
      <c r="H1219" s="225">
        <v>45294</v>
      </c>
      <c r="I1219" s="222" t="s">
        <v>5903</v>
      </c>
      <c r="J1219" s="222" t="s">
        <v>6840</v>
      </c>
      <c r="K1219" s="54" t="s">
        <v>5511</v>
      </c>
    </row>
    <row r="1220" spans="1:11" s="39" customFormat="1" ht="11.25" customHeight="1" x14ac:dyDescent="0.35">
      <c r="A1220" s="52" t="s">
        <v>6471</v>
      </c>
      <c r="B1220" s="80" t="s">
        <v>5763</v>
      </c>
      <c r="C1220" s="282">
        <v>223649</v>
      </c>
      <c r="D1220" s="63" t="s">
        <v>6841</v>
      </c>
      <c r="E1220" s="52">
        <v>20</v>
      </c>
      <c r="F1220" s="13"/>
      <c r="G1220" s="52">
        <v>20</v>
      </c>
      <c r="H1220" s="167">
        <v>45294</v>
      </c>
      <c r="I1220" s="52" t="s">
        <v>5903</v>
      </c>
      <c r="J1220" s="52" t="s">
        <v>6840</v>
      </c>
      <c r="K1220" s="52" t="s">
        <v>5365</v>
      </c>
    </row>
    <row r="1221" spans="1:11" s="39" customFormat="1" ht="11.25" customHeight="1" x14ac:dyDescent="0.35">
      <c r="A1221" s="52" t="s">
        <v>6471</v>
      </c>
      <c r="B1221" s="80" t="s">
        <v>5763</v>
      </c>
      <c r="C1221" s="282">
        <v>814841</v>
      </c>
      <c r="D1221" s="63" t="s">
        <v>5060</v>
      </c>
      <c r="E1221" s="52">
        <v>100</v>
      </c>
      <c r="F1221" s="13"/>
      <c r="G1221" s="52">
        <v>100</v>
      </c>
      <c r="H1221" s="167">
        <v>45294</v>
      </c>
      <c r="I1221" s="52" t="s">
        <v>5903</v>
      </c>
      <c r="J1221" s="52" t="s">
        <v>6840</v>
      </c>
      <c r="K1221" s="52" t="s">
        <v>5365</v>
      </c>
    </row>
    <row r="1222" spans="1:11" s="39" customFormat="1" ht="11.25" customHeight="1" x14ac:dyDescent="0.35">
      <c r="A1222" s="52" t="s">
        <v>6471</v>
      </c>
      <c r="B1222" s="80" t="s">
        <v>5763</v>
      </c>
      <c r="C1222" s="282">
        <v>5383</v>
      </c>
      <c r="D1222" s="63" t="s">
        <v>6842</v>
      </c>
      <c r="E1222" s="52">
        <v>12</v>
      </c>
      <c r="F1222" s="13"/>
      <c r="G1222" s="52">
        <v>12</v>
      </c>
      <c r="H1222" s="167">
        <v>45294</v>
      </c>
      <c r="I1222" s="52" t="s">
        <v>5903</v>
      </c>
      <c r="J1222" s="52" t="s">
        <v>6843</v>
      </c>
      <c r="K1222" s="52" t="s">
        <v>5365</v>
      </c>
    </row>
    <row r="1223" spans="1:11" s="39" customFormat="1" ht="11.25" customHeight="1" x14ac:dyDescent="0.35">
      <c r="A1223" s="52" t="s">
        <v>6471</v>
      </c>
      <c r="B1223" s="80" t="s">
        <v>5763</v>
      </c>
      <c r="C1223" s="282">
        <v>1878322</v>
      </c>
      <c r="D1223" s="63" t="s">
        <v>1264</v>
      </c>
      <c r="E1223" s="52">
        <v>58</v>
      </c>
      <c r="F1223" s="13"/>
      <c r="G1223" s="52">
        <v>58</v>
      </c>
      <c r="H1223" s="167">
        <v>45294</v>
      </c>
      <c r="I1223" s="52" t="s">
        <v>5903</v>
      </c>
      <c r="J1223" s="52" t="s">
        <v>6840</v>
      </c>
      <c r="K1223" s="52" t="s">
        <v>5365</v>
      </c>
    </row>
    <row r="1224" spans="1:11" s="42" customFormat="1" ht="11.25" customHeight="1" x14ac:dyDescent="0.35">
      <c r="A1224" s="222" t="s">
        <v>6471</v>
      </c>
      <c r="B1224" s="645" t="s">
        <v>5763</v>
      </c>
      <c r="C1224" s="289">
        <v>1114180</v>
      </c>
      <c r="D1224" s="223" t="s">
        <v>2354</v>
      </c>
      <c r="E1224" s="222">
        <v>24</v>
      </c>
      <c r="F1224" s="224"/>
      <c r="G1224" s="222">
        <v>13</v>
      </c>
      <c r="H1224" s="225">
        <v>45295</v>
      </c>
      <c r="I1224" s="222" t="s">
        <v>5842</v>
      </c>
      <c r="J1224" s="222" t="s">
        <v>6844</v>
      </c>
      <c r="K1224" s="53" t="s">
        <v>5511</v>
      </c>
    </row>
    <row r="1225" spans="1:11" s="42" customFormat="1" ht="11.25" customHeight="1" x14ac:dyDescent="0.35">
      <c r="A1225" s="222" t="s">
        <v>6471</v>
      </c>
      <c r="B1225" s="645" t="s">
        <v>5763</v>
      </c>
      <c r="C1225" s="289">
        <v>434964</v>
      </c>
      <c r="D1225" s="223" t="s">
        <v>1297</v>
      </c>
      <c r="E1225" s="222">
        <v>45</v>
      </c>
      <c r="F1225" s="224"/>
      <c r="G1225" s="222">
        <v>13</v>
      </c>
      <c r="H1225" s="225">
        <v>45295</v>
      </c>
      <c r="I1225" s="222" t="s">
        <v>5842</v>
      </c>
      <c r="J1225" s="222" t="s">
        <v>6845</v>
      </c>
      <c r="K1225" s="53" t="s">
        <v>5511</v>
      </c>
    </row>
    <row r="1226" spans="1:11" s="42" customFormat="1" ht="11.25" customHeight="1" x14ac:dyDescent="0.35">
      <c r="A1226" s="222" t="s">
        <v>6471</v>
      </c>
      <c r="B1226" s="645" t="s">
        <v>5763</v>
      </c>
      <c r="C1226" s="289">
        <v>1723843</v>
      </c>
      <c r="D1226" s="223" t="s">
        <v>1297</v>
      </c>
      <c r="E1226" s="222">
        <v>21</v>
      </c>
      <c r="F1226" s="224"/>
      <c r="G1226" s="222">
        <v>13</v>
      </c>
      <c r="H1226" s="225">
        <v>45295</v>
      </c>
      <c r="I1226" s="222" t="s">
        <v>5842</v>
      </c>
      <c r="J1226" s="222" t="s">
        <v>6845</v>
      </c>
      <c r="K1226" s="53" t="s">
        <v>5511</v>
      </c>
    </row>
    <row r="1227" spans="1:11" s="39" customFormat="1" ht="11.25" customHeight="1" x14ac:dyDescent="0.35">
      <c r="A1227" s="52" t="s">
        <v>6471</v>
      </c>
      <c r="B1227" s="80" t="s">
        <v>5763</v>
      </c>
      <c r="C1227" s="282">
        <v>2267542</v>
      </c>
      <c r="D1227" s="63" t="s">
        <v>6846</v>
      </c>
      <c r="E1227" s="52">
        <v>1</v>
      </c>
      <c r="F1227" s="13">
        <v>45299</v>
      </c>
      <c r="G1227" s="52">
        <v>1</v>
      </c>
      <c r="H1227" s="167">
        <v>45302</v>
      </c>
      <c r="I1227" s="52" t="s">
        <v>5865</v>
      </c>
      <c r="J1227" s="52" t="s">
        <v>6847</v>
      </c>
      <c r="K1227" s="52" t="s">
        <v>5365</v>
      </c>
    </row>
    <row r="1228" spans="1:11" s="62" customFormat="1" ht="11.25" customHeight="1" x14ac:dyDescent="0.35">
      <c r="A1228" s="52" t="s">
        <v>6471</v>
      </c>
      <c r="B1228" s="80" t="s">
        <v>5763</v>
      </c>
      <c r="C1228" s="282">
        <v>2354274</v>
      </c>
      <c r="D1228" s="63" t="s">
        <v>1594</v>
      </c>
      <c r="E1228" s="52">
        <v>3</v>
      </c>
      <c r="F1228" s="13">
        <v>45299</v>
      </c>
      <c r="G1228" s="52">
        <v>3</v>
      </c>
      <c r="H1228" s="167">
        <v>45313</v>
      </c>
      <c r="I1228" s="52" t="s">
        <v>5413</v>
      </c>
      <c r="J1228" s="52" t="s">
        <v>6847</v>
      </c>
      <c r="K1228" s="52" t="s">
        <v>5365</v>
      </c>
    </row>
    <row r="1229" spans="1:11" s="39" customFormat="1" ht="11.25" customHeight="1" x14ac:dyDescent="0.35">
      <c r="A1229" s="52" t="s">
        <v>6471</v>
      </c>
      <c r="B1229" s="80" t="s">
        <v>5763</v>
      </c>
      <c r="C1229" s="282">
        <v>2091998</v>
      </c>
      <c r="D1229" s="63" t="s">
        <v>6848</v>
      </c>
      <c r="E1229" s="52">
        <v>1</v>
      </c>
      <c r="F1229" s="13">
        <v>45299</v>
      </c>
      <c r="G1229" s="52">
        <v>1</v>
      </c>
      <c r="H1229" s="167">
        <v>45302</v>
      </c>
      <c r="I1229" s="52" t="s">
        <v>5865</v>
      </c>
      <c r="J1229" s="52" t="s">
        <v>6847</v>
      </c>
      <c r="K1229" s="52" t="s">
        <v>5365</v>
      </c>
    </row>
    <row r="1230" spans="1:11" s="39" customFormat="1" ht="11.25" customHeight="1" x14ac:dyDescent="0.35">
      <c r="A1230" s="52" t="s">
        <v>6471</v>
      </c>
      <c r="B1230" s="80" t="s">
        <v>5763</v>
      </c>
      <c r="C1230" s="282">
        <v>2258466</v>
      </c>
      <c r="D1230" s="63" t="s">
        <v>6849</v>
      </c>
      <c r="E1230" s="52">
        <v>1</v>
      </c>
      <c r="F1230" s="13">
        <v>45299</v>
      </c>
      <c r="G1230" s="52">
        <v>1</v>
      </c>
      <c r="H1230" s="167">
        <v>45302</v>
      </c>
      <c r="I1230" s="52" t="s">
        <v>5865</v>
      </c>
      <c r="J1230" s="52" t="s">
        <v>6847</v>
      </c>
      <c r="K1230" s="52" t="s">
        <v>5365</v>
      </c>
    </row>
    <row r="1231" spans="1:11" s="39" customFormat="1" ht="11.25" customHeight="1" x14ac:dyDescent="0.35">
      <c r="A1231" s="52" t="s">
        <v>6471</v>
      </c>
      <c r="B1231" s="80" t="s">
        <v>5763</v>
      </c>
      <c r="C1231" s="282">
        <v>2554704</v>
      </c>
      <c r="D1231" s="63" t="s">
        <v>6850</v>
      </c>
      <c r="E1231" s="52">
        <v>1</v>
      </c>
      <c r="F1231" s="13">
        <v>45299</v>
      </c>
      <c r="G1231" s="52">
        <v>1</v>
      </c>
      <c r="H1231" s="167">
        <v>45302</v>
      </c>
      <c r="I1231" s="52" t="s">
        <v>5865</v>
      </c>
      <c r="J1231" s="52" t="s">
        <v>6847</v>
      </c>
      <c r="K1231" s="52" t="s">
        <v>5365</v>
      </c>
    </row>
    <row r="1232" spans="1:11" s="62" customFormat="1" ht="11.25" customHeight="1" x14ac:dyDescent="0.35">
      <c r="A1232" s="52" t="s">
        <v>6471</v>
      </c>
      <c r="B1232" s="80" t="s">
        <v>5763</v>
      </c>
      <c r="C1232" s="282">
        <v>1869255</v>
      </c>
      <c r="D1232" s="63" t="s">
        <v>6346</v>
      </c>
      <c r="E1232" s="52">
        <v>3</v>
      </c>
      <c r="F1232" s="13">
        <v>45299</v>
      </c>
      <c r="G1232" s="52">
        <v>3</v>
      </c>
      <c r="H1232" s="167">
        <v>45313</v>
      </c>
      <c r="I1232" s="52" t="s">
        <v>5413</v>
      </c>
      <c r="J1232" s="52" t="s">
        <v>6847</v>
      </c>
      <c r="K1232" s="52" t="s">
        <v>5365</v>
      </c>
    </row>
    <row r="1233" spans="1:22" s="39" customFormat="1" ht="11.25" customHeight="1" x14ac:dyDescent="0.35">
      <c r="A1233" s="52" t="s">
        <v>6471</v>
      </c>
      <c r="B1233" s="80" t="s">
        <v>5763</v>
      </c>
      <c r="C1233" s="282">
        <v>2379554</v>
      </c>
      <c r="D1233" s="63" t="s">
        <v>6851</v>
      </c>
      <c r="E1233" s="52">
        <v>6</v>
      </c>
      <c r="F1233" s="13">
        <v>45299</v>
      </c>
      <c r="G1233" s="52" t="s">
        <v>6655</v>
      </c>
      <c r="H1233" s="167">
        <v>45313</v>
      </c>
      <c r="I1233" s="52" t="s">
        <v>5903</v>
      </c>
      <c r="J1233" s="52" t="s">
        <v>6847</v>
      </c>
      <c r="K1233" s="52" t="s">
        <v>5365</v>
      </c>
    </row>
    <row r="1234" spans="1:22" s="35" customFormat="1" ht="11.25" customHeight="1" x14ac:dyDescent="0.35">
      <c r="A1234" s="50" t="s">
        <v>6471</v>
      </c>
      <c r="B1234" s="638" t="s">
        <v>5763</v>
      </c>
      <c r="C1234" s="280">
        <v>2168490</v>
      </c>
      <c r="D1234" s="64" t="s">
        <v>6852</v>
      </c>
      <c r="E1234" s="50">
        <v>1</v>
      </c>
      <c r="F1234" s="15">
        <v>45299</v>
      </c>
      <c r="G1234" s="50"/>
      <c r="H1234" s="165"/>
      <c r="I1234" s="50"/>
      <c r="J1234" s="50" t="s">
        <v>6853</v>
      </c>
      <c r="K1234" s="50" t="s">
        <v>5338</v>
      </c>
    </row>
    <row r="1235" spans="1:22" s="39" customFormat="1" ht="11.25" customHeight="1" x14ac:dyDescent="0.35">
      <c r="A1235" s="52" t="s">
        <v>6471</v>
      </c>
      <c r="B1235" s="80" t="s">
        <v>5763</v>
      </c>
      <c r="C1235" s="282">
        <v>2728344</v>
      </c>
      <c r="D1235" s="63" t="s">
        <v>6854</v>
      </c>
      <c r="E1235" s="52">
        <v>4</v>
      </c>
      <c r="F1235" s="13">
        <v>45299</v>
      </c>
      <c r="G1235" s="52">
        <v>4</v>
      </c>
      <c r="H1235" s="167">
        <v>45300</v>
      </c>
      <c r="I1235" s="52" t="s">
        <v>5865</v>
      </c>
      <c r="J1235" s="52" t="s">
        <v>6853</v>
      </c>
      <c r="K1235" s="52" t="s">
        <v>5365</v>
      </c>
    </row>
    <row r="1236" spans="1:22" s="39" customFormat="1" ht="11.25" customHeight="1" x14ac:dyDescent="0.35">
      <c r="A1236" s="52" t="s">
        <v>6471</v>
      </c>
      <c r="B1236" s="80" t="s">
        <v>5763</v>
      </c>
      <c r="C1236" s="282">
        <v>2499824</v>
      </c>
      <c r="D1236" s="63" t="s">
        <v>6855</v>
      </c>
      <c r="E1236" s="52">
        <v>1</v>
      </c>
      <c r="F1236" s="13">
        <v>45299</v>
      </c>
      <c r="G1236" s="52">
        <v>1</v>
      </c>
      <c r="H1236" s="167">
        <v>45300</v>
      </c>
      <c r="I1236" s="52" t="s">
        <v>5865</v>
      </c>
      <c r="J1236" s="52" t="s">
        <v>6853</v>
      </c>
      <c r="K1236" s="52" t="s">
        <v>5365</v>
      </c>
    </row>
    <row r="1237" spans="1:22" s="39" customFormat="1" ht="11.25" customHeight="1" x14ac:dyDescent="0.35">
      <c r="A1237" s="52" t="s">
        <v>6471</v>
      </c>
      <c r="B1237" s="80" t="s">
        <v>5763</v>
      </c>
      <c r="C1237" s="282">
        <v>2838699</v>
      </c>
      <c r="D1237" s="63" t="s">
        <v>6856</v>
      </c>
      <c r="E1237" s="52">
        <v>6</v>
      </c>
      <c r="F1237" s="13">
        <v>45299</v>
      </c>
      <c r="G1237" s="52"/>
      <c r="H1237" s="167"/>
      <c r="I1237" s="52"/>
      <c r="J1237" s="52" t="s">
        <v>6857</v>
      </c>
      <c r="K1237" s="52" t="s">
        <v>5365</v>
      </c>
    </row>
    <row r="1238" spans="1:22" s="35" customFormat="1" ht="11.25" customHeight="1" x14ac:dyDescent="0.35">
      <c r="A1238" s="50" t="s">
        <v>6471</v>
      </c>
      <c r="B1238" s="638" t="s">
        <v>5763</v>
      </c>
      <c r="C1238" s="280">
        <v>2894766</v>
      </c>
      <c r="D1238" s="64" t="s">
        <v>6858</v>
      </c>
      <c r="E1238" s="50">
        <v>6</v>
      </c>
      <c r="F1238" s="15">
        <v>45299</v>
      </c>
      <c r="G1238" s="50"/>
      <c r="H1238" s="165"/>
      <c r="I1238" s="50"/>
      <c r="J1238" s="50" t="s">
        <v>6857</v>
      </c>
      <c r="K1238" s="50" t="s">
        <v>5338</v>
      </c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</row>
    <row r="1239" spans="1:22" s="39" customFormat="1" ht="11.25" customHeight="1" x14ac:dyDescent="0.35">
      <c r="A1239" s="52" t="s">
        <v>6471</v>
      </c>
      <c r="B1239" s="80" t="s">
        <v>5763</v>
      </c>
      <c r="C1239" s="282">
        <v>2282097</v>
      </c>
      <c r="D1239" s="63" t="s">
        <v>5795</v>
      </c>
      <c r="E1239" s="52">
        <v>40</v>
      </c>
      <c r="F1239" s="13">
        <v>45280</v>
      </c>
      <c r="G1239" s="52">
        <v>40</v>
      </c>
      <c r="H1239" s="167">
        <v>45300</v>
      </c>
      <c r="I1239" s="52" t="s">
        <v>5865</v>
      </c>
      <c r="J1239" s="52"/>
      <c r="K1239" s="52" t="s">
        <v>5365</v>
      </c>
    </row>
    <row r="1240" spans="1:22" s="39" customFormat="1" ht="11.25" customHeight="1" x14ac:dyDescent="0.35">
      <c r="A1240" s="52" t="s">
        <v>6471</v>
      </c>
      <c r="B1240" s="80" t="s">
        <v>5763</v>
      </c>
      <c r="C1240" s="282">
        <v>2520544</v>
      </c>
      <c r="D1240" s="63" t="s">
        <v>1297</v>
      </c>
      <c r="E1240" s="52">
        <v>10</v>
      </c>
      <c r="F1240" s="13">
        <v>45280</v>
      </c>
      <c r="G1240" s="52">
        <v>10</v>
      </c>
      <c r="H1240" s="167">
        <v>45300</v>
      </c>
      <c r="I1240" s="52" t="s">
        <v>5865</v>
      </c>
      <c r="J1240" s="52"/>
      <c r="K1240" s="52" t="s">
        <v>5365</v>
      </c>
    </row>
    <row r="1241" spans="1:22" s="39" customFormat="1" ht="11.25" customHeight="1" x14ac:dyDescent="0.35">
      <c r="A1241" s="52" t="s">
        <v>6471</v>
      </c>
      <c r="B1241" s="80" t="s">
        <v>5763</v>
      </c>
      <c r="C1241" s="282">
        <v>2756665</v>
      </c>
      <c r="D1241" s="63" t="s">
        <v>1297</v>
      </c>
      <c r="E1241" s="52">
        <v>10</v>
      </c>
      <c r="F1241" s="13">
        <v>45280</v>
      </c>
      <c r="G1241" s="52">
        <v>10</v>
      </c>
      <c r="H1241" s="167">
        <v>45300</v>
      </c>
      <c r="I1241" s="52" t="s">
        <v>5865</v>
      </c>
      <c r="J1241" s="52"/>
      <c r="K1241" s="52" t="s">
        <v>5365</v>
      </c>
    </row>
    <row r="1242" spans="1:22" s="39" customFormat="1" ht="11.25" customHeight="1" x14ac:dyDescent="0.35">
      <c r="A1242" s="52" t="s">
        <v>6471</v>
      </c>
      <c r="B1242" s="80" t="s">
        <v>5763</v>
      </c>
      <c r="C1242" s="282">
        <v>2642476</v>
      </c>
      <c r="D1242" s="63" t="s">
        <v>1297</v>
      </c>
      <c r="E1242" s="52">
        <v>10</v>
      </c>
      <c r="F1242" s="13">
        <v>45280</v>
      </c>
      <c r="G1242" s="52">
        <v>10</v>
      </c>
      <c r="H1242" s="167">
        <v>45300</v>
      </c>
      <c r="I1242" s="52" t="s">
        <v>5865</v>
      </c>
      <c r="J1242" s="52"/>
      <c r="K1242" s="52" t="s">
        <v>5365</v>
      </c>
    </row>
    <row r="1243" spans="1:22" s="39" customFormat="1" ht="11.25" customHeight="1" x14ac:dyDescent="0.35">
      <c r="A1243" s="52" t="s">
        <v>6471</v>
      </c>
      <c r="B1243" s="80" t="s">
        <v>5763</v>
      </c>
      <c r="C1243" s="282">
        <v>803005</v>
      </c>
      <c r="D1243" s="63" t="s">
        <v>1264</v>
      </c>
      <c r="E1243" s="52">
        <v>27</v>
      </c>
      <c r="F1243" s="13">
        <v>45300</v>
      </c>
      <c r="G1243" s="52">
        <v>27</v>
      </c>
      <c r="H1243" s="167">
        <v>45317</v>
      </c>
      <c r="I1243" s="52" t="s">
        <v>5903</v>
      </c>
      <c r="J1243" s="52" t="s">
        <v>6859</v>
      </c>
      <c r="K1243" s="52" t="s">
        <v>5365</v>
      </c>
    </row>
    <row r="1244" spans="1:22" s="39" customFormat="1" ht="11.25" customHeight="1" x14ac:dyDescent="0.35">
      <c r="A1244" s="50" t="s">
        <v>6471</v>
      </c>
      <c r="B1244" s="638" t="s">
        <v>5763</v>
      </c>
      <c r="C1244" s="280">
        <v>812941</v>
      </c>
      <c r="D1244" s="64" t="s">
        <v>6860</v>
      </c>
      <c r="E1244" s="50">
        <v>12</v>
      </c>
      <c r="F1244" s="15">
        <v>45300</v>
      </c>
      <c r="G1244" s="50"/>
      <c r="H1244" s="165"/>
      <c r="I1244" s="50"/>
      <c r="J1244" s="50" t="s">
        <v>6859</v>
      </c>
      <c r="K1244" s="50" t="s">
        <v>5338</v>
      </c>
    </row>
    <row r="1245" spans="1:22" s="39" customFormat="1" ht="11.25" customHeight="1" x14ac:dyDescent="0.35">
      <c r="A1245" s="50" t="s">
        <v>6471</v>
      </c>
      <c r="B1245" s="638" t="s">
        <v>5763</v>
      </c>
      <c r="C1245" s="280">
        <v>814511</v>
      </c>
      <c r="D1245" s="64" t="s">
        <v>1297</v>
      </c>
      <c r="E1245" s="50">
        <v>12</v>
      </c>
      <c r="F1245" s="15">
        <v>45300</v>
      </c>
      <c r="G1245" s="50"/>
      <c r="H1245" s="165"/>
      <c r="I1245" s="50"/>
      <c r="J1245" s="50" t="s">
        <v>6859</v>
      </c>
      <c r="K1245" s="50" t="s">
        <v>5338</v>
      </c>
    </row>
    <row r="1246" spans="1:22" s="39" customFormat="1" ht="11.25" customHeight="1" x14ac:dyDescent="0.35">
      <c r="A1246" s="52" t="s">
        <v>6471</v>
      </c>
      <c r="B1246" s="80" t="s">
        <v>5763</v>
      </c>
      <c r="C1246" s="282">
        <v>1421991</v>
      </c>
      <c r="D1246" s="63" t="s">
        <v>2441</v>
      </c>
      <c r="E1246" s="52">
        <v>9</v>
      </c>
      <c r="F1246" s="13">
        <v>45300</v>
      </c>
      <c r="G1246" s="52">
        <v>9</v>
      </c>
      <c r="H1246" s="167">
        <v>45317</v>
      </c>
      <c r="I1246" s="52" t="s">
        <v>5903</v>
      </c>
      <c r="J1246" s="52" t="s">
        <v>6859</v>
      </c>
      <c r="K1246" s="52" t="s">
        <v>5365</v>
      </c>
    </row>
    <row r="1247" spans="1:22" s="35" customFormat="1" ht="11.25" customHeight="1" x14ac:dyDescent="0.35">
      <c r="A1247" s="50" t="s">
        <v>6471</v>
      </c>
      <c r="B1247" s="638" t="s">
        <v>5763</v>
      </c>
      <c r="C1247" s="280">
        <v>1334095</v>
      </c>
      <c r="D1247" s="64" t="s">
        <v>6861</v>
      </c>
      <c r="E1247" s="50">
        <v>6</v>
      </c>
      <c r="F1247" s="15">
        <v>45300</v>
      </c>
      <c r="G1247" s="50"/>
      <c r="H1247" s="165"/>
      <c r="I1247" s="50"/>
      <c r="J1247" s="50" t="s">
        <v>6859</v>
      </c>
      <c r="K1247" s="50" t="s">
        <v>5338</v>
      </c>
    </row>
    <row r="1248" spans="1:22" s="35" customFormat="1" ht="11.25" customHeight="1" x14ac:dyDescent="0.35">
      <c r="A1248" s="50" t="s">
        <v>6471</v>
      </c>
      <c r="B1248" s="638" t="s">
        <v>5763</v>
      </c>
      <c r="C1248" s="280">
        <v>1114180</v>
      </c>
      <c r="D1248" s="64" t="s">
        <v>2354</v>
      </c>
      <c r="E1248" s="50">
        <v>25</v>
      </c>
      <c r="F1248" s="15">
        <v>45300</v>
      </c>
      <c r="G1248" s="50"/>
      <c r="H1248" s="165"/>
      <c r="I1248" s="50"/>
      <c r="J1248" s="50" t="s">
        <v>6859</v>
      </c>
      <c r="K1248" s="50" t="s">
        <v>5338</v>
      </c>
    </row>
    <row r="1249" spans="1:22" s="39" customFormat="1" ht="11.25" customHeight="1" x14ac:dyDescent="0.35">
      <c r="A1249" s="52" t="s">
        <v>6471</v>
      </c>
      <c r="B1249" s="80" t="s">
        <v>5763</v>
      </c>
      <c r="C1249" s="282">
        <v>1745887</v>
      </c>
      <c r="D1249" s="63" t="s">
        <v>6862</v>
      </c>
      <c r="E1249" s="52">
        <v>9</v>
      </c>
      <c r="F1249" s="13">
        <v>45300</v>
      </c>
      <c r="G1249" s="52">
        <v>9</v>
      </c>
      <c r="H1249" s="167">
        <v>45317</v>
      </c>
      <c r="I1249" s="52" t="s">
        <v>5903</v>
      </c>
      <c r="J1249" s="52" t="s">
        <v>6859</v>
      </c>
      <c r="K1249" s="52" t="s">
        <v>5365</v>
      </c>
    </row>
    <row r="1250" spans="1:22" s="35" customFormat="1" ht="11.25" customHeight="1" x14ac:dyDescent="0.35">
      <c r="A1250" s="50" t="s">
        <v>6471</v>
      </c>
      <c r="B1250" s="638" t="s">
        <v>5763</v>
      </c>
      <c r="C1250" s="280">
        <v>1723843</v>
      </c>
      <c r="D1250" s="64" t="s">
        <v>1297</v>
      </c>
      <c r="E1250" s="50">
        <v>20</v>
      </c>
      <c r="F1250" s="15">
        <v>45300</v>
      </c>
      <c r="G1250" s="50"/>
      <c r="H1250" s="165"/>
      <c r="I1250" s="50"/>
      <c r="J1250" s="50" t="s">
        <v>6859</v>
      </c>
      <c r="K1250" s="50" t="s">
        <v>5338</v>
      </c>
    </row>
    <row r="1251" spans="1:22" s="39" customFormat="1" ht="11.25" customHeight="1" x14ac:dyDescent="0.35">
      <c r="A1251" s="52" t="s">
        <v>6471</v>
      </c>
      <c r="B1251" s="80" t="s">
        <v>5763</v>
      </c>
      <c r="C1251" s="282">
        <v>815149</v>
      </c>
      <c r="D1251" s="63" t="s">
        <v>6863</v>
      </c>
      <c r="E1251" s="52">
        <v>27</v>
      </c>
      <c r="F1251" s="13">
        <v>45300</v>
      </c>
      <c r="G1251" s="52">
        <v>27</v>
      </c>
      <c r="H1251" s="167">
        <v>45317</v>
      </c>
      <c r="I1251" s="52" t="s">
        <v>5903</v>
      </c>
      <c r="J1251" s="52" t="s">
        <v>6859</v>
      </c>
      <c r="K1251" s="52" t="s">
        <v>5365</v>
      </c>
    </row>
    <row r="1252" spans="1:22" s="35" customFormat="1" ht="11.25" customHeight="1" x14ac:dyDescent="0.35">
      <c r="A1252" s="50" t="s">
        <v>6471</v>
      </c>
      <c r="B1252" s="638" t="s">
        <v>5763</v>
      </c>
      <c r="C1252" s="280">
        <v>1761983</v>
      </c>
      <c r="D1252" s="64" t="s">
        <v>5358</v>
      </c>
      <c r="E1252" s="50">
        <v>6</v>
      </c>
      <c r="F1252" s="15">
        <v>45300</v>
      </c>
      <c r="G1252" s="50"/>
      <c r="H1252" s="165"/>
      <c r="I1252" s="50"/>
      <c r="J1252" s="50" t="s">
        <v>6859</v>
      </c>
      <c r="K1252" s="50" t="s">
        <v>5338</v>
      </c>
    </row>
    <row r="1253" spans="1:22" s="35" customFormat="1" ht="11.25" customHeight="1" x14ac:dyDescent="0.35">
      <c r="A1253" s="50" t="s">
        <v>6471</v>
      </c>
      <c r="B1253" s="638" t="s">
        <v>5763</v>
      </c>
      <c r="C1253" s="280">
        <v>1527120</v>
      </c>
      <c r="D1253" s="64" t="s">
        <v>1297</v>
      </c>
      <c r="E1253" s="50">
        <v>2</v>
      </c>
      <c r="F1253" s="15">
        <v>45300</v>
      </c>
      <c r="G1253" s="50"/>
      <c r="H1253" s="165"/>
      <c r="I1253" s="50"/>
      <c r="J1253" s="50" t="s">
        <v>6859</v>
      </c>
      <c r="K1253" s="50" t="s">
        <v>5338</v>
      </c>
    </row>
    <row r="1254" spans="1:22" s="39" customFormat="1" ht="11.25" customHeight="1" x14ac:dyDescent="0.35">
      <c r="A1254" s="52" t="s">
        <v>6471</v>
      </c>
      <c r="B1254" s="80" t="s">
        <v>5763</v>
      </c>
      <c r="C1254" s="282">
        <v>1899302</v>
      </c>
      <c r="D1254" s="63" t="s">
        <v>5828</v>
      </c>
      <c r="E1254" s="52">
        <v>18</v>
      </c>
      <c r="F1254" s="13">
        <v>45300</v>
      </c>
      <c r="G1254" s="52">
        <v>18</v>
      </c>
      <c r="H1254" s="167">
        <v>45317</v>
      </c>
      <c r="I1254" s="52" t="s">
        <v>5903</v>
      </c>
      <c r="J1254" s="52" t="s">
        <v>6859</v>
      </c>
      <c r="K1254" s="52" t="s">
        <v>5365</v>
      </c>
    </row>
    <row r="1255" spans="1:22" s="35" customFormat="1" ht="11.25" customHeight="1" x14ac:dyDescent="0.35">
      <c r="A1255" s="50" t="s">
        <v>6471</v>
      </c>
      <c r="B1255" s="638" t="s">
        <v>5763</v>
      </c>
      <c r="C1255" s="280">
        <v>434964</v>
      </c>
      <c r="D1255" s="64" t="s">
        <v>1297</v>
      </c>
      <c r="E1255" s="50">
        <v>41</v>
      </c>
      <c r="F1255" s="15">
        <v>45300</v>
      </c>
      <c r="G1255" s="50"/>
      <c r="H1255" s="165"/>
      <c r="I1255" s="50"/>
      <c r="J1255" s="50" t="s">
        <v>6859</v>
      </c>
      <c r="K1255" s="50" t="s">
        <v>5338</v>
      </c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</row>
    <row r="1256" spans="1:22" s="39" customFormat="1" ht="11.25" customHeight="1" x14ac:dyDescent="0.35">
      <c r="A1256" s="52" t="s">
        <v>6471</v>
      </c>
      <c r="B1256" s="80" t="s">
        <v>5763</v>
      </c>
      <c r="C1256" s="282">
        <v>2026960</v>
      </c>
      <c r="D1256" s="63" t="s">
        <v>6864</v>
      </c>
      <c r="E1256" s="52">
        <v>9</v>
      </c>
      <c r="F1256" s="13">
        <v>45300</v>
      </c>
      <c r="G1256" s="52">
        <v>9</v>
      </c>
      <c r="H1256" s="167">
        <v>45317</v>
      </c>
      <c r="I1256" s="52" t="s">
        <v>5903</v>
      </c>
      <c r="J1256" s="52" t="s">
        <v>6859</v>
      </c>
      <c r="K1256" s="52" t="s">
        <v>5365</v>
      </c>
    </row>
    <row r="1257" spans="1:22" s="39" customFormat="1" ht="11.25" customHeight="1" x14ac:dyDescent="0.35">
      <c r="A1257" s="52" t="s">
        <v>6471</v>
      </c>
      <c r="B1257" s="80" t="s">
        <v>5763</v>
      </c>
      <c r="C1257" s="282">
        <v>2117112</v>
      </c>
      <c r="D1257" s="63" t="s">
        <v>6865</v>
      </c>
      <c r="E1257" s="52">
        <v>6</v>
      </c>
      <c r="F1257" s="13">
        <v>45300</v>
      </c>
      <c r="G1257" s="52">
        <v>6</v>
      </c>
      <c r="H1257" s="167">
        <v>45320</v>
      </c>
      <c r="I1257" s="52" t="s">
        <v>5903</v>
      </c>
      <c r="J1257" s="52" t="s">
        <v>6859</v>
      </c>
      <c r="K1257" s="52" t="s">
        <v>5365</v>
      </c>
    </row>
    <row r="1258" spans="1:22" s="39" customFormat="1" ht="11.25" customHeight="1" x14ac:dyDescent="0.35">
      <c r="A1258" s="52" t="s">
        <v>6471</v>
      </c>
      <c r="B1258" s="80" t="s">
        <v>5763</v>
      </c>
      <c r="C1258" s="282">
        <v>2134242</v>
      </c>
      <c r="D1258" s="63" t="s">
        <v>5544</v>
      </c>
      <c r="E1258" s="52">
        <v>12</v>
      </c>
      <c r="F1258" s="13">
        <v>45300</v>
      </c>
      <c r="G1258" s="52">
        <v>12</v>
      </c>
      <c r="H1258" s="167">
        <v>45320</v>
      </c>
      <c r="I1258" s="52" t="s">
        <v>5903</v>
      </c>
      <c r="J1258" s="52" t="s">
        <v>6859</v>
      </c>
      <c r="K1258" s="52" t="s">
        <v>5365</v>
      </c>
    </row>
    <row r="1259" spans="1:22" s="39" customFormat="1" ht="11.25" customHeight="1" x14ac:dyDescent="0.35">
      <c r="A1259" s="52" t="s">
        <v>6471</v>
      </c>
      <c r="B1259" s="80" t="s">
        <v>5763</v>
      </c>
      <c r="C1259" s="282">
        <v>2276408</v>
      </c>
      <c r="D1259" s="63" t="s">
        <v>5806</v>
      </c>
      <c r="E1259" s="52">
        <v>3</v>
      </c>
      <c r="F1259" s="13">
        <v>45300</v>
      </c>
      <c r="G1259" s="52">
        <v>3</v>
      </c>
      <c r="H1259" s="167">
        <v>45317</v>
      </c>
      <c r="I1259" s="52" t="s">
        <v>5903</v>
      </c>
      <c r="J1259" s="52" t="s">
        <v>6859</v>
      </c>
      <c r="K1259" s="52" t="s">
        <v>5365</v>
      </c>
    </row>
    <row r="1260" spans="1:22" s="35" customFormat="1" ht="11.25" customHeight="1" x14ac:dyDescent="0.35">
      <c r="A1260" s="50" t="s">
        <v>6471</v>
      </c>
      <c r="B1260" s="638" t="s">
        <v>5763</v>
      </c>
      <c r="C1260" s="280">
        <v>2379554</v>
      </c>
      <c r="D1260" s="64" t="s">
        <v>6851</v>
      </c>
      <c r="E1260" s="50">
        <v>6</v>
      </c>
      <c r="F1260" s="15">
        <v>45300</v>
      </c>
      <c r="G1260" s="50"/>
      <c r="H1260" s="165"/>
      <c r="I1260" s="50"/>
      <c r="J1260" s="50" t="s">
        <v>6859</v>
      </c>
      <c r="K1260" s="50" t="s">
        <v>5338</v>
      </c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</row>
    <row r="1261" spans="1:22" s="39" customFormat="1" ht="11.25" customHeight="1" x14ac:dyDescent="0.35">
      <c r="A1261" s="52" t="s">
        <v>6471</v>
      </c>
      <c r="B1261" s="80" t="s">
        <v>5763</v>
      </c>
      <c r="C1261" s="282">
        <v>2338619</v>
      </c>
      <c r="D1261" s="63" t="s">
        <v>6866</v>
      </c>
      <c r="E1261" s="52">
        <v>1</v>
      </c>
      <c r="F1261" s="13">
        <v>45300</v>
      </c>
      <c r="G1261" s="52">
        <v>1</v>
      </c>
      <c r="H1261" s="167">
        <v>45303</v>
      </c>
      <c r="I1261" s="52" t="s">
        <v>6867</v>
      </c>
      <c r="J1261" s="52" t="s">
        <v>6859</v>
      </c>
      <c r="K1261" s="52" t="s">
        <v>5365</v>
      </c>
    </row>
    <row r="1262" spans="1:22" s="39" customFormat="1" ht="11.25" customHeight="1" x14ac:dyDescent="0.35">
      <c r="A1262" s="52" t="s">
        <v>6471</v>
      </c>
      <c r="B1262" s="80" t="s">
        <v>5763</v>
      </c>
      <c r="C1262" s="282">
        <v>2279232</v>
      </c>
      <c r="D1262" s="63" t="s">
        <v>6471</v>
      </c>
      <c r="E1262" s="52">
        <v>3</v>
      </c>
      <c r="F1262" s="13">
        <v>45300</v>
      </c>
      <c r="G1262" s="52">
        <v>3</v>
      </c>
      <c r="H1262" s="167">
        <v>45320</v>
      </c>
      <c r="I1262" s="52" t="s">
        <v>5903</v>
      </c>
      <c r="J1262" s="52" t="s">
        <v>6859</v>
      </c>
      <c r="K1262" s="52" t="s">
        <v>5365</v>
      </c>
    </row>
    <row r="1263" spans="1:22" s="35" customFormat="1" ht="11.25" customHeight="1" x14ac:dyDescent="0.35">
      <c r="A1263" s="50" t="s">
        <v>6471</v>
      </c>
      <c r="B1263" s="638" t="s">
        <v>5763</v>
      </c>
      <c r="C1263" s="280">
        <v>2402592</v>
      </c>
      <c r="D1263" s="64" t="s">
        <v>6868</v>
      </c>
      <c r="E1263" s="50">
        <v>2</v>
      </c>
      <c r="F1263" s="15">
        <v>45300</v>
      </c>
      <c r="G1263" s="50"/>
      <c r="H1263" s="165"/>
      <c r="I1263" s="50"/>
      <c r="J1263" s="50" t="s">
        <v>6859</v>
      </c>
      <c r="K1263" s="50" t="s">
        <v>5338</v>
      </c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</row>
    <row r="1264" spans="1:22" s="39" customFormat="1" ht="11.25" customHeight="1" x14ac:dyDescent="0.35">
      <c r="A1264" s="52" t="s">
        <v>6471</v>
      </c>
      <c r="B1264" s="80" t="s">
        <v>5763</v>
      </c>
      <c r="C1264" s="282">
        <v>2676020</v>
      </c>
      <c r="D1264" s="63" t="s">
        <v>1379</v>
      </c>
      <c r="E1264" s="52">
        <v>9</v>
      </c>
      <c r="F1264" s="13">
        <v>45300</v>
      </c>
      <c r="G1264" s="52">
        <v>9</v>
      </c>
      <c r="H1264" s="167">
        <v>45317</v>
      </c>
      <c r="I1264" s="52" t="s">
        <v>5903</v>
      </c>
      <c r="J1264" s="52" t="s">
        <v>6859</v>
      </c>
      <c r="K1264" s="52" t="s">
        <v>5365</v>
      </c>
    </row>
    <row r="1265" spans="1:22" s="39" customFormat="1" ht="11.25" customHeight="1" x14ac:dyDescent="0.35">
      <c r="A1265" s="52" t="s">
        <v>6471</v>
      </c>
      <c r="B1265" s="80" t="s">
        <v>5763</v>
      </c>
      <c r="C1265" s="282">
        <v>1871190</v>
      </c>
      <c r="D1265" s="63" t="s">
        <v>6864</v>
      </c>
      <c r="E1265" s="52">
        <v>3</v>
      </c>
      <c r="F1265" s="13">
        <v>45302</v>
      </c>
      <c r="G1265" s="12"/>
      <c r="H1265" s="167"/>
      <c r="I1265" s="52"/>
      <c r="J1265" s="52" t="s">
        <v>6869</v>
      </c>
      <c r="K1265" s="52" t="s">
        <v>5365</v>
      </c>
    </row>
    <row r="1266" spans="1:22" s="39" customFormat="1" ht="11.25" customHeight="1" x14ac:dyDescent="0.35">
      <c r="A1266" s="52" t="s">
        <v>4832</v>
      </c>
      <c r="B1266" s="80" t="s">
        <v>6616</v>
      </c>
      <c r="C1266" s="282" t="s">
        <v>6870</v>
      </c>
      <c r="D1266" s="63" t="s">
        <v>1181</v>
      </c>
      <c r="E1266" s="52">
        <v>140</v>
      </c>
      <c r="F1266" s="13">
        <v>45296</v>
      </c>
      <c r="G1266" s="12">
        <v>140</v>
      </c>
      <c r="H1266" s="167"/>
      <c r="I1266" s="52" t="s">
        <v>6871</v>
      </c>
      <c r="J1266" s="60" t="s">
        <v>6872</v>
      </c>
      <c r="K1266" s="52" t="s">
        <v>5365</v>
      </c>
    </row>
    <row r="1267" spans="1:22" s="35" customFormat="1" ht="11.25" customHeight="1" x14ac:dyDescent="0.35">
      <c r="A1267" s="51" t="s">
        <v>5215</v>
      </c>
      <c r="B1267" s="646" t="s">
        <v>6873</v>
      </c>
      <c r="C1267" s="280" t="s">
        <v>1463</v>
      </c>
      <c r="D1267" s="64" t="s">
        <v>6874</v>
      </c>
      <c r="E1267" s="50">
        <v>1</v>
      </c>
      <c r="F1267" s="15">
        <v>45299</v>
      </c>
      <c r="G1267" s="14"/>
      <c r="H1267" s="165"/>
      <c r="I1267" s="50"/>
      <c r="J1267" s="51"/>
      <c r="K1267" s="51" t="s">
        <v>5338</v>
      </c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</row>
    <row r="1268" spans="1:22" s="39" customFormat="1" ht="11.25" customHeight="1" x14ac:dyDescent="0.35">
      <c r="A1268" s="52" t="s">
        <v>5215</v>
      </c>
      <c r="B1268" s="80" t="s">
        <v>6875</v>
      </c>
      <c r="C1268" s="282" t="s">
        <v>1467</v>
      </c>
      <c r="D1268" s="63" t="s">
        <v>6876</v>
      </c>
      <c r="E1268" s="52">
        <v>6</v>
      </c>
      <c r="F1268" s="13">
        <v>45299</v>
      </c>
      <c r="G1268" s="12">
        <v>6</v>
      </c>
      <c r="H1268" s="167">
        <v>45301</v>
      </c>
      <c r="I1268" s="52" t="s">
        <v>6877</v>
      </c>
      <c r="J1268" s="52"/>
      <c r="K1268" s="52" t="s">
        <v>5365</v>
      </c>
      <c r="N1268" s="34"/>
    </row>
    <row r="1269" spans="1:22" s="39" customFormat="1" ht="11.25" customHeight="1" x14ac:dyDescent="0.35">
      <c r="A1269" s="52" t="s">
        <v>5215</v>
      </c>
      <c r="B1269" s="80" t="s">
        <v>6875</v>
      </c>
      <c r="C1269" s="282" t="s">
        <v>1285</v>
      </c>
      <c r="D1269" s="63" t="s">
        <v>6878</v>
      </c>
      <c r="E1269" s="52">
        <v>4</v>
      </c>
      <c r="F1269" s="13">
        <v>45299</v>
      </c>
      <c r="G1269" s="12">
        <v>4</v>
      </c>
      <c r="H1269" s="167">
        <v>45299</v>
      </c>
      <c r="I1269" s="52" t="s">
        <v>6879</v>
      </c>
      <c r="J1269" s="52"/>
      <c r="K1269" s="52" t="s">
        <v>5365</v>
      </c>
      <c r="N1269" s="34"/>
    </row>
    <row r="1270" spans="1:22" s="35" customFormat="1" ht="11.25" customHeight="1" x14ac:dyDescent="0.35">
      <c r="A1270" s="51" t="s">
        <v>5215</v>
      </c>
      <c r="B1270" s="646" t="s">
        <v>6873</v>
      </c>
      <c r="C1270" s="280" t="s">
        <v>6880</v>
      </c>
      <c r="D1270" s="64" t="s">
        <v>6881</v>
      </c>
      <c r="E1270" s="50">
        <v>1</v>
      </c>
      <c r="F1270" s="15">
        <v>45299</v>
      </c>
      <c r="G1270" s="14"/>
      <c r="H1270" s="165"/>
      <c r="I1270" s="50"/>
      <c r="J1270" s="50"/>
      <c r="K1270" s="51" t="s">
        <v>5338</v>
      </c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</row>
    <row r="1271" spans="1:22" s="35" customFormat="1" ht="11.25" customHeight="1" x14ac:dyDescent="0.35">
      <c r="A1271" s="51" t="s">
        <v>5215</v>
      </c>
      <c r="B1271" s="646" t="s">
        <v>6873</v>
      </c>
      <c r="C1271" s="280" t="s">
        <v>1269</v>
      </c>
      <c r="D1271" s="64" t="s">
        <v>6882</v>
      </c>
      <c r="E1271" s="50">
        <v>1</v>
      </c>
      <c r="F1271" s="15">
        <v>45299</v>
      </c>
      <c r="G1271" s="14"/>
      <c r="H1271" s="165"/>
      <c r="I1271" s="50"/>
      <c r="J1271" s="51"/>
      <c r="K1271" s="51" t="s">
        <v>5338</v>
      </c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</row>
    <row r="1272" spans="1:22" s="39" customFormat="1" ht="11.25" customHeight="1" x14ac:dyDescent="0.35">
      <c r="A1272" s="52" t="s">
        <v>5215</v>
      </c>
      <c r="B1272" s="80" t="s">
        <v>6873</v>
      </c>
      <c r="C1272" s="282" t="s">
        <v>1472</v>
      </c>
      <c r="D1272" s="63" t="s">
        <v>5043</v>
      </c>
      <c r="E1272" s="52">
        <v>2</v>
      </c>
      <c r="F1272" s="13">
        <v>45299</v>
      </c>
      <c r="G1272" s="12">
        <v>2</v>
      </c>
      <c r="H1272" s="167">
        <v>45349</v>
      </c>
      <c r="I1272" s="52" t="s">
        <v>6883</v>
      </c>
      <c r="J1272" s="52"/>
      <c r="K1272" s="52" t="s">
        <v>5365</v>
      </c>
    </row>
    <row r="1273" spans="1:22" s="35" customFormat="1" ht="11.25" customHeight="1" x14ac:dyDescent="0.35">
      <c r="A1273" s="51" t="s">
        <v>5215</v>
      </c>
      <c r="B1273" s="646" t="s">
        <v>6873</v>
      </c>
      <c r="C1273" s="280" t="s">
        <v>1071</v>
      </c>
      <c r="D1273" s="64" t="s">
        <v>6884</v>
      </c>
      <c r="E1273" s="50">
        <v>1</v>
      </c>
      <c r="F1273" s="15">
        <v>45299</v>
      </c>
      <c r="G1273" s="14"/>
      <c r="H1273" s="165"/>
      <c r="I1273" s="50"/>
      <c r="J1273" s="51"/>
      <c r="K1273" s="51" t="s">
        <v>5338</v>
      </c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</row>
    <row r="1274" spans="1:22" s="39" customFormat="1" ht="11.25" customHeight="1" x14ac:dyDescent="0.35">
      <c r="A1274" s="52" t="s">
        <v>4832</v>
      </c>
      <c r="B1274" s="80" t="s">
        <v>6225</v>
      </c>
      <c r="C1274" s="282" t="s">
        <v>1188</v>
      </c>
      <c r="D1274" s="63" t="s">
        <v>1189</v>
      </c>
      <c r="E1274" s="52">
        <v>16</v>
      </c>
      <c r="F1274" s="13">
        <v>45303</v>
      </c>
      <c r="G1274" s="52">
        <v>16</v>
      </c>
      <c r="H1274" s="167">
        <v>45308</v>
      </c>
      <c r="I1274" s="12" t="s">
        <v>5433</v>
      </c>
      <c r="J1274" s="52"/>
      <c r="K1274" s="52" t="s">
        <v>5365</v>
      </c>
    </row>
    <row r="1275" spans="1:22" s="39" customFormat="1" ht="11.25" customHeight="1" x14ac:dyDescent="0.35">
      <c r="A1275" s="52" t="s">
        <v>4832</v>
      </c>
      <c r="B1275" s="80" t="s">
        <v>6225</v>
      </c>
      <c r="C1275" s="282" t="s">
        <v>1174</v>
      </c>
      <c r="D1275" s="63" t="s">
        <v>1175</v>
      </c>
      <c r="E1275" s="52">
        <v>1</v>
      </c>
      <c r="F1275" s="13">
        <v>45303</v>
      </c>
      <c r="G1275" s="52">
        <v>1</v>
      </c>
      <c r="H1275" s="167">
        <v>45308</v>
      </c>
      <c r="I1275" s="12" t="s">
        <v>5433</v>
      </c>
      <c r="J1275" s="52"/>
      <c r="K1275" s="52" t="s">
        <v>5365</v>
      </c>
    </row>
    <row r="1276" spans="1:22" s="39" customFormat="1" ht="11.25" customHeight="1" x14ac:dyDescent="0.35">
      <c r="A1276" s="52" t="s">
        <v>4832</v>
      </c>
      <c r="B1276" s="80" t="s">
        <v>6225</v>
      </c>
      <c r="C1276" s="282"/>
      <c r="D1276" s="63" t="s">
        <v>1181</v>
      </c>
      <c r="E1276" s="52">
        <v>2</v>
      </c>
      <c r="F1276" s="13">
        <v>45303</v>
      </c>
      <c r="G1276" s="52">
        <v>2</v>
      </c>
      <c r="H1276" s="167">
        <v>45308</v>
      </c>
      <c r="I1276" s="12" t="s">
        <v>5433</v>
      </c>
      <c r="J1276" s="52"/>
      <c r="K1276" s="52" t="s">
        <v>5365</v>
      </c>
    </row>
    <row r="1277" spans="1:22" s="39" customFormat="1" ht="11.25" customHeight="1" x14ac:dyDescent="0.35">
      <c r="A1277" s="52" t="s">
        <v>4832</v>
      </c>
      <c r="B1277" s="80" t="s">
        <v>6225</v>
      </c>
      <c r="C1277" s="282" t="s">
        <v>6885</v>
      </c>
      <c r="D1277" s="63" t="s">
        <v>6886</v>
      </c>
      <c r="E1277" s="52">
        <v>1</v>
      </c>
      <c r="F1277" s="13">
        <v>45303</v>
      </c>
      <c r="G1277" s="52">
        <v>1</v>
      </c>
      <c r="H1277" s="167">
        <v>45308</v>
      </c>
      <c r="I1277" s="12" t="s">
        <v>5433</v>
      </c>
      <c r="J1277" s="52"/>
      <c r="K1277" s="52" t="s">
        <v>5365</v>
      </c>
    </row>
    <row r="1278" spans="1:22" s="39" customFormat="1" ht="11.25" customHeight="1" x14ac:dyDescent="0.35">
      <c r="A1278" s="52" t="s">
        <v>4832</v>
      </c>
      <c r="B1278" s="80" t="s">
        <v>6225</v>
      </c>
      <c r="C1278" s="282" t="s">
        <v>1200</v>
      </c>
      <c r="D1278" s="63" t="s">
        <v>5501</v>
      </c>
      <c r="E1278" s="52">
        <v>4</v>
      </c>
      <c r="F1278" s="13">
        <v>45303</v>
      </c>
      <c r="G1278" s="52">
        <v>4</v>
      </c>
      <c r="H1278" s="167">
        <v>45308</v>
      </c>
      <c r="I1278" s="12" t="s">
        <v>5433</v>
      </c>
      <c r="J1278" s="52"/>
      <c r="K1278" s="52" t="s">
        <v>5365</v>
      </c>
    </row>
    <row r="1279" spans="1:22" s="39" customFormat="1" ht="11.25" customHeight="1" x14ac:dyDescent="0.35">
      <c r="A1279" s="52" t="s">
        <v>4832</v>
      </c>
      <c r="B1279" s="80" t="s">
        <v>6225</v>
      </c>
      <c r="C1279" s="282" t="s">
        <v>1168</v>
      </c>
      <c r="D1279" s="63" t="s">
        <v>6887</v>
      </c>
      <c r="E1279" s="52">
        <v>1</v>
      </c>
      <c r="F1279" s="13">
        <v>45303</v>
      </c>
      <c r="G1279" s="52">
        <v>1</v>
      </c>
      <c r="H1279" s="167">
        <v>45308</v>
      </c>
      <c r="I1279" s="12" t="s">
        <v>5433</v>
      </c>
      <c r="J1279" s="52"/>
      <c r="K1279" s="52" t="s">
        <v>5365</v>
      </c>
    </row>
    <row r="1280" spans="1:22" s="39" customFormat="1" ht="11.25" customHeight="1" x14ac:dyDescent="0.35">
      <c r="A1280" s="52" t="s">
        <v>4832</v>
      </c>
      <c r="B1280" s="80" t="s">
        <v>6225</v>
      </c>
      <c r="C1280" s="282" t="s">
        <v>1191</v>
      </c>
      <c r="D1280" s="63" t="s">
        <v>6888</v>
      </c>
      <c r="E1280" s="52">
        <v>2</v>
      </c>
      <c r="F1280" s="13">
        <v>45303</v>
      </c>
      <c r="G1280" s="52">
        <v>2</v>
      </c>
      <c r="H1280" s="167">
        <v>45308</v>
      </c>
      <c r="I1280" s="12" t="s">
        <v>5433</v>
      </c>
      <c r="J1280" s="52"/>
      <c r="K1280" s="52" t="s">
        <v>5365</v>
      </c>
    </row>
    <row r="1281" spans="1:22" s="39" customFormat="1" ht="11.25" customHeight="1" x14ac:dyDescent="0.35">
      <c r="A1281" s="52" t="s">
        <v>4832</v>
      </c>
      <c r="B1281" s="80" t="s">
        <v>6225</v>
      </c>
      <c r="C1281" s="282" t="s">
        <v>1177</v>
      </c>
      <c r="D1281" s="63" t="s">
        <v>6889</v>
      </c>
      <c r="E1281" s="52">
        <v>2</v>
      </c>
      <c r="F1281" s="13">
        <v>45303</v>
      </c>
      <c r="G1281" s="52">
        <v>2</v>
      </c>
      <c r="H1281" s="167">
        <v>45308</v>
      </c>
      <c r="I1281" s="12" t="s">
        <v>5433</v>
      </c>
      <c r="J1281" s="52"/>
      <c r="K1281" s="52" t="s">
        <v>5365</v>
      </c>
    </row>
    <row r="1282" spans="1:22" s="39" customFormat="1" ht="11.25" customHeight="1" x14ac:dyDescent="0.35">
      <c r="A1282" s="52" t="s">
        <v>4832</v>
      </c>
      <c r="B1282" s="80" t="s">
        <v>6225</v>
      </c>
      <c r="C1282" s="282" t="s">
        <v>6890</v>
      </c>
      <c r="D1282" s="63" t="s">
        <v>6891</v>
      </c>
      <c r="E1282" s="52">
        <v>1</v>
      </c>
      <c r="F1282" s="13">
        <v>45303</v>
      </c>
      <c r="G1282" s="52">
        <v>1</v>
      </c>
      <c r="H1282" s="167">
        <v>45308</v>
      </c>
      <c r="I1282" s="12" t="s">
        <v>5433</v>
      </c>
      <c r="J1282" s="52"/>
      <c r="K1282" s="52" t="s">
        <v>5365</v>
      </c>
    </row>
    <row r="1283" spans="1:22" s="39" customFormat="1" ht="11.25" customHeight="1" x14ac:dyDescent="0.35">
      <c r="A1283" s="52" t="s">
        <v>4832</v>
      </c>
      <c r="B1283" s="80" t="s">
        <v>6225</v>
      </c>
      <c r="C1283" s="282">
        <v>172</v>
      </c>
      <c r="D1283" s="63" t="s">
        <v>6892</v>
      </c>
      <c r="E1283" s="52">
        <v>1</v>
      </c>
      <c r="F1283" s="13">
        <v>45303</v>
      </c>
      <c r="G1283" s="52">
        <v>1</v>
      </c>
      <c r="H1283" s="167">
        <v>45308</v>
      </c>
      <c r="I1283" s="12" t="s">
        <v>5433</v>
      </c>
      <c r="J1283" s="52"/>
      <c r="K1283" s="52" t="s">
        <v>5365</v>
      </c>
    </row>
    <row r="1284" spans="1:22" s="39" customFormat="1" ht="11.25" customHeight="1" x14ac:dyDescent="0.35">
      <c r="A1284" s="52" t="s">
        <v>4832</v>
      </c>
      <c r="B1284" s="80" t="s">
        <v>6225</v>
      </c>
      <c r="C1284" s="282" t="s">
        <v>1507</v>
      </c>
      <c r="D1284" s="63" t="s">
        <v>6893</v>
      </c>
      <c r="E1284" s="52">
        <v>4</v>
      </c>
      <c r="F1284" s="13">
        <v>45303</v>
      </c>
      <c r="G1284" s="52">
        <v>4</v>
      </c>
      <c r="H1284" s="167">
        <v>45308</v>
      </c>
      <c r="I1284" s="12" t="s">
        <v>5433</v>
      </c>
      <c r="J1284" s="52"/>
      <c r="K1284" s="52" t="s">
        <v>5365</v>
      </c>
    </row>
    <row r="1285" spans="1:22" s="39" customFormat="1" ht="11.25" customHeight="1" x14ac:dyDescent="0.35">
      <c r="A1285" s="52" t="s">
        <v>4832</v>
      </c>
      <c r="B1285" s="80" t="s">
        <v>6225</v>
      </c>
      <c r="C1285" s="282" t="s">
        <v>6894</v>
      </c>
      <c r="D1285" s="63" t="s">
        <v>1511</v>
      </c>
      <c r="E1285" s="52">
        <v>24</v>
      </c>
      <c r="F1285" s="13">
        <v>45303</v>
      </c>
      <c r="G1285" s="52">
        <v>24</v>
      </c>
      <c r="H1285" s="167">
        <v>45308</v>
      </c>
      <c r="I1285" s="12" t="s">
        <v>5433</v>
      </c>
      <c r="J1285" s="52"/>
      <c r="K1285" s="52" t="s">
        <v>5365</v>
      </c>
    </row>
    <row r="1286" spans="1:22" s="39" customFormat="1" ht="11.25" customHeight="1" x14ac:dyDescent="0.35">
      <c r="A1286" s="52" t="s">
        <v>4832</v>
      </c>
      <c r="B1286" s="80" t="s">
        <v>6225</v>
      </c>
      <c r="C1286" s="282" t="s">
        <v>1210</v>
      </c>
      <c r="D1286" s="63" t="s">
        <v>6895</v>
      </c>
      <c r="E1286" s="52">
        <v>4</v>
      </c>
      <c r="F1286" s="13">
        <v>45303</v>
      </c>
      <c r="G1286" s="52">
        <v>4</v>
      </c>
      <c r="H1286" s="167">
        <v>45308</v>
      </c>
      <c r="I1286" s="12" t="s">
        <v>5433</v>
      </c>
      <c r="J1286" s="52"/>
      <c r="K1286" s="52" t="s">
        <v>5365</v>
      </c>
    </row>
    <row r="1287" spans="1:22" s="39" customFormat="1" ht="11.25" customHeight="1" x14ac:dyDescent="0.35">
      <c r="A1287" s="52" t="s">
        <v>4832</v>
      </c>
      <c r="B1287" s="80" t="s">
        <v>6225</v>
      </c>
      <c r="C1287" s="282" t="s">
        <v>1183</v>
      </c>
      <c r="D1287" s="63" t="s">
        <v>6896</v>
      </c>
      <c r="E1287" s="52">
        <v>1</v>
      </c>
      <c r="F1287" s="13">
        <v>45303</v>
      </c>
      <c r="G1287" s="52">
        <v>1</v>
      </c>
      <c r="H1287" s="167">
        <v>45308</v>
      </c>
      <c r="I1287" s="12" t="s">
        <v>5433</v>
      </c>
      <c r="J1287" s="52"/>
      <c r="K1287" s="52" t="s">
        <v>5365</v>
      </c>
    </row>
    <row r="1288" spans="1:22" s="39" customFormat="1" ht="11.25" customHeight="1" x14ac:dyDescent="0.35">
      <c r="A1288" s="52" t="s">
        <v>4832</v>
      </c>
      <c r="B1288" s="80" t="s">
        <v>6225</v>
      </c>
      <c r="C1288" s="282" t="s">
        <v>6897</v>
      </c>
      <c r="D1288" s="63" t="s">
        <v>6898</v>
      </c>
      <c r="E1288" s="52">
        <v>2</v>
      </c>
      <c r="F1288" s="13">
        <v>45303</v>
      </c>
      <c r="G1288" s="52">
        <v>2</v>
      </c>
      <c r="H1288" s="167">
        <v>45308</v>
      </c>
      <c r="I1288" s="12" t="s">
        <v>5433</v>
      </c>
      <c r="J1288" s="52"/>
      <c r="K1288" s="52" t="s">
        <v>5365</v>
      </c>
    </row>
    <row r="1289" spans="1:22" s="39" customFormat="1" ht="11.25" customHeight="1" x14ac:dyDescent="0.35">
      <c r="A1289" s="52" t="s">
        <v>4832</v>
      </c>
      <c r="B1289" s="80" t="s">
        <v>6225</v>
      </c>
      <c r="C1289" s="282" t="s">
        <v>6899</v>
      </c>
      <c r="D1289" s="63" t="s">
        <v>6898</v>
      </c>
      <c r="E1289" s="52">
        <v>2</v>
      </c>
      <c r="F1289" s="13">
        <v>45303</v>
      </c>
      <c r="G1289" s="52">
        <v>2</v>
      </c>
      <c r="H1289" s="167">
        <v>45308</v>
      </c>
      <c r="I1289" s="12" t="s">
        <v>5433</v>
      </c>
      <c r="J1289" s="52"/>
      <c r="K1289" s="52" t="s">
        <v>5365</v>
      </c>
    </row>
    <row r="1290" spans="1:22" s="39" customFormat="1" ht="11.25" customHeight="1" x14ac:dyDescent="0.35">
      <c r="A1290" s="52" t="s">
        <v>4832</v>
      </c>
      <c r="B1290" s="80" t="s">
        <v>6225</v>
      </c>
      <c r="C1290" s="282" t="s">
        <v>1171</v>
      </c>
      <c r="D1290" s="63" t="s">
        <v>6900</v>
      </c>
      <c r="E1290" s="52">
        <v>2</v>
      </c>
      <c r="F1290" s="13">
        <v>45303</v>
      </c>
      <c r="G1290" s="52">
        <v>2</v>
      </c>
      <c r="H1290" s="167">
        <v>45308</v>
      </c>
      <c r="I1290" s="12" t="s">
        <v>5433</v>
      </c>
      <c r="J1290" s="52"/>
      <c r="K1290" s="52" t="s">
        <v>5365</v>
      </c>
    </row>
    <row r="1291" spans="1:22" s="39" customFormat="1" ht="11.25" customHeight="1" x14ac:dyDescent="0.35">
      <c r="A1291" s="52" t="s">
        <v>4832</v>
      </c>
      <c r="B1291" s="80" t="s">
        <v>6225</v>
      </c>
      <c r="C1291" s="282" t="s">
        <v>6901</v>
      </c>
      <c r="D1291" s="63" t="s">
        <v>6902</v>
      </c>
      <c r="E1291" s="52">
        <v>1</v>
      </c>
      <c r="F1291" s="13">
        <v>45303</v>
      </c>
      <c r="G1291" s="52">
        <v>1</v>
      </c>
      <c r="H1291" s="167">
        <v>45308</v>
      </c>
      <c r="I1291" s="12" t="s">
        <v>5433</v>
      </c>
      <c r="J1291" s="52"/>
      <c r="K1291" s="52" t="s">
        <v>5365</v>
      </c>
    </row>
    <row r="1292" spans="1:22" s="39" customFormat="1" ht="11.25" customHeight="1" x14ac:dyDescent="0.35">
      <c r="A1292" s="52" t="s">
        <v>4832</v>
      </c>
      <c r="B1292" s="80" t="s">
        <v>6225</v>
      </c>
      <c r="C1292" s="282" t="s">
        <v>6903</v>
      </c>
      <c r="D1292" s="63" t="s">
        <v>6904</v>
      </c>
      <c r="E1292" s="52">
        <v>1</v>
      </c>
      <c r="F1292" s="13">
        <v>45303</v>
      </c>
      <c r="G1292" s="52">
        <v>1</v>
      </c>
      <c r="H1292" s="167">
        <v>45308</v>
      </c>
      <c r="I1292" s="12" t="s">
        <v>5433</v>
      </c>
      <c r="J1292" s="52"/>
      <c r="K1292" s="52" t="s">
        <v>5365</v>
      </c>
    </row>
    <row r="1293" spans="1:22" s="39" customFormat="1" ht="11.25" customHeight="1" x14ac:dyDescent="0.35">
      <c r="A1293" s="52" t="s">
        <v>4832</v>
      </c>
      <c r="B1293" s="80" t="s">
        <v>6225</v>
      </c>
      <c r="C1293" s="282" t="s">
        <v>1216</v>
      </c>
      <c r="D1293" s="63" t="s">
        <v>6905</v>
      </c>
      <c r="E1293" s="52">
        <v>1</v>
      </c>
      <c r="F1293" s="13">
        <v>45303</v>
      </c>
      <c r="G1293" s="52">
        <v>1</v>
      </c>
      <c r="H1293" s="167">
        <v>45308</v>
      </c>
      <c r="I1293" s="12" t="s">
        <v>5433</v>
      </c>
      <c r="J1293" s="52"/>
      <c r="K1293" s="52" t="s">
        <v>5365</v>
      </c>
    </row>
    <row r="1294" spans="1:22" s="39" customFormat="1" ht="11.25" customHeight="1" x14ac:dyDescent="0.35">
      <c r="A1294" s="52" t="s">
        <v>5215</v>
      </c>
      <c r="B1294" s="80" t="s">
        <v>6875</v>
      </c>
      <c r="C1294" s="282" t="s">
        <v>5061</v>
      </c>
      <c r="D1294" s="63" t="s">
        <v>6906</v>
      </c>
      <c r="E1294" s="52">
        <v>1</v>
      </c>
      <c r="F1294" s="13">
        <v>45303</v>
      </c>
      <c r="G1294" s="52">
        <v>1</v>
      </c>
      <c r="H1294" s="167">
        <v>45331</v>
      </c>
      <c r="I1294" s="52" t="s">
        <v>6907</v>
      </c>
      <c r="J1294" s="52"/>
      <c r="K1294" s="52" t="s">
        <v>5365</v>
      </c>
      <c r="N1294" s="34"/>
    </row>
    <row r="1295" spans="1:22" s="42" customFormat="1" ht="11.25" customHeight="1" x14ac:dyDescent="0.35">
      <c r="A1295" s="222" t="s">
        <v>4917</v>
      </c>
      <c r="B1295" s="645" t="s">
        <v>4917</v>
      </c>
      <c r="C1295" s="289">
        <v>3454601710</v>
      </c>
      <c r="D1295" s="223" t="s">
        <v>6908</v>
      </c>
      <c r="E1295" s="222">
        <v>2</v>
      </c>
      <c r="F1295" s="224">
        <v>45303</v>
      </c>
      <c r="G1295" s="227">
        <v>1</v>
      </c>
      <c r="H1295" s="225">
        <v>45307</v>
      </c>
      <c r="I1295" s="222" t="s">
        <v>6172</v>
      </c>
      <c r="J1295" s="222"/>
      <c r="K1295" s="53" t="s">
        <v>5511</v>
      </c>
    </row>
    <row r="1296" spans="1:22" s="35" customFormat="1" ht="11.25" customHeight="1" x14ac:dyDescent="0.35">
      <c r="A1296" s="50" t="s">
        <v>4917</v>
      </c>
      <c r="B1296" s="638" t="s">
        <v>4917</v>
      </c>
      <c r="C1296" s="280" t="s">
        <v>6909</v>
      </c>
      <c r="D1296" s="64" t="s">
        <v>6910</v>
      </c>
      <c r="E1296" s="50">
        <v>1</v>
      </c>
      <c r="F1296" s="15">
        <v>45303</v>
      </c>
      <c r="G1296" s="14"/>
      <c r="H1296" s="165"/>
      <c r="I1296" s="50"/>
      <c r="J1296" s="51"/>
      <c r="K1296" s="51" t="s">
        <v>5338</v>
      </c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</row>
    <row r="1297" spans="1:22" s="35" customFormat="1" ht="11.25" customHeight="1" x14ac:dyDescent="0.35">
      <c r="A1297" s="51" t="s">
        <v>5215</v>
      </c>
      <c r="B1297" s="646" t="s">
        <v>6873</v>
      </c>
      <c r="C1297" s="290" t="s">
        <v>6911</v>
      </c>
      <c r="D1297" s="66" t="s">
        <v>6912</v>
      </c>
      <c r="E1297" s="51">
        <v>1</v>
      </c>
      <c r="F1297" s="20">
        <v>45303</v>
      </c>
      <c r="G1297" s="51"/>
      <c r="H1297" s="174"/>
      <c r="I1297" s="51"/>
      <c r="J1297" s="51"/>
      <c r="K1297" s="51" t="s">
        <v>5338</v>
      </c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</row>
    <row r="1298" spans="1:22" s="39" customFormat="1" ht="11.25" customHeight="1" x14ac:dyDescent="0.35">
      <c r="A1298" s="52" t="s">
        <v>5215</v>
      </c>
      <c r="B1298" s="646" t="s">
        <v>6873</v>
      </c>
      <c r="C1298" s="282" t="s">
        <v>6913</v>
      </c>
      <c r="D1298" s="63" t="s">
        <v>6914</v>
      </c>
      <c r="E1298" s="52">
        <v>12</v>
      </c>
      <c r="F1298" s="13">
        <v>45303</v>
      </c>
      <c r="G1298" s="52">
        <v>12</v>
      </c>
      <c r="H1298" s="167">
        <v>45349</v>
      </c>
      <c r="I1298" s="52" t="s">
        <v>6883</v>
      </c>
      <c r="J1298" s="52"/>
      <c r="K1298" s="52" t="s">
        <v>5365</v>
      </c>
      <c r="L1298" s="34"/>
      <c r="N1298" s="34"/>
    </row>
    <row r="1299" spans="1:22" s="35" customFormat="1" ht="11.25" customHeight="1" x14ac:dyDescent="0.35">
      <c r="A1299" s="51" t="s">
        <v>5215</v>
      </c>
      <c r="B1299" s="646" t="s">
        <v>6873</v>
      </c>
      <c r="C1299" s="290" t="s">
        <v>6915</v>
      </c>
      <c r="D1299" s="66" t="s">
        <v>6916</v>
      </c>
      <c r="E1299" s="51">
        <v>1</v>
      </c>
      <c r="F1299" s="20">
        <v>45303</v>
      </c>
      <c r="G1299" s="51"/>
      <c r="H1299" s="174"/>
      <c r="I1299" s="51"/>
      <c r="J1299" s="51"/>
      <c r="K1299" s="51" t="s">
        <v>5338</v>
      </c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</row>
    <row r="1300" spans="1:22" s="39" customFormat="1" ht="11.25" customHeight="1" x14ac:dyDescent="0.35">
      <c r="A1300" s="52" t="s">
        <v>5215</v>
      </c>
      <c r="B1300" s="80" t="s">
        <v>6875</v>
      </c>
      <c r="C1300" s="282" t="s">
        <v>6917</v>
      </c>
      <c r="D1300" s="63" t="s">
        <v>250</v>
      </c>
      <c r="E1300" s="52">
        <v>1</v>
      </c>
      <c r="F1300" s="13">
        <v>45303</v>
      </c>
      <c r="G1300" s="52">
        <v>1</v>
      </c>
      <c r="H1300" s="167">
        <v>45317</v>
      </c>
      <c r="I1300" s="52" t="s">
        <v>6879</v>
      </c>
      <c r="J1300" s="52"/>
      <c r="K1300" s="52" t="s">
        <v>5365</v>
      </c>
      <c r="L1300" s="34"/>
      <c r="N1300" s="34"/>
    </row>
    <row r="1301" spans="1:22" s="35" customFormat="1" ht="11.25" customHeight="1" x14ac:dyDescent="0.35">
      <c r="A1301" s="51" t="s">
        <v>5215</v>
      </c>
      <c r="B1301" s="646" t="s">
        <v>6873</v>
      </c>
      <c r="C1301" s="290" t="s">
        <v>6918</v>
      </c>
      <c r="D1301" s="66" t="s">
        <v>6919</v>
      </c>
      <c r="E1301" s="51">
        <v>1</v>
      </c>
      <c r="F1301" s="20">
        <v>45303</v>
      </c>
      <c r="G1301" s="51"/>
      <c r="H1301" s="174"/>
      <c r="I1301" s="51"/>
      <c r="J1301" s="51"/>
      <c r="K1301" s="51" t="s">
        <v>5338</v>
      </c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</row>
    <row r="1302" spans="1:22" s="39" customFormat="1" ht="11.25" customHeight="1" x14ac:dyDescent="0.35">
      <c r="A1302" s="52" t="s">
        <v>5215</v>
      </c>
      <c r="B1302" s="646" t="s">
        <v>6873</v>
      </c>
      <c r="C1302" s="282" t="s">
        <v>6920</v>
      </c>
      <c r="D1302" s="63" t="s">
        <v>6921</v>
      </c>
      <c r="E1302" s="52">
        <v>1</v>
      </c>
      <c r="F1302" s="13">
        <v>45303</v>
      </c>
      <c r="G1302" s="52"/>
      <c r="H1302" s="167"/>
      <c r="I1302" s="52"/>
      <c r="J1302" s="52"/>
      <c r="K1302" s="52" t="s">
        <v>5338</v>
      </c>
      <c r="L1302" s="34"/>
      <c r="N1302" s="34"/>
    </row>
    <row r="1303" spans="1:22" s="98" customFormat="1" ht="11.25" customHeight="1" x14ac:dyDescent="0.35">
      <c r="A1303" s="94" t="s">
        <v>5215</v>
      </c>
      <c r="B1303" s="646" t="s">
        <v>6873</v>
      </c>
      <c r="C1303" s="291" t="s">
        <v>6922</v>
      </c>
      <c r="D1303" s="95" t="s">
        <v>6923</v>
      </c>
      <c r="E1303" s="94">
        <v>1</v>
      </c>
      <c r="F1303" s="96">
        <v>45303</v>
      </c>
      <c r="G1303" s="94"/>
      <c r="H1303" s="175"/>
      <c r="I1303" s="94"/>
      <c r="J1303" s="94" t="s">
        <v>6924</v>
      </c>
      <c r="K1303" s="94" t="s">
        <v>5338</v>
      </c>
      <c r="L1303" s="34"/>
      <c r="M1303" s="97"/>
      <c r="N1303" s="34"/>
      <c r="O1303" s="97"/>
      <c r="P1303" s="97"/>
      <c r="Q1303" s="97"/>
      <c r="R1303" s="97"/>
      <c r="S1303" s="97"/>
      <c r="T1303" s="97"/>
      <c r="U1303" s="97"/>
      <c r="V1303" s="97"/>
    </row>
    <row r="1304" spans="1:22" s="34" customFormat="1" ht="11.25" customHeight="1" x14ac:dyDescent="0.35">
      <c r="A1304" s="51" t="s">
        <v>5215</v>
      </c>
      <c r="B1304" s="646" t="s">
        <v>6873</v>
      </c>
      <c r="C1304" s="290" t="s">
        <v>6925</v>
      </c>
      <c r="D1304" s="66" t="s">
        <v>6926</v>
      </c>
      <c r="E1304" s="51">
        <v>1</v>
      </c>
      <c r="F1304" s="20">
        <v>45303</v>
      </c>
      <c r="G1304" s="51">
        <v>1</v>
      </c>
      <c r="H1304" s="174">
        <v>45349</v>
      </c>
      <c r="I1304" s="51"/>
      <c r="J1304" s="51"/>
      <c r="K1304" s="51" t="s">
        <v>5338</v>
      </c>
    </row>
    <row r="1305" spans="1:22" s="35" customFormat="1" ht="11.25" customHeight="1" x14ac:dyDescent="0.35">
      <c r="A1305" s="51" t="s">
        <v>5215</v>
      </c>
      <c r="B1305" s="646" t="s">
        <v>6873</v>
      </c>
      <c r="C1305" s="290" t="s">
        <v>6927</v>
      </c>
      <c r="D1305" s="66" t="s">
        <v>6928</v>
      </c>
      <c r="E1305" s="51">
        <v>2</v>
      </c>
      <c r="F1305" s="20">
        <v>45303</v>
      </c>
      <c r="G1305" s="51"/>
      <c r="H1305" s="174"/>
      <c r="I1305" s="51"/>
      <c r="J1305" s="51"/>
      <c r="K1305" s="52" t="s">
        <v>5365</v>
      </c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</row>
    <row r="1306" spans="1:22" s="39" customFormat="1" ht="11.25" customHeight="1" x14ac:dyDescent="0.35">
      <c r="A1306" s="52" t="s">
        <v>5215</v>
      </c>
      <c r="B1306" s="646" t="s">
        <v>6873</v>
      </c>
      <c r="C1306" s="282" t="s">
        <v>6929</v>
      </c>
      <c r="D1306" s="63" t="s">
        <v>6930</v>
      </c>
      <c r="E1306" s="52">
        <v>1</v>
      </c>
      <c r="F1306" s="13">
        <v>45303</v>
      </c>
      <c r="G1306" s="52">
        <v>1</v>
      </c>
      <c r="H1306" s="167">
        <v>45349</v>
      </c>
      <c r="I1306" s="52" t="s">
        <v>6883</v>
      </c>
      <c r="J1306" s="52"/>
      <c r="K1306" s="52" t="s">
        <v>5365</v>
      </c>
      <c r="L1306" s="34"/>
    </row>
    <row r="1307" spans="1:22" s="39" customFormat="1" ht="11.25" customHeight="1" x14ac:dyDescent="0.35">
      <c r="A1307" s="51" t="s">
        <v>5215</v>
      </c>
      <c r="B1307" s="646" t="s">
        <v>6873</v>
      </c>
      <c r="C1307" s="282" t="s">
        <v>992</v>
      </c>
      <c r="D1307" s="63" t="s">
        <v>6931</v>
      </c>
      <c r="E1307" s="52">
        <v>1</v>
      </c>
      <c r="F1307" s="13">
        <v>45303</v>
      </c>
      <c r="G1307" s="52">
        <v>1</v>
      </c>
      <c r="H1307" s="167">
        <v>45349</v>
      </c>
      <c r="I1307" s="52" t="s">
        <v>6883</v>
      </c>
      <c r="J1307" s="52"/>
      <c r="K1307" s="52" t="s">
        <v>5365</v>
      </c>
      <c r="L1307" s="34"/>
    </row>
    <row r="1308" spans="1:22" s="35" customFormat="1" ht="11.25" customHeight="1" x14ac:dyDescent="0.35">
      <c r="A1308" s="51" t="s">
        <v>5215</v>
      </c>
      <c r="B1308" s="646" t="s">
        <v>6873</v>
      </c>
      <c r="C1308" s="290" t="s">
        <v>6932</v>
      </c>
      <c r="D1308" s="66" t="s">
        <v>6933</v>
      </c>
      <c r="E1308" s="51">
        <v>2</v>
      </c>
      <c r="F1308" s="20">
        <v>45303</v>
      </c>
      <c r="G1308" s="51"/>
      <c r="H1308" s="174"/>
      <c r="I1308" s="51"/>
      <c r="J1308" s="51"/>
      <c r="K1308" s="52" t="s">
        <v>5365</v>
      </c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</row>
    <row r="1309" spans="1:22" s="39" customFormat="1" ht="11.25" customHeight="1" x14ac:dyDescent="0.35">
      <c r="A1309" s="52" t="s">
        <v>5215</v>
      </c>
      <c r="B1309" s="646" t="s">
        <v>6873</v>
      </c>
      <c r="C1309" s="282" t="s">
        <v>5219</v>
      </c>
      <c r="D1309" s="63" t="s">
        <v>6934</v>
      </c>
      <c r="E1309" s="52">
        <v>2</v>
      </c>
      <c r="F1309" s="13">
        <v>45303</v>
      </c>
      <c r="G1309" s="52">
        <v>2</v>
      </c>
      <c r="H1309" s="167">
        <v>45349</v>
      </c>
      <c r="I1309" s="52" t="s">
        <v>6883</v>
      </c>
      <c r="J1309" s="52"/>
      <c r="K1309" s="52" t="s">
        <v>5365</v>
      </c>
      <c r="L1309" s="34"/>
    </row>
    <row r="1310" spans="1:22" s="39" customFormat="1" ht="11.25" customHeight="1" x14ac:dyDescent="0.35">
      <c r="A1310" s="52" t="s">
        <v>5215</v>
      </c>
      <c r="B1310" s="646" t="s">
        <v>6873</v>
      </c>
      <c r="C1310" s="282" t="s">
        <v>6935</v>
      </c>
      <c r="D1310" s="63" t="s">
        <v>6936</v>
      </c>
      <c r="E1310" s="52">
        <v>1</v>
      </c>
      <c r="F1310" s="13">
        <v>45303</v>
      </c>
      <c r="G1310" s="52">
        <v>1</v>
      </c>
      <c r="H1310" s="167">
        <v>45349</v>
      </c>
      <c r="I1310" s="52" t="s">
        <v>6883</v>
      </c>
      <c r="J1310" s="52"/>
      <c r="K1310" s="52" t="s">
        <v>5365</v>
      </c>
      <c r="L1310" s="34"/>
    </row>
    <row r="1311" spans="1:22" s="35" customFormat="1" ht="11.25" customHeight="1" x14ac:dyDescent="0.35">
      <c r="A1311" s="51" t="s">
        <v>5215</v>
      </c>
      <c r="B1311" s="646" t="s">
        <v>6873</v>
      </c>
      <c r="C1311" s="290" t="s">
        <v>6937</v>
      </c>
      <c r="D1311" s="66" t="s">
        <v>6938</v>
      </c>
      <c r="E1311" s="51">
        <v>1</v>
      </c>
      <c r="F1311" s="20">
        <v>45303</v>
      </c>
      <c r="G1311" s="51"/>
      <c r="H1311" s="174"/>
      <c r="I1311" s="51"/>
      <c r="J1311" s="51"/>
      <c r="K1311" s="52" t="s">
        <v>5338</v>
      </c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</row>
    <row r="1312" spans="1:22" s="39" customFormat="1" ht="11.25" customHeight="1" x14ac:dyDescent="0.35">
      <c r="A1312" s="52" t="s">
        <v>5215</v>
      </c>
      <c r="B1312" s="646" t="s">
        <v>6873</v>
      </c>
      <c r="C1312" s="282" t="s">
        <v>6939</v>
      </c>
      <c r="D1312" s="63" t="s">
        <v>6940</v>
      </c>
      <c r="E1312" s="52">
        <v>1</v>
      </c>
      <c r="F1312" s="13">
        <v>45303</v>
      </c>
      <c r="G1312" s="52">
        <v>1</v>
      </c>
      <c r="H1312" s="167">
        <v>45349</v>
      </c>
      <c r="I1312" s="52" t="s">
        <v>6883</v>
      </c>
      <c r="J1312" s="52"/>
      <c r="K1312" s="52" t="s">
        <v>5365</v>
      </c>
      <c r="L1312" s="34"/>
    </row>
    <row r="1313" spans="1:22" s="39" customFormat="1" ht="11.25" customHeight="1" x14ac:dyDescent="0.35">
      <c r="A1313" s="52" t="s">
        <v>5215</v>
      </c>
      <c r="B1313" s="646" t="s">
        <v>6873</v>
      </c>
      <c r="C1313" s="282" t="s">
        <v>1269</v>
      </c>
      <c r="D1313" s="63" t="s">
        <v>5054</v>
      </c>
      <c r="E1313" s="52">
        <v>1</v>
      </c>
      <c r="F1313" s="13">
        <v>45303</v>
      </c>
      <c r="G1313" s="52">
        <v>1</v>
      </c>
      <c r="H1313" s="167">
        <v>45407</v>
      </c>
      <c r="I1313" s="52" t="s">
        <v>5429</v>
      </c>
      <c r="J1313" s="52" t="s">
        <v>6941</v>
      </c>
      <c r="K1313" s="52" t="s">
        <v>5365</v>
      </c>
      <c r="L1313" s="34"/>
    </row>
    <row r="1314" spans="1:22" s="39" customFormat="1" ht="11.25" customHeight="1" x14ac:dyDescent="0.35">
      <c r="A1314" s="52" t="s">
        <v>5215</v>
      </c>
      <c r="B1314" s="646" t="s">
        <v>6873</v>
      </c>
      <c r="C1314" s="282" t="s">
        <v>909</v>
      </c>
      <c r="D1314" s="63" t="s">
        <v>6942</v>
      </c>
      <c r="E1314" s="52">
        <v>2</v>
      </c>
      <c r="F1314" s="13">
        <v>45303</v>
      </c>
      <c r="G1314" s="52">
        <v>2</v>
      </c>
      <c r="H1314" s="167">
        <v>45349</v>
      </c>
      <c r="I1314" s="52" t="s">
        <v>6883</v>
      </c>
      <c r="J1314" s="52"/>
      <c r="K1314" s="52" t="s">
        <v>5365</v>
      </c>
      <c r="L1314" s="34"/>
    </row>
    <row r="1315" spans="1:22" s="39" customFormat="1" ht="11.25" customHeight="1" x14ac:dyDescent="0.35">
      <c r="A1315" s="52" t="s">
        <v>5215</v>
      </c>
      <c r="B1315" s="646" t="s">
        <v>6873</v>
      </c>
      <c r="C1315" s="282" t="s">
        <v>6943</v>
      </c>
      <c r="D1315" s="63" t="s">
        <v>6944</v>
      </c>
      <c r="E1315" s="52">
        <v>7</v>
      </c>
      <c r="F1315" s="13">
        <v>45303</v>
      </c>
      <c r="G1315" s="52">
        <v>7</v>
      </c>
      <c r="H1315" s="167">
        <v>45349</v>
      </c>
      <c r="I1315" s="52" t="s">
        <v>6883</v>
      </c>
      <c r="J1315" s="52"/>
      <c r="K1315" s="52" t="s">
        <v>5365</v>
      </c>
      <c r="L1315" s="34"/>
    </row>
    <row r="1316" spans="1:22" s="39" customFormat="1" ht="11.25" customHeight="1" x14ac:dyDescent="0.35">
      <c r="A1316" s="52" t="s">
        <v>5215</v>
      </c>
      <c r="B1316" s="646" t="s">
        <v>6873</v>
      </c>
      <c r="C1316" s="282" t="s">
        <v>6945</v>
      </c>
      <c r="D1316" s="63" t="s">
        <v>6946</v>
      </c>
      <c r="E1316" s="52">
        <v>4</v>
      </c>
      <c r="F1316" s="13">
        <v>45303</v>
      </c>
      <c r="G1316" s="52">
        <v>4</v>
      </c>
      <c r="H1316" s="167">
        <v>45349</v>
      </c>
      <c r="I1316" s="52" t="s">
        <v>6883</v>
      </c>
      <c r="J1316" s="52"/>
      <c r="K1316" s="52" t="s">
        <v>5365</v>
      </c>
      <c r="L1316" s="34"/>
    </row>
    <row r="1317" spans="1:22" s="39" customFormat="1" ht="11.25" customHeight="1" x14ac:dyDescent="0.35">
      <c r="A1317" s="52" t="s">
        <v>5215</v>
      </c>
      <c r="B1317" s="646" t="s">
        <v>6873</v>
      </c>
      <c r="C1317" s="282" t="s">
        <v>6947</v>
      </c>
      <c r="D1317" s="63" t="s">
        <v>6948</v>
      </c>
      <c r="E1317" s="52">
        <v>1</v>
      </c>
      <c r="F1317" s="13">
        <v>45303</v>
      </c>
      <c r="G1317" s="52">
        <v>1</v>
      </c>
      <c r="H1317" s="167">
        <v>45349</v>
      </c>
      <c r="I1317" s="52" t="s">
        <v>6883</v>
      </c>
      <c r="J1317" s="52"/>
      <c r="K1317" s="52" t="s">
        <v>5365</v>
      </c>
      <c r="L1317" s="34"/>
    </row>
    <row r="1318" spans="1:22" s="39" customFormat="1" ht="11.25" customHeight="1" x14ac:dyDescent="0.35">
      <c r="A1318" s="52" t="s">
        <v>5215</v>
      </c>
      <c r="B1318" s="646" t="s">
        <v>6873</v>
      </c>
      <c r="C1318" s="282" t="s">
        <v>1071</v>
      </c>
      <c r="D1318" s="63" t="s">
        <v>6949</v>
      </c>
      <c r="E1318" s="52">
        <v>1</v>
      </c>
      <c r="F1318" s="13">
        <v>45303</v>
      </c>
      <c r="G1318" s="52">
        <v>1</v>
      </c>
      <c r="H1318" s="167">
        <v>45349</v>
      </c>
      <c r="I1318" s="52" t="s">
        <v>6883</v>
      </c>
      <c r="J1318" s="52"/>
      <c r="K1318" s="52" t="s">
        <v>5365</v>
      </c>
      <c r="L1318" s="34"/>
    </row>
    <row r="1319" spans="1:22" s="39" customFormat="1" ht="11.25" customHeight="1" x14ac:dyDescent="0.35">
      <c r="A1319" s="52" t="s">
        <v>5215</v>
      </c>
      <c r="B1319" s="646" t="s">
        <v>6873</v>
      </c>
      <c r="C1319" s="282" t="s">
        <v>6950</v>
      </c>
      <c r="D1319" s="63" t="s">
        <v>6951</v>
      </c>
      <c r="E1319" s="52">
        <v>1</v>
      </c>
      <c r="F1319" s="13">
        <v>45303</v>
      </c>
      <c r="G1319" s="52">
        <v>1</v>
      </c>
      <c r="H1319" s="167">
        <v>45349</v>
      </c>
      <c r="I1319" s="52" t="s">
        <v>6883</v>
      </c>
      <c r="J1319" s="52"/>
      <c r="K1319" s="52" t="s">
        <v>5365</v>
      </c>
      <c r="L1319" s="34"/>
    </row>
    <row r="1320" spans="1:22" s="35" customFormat="1" ht="11.25" customHeight="1" x14ac:dyDescent="0.35">
      <c r="A1320" s="51" t="s">
        <v>5215</v>
      </c>
      <c r="B1320" s="646" t="s">
        <v>6873</v>
      </c>
      <c r="C1320" s="290" t="s">
        <v>6952</v>
      </c>
      <c r="D1320" s="66" t="s">
        <v>6953</v>
      </c>
      <c r="E1320" s="51">
        <v>1</v>
      </c>
      <c r="F1320" s="20">
        <v>45303</v>
      </c>
      <c r="G1320" s="51"/>
      <c r="H1320" s="174"/>
      <c r="I1320" s="51"/>
      <c r="J1320" s="51"/>
      <c r="K1320" s="52" t="s">
        <v>5338</v>
      </c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</row>
    <row r="1321" spans="1:22" s="39" customFormat="1" ht="11.25" customHeight="1" x14ac:dyDescent="0.35">
      <c r="A1321" s="52" t="s">
        <v>5215</v>
      </c>
      <c r="B1321" s="646" t="s">
        <v>6873</v>
      </c>
      <c r="C1321" s="282" t="s">
        <v>6954</v>
      </c>
      <c r="D1321" s="63" t="s">
        <v>6955</v>
      </c>
      <c r="E1321" s="52">
        <v>6</v>
      </c>
      <c r="F1321" s="13">
        <v>45303</v>
      </c>
      <c r="G1321" s="52">
        <v>6</v>
      </c>
      <c r="H1321" s="167">
        <v>45349</v>
      </c>
      <c r="I1321" s="52" t="s">
        <v>6883</v>
      </c>
      <c r="J1321" s="52"/>
      <c r="K1321" s="52" t="s">
        <v>5365</v>
      </c>
      <c r="L1321" s="34"/>
    </row>
    <row r="1322" spans="1:22" s="39" customFormat="1" ht="11.25" customHeight="1" x14ac:dyDescent="0.35">
      <c r="A1322" s="52" t="s">
        <v>5215</v>
      </c>
      <c r="B1322" s="646" t="s">
        <v>6873</v>
      </c>
      <c r="C1322" s="282" t="s">
        <v>6956</v>
      </c>
      <c r="D1322" s="63" t="s">
        <v>6957</v>
      </c>
      <c r="E1322" s="52">
        <v>1</v>
      </c>
      <c r="F1322" s="13">
        <v>45303</v>
      </c>
      <c r="G1322" s="52">
        <v>1</v>
      </c>
      <c r="H1322" s="167">
        <v>45349</v>
      </c>
      <c r="I1322" s="52" t="s">
        <v>6883</v>
      </c>
      <c r="J1322" s="52"/>
      <c r="K1322" s="52" t="s">
        <v>5365</v>
      </c>
      <c r="L1322" s="34"/>
    </row>
    <row r="1323" spans="1:22" s="39" customFormat="1" ht="11.25" customHeight="1" x14ac:dyDescent="0.35">
      <c r="A1323" s="52" t="s">
        <v>5215</v>
      </c>
      <c r="B1323" s="646" t="s">
        <v>6873</v>
      </c>
      <c r="C1323" s="282" t="s">
        <v>5633</v>
      </c>
      <c r="D1323" s="63" t="s">
        <v>6958</v>
      </c>
      <c r="E1323" s="52">
        <v>1</v>
      </c>
      <c r="F1323" s="13">
        <v>45303</v>
      </c>
      <c r="G1323" s="52">
        <v>1</v>
      </c>
      <c r="H1323" s="167">
        <v>45349</v>
      </c>
      <c r="I1323" s="52" t="s">
        <v>6883</v>
      </c>
      <c r="J1323" s="52"/>
      <c r="K1323" s="52" t="s">
        <v>5365</v>
      </c>
      <c r="L1323" s="34"/>
    </row>
    <row r="1324" spans="1:22" s="35" customFormat="1" ht="11.25" customHeight="1" x14ac:dyDescent="0.35">
      <c r="A1324" s="51" t="s">
        <v>5215</v>
      </c>
      <c r="B1324" s="646" t="s">
        <v>6873</v>
      </c>
      <c r="C1324" s="290" t="s">
        <v>6959</v>
      </c>
      <c r="D1324" s="66" t="s">
        <v>6960</v>
      </c>
      <c r="E1324" s="51">
        <v>2</v>
      </c>
      <c r="F1324" s="20">
        <v>45303</v>
      </c>
      <c r="G1324" s="51"/>
      <c r="H1324" s="174"/>
      <c r="I1324" s="51"/>
      <c r="J1324" s="51"/>
      <c r="K1324" s="52" t="s">
        <v>5338</v>
      </c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</row>
    <row r="1325" spans="1:22" s="39" customFormat="1" ht="11.25" customHeight="1" x14ac:dyDescent="0.35">
      <c r="A1325" s="52" t="s">
        <v>5215</v>
      </c>
      <c r="B1325" s="646" t="s">
        <v>6873</v>
      </c>
      <c r="C1325" s="282" t="s">
        <v>6961</v>
      </c>
      <c r="D1325" s="63" t="s">
        <v>6962</v>
      </c>
      <c r="E1325" s="52">
        <v>1</v>
      </c>
      <c r="F1325" s="13">
        <v>45303</v>
      </c>
      <c r="G1325" s="52">
        <v>1</v>
      </c>
      <c r="H1325" s="167">
        <v>45349</v>
      </c>
      <c r="I1325" s="52" t="s">
        <v>6883</v>
      </c>
      <c r="J1325" s="52"/>
      <c r="K1325" s="52" t="s">
        <v>5365</v>
      </c>
      <c r="L1325" s="34"/>
    </row>
    <row r="1326" spans="1:22" s="39" customFormat="1" ht="11.25" customHeight="1" x14ac:dyDescent="0.35">
      <c r="A1326" s="52" t="s">
        <v>5215</v>
      </c>
      <c r="B1326" s="646" t="s">
        <v>6873</v>
      </c>
      <c r="C1326" s="282" t="s">
        <v>6963</v>
      </c>
      <c r="D1326" s="63" t="s">
        <v>6964</v>
      </c>
      <c r="E1326" s="52">
        <v>1</v>
      </c>
      <c r="F1326" s="13">
        <v>45303</v>
      </c>
      <c r="G1326" s="52">
        <v>1</v>
      </c>
      <c r="H1326" s="167">
        <v>45349</v>
      </c>
      <c r="I1326" s="52" t="s">
        <v>6883</v>
      </c>
      <c r="J1326" s="52"/>
      <c r="K1326" s="52" t="s">
        <v>5365</v>
      </c>
      <c r="L1326" s="34"/>
    </row>
    <row r="1327" spans="1:22" s="39" customFormat="1" ht="11.25" customHeight="1" x14ac:dyDescent="0.35">
      <c r="A1327" s="52" t="s">
        <v>5215</v>
      </c>
      <c r="B1327" s="646" t="s">
        <v>6873</v>
      </c>
      <c r="C1327" s="282" t="s">
        <v>6965</v>
      </c>
      <c r="D1327" s="63" t="s">
        <v>6966</v>
      </c>
      <c r="E1327" s="52">
        <v>3</v>
      </c>
      <c r="F1327" s="13">
        <v>45303</v>
      </c>
      <c r="G1327" s="52">
        <v>3</v>
      </c>
      <c r="H1327" s="167">
        <v>45349</v>
      </c>
      <c r="I1327" s="52" t="s">
        <v>6883</v>
      </c>
      <c r="J1327" s="52"/>
      <c r="K1327" s="52" t="s">
        <v>5365</v>
      </c>
      <c r="L1327" s="34"/>
    </row>
    <row r="1328" spans="1:22" s="39" customFormat="1" ht="11.25" customHeight="1" x14ac:dyDescent="0.35">
      <c r="A1328" s="52" t="s">
        <v>5215</v>
      </c>
      <c r="B1328" s="646" t="s">
        <v>6873</v>
      </c>
      <c r="C1328" s="282" t="s">
        <v>6967</v>
      </c>
      <c r="D1328" s="63" t="s">
        <v>6968</v>
      </c>
      <c r="E1328" s="52">
        <v>1</v>
      </c>
      <c r="F1328" s="13">
        <v>45303</v>
      </c>
      <c r="G1328" s="52">
        <v>1</v>
      </c>
      <c r="H1328" s="167">
        <v>45349</v>
      </c>
      <c r="I1328" s="52" t="s">
        <v>6883</v>
      </c>
      <c r="J1328" s="52"/>
      <c r="K1328" s="52" t="s">
        <v>5365</v>
      </c>
      <c r="L1328" s="34"/>
    </row>
    <row r="1329" spans="1:22" s="35" customFormat="1" ht="11.25" customHeight="1" x14ac:dyDescent="0.35">
      <c r="A1329" s="51" t="s">
        <v>5215</v>
      </c>
      <c r="B1329" s="646" t="s">
        <v>6873</v>
      </c>
      <c r="C1329" s="290" t="s">
        <v>6969</v>
      </c>
      <c r="D1329" s="66" t="s">
        <v>6970</v>
      </c>
      <c r="E1329" s="51">
        <v>46</v>
      </c>
      <c r="F1329" s="20">
        <v>45303</v>
      </c>
      <c r="G1329" s="51"/>
      <c r="H1329" s="174"/>
      <c r="I1329" s="51"/>
      <c r="J1329" s="51"/>
      <c r="K1329" s="52" t="s">
        <v>5338</v>
      </c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</row>
    <row r="1330" spans="1:22" s="39" customFormat="1" ht="11.25" customHeight="1" x14ac:dyDescent="0.35">
      <c r="A1330" s="52" t="s">
        <v>5215</v>
      </c>
      <c r="B1330" s="646" t="s">
        <v>6873</v>
      </c>
      <c r="C1330" s="282" t="s">
        <v>6971</v>
      </c>
      <c r="D1330" s="63" t="s">
        <v>1426</v>
      </c>
      <c r="E1330" s="52">
        <v>5</v>
      </c>
      <c r="F1330" s="13">
        <v>45303</v>
      </c>
      <c r="G1330" s="52">
        <v>5</v>
      </c>
      <c r="H1330" s="167">
        <v>45349</v>
      </c>
      <c r="I1330" s="52" t="s">
        <v>6883</v>
      </c>
      <c r="J1330" s="52"/>
      <c r="K1330" s="52" t="s">
        <v>5365</v>
      </c>
      <c r="L1330" s="34"/>
    </row>
    <row r="1331" spans="1:22" s="39" customFormat="1" ht="11.25" customHeight="1" x14ac:dyDescent="0.25">
      <c r="A1331" s="52" t="s">
        <v>5215</v>
      </c>
      <c r="B1331" s="646" t="s">
        <v>6873</v>
      </c>
      <c r="C1331" s="282" t="s">
        <v>5242</v>
      </c>
      <c r="D1331" s="63" t="s">
        <v>6972</v>
      </c>
      <c r="E1331" s="52">
        <v>12</v>
      </c>
      <c r="F1331" s="13">
        <v>45303</v>
      </c>
      <c r="G1331" s="52">
        <v>12</v>
      </c>
      <c r="H1331" s="167">
        <v>45349</v>
      </c>
      <c r="I1331" s="93" t="s">
        <v>6883</v>
      </c>
      <c r="J1331" s="52"/>
      <c r="K1331" s="52" t="s">
        <v>5365</v>
      </c>
      <c r="L1331" s="34"/>
    </row>
    <row r="1332" spans="1:22" s="39" customFormat="1" ht="11.25" customHeight="1" x14ac:dyDescent="0.35">
      <c r="A1332" s="52" t="s">
        <v>5215</v>
      </c>
      <c r="B1332" s="646" t="s">
        <v>6873</v>
      </c>
      <c r="C1332" s="282" t="s">
        <v>6973</v>
      </c>
      <c r="D1332" s="63" t="s">
        <v>6974</v>
      </c>
      <c r="E1332" s="52">
        <v>18</v>
      </c>
      <c r="F1332" s="13">
        <v>45303</v>
      </c>
      <c r="G1332" s="52">
        <v>18</v>
      </c>
      <c r="H1332" s="167">
        <v>45349</v>
      </c>
      <c r="I1332" s="52" t="s">
        <v>6883</v>
      </c>
      <c r="J1332" s="52"/>
      <c r="K1332" s="52" t="s">
        <v>5365</v>
      </c>
      <c r="L1332" s="34"/>
    </row>
    <row r="1333" spans="1:22" s="39" customFormat="1" ht="11.25" customHeight="1" x14ac:dyDescent="0.35">
      <c r="A1333" s="52" t="s">
        <v>5215</v>
      </c>
      <c r="B1333" s="646" t="s">
        <v>6873</v>
      </c>
      <c r="C1333" s="282" t="s">
        <v>5246</v>
      </c>
      <c r="D1333" s="63" t="s">
        <v>6975</v>
      </c>
      <c r="E1333" s="52">
        <v>6</v>
      </c>
      <c r="F1333" s="13">
        <v>45303</v>
      </c>
      <c r="G1333" s="52">
        <v>6</v>
      </c>
      <c r="H1333" s="167">
        <v>45349</v>
      </c>
      <c r="I1333" s="52" t="s">
        <v>6883</v>
      </c>
      <c r="J1333" s="52"/>
      <c r="K1333" s="52" t="s">
        <v>5365</v>
      </c>
      <c r="L1333" s="34"/>
    </row>
    <row r="1334" spans="1:22" s="86" customFormat="1" ht="11.25" customHeight="1" x14ac:dyDescent="0.35">
      <c r="A1334" s="90" t="s">
        <v>5215</v>
      </c>
      <c r="B1334" s="646" t="s">
        <v>6873</v>
      </c>
      <c r="C1334" s="285" t="s">
        <v>6976</v>
      </c>
      <c r="D1334" s="91" t="s">
        <v>6977</v>
      </c>
      <c r="E1334" s="90">
        <v>2</v>
      </c>
      <c r="F1334" s="92">
        <v>45303</v>
      </c>
      <c r="G1334" s="90">
        <v>2</v>
      </c>
      <c r="H1334" s="170">
        <v>45407</v>
      </c>
      <c r="I1334" s="90" t="s">
        <v>5429</v>
      </c>
      <c r="J1334" s="90" t="s">
        <v>6941</v>
      </c>
      <c r="K1334" s="52" t="s">
        <v>5511</v>
      </c>
      <c r="L1334" s="34"/>
    </row>
    <row r="1335" spans="1:22" s="39" customFormat="1" ht="11.25" customHeight="1" x14ac:dyDescent="0.35">
      <c r="A1335" s="52" t="s">
        <v>5215</v>
      </c>
      <c r="B1335" s="646" t="s">
        <v>6873</v>
      </c>
      <c r="C1335" s="282" t="s">
        <v>6978</v>
      </c>
      <c r="D1335" s="63" t="s">
        <v>6979</v>
      </c>
      <c r="E1335" s="52">
        <v>2</v>
      </c>
      <c r="F1335" s="13">
        <v>45303</v>
      </c>
      <c r="G1335" s="52">
        <v>2</v>
      </c>
      <c r="H1335" s="167">
        <v>45349</v>
      </c>
      <c r="I1335" s="52" t="s">
        <v>6883</v>
      </c>
      <c r="J1335" s="52"/>
      <c r="K1335" s="52" t="s">
        <v>5365</v>
      </c>
      <c r="L1335" s="34"/>
    </row>
    <row r="1336" spans="1:22" s="39" customFormat="1" ht="11.25" customHeight="1" x14ac:dyDescent="0.35">
      <c r="A1336" s="52" t="s">
        <v>5215</v>
      </c>
      <c r="B1336" s="646" t="s">
        <v>6873</v>
      </c>
      <c r="C1336" s="282" t="s">
        <v>6980</v>
      </c>
      <c r="D1336" s="63" t="s">
        <v>6981</v>
      </c>
      <c r="E1336" s="52">
        <v>1</v>
      </c>
      <c r="F1336" s="13">
        <v>45303</v>
      </c>
      <c r="G1336" s="52">
        <v>1</v>
      </c>
      <c r="H1336" s="167">
        <v>45349</v>
      </c>
      <c r="I1336" s="52" t="s">
        <v>6883</v>
      </c>
      <c r="J1336" s="52"/>
      <c r="K1336" s="52" t="s">
        <v>5365</v>
      </c>
      <c r="L1336" s="34"/>
    </row>
    <row r="1337" spans="1:22" s="35" customFormat="1" ht="11.25" customHeight="1" x14ac:dyDescent="0.35">
      <c r="A1337" s="51" t="s">
        <v>5215</v>
      </c>
      <c r="B1337" s="646" t="s">
        <v>6873</v>
      </c>
      <c r="C1337" s="290" t="s">
        <v>6982</v>
      </c>
      <c r="D1337" s="66" t="s">
        <v>6983</v>
      </c>
      <c r="E1337" s="51">
        <v>18</v>
      </c>
      <c r="F1337" s="20">
        <v>45303</v>
      </c>
      <c r="G1337" s="51"/>
      <c r="H1337" s="174"/>
      <c r="I1337" s="51"/>
      <c r="J1337" s="51"/>
      <c r="K1337" s="52" t="s">
        <v>5365</v>
      </c>
      <c r="L1337" s="34"/>
      <c r="M1337" s="34"/>
      <c r="N1337" s="34"/>
      <c r="O1337" s="34"/>
      <c r="P1337" s="34"/>
      <c r="Q1337" s="34"/>
      <c r="R1337" s="34"/>
      <c r="S1337" s="34"/>
      <c r="T1337" s="34"/>
      <c r="U1337" s="34"/>
      <c r="V1337" s="34"/>
    </row>
    <row r="1338" spans="1:22" s="39" customFormat="1" ht="11.25" customHeight="1" x14ac:dyDescent="0.35">
      <c r="A1338" s="52" t="s">
        <v>5215</v>
      </c>
      <c r="B1338" s="646" t="s">
        <v>6873</v>
      </c>
      <c r="C1338" s="282" t="s">
        <v>956</v>
      </c>
      <c r="D1338" s="63" t="s">
        <v>6984</v>
      </c>
      <c r="E1338" s="52">
        <v>6</v>
      </c>
      <c r="F1338" s="13">
        <v>45303</v>
      </c>
      <c r="G1338" s="52">
        <v>6</v>
      </c>
      <c r="H1338" s="167">
        <v>45349</v>
      </c>
      <c r="I1338" s="52" t="s">
        <v>6883</v>
      </c>
      <c r="J1338" s="52"/>
      <c r="K1338" s="52" t="s">
        <v>5365</v>
      </c>
      <c r="L1338" s="34"/>
    </row>
    <row r="1339" spans="1:22" s="35" customFormat="1" ht="11.25" customHeight="1" x14ac:dyDescent="0.35">
      <c r="A1339" s="51" t="s">
        <v>5215</v>
      </c>
      <c r="B1339" s="646" t="s">
        <v>6873</v>
      </c>
      <c r="C1339" s="290" t="s">
        <v>6985</v>
      </c>
      <c r="D1339" s="66" t="s">
        <v>2441</v>
      </c>
      <c r="E1339" s="51">
        <v>1</v>
      </c>
      <c r="F1339" s="20">
        <v>45303</v>
      </c>
      <c r="G1339" s="51"/>
      <c r="H1339" s="174"/>
      <c r="I1339" s="51"/>
      <c r="J1339" s="51"/>
      <c r="K1339" s="51" t="s">
        <v>5338</v>
      </c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</row>
    <row r="1340" spans="1:22" s="35" customFormat="1" ht="11.25" customHeight="1" x14ac:dyDescent="0.35">
      <c r="A1340" s="51" t="s">
        <v>5215</v>
      </c>
      <c r="B1340" s="646" t="s">
        <v>6873</v>
      </c>
      <c r="C1340" s="290" t="s">
        <v>6986</v>
      </c>
      <c r="D1340" s="66" t="s">
        <v>6987</v>
      </c>
      <c r="E1340" s="51">
        <v>6</v>
      </c>
      <c r="F1340" s="20">
        <v>45303</v>
      </c>
      <c r="G1340" s="51"/>
      <c r="H1340" s="174"/>
      <c r="I1340" s="51"/>
      <c r="J1340" s="51"/>
      <c r="K1340" s="51" t="s">
        <v>5338</v>
      </c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</row>
    <row r="1341" spans="1:22" s="35" customFormat="1" ht="11.25" customHeight="1" x14ac:dyDescent="0.35">
      <c r="A1341" s="51" t="s">
        <v>5215</v>
      </c>
      <c r="B1341" s="646" t="s">
        <v>6873</v>
      </c>
      <c r="C1341" s="290" t="s">
        <v>1105</v>
      </c>
      <c r="D1341" s="66" t="s">
        <v>6988</v>
      </c>
      <c r="E1341" s="51">
        <v>1</v>
      </c>
      <c r="F1341" s="20">
        <v>45303</v>
      </c>
      <c r="G1341" s="51"/>
      <c r="H1341" s="174"/>
      <c r="I1341" s="51"/>
      <c r="J1341" s="51"/>
      <c r="K1341" s="51" t="s">
        <v>5338</v>
      </c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  <c r="V1341" s="34"/>
    </row>
    <row r="1342" spans="1:22" s="35" customFormat="1" ht="11.25" customHeight="1" x14ac:dyDescent="0.35">
      <c r="A1342" s="51" t="s">
        <v>5215</v>
      </c>
      <c r="B1342" s="646" t="s">
        <v>6873</v>
      </c>
      <c r="C1342" s="290" t="s">
        <v>6989</v>
      </c>
      <c r="D1342" s="66" t="s">
        <v>6990</v>
      </c>
      <c r="E1342" s="51">
        <v>1</v>
      </c>
      <c r="F1342" s="20">
        <v>45303</v>
      </c>
      <c r="G1342" s="51"/>
      <c r="H1342" s="174"/>
      <c r="I1342" s="51"/>
      <c r="J1342" s="51"/>
      <c r="K1342" s="51" t="s">
        <v>5338</v>
      </c>
      <c r="L1342" s="34"/>
      <c r="M1342" s="34"/>
      <c r="N1342" s="34"/>
      <c r="O1342" s="34"/>
      <c r="P1342" s="34"/>
      <c r="Q1342" s="34"/>
      <c r="R1342" s="34"/>
      <c r="S1342" s="34"/>
      <c r="T1342" s="34"/>
      <c r="U1342" s="34"/>
      <c r="V1342" s="34"/>
    </row>
    <row r="1343" spans="1:22" s="39" customFormat="1" ht="11.25" customHeight="1" x14ac:dyDescent="0.35">
      <c r="A1343" s="52" t="s">
        <v>5215</v>
      </c>
      <c r="B1343" s="646" t="s">
        <v>6873</v>
      </c>
      <c r="C1343" s="282" t="s">
        <v>6991</v>
      </c>
      <c r="D1343" s="63" t="s">
        <v>6992</v>
      </c>
      <c r="E1343" s="52">
        <v>52</v>
      </c>
      <c r="F1343" s="13">
        <v>45303</v>
      </c>
      <c r="G1343" s="52" t="s">
        <v>6993</v>
      </c>
      <c r="H1343" s="167"/>
      <c r="I1343" s="52" t="s">
        <v>6883</v>
      </c>
      <c r="J1343" s="52" t="s">
        <v>6994</v>
      </c>
      <c r="K1343" s="52" t="s">
        <v>5365</v>
      </c>
      <c r="L1343" s="34"/>
    </row>
    <row r="1344" spans="1:22" s="35" customFormat="1" ht="11.25" customHeight="1" x14ac:dyDescent="0.35">
      <c r="A1344" s="51" t="s">
        <v>5215</v>
      </c>
      <c r="B1344" s="646" t="s">
        <v>6873</v>
      </c>
      <c r="C1344" s="290" t="s">
        <v>6995</v>
      </c>
      <c r="D1344" s="66" t="s">
        <v>6996</v>
      </c>
      <c r="E1344" s="51">
        <v>251</v>
      </c>
      <c r="F1344" s="20">
        <v>45303</v>
      </c>
      <c r="G1344" s="51"/>
      <c r="H1344" s="174"/>
      <c r="I1344" s="51"/>
      <c r="J1344" s="51"/>
      <c r="K1344" s="51" t="s">
        <v>5338</v>
      </c>
      <c r="L1344" s="34"/>
      <c r="M1344" s="34"/>
      <c r="N1344" s="34"/>
      <c r="O1344" s="34"/>
      <c r="P1344" s="34"/>
      <c r="Q1344" s="34"/>
      <c r="R1344" s="34"/>
      <c r="S1344" s="34"/>
      <c r="T1344" s="34"/>
      <c r="U1344" s="34"/>
      <c r="V1344" s="34"/>
    </row>
    <row r="1345" spans="1:22" s="35" customFormat="1" ht="11.25" customHeight="1" x14ac:dyDescent="0.35">
      <c r="A1345" s="51" t="s">
        <v>5215</v>
      </c>
      <c r="B1345" s="646" t="s">
        <v>6873</v>
      </c>
      <c r="C1345" s="290" t="s">
        <v>6997</v>
      </c>
      <c r="D1345" s="66" t="s">
        <v>6998</v>
      </c>
      <c r="E1345" s="51">
        <v>1</v>
      </c>
      <c r="F1345" s="20">
        <v>45303</v>
      </c>
      <c r="G1345" s="51"/>
      <c r="H1345" s="174"/>
      <c r="I1345" s="51"/>
      <c r="J1345" s="51"/>
      <c r="K1345" s="51" t="s">
        <v>5338</v>
      </c>
      <c r="L1345" s="34"/>
      <c r="M1345" s="34"/>
      <c r="N1345" s="34"/>
      <c r="O1345" s="34"/>
      <c r="P1345" s="34"/>
      <c r="Q1345" s="34"/>
      <c r="R1345" s="34"/>
      <c r="S1345" s="34"/>
      <c r="T1345" s="34"/>
      <c r="U1345" s="34"/>
      <c r="V1345" s="34"/>
    </row>
    <row r="1346" spans="1:22" s="35" customFormat="1" ht="11.25" customHeight="1" x14ac:dyDescent="0.35">
      <c r="A1346" s="51" t="s">
        <v>5215</v>
      </c>
      <c r="B1346" s="646" t="s">
        <v>6873</v>
      </c>
      <c r="C1346" s="290" t="s">
        <v>6999</v>
      </c>
      <c r="D1346" s="66" t="s">
        <v>7000</v>
      </c>
      <c r="E1346" s="51">
        <v>6</v>
      </c>
      <c r="F1346" s="20">
        <v>45303</v>
      </c>
      <c r="G1346" s="51"/>
      <c r="H1346" s="174"/>
      <c r="I1346" s="51"/>
      <c r="J1346" s="51"/>
      <c r="K1346" s="51" t="s">
        <v>5338</v>
      </c>
      <c r="L1346" s="34"/>
      <c r="M1346" s="34"/>
      <c r="N1346" s="34"/>
      <c r="O1346" s="34"/>
      <c r="P1346" s="34"/>
      <c r="Q1346" s="34"/>
      <c r="R1346" s="34"/>
      <c r="S1346" s="34"/>
      <c r="T1346" s="34"/>
      <c r="U1346" s="34"/>
      <c r="V1346" s="34"/>
    </row>
    <row r="1347" spans="1:22" s="35" customFormat="1" ht="11.25" customHeight="1" x14ac:dyDescent="0.35">
      <c r="A1347" s="51" t="s">
        <v>5215</v>
      </c>
      <c r="B1347" s="646" t="s">
        <v>6873</v>
      </c>
      <c r="C1347" s="290" t="s">
        <v>6123</v>
      </c>
      <c r="D1347" s="66" t="s">
        <v>7001</v>
      </c>
      <c r="E1347" s="51">
        <v>31</v>
      </c>
      <c r="F1347" s="20">
        <v>45303</v>
      </c>
      <c r="G1347" s="51"/>
      <c r="H1347" s="174"/>
      <c r="I1347" s="51"/>
      <c r="J1347" s="51"/>
      <c r="K1347" s="51" t="s">
        <v>5338</v>
      </c>
      <c r="L1347" s="34"/>
      <c r="M1347" s="34"/>
      <c r="N1347" s="34"/>
      <c r="O1347" s="34"/>
      <c r="P1347" s="34"/>
      <c r="Q1347" s="34"/>
      <c r="R1347" s="34"/>
      <c r="S1347" s="34"/>
      <c r="T1347" s="34"/>
      <c r="U1347" s="34"/>
      <c r="V1347" s="34"/>
    </row>
    <row r="1348" spans="1:22" s="35" customFormat="1" ht="11.25" customHeight="1" x14ac:dyDescent="0.35">
      <c r="A1348" s="51" t="s">
        <v>5215</v>
      </c>
      <c r="B1348" s="646" t="s">
        <v>6873</v>
      </c>
      <c r="C1348" s="290" t="s">
        <v>7002</v>
      </c>
      <c r="D1348" s="66" t="s">
        <v>7003</v>
      </c>
      <c r="E1348" s="51">
        <v>7</v>
      </c>
      <c r="F1348" s="20">
        <v>45303</v>
      </c>
      <c r="G1348" s="51"/>
      <c r="H1348" s="174"/>
      <c r="I1348" s="51"/>
      <c r="J1348" s="51"/>
      <c r="K1348" s="51" t="s">
        <v>5338</v>
      </c>
      <c r="L1348" s="34"/>
      <c r="M1348" s="34"/>
      <c r="N1348" s="34"/>
      <c r="O1348" s="34"/>
      <c r="P1348" s="34"/>
      <c r="Q1348" s="34"/>
      <c r="R1348" s="34"/>
      <c r="S1348" s="34"/>
      <c r="T1348" s="34"/>
      <c r="U1348" s="34"/>
      <c r="V1348" s="34"/>
    </row>
    <row r="1349" spans="1:22" s="35" customFormat="1" ht="11.25" customHeight="1" x14ac:dyDescent="0.35">
      <c r="A1349" s="51" t="s">
        <v>5215</v>
      </c>
      <c r="B1349" s="646" t="s">
        <v>6873</v>
      </c>
      <c r="C1349" s="290" t="s">
        <v>7004</v>
      </c>
      <c r="D1349" s="66" t="s">
        <v>7005</v>
      </c>
      <c r="E1349" s="51">
        <v>4</v>
      </c>
      <c r="F1349" s="20">
        <v>45303</v>
      </c>
      <c r="G1349" s="51"/>
      <c r="H1349" s="174"/>
      <c r="I1349" s="51"/>
      <c r="J1349" s="51"/>
      <c r="K1349" s="51" t="s">
        <v>5338</v>
      </c>
      <c r="L1349" s="34"/>
      <c r="M1349" s="34"/>
      <c r="N1349" s="34"/>
      <c r="O1349" s="34"/>
      <c r="P1349" s="34"/>
      <c r="Q1349" s="34"/>
      <c r="R1349" s="34"/>
      <c r="S1349" s="34"/>
      <c r="T1349" s="34"/>
      <c r="U1349" s="34"/>
      <c r="V1349" s="34"/>
    </row>
    <row r="1350" spans="1:22" s="35" customFormat="1" ht="11.25" customHeight="1" x14ac:dyDescent="0.35">
      <c r="A1350" s="51" t="s">
        <v>5215</v>
      </c>
      <c r="B1350" s="646" t="s">
        <v>6873</v>
      </c>
      <c r="C1350" s="290" t="s">
        <v>7006</v>
      </c>
      <c r="D1350" s="66" t="s">
        <v>7007</v>
      </c>
      <c r="E1350" s="51">
        <v>6</v>
      </c>
      <c r="F1350" s="20">
        <v>45303</v>
      </c>
      <c r="G1350" s="51"/>
      <c r="H1350" s="174"/>
      <c r="I1350" s="51"/>
      <c r="J1350" s="51"/>
      <c r="K1350" s="51" t="s">
        <v>5338</v>
      </c>
      <c r="L1350" s="34"/>
      <c r="M1350" s="34"/>
      <c r="N1350" s="34"/>
      <c r="O1350" s="34"/>
      <c r="P1350" s="34"/>
      <c r="Q1350" s="34"/>
      <c r="R1350" s="34"/>
      <c r="S1350" s="34"/>
      <c r="T1350" s="34"/>
      <c r="U1350" s="34"/>
      <c r="V1350" s="34"/>
    </row>
    <row r="1351" spans="1:22" s="35" customFormat="1" ht="11.25" customHeight="1" x14ac:dyDescent="0.35">
      <c r="A1351" s="51" t="s">
        <v>5215</v>
      </c>
      <c r="B1351" s="646" t="s">
        <v>6873</v>
      </c>
      <c r="C1351" s="290" t="s">
        <v>6125</v>
      </c>
      <c r="D1351" s="66" t="s">
        <v>7008</v>
      </c>
      <c r="E1351" s="51">
        <v>295</v>
      </c>
      <c r="F1351" s="20">
        <v>45303</v>
      </c>
      <c r="G1351" s="51"/>
      <c r="H1351" s="174"/>
      <c r="I1351" s="51"/>
      <c r="J1351" s="51"/>
      <c r="K1351" s="51" t="s">
        <v>5338</v>
      </c>
      <c r="L1351" s="34"/>
      <c r="M1351" s="34"/>
      <c r="N1351" s="34"/>
      <c r="O1351" s="34"/>
      <c r="P1351" s="34"/>
      <c r="Q1351" s="34"/>
      <c r="R1351" s="34"/>
      <c r="S1351" s="34"/>
      <c r="T1351" s="34"/>
      <c r="U1351" s="34"/>
      <c r="V1351" s="34"/>
    </row>
    <row r="1352" spans="1:22" s="39" customFormat="1" ht="11.25" customHeight="1" x14ac:dyDescent="0.35">
      <c r="A1352" s="52" t="s">
        <v>5215</v>
      </c>
      <c r="B1352" s="646" t="s">
        <v>6873</v>
      </c>
      <c r="C1352" s="282" t="s">
        <v>7009</v>
      </c>
      <c r="D1352" s="63" t="s">
        <v>7010</v>
      </c>
      <c r="E1352" s="52">
        <v>5</v>
      </c>
      <c r="F1352" s="13">
        <v>45303</v>
      </c>
      <c r="G1352" s="52">
        <v>5</v>
      </c>
      <c r="H1352" s="167">
        <v>45349</v>
      </c>
      <c r="I1352" s="52" t="s">
        <v>6883</v>
      </c>
      <c r="J1352" s="52"/>
      <c r="K1352" s="52" t="s">
        <v>5365</v>
      </c>
      <c r="L1352" s="34"/>
    </row>
    <row r="1353" spans="1:22" s="35" customFormat="1" ht="11.25" customHeight="1" x14ac:dyDescent="0.35">
      <c r="A1353" s="51" t="s">
        <v>5215</v>
      </c>
      <c r="B1353" s="646" t="s">
        <v>6873</v>
      </c>
      <c r="C1353" s="290" t="s">
        <v>7011</v>
      </c>
      <c r="D1353" s="66" t="s">
        <v>7012</v>
      </c>
      <c r="E1353" s="51">
        <v>4</v>
      </c>
      <c r="F1353" s="20">
        <v>45303</v>
      </c>
      <c r="G1353" s="51"/>
      <c r="H1353" s="174"/>
      <c r="I1353" s="51"/>
      <c r="J1353" s="51"/>
      <c r="K1353" s="51" t="s">
        <v>5338</v>
      </c>
      <c r="L1353" s="34"/>
      <c r="M1353" s="34"/>
      <c r="N1353" s="34"/>
      <c r="O1353" s="34"/>
      <c r="P1353" s="34"/>
      <c r="Q1353" s="34"/>
      <c r="R1353" s="34"/>
      <c r="S1353" s="34"/>
      <c r="T1353" s="34"/>
      <c r="U1353" s="34"/>
      <c r="V1353" s="34"/>
    </row>
    <row r="1354" spans="1:22" s="39" customFormat="1" ht="11.25" customHeight="1" x14ac:dyDescent="0.35">
      <c r="A1354" s="52" t="s">
        <v>5215</v>
      </c>
      <c r="B1354" s="80" t="s">
        <v>6873</v>
      </c>
      <c r="C1354" s="282" t="s">
        <v>1102</v>
      </c>
      <c r="D1354" s="63" t="s">
        <v>7013</v>
      </c>
      <c r="E1354" s="52">
        <v>4</v>
      </c>
      <c r="F1354" s="13">
        <v>45303</v>
      </c>
      <c r="G1354" s="52">
        <v>4</v>
      </c>
      <c r="H1354" s="167">
        <v>45349</v>
      </c>
      <c r="I1354" s="52" t="s">
        <v>6883</v>
      </c>
      <c r="J1354" s="52"/>
      <c r="K1354" s="52" t="s">
        <v>5365</v>
      </c>
    </row>
    <row r="1355" spans="1:22" s="35" customFormat="1" ht="11.25" customHeight="1" x14ac:dyDescent="0.35">
      <c r="A1355" s="51" t="s">
        <v>5215</v>
      </c>
      <c r="B1355" s="646" t="s">
        <v>6873</v>
      </c>
      <c r="C1355" s="290" t="s">
        <v>6059</v>
      </c>
      <c r="D1355" s="66" t="s">
        <v>7014</v>
      </c>
      <c r="E1355" s="51">
        <v>4</v>
      </c>
      <c r="F1355" s="20">
        <v>45303</v>
      </c>
      <c r="G1355" s="51"/>
      <c r="H1355" s="174"/>
      <c r="I1355" s="51"/>
      <c r="J1355" s="51"/>
      <c r="K1355" s="51" t="s">
        <v>5338</v>
      </c>
      <c r="L1355" s="34"/>
      <c r="M1355" s="34"/>
      <c r="N1355" s="34"/>
      <c r="O1355" s="34"/>
      <c r="P1355" s="34"/>
      <c r="Q1355" s="34"/>
      <c r="R1355" s="34"/>
      <c r="S1355" s="34"/>
      <c r="T1355" s="34"/>
      <c r="U1355" s="34"/>
      <c r="V1355" s="34"/>
    </row>
    <row r="1356" spans="1:22" s="35" customFormat="1" ht="11.25" customHeight="1" x14ac:dyDescent="0.35">
      <c r="A1356" s="51" t="s">
        <v>5215</v>
      </c>
      <c r="B1356" s="646" t="s">
        <v>6873</v>
      </c>
      <c r="C1356" s="290" t="s">
        <v>7015</v>
      </c>
      <c r="D1356" s="66" t="s">
        <v>7016</v>
      </c>
      <c r="E1356" s="51">
        <v>2</v>
      </c>
      <c r="F1356" s="20">
        <v>45303</v>
      </c>
      <c r="G1356" s="51"/>
      <c r="H1356" s="174"/>
      <c r="I1356" s="51"/>
      <c r="J1356" s="51"/>
      <c r="K1356" s="51" t="s">
        <v>5338</v>
      </c>
      <c r="L1356" s="34"/>
      <c r="M1356" s="34"/>
      <c r="N1356" s="34"/>
      <c r="O1356" s="34"/>
      <c r="P1356" s="34"/>
      <c r="Q1356" s="34"/>
      <c r="R1356" s="34"/>
      <c r="S1356" s="34"/>
      <c r="T1356" s="34"/>
      <c r="U1356" s="34"/>
      <c r="V1356" s="34"/>
    </row>
    <row r="1357" spans="1:22" s="39" customFormat="1" ht="11.25" customHeight="1" x14ac:dyDescent="0.35">
      <c r="A1357" s="52" t="s">
        <v>5215</v>
      </c>
      <c r="B1357" s="646" t="s">
        <v>6873</v>
      </c>
      <c r="C1357" s="282" t="s">
        <v>5289</v>
      </c>
      <c r="D1357" s="63" t="s">
        <v>7017</v>
      </c>
      <c r="E1357" s="52">
        <v>1</v>
      </c>
      <c r="F1357" s="13">
        <v>45303</v>
      </c>
      <c r="G1357" s="52">
        <v>1</v>
      </c>
      <c r="H1357" s="167">
        <v>45349</v>
      </c>
      <c r="I1357" s="52" t="s">
        <v>6883</v>
      </c>
      <c r="J1357" s="52"/>
      <c r="K1357" s="52" t="s">
        <v>5365</v>
      </c>
      <c r="L1357" s="34"/>
    </row>
    <row r="1358" spans="1:22" s="39" customFormat="1" ht="11.25" customHeight="1" x14ac:dyDescent="0.35">
      <c r="A1358" s="52" t="s">
        <v>5215</v>
      </c>
      <c r="B1358" s="646" t="s">
        <v>6873</v>
      </c>
      <c r="C1358" s="282" t="s">
        <v>5268</v>
      </c>
      <c r="D1358" s="63" t="s">
        <v>7018</v>
      </c>
      <c r="E1358" s="52">
        <v>3</v>
      </c>
      <c r="F1358" s="13">
        <v>45303</v>
      </c>
      <c r="G1358" s="52">
        <v>3</v>
      </c>
      <c r="H1358" s="167">
        <v>45349</v>
      </c>
      <c r="I1358" s="52" t="s">
        <v>6883</v>
      </c>
      <c r="J1358" s="52"/>
      <c r="K1358" s="52" t="s">
        <v>5365</v>
      </c>
      <c r="L1358" s="34"/>
    </row>
    <row r="1359" spans="1:22" s="35" customFormat="1" ht="11.25" customHeight="1" x14ac:dyDescent="0.35">
      <c r="A1359" s="51" t="s">
        <v>5215</v>
      </c>
      <c r="B1359" s="646" t="s">
        <v>6873</v>
      </c>
      <c r="C1359" s="290" t="s">
        <v>7019</v>
      </c>
      <c r="D1359" s="66" t="s">
        <v>7020</v>
      </c>
      <c r="E1359" s="51">
        <v>1</v>
      </c>
      <c r="F1359" s="20">
        <v>45303</v>
      </c>
      <c r="G1359" s="51"/>
      <c r="H1359" s="174"/>
      <c r="I1359" s="51"/>
      <c r="J1359" s="51"/>
      <c r="K1359" s="52" t="s">
        <v>5338</v>
      </c>
      <c r="L1359" s="34"/>
      <c r="M1359" s="34"/>
      <c r="N1359" s="34"/>
      <c r="O1359" s="34"/>
      <c r="P1359" s="34"/>
      <c r="Q1359" s="34"/>
      <c r="R1359" s="34"/>
      <c r="S1359" s="34"/>
      <c r="T1359" s="34"/>
      <c r="U1359" s="34"/>
      <c r="V1359" s="34"/>
    </row>
    <row r="1360" spans="1:22" s="39" customFormat="1" ht="11.25" customHeight="1" x14ac:dyDescent="0.35">
      <c r="A1360" s="52" t="s">
        <v>5215</v>
      </c>
      <c r="B1360" s="646" t="s">
        <v>6873</v>
      </c>
      <c r="C1360" s="282" t="s">
        <v>7021</v>
      </c>
      <c r="D1360" s="63" t="s">
        <v>7022</v>
      </c>
      <c r="E1360" s="52">
        <v>6</v>
      </c>
      <c r="F1360" s="13">
        <v>45303</v>
      </c>
      <c r="G1360" s="52">
        <v>6</v>
      </c>
      <c r="H1360" s="167">
        <v>45349</v>
      </c>
      <c r="I1360" s="52" t="s">
        <v>6883</v>
      </c>
      <c r="J1360" s="52"/>
      <c r="K1360" s="52" t="s">
        <v>5365</v>
      </c>
      <c r="L1360" s="34"/>
    </row>
    <row r="1361" spans="1:22" s="35" customFormat="1" ht="11.25" customHeight="1" x14ac:dyDescent="0.35">
      <c r="A1361" s="51" t="s">
        <v>5215</v>
      </c>
      <c r="B1361" s="646" t="s">
        <v>6873</v>
      </c>
      <c r="C1361" s="290" t="s">
        <v>7023</v>
      </c>
      <c r="D1361" s="66" t="s">
        <v>7024</v>
      </c>
      <c r="E1361" s="51">
        <v>6</v>
      </c>
      <c r="F1361" s="20">
        <v>45303</v>
      </c>
      <c r="G1361" s="51"/>
      <c r="H1361" s="174"/>
      <c r="I1361" s="51"/>
      <c r="J1361" s="51"/>
      <c r="K1361" s="52" t="s">
        <v>5365</v>
      </c>
      <c r="L1361" s="34"/>
      <c r="M1361" s="34"/>
      <c r="N1361" s="34"/>
      <c r="O1361" s="34"/>
      <c r="P1361" s="34"/>
      <c r="Q1361" s="34"/>
      <c r="R1361" s="34"/>
      <c r="S1361" s="34"/>
      <c r="T1361" s="34"/>
      <c r="U1361" s="34"/>
      <c r="V1361" s="34"/>
    </row>
    <row r="1362" spans="1:22" s="39" customFormat="1" ht="11.25" customHeight="1" x14ac:dyDescent="0.35">
      <c r="A1362" s="52" t="s">
        <v>5215</v>
      </c>
      <c r="B1362" s="646" t="s">
        <v>6873</v>
      </c>
      <c r="C1362" s="282" t="s">
        <v>5275</v>
      </c>
      <c r="D1362" s="63" t="s">
        <v>7025</v>
      </c>
      <c r="E1362" s="52">
        <v>1</v>
      </c>
      <c r="F1362" s="13">
        <v>45303</v>
      </c>
      <c r="G1362" s="52">
        <v>1</v>
      </c>
      <c r="H1362" s="167">
        <v>45349</v>
      </c>
      <c r="I1362" s="52" t="s">
        <v>6883</v>
      </c>
      <c r="J1362" s="52"/>
      <c r="K1362" s="52" t="s">
        <v>5365</v>
      </c>
      <c r="L1362" s="34"/>
    </row>
    <row r="1363" spans="1:22" s="39" customFormat="1" ht="11.25" customHeight="1" x14ac:dyDescent="0.35">
      <c r="A1363" s="52" t="s">
        <v>5215</v>
      </c>
      <c r="B1363" s="646" t="s">
        <v>6873</v>
      </c>
      <c r="C1363" s="282" t="s">
        <v>5287</v>
      </c>
      <c r="D1363" s="63" t="s">
        <v>7026</v>
      </c>
      <c r="E1363" s="52">
        <v>1</v>
      </c>
      <c r="F1363" s="13">
        <v>45303</v>
      </c>
      <c r="G1363" s="52">
        <v>1</v>
      </c>
      <c r="H1363" s="167">
        <v>45349</v>
      </c>
      <c r="I1363" s="52" t="s">
        <v>6883</v>
      </c>
      <c r="J1363" s="52"/>
      <c r="K1363" s="52" t="s">
        <v>5365</v>
      </c>
      <c r="L1363" s="34"/>
    </row>
    <row r="1364" spans="1:22" s="39" customFormat="1" ht="11.25" customHeight="1" x14ac:dyDescent="0.35">
      <c r="A1364" s="52" t="s">
        <v>5215</v>
      </c>
      <c r="B1364" s="646" t="s">
        <v>6873</v>
      </c>
      <c r="C1364" s="282" t="s">
        <v>7027</v>
      </c>
      <c r="D1364" s="63" t="s">
        <v>7028</v>
      </c>
      <c r="E1364" s="52">
        <v>6</v>
      </c>
      <c r="F1364" s="13">
        <v>45303</v>
      </c>
      <c r="G1364" s="52">
        <v>6</v>
      </c>
      <c r="H1364" s="167">
        <v>45349</v>
      </c>
      <c r="I1364" s="52" t="s">
        <v>6883</v>
      </c>
      <c r="J1364" s="52"/>
      <c r="K1364" s="52" t="s">
        <v>5365</v>
      </c>
      <c r="L1364" s="34"/>
    </row>
    <row r="1365" spans="1:22" s="39" customFormat="1" ht="11.25" customHeight="1" x14ac:dyDescent="0.35">
      <c r="A1365" s="52" t="s">
        <v>5215</v>
      </c>
      <c r="B1365" s="646" t="s">
        <v>6873</v>
      </c>
      <c r="C1365" s="282" t="s">
        <v>7029</v>
      </c>
      <c r="D1365" s="63" t="s">
        <v>7030</v>
      </c>
      <c r="E1365" s="52">
        <v>1</v>
      </c>
      <c r="F1365" s="13">
        <v>45303</v>
      </c>
      <c r="G1365" s="52">
        <v>1</v>
      </c>
      <c r="H1365" s="167">
        <v>45349</v>
      </c>
      <c r="I1365" s="52" t="s">
        <v>6883</v>
      </c>
      <c r="J1365" s="52"/>
      <c r="K1365" s="52" t="s">
        <v>5365</v>
      </c>
      <c r="L1365" s="34"/>
    </row>
    <row r="1366" spans="1:22" s="39" customFormat="1" ht="11.25" customHeight="1" x14ac:dyDescent="0.35">
      <c r="A1366" s="52" t="s">
        <v>5215</v>
      </c>
      <c r="B1366" s="646" t="s">
        <v>6873</v>
      </c>
      <c r="C1366" s="282" t="s">
        <v>5297</v>
      </c>
      <c r="D1366" s="63" t="s">
        <v>7031</v>
      </c>
      <c r="E1366" s="52">
        <v>1</v>
      </c>
      <c r="F1366" s="13">
        <v>45303</v>
      </c>
      <c r="G1366" s="52">
        <v>1</v>
      </c>
      <c r="H1366" s="167">
        <v>45349</v>
      </c>
      <c r="I1366" s="52" t="s">
        <v>6883</v>
      </c>
      <c r="J1366" s="52"/>
      <c r="K1366" s="52" t="s">
        <v>5365</v>
      </c>
      <c r="L1366" s="34"/>
    </row>
    <row r="1367" spans="1:22" s="35" customFormat="1" ht="11.25" customHeight="1" x14ac:dyDescent="0.35">
      <c r="A1367" s="51" t="s">
        <v>5215</v>
      </c>
      <c r="B1367" s="646" t="s">
        <v>6873</v>
      </c>
      <c r="C1367" s="290" t="s">
        <v>999</v>
      </c>
      <c r="D1367" s="66" t="s">
        <v>5631</v>
      </c>
      <c r="E1367" s="51">
        <v>16</v>
      </c>
      <c r="F1367" s="20">
        <v>45303</v>
      </c>
      <c r="G1367" s="51"/>
      <c r="H1367" s="174"/>
      <c r="I1367" s="51"/>
      <c r="J1367" s="51"/>
      <c r="K1367" s="52" t="s">
        <v>5338</v>
      </c>
      <c r="L1367" s="34"/>
      <c r="M1367" s="34"/>
      <c r="N1367" s="34"/>
      <c r="O1367" s="34"/>
      <c r="P1367" s="34"/>
      <c r="Q1367" s="34"/>
      <c r="R1367" s="34"/>
      <c r="S1367" s="34"/>
      <c r="T1367" s="34"/>
      <c r="U1367" s="34"/>
      <c r="V1367" s="34"/>
    </row>
    <row r="1368" spans="1:22" s="39" customFormat="1" ht="11.25" customHeight="1" x14ac:dyDescent="0.35">
      <c r="A1368" s="52" t="s">
        <v>5215</v>
      </c>
      <c r="B1368" s="646" t="s">
        <v>6873</v>
      </c>
      <c r="C1368" s="282" t="s">
        <v>5299</v>
      </c>
      <c r="D1368" s="63" t="s">
        <v>7032</v>
      </c>
      <c r="E1368" s="52">
        <v>1</v>
      </c>
      <c r="F1368" s="13">
        <v>45303</v>
      </c>
      <c r="G1368" s="52">
        <v>1</v>
      </c>
      <c r="H1368" s="167">
        <v>45349</v>
      </c>
      <c r="I1368" s="52" t="s">
        <v>6883</v>
      </c>
      <c r="J1368" s="52"/>
      <c r="K1368" s="52" t="s">
        <v>5365</v>
      </c>
      <c r="L1368" s="34"/>
    </row>
    <row r="1369" spans="1:22" s="86" customFormat="1" ht="11.25" customHeight="1" x14ac:dyDescent="0.35">
      <c r="A1369" s="90" t="s">
        <v>5215</v>
      </c>
      <c r="B1369" s="646" t="s">
        <v>6873</v>
      </c>
      <c r="C1369" s="285" t="s">
        <v>5280</v>
      </c>
      <c r="D1369" s="91" t="s">
        <v>7033</v>
      </c>
      <c r="E1369" s="90">
        <v>6</v>
      </c>
      <c r="F1369" s="92">
        <v>45303</v>
      </c>
      <c r="G1369" s="90">
        <v>2</v>
      </c>
      <c r="H1369" s="170">
        <v>45349</v>
      </c>
      <c r="I1369" s="90" t="s">
        <v>6883</v>
      </c>
      <c r="J1369" s="90"/>
      <c r="K1369" s="90" t="s">
        <v>5338</v>
      </c>
      <c r="L1369" s="34"/>
    </row>
    <row r="1370" spans="1:22" s="86" customFormat="1" ht="11.25" customHeight="1" x14ac:dyDescent="0.35">
      <c r="A1370" s="90" t="s">
        <v>5215</v>
      </c>
      <c r="B1370" s="646" t="s">
        <v>6873</v>
      </c>
      <c r="C1370" s="285" t="s">
        <v>7034</v>
      </c>
      <c r="D1370" s="91" t="s">
        <v>7035</v>
      </c>
      <c r="E1370" s="90">
        <v>24</v>
      </c>
      <c r="F1370" s="92">
        <v>45303</v>
      </c>
      <c r="G1370" s="90">
        <v>9</v>
      </c>
      <c r="H1370" s="170">
        <v>45349</v>
      </c>
      <c r="I1370" s="90" t="s">
        <v>6883</v>
      </c>
      <c r="J1370" s="90"/>
      <c r="K1370" s="90" t="s">
        <v>5338</v>
      </c>
      <c r="L1370" s="34"/>
    </row>
    <row r="1371" spans="1:22" s="39" customFormat="1" ht="11.25" customHeight="1" x14ac:dyDescent="0.35">
      <c r="A1371" s="52" t="s">
        <v>5215</v>
      </c>
      <c r="B1371" s="646" t="s">
        <v>6873</v>
      </c>
      <c r="C1371" s="282" t="s">
        <v>7036</v>
      </c>
      <c r="D1371" s="63" t="s">
        <v>7037</v>
      </c>
      <c r="E1371" s="52">
        <v>2</v>
      </c>
      <c r="F1371" s="13">
        <v>45303</v>
      </c>
      <c r="G1371" s="52" t="s">
        <v>7038</v>
      </c>
      <c r="H1371" s="167">
        <v>45349</v>
      </c>
      <c r="I1371" s="52" t="s">
        <v>6883</v>
      </c>
      <c r="J1371" s="52" t="s">
        <v>6994</v>
      </c>
      <c r="K1371" s="52" t="s">
        <v>5365</v>
      </c>
      <c r="L1371" s="34"/>
    </row>
    <row r="1372" spans="1:22" s="45" customFormat="1" ht="11.25" customHeight="1" x14ac:dyDescent="0.35">
      <c r="A1372" s="11" t="s">
        <v>5215</v>
      </c>
      <c r="B1372" s="646" t="s">
        <v>6873</v>
      </c>
      <c r="C1372" s="292" t="s">
        <v>7039</v>
      </c>
      <c r="D1372" s="67" t="s">
        <v>4732</v>
      </c>
      <c r="E1372" s="11">
        <v>7</v>
      </c>
      <c r="F1372" s="68">
        <v>45303</v>
      </c>
      <c r="G1372" s="11"/>
      <c r="H1372" s="176"/>
      <c r="I1372" s="11"/>
      <c r="J1372" s="67" t="s">
        <v>7040</v>
      </c>
      <c r="K1372" s="11" t="s">
        <v>5338</v>
      </c>
      <c r="L1372" s="34"/>
      <c r="M1372" s="69"/>
      <c r="N1372" s="69"/>
      <c r="O1372" s="69"/>
      <c r="P1372" s="69"/>
      <c r="Q1372" s="69"/>
      <c r="R1372" s="69"/>
      <c r="S1372" s="69"/>
      <c r="T1372" s="69"/>
      <c r="U1372" s="69"/>
      <c r="V1372" s="69"/>
    </row>
    <row r="1373" spans="1:22" s="35" customFormat="1" ht="15.75" customHeight="1" x14ac:dyDescent="0.35">
      <c r="A1373" s="51" t="s">
        <v>5215</v>
      </c>
      <c r="B1373" s="646" t="s">
        <v>6873</v>
      </c>
      <c r="C1373" s="290" t="s">
        <v>7041</v>
      </c>
      <c r="D1373" s="66" t="s">
        <v>7042</v>
      </c>
      <c r="E1373" s="51">
        <v>1</v>
      </c>
      <c r="F1373" s="20">
        <v>45303</v>
      </c>
      <c r="G1373" s="51"/>
      <c r="H1373" s="174"/>
      <c r="I1373" s="51"/>
      <c r="J1373" s="51"/>
      <c r="K1373" s="51" t="s">
        <v>5338</v>
      </c>
      <c r="L1373" s="34"/>
      <c r="M1373" s="34"/>
      <c r="N1373" s="34"/>
      <c r="O1373" s="34"/>
      <c r="P1373" s="34"/>
      <c r="Q1373" s="34"/>
      <c r="R1373" s="34"/>
      <c r="S1373" s="34"/>
      <c r="T1373" s="34"/>
      <c r="U1373" s="34"/>
      <c r="V1373" s="34"/>
    </row>
    <row r="1374" spans="1:22" s="39" customFormat="1" ht="11.25" customHeight="1" x14ac:dyDescent="0.35">
      <c r="A1374" s="52" t="s">
        <v>5215</v>
      </c>
      <c r="B1374" s="646" t="s">
        <v>6873</v>
      </c>
      <c r="C1374" s="282" t="s">
        <v>1472</v>
      </c>
      <c r="D1374" s="63" t="s">
        <v>5043</v>
      </c>
      <c r="E1374" s="52">
        <v>9</v>
      </c>
      <c r="F1374" s="13">
        <v>45303</v>
      </c>
      <c r="G1374" s="52" t="s">
        <v>7043</v>
      </c>
      <c r="H1374" s="167">
        <v>45407</v>
      </c>
      <c r="I1374" s="52" t="s">
        <v>7044</v>
      </c>
      <c r="J1374" s="52" t="s">
        <v>7045</v>
      </c>
      <c r="K1374" s="52" t="s">
        <v>5365</v>
      </c>
      <c r="L1374" s="34"/>
    </row>
    <row r="1375" spans="1:22" s="39" customFormat="1" ht="11.25" customHeight="1" x14ac:dyDescent="0.35">
      <c r="A1375" s="52" t="s">
        <v>5215</v>
      </c>
      <c r="B1375" s="646" t="s">
        <v>6873</v>
      </c>
      <c r="C1375" s="282" t="s">
        <v>5628</v>
      </c>
      <c r="D1375" s="63" t="s">
        <v>7046</v>
      </c>
      <c r="E1375" s="52">
        <v>2</v>
      </c>
      <c r="F1375" s="13">
        <v>45303</v>
      </c>
      <c r="G1375" s="52">
        <v>2</v>
      </c>
      <c r="H1375" s="167">
        <v>45349</v>
      </c>
      <c r="I1375" s="52" t="s">
        <v>6883</v>
      </c>
      <c r="J1375" s="52"/>
      <c r="K1375" s="52" t="s">
        <v>5365</v>
      </c>
      <c r="L1375" s="34"/>
    </row>
    <row r="1376" spans="1:22" s="39" customFormat="1" ht="11.25" customHeight="1" x14ac:dyDescent="0.35">
      <c r="A1376" s="52" t="s">
        <v>5215</v>
      </c>
      <c r="B1376" s="646" t="s">
        <v>6873</v>
      </c>
      <c r="C1376" s="282" t="s">
        <v>7047</v>
      </c>
      <c r="D1376" s="63" t="s">
        <v>7048</v>
      </c>
      <c r="E1376" s="52">
        <v>4</v>
      </c>
      <c r="F1376" s="13">
        <v>45303</v>
      </c>
      <c r="G1376" s="52" t="s">
        <v>7049</v>
      </c>
      <c r="H1376" s="167">
        <v>45349</v>
      </c>
      <c r="I1376" s="52" t="s">
        <v>6883</v>
      </c>
      <c r="J1376" s="52" t="s">
        <v>6994</v>
      </c>
      <c r="K1376" s="52" t="s">
        <v>5365</v>
      </c>
      <c r="L1376" s="34"/>
    </row>
    <row r="1377" spans="1:22" s="35" customFormat="1" ht="11.25" customHeight="1" x14ac:dyDescent="0.35">
      <c r="A1377" s="51" t="s">
        <v>5215</v>
      </c>
      <c r="B1377" s="646" t="s">
        <v>6873</v>
      </c>
      <c r="C1377" s="290" t="s">
        <v>5067</v>
      </c>
      <c r="D1377" s="66" t="s">
        <v>7050</v>
      </c>
      <c r="E1377" s="51">
        <v>1</v>
      </c>
      <c r="F1377" s="20">
        <v>45303</v>
      </c>
      <c r="G1377" s="51"/>
      <c r="H1377" s="174"/>
      <c r="I1377" s="51"/>
      <c r="J1377" s="51"/>
      <c r="K1377" s="52" t="s">
        <v>5365</v>
      </c>
      <c r="L1377" s="34"/>
      <c r="M1377" s="34"/>
      <c r="N1377" s="34"/>
      <c r="O1377" s="34"/>
      <c r="P1377" s="34"/>
      <c r="Q1377" s="34"/>
      <c r="R1377" s="34"/>
      <c r="S1377" s="34"/>
      <c r="T1377" s="34"/>
      <c r="U1377" s="34"/>
      <c r="V1377" s="34"/>
    </row>
    <row r="1378" spans="1:22" s="39" customFormat="1" ht="11.25" customHeight="1" x14ac:dyDescent="0.35">
      <c r="A1378" s="52" t="s">
        <v>5215</v>
      </c>
      <c r="B1378" s="646" t="s">
        <v>6873</v>
      </c>
      <c r="C1378" s="282" t="s">
        <v>872</v>
      </c>
      <c r="D1378" s="63" t="s">
        <v>7051</v>
      </c>
      <c r="E1378" s="52">
        <v>4</v>
      </c>
      <c r="F1378" s="13">
        <v>45303</v>
      </c>
      <c r="G1378" s="52">
        <v>4</v>
      </c>
      <c r="H1378" s="167">
        <v>45349</v>
      </c>
      <c r="I1378" s="52" t="s">
        <v>6883</v>
      </c>
      <c r="J1378" s="52"/>
      <c r="K1378" s="52" t="s">
        <v>5365</v>
      </c>
      <c r="L1378" s="34"/>
    </row>
    <row r="1379" spans="1:22" s="39" customFormat="1" ht="11.25" customHeight="1" x14ac:dyDescent="0.25">
      <c r="A1379" s="52" t="s">
        <v>5215</v>
      </c>
      <c r="B1379" s="646" t="s">
        <v>6873</v>
      </c>
      <c r="C1379" s="282" t="s">
        <v>5236</v>
      </c>
      <c r="D1379" s="63" t="s">
        <v>7052</v>
      </c>
      <c r="E1379" s="52">
        <v>6</v>
      </c>
      <c r="F1379" s="13">
        <v>45303</v>
      </c>
      <c r="G1379" s="52">
        <v>6</v>
      </c>
      <c r="H1379" s="167">
        <v>45349</v>
      </c>
      <c r="I1379" s="93" t="s">
        <v>6883</v>
      </c>
      <c r="J1379" s="52"/>
      <c r="K1379" s="52" t="s">
        <v>5365</v>
      </c>
      <c r="L1379" s="34"/>
    </row>
    <row r="1380" spans="1:22" s="39" customFormat="1" ht="11.25" customHeight="1" x14ac:dyDescent="0.35">
      <c r="A1380" s="52" t="s">
        <v>5215</v>
      </c>
      <c r="B1380" s="646" t="s">
        <v>6873</v>
      </c>
      <c r="C1380" s="282" t="s">
        <v>7053</v>
      </c>
      <c r="D1380" s="63" t="s">
        <v>7054</v>
      </c>
      <c r="E1380" s="52">
        <v>3</v>
      </c>
      <c r="F1380" s="13">
        <v>45303</v>
      </c>
      <c r="G1380" s="52">
        <v>3</v>
      </c>
      <c r="H1380" s="167">
        <v>45349</v>
      </c>
      <c r="I1380" s="52" t="s">
        <v>6883</v>
      </c>
      <c r="J1380" s="52"/>
      <c r="K1380" s="52" t="s">
        <v>5365</v>
      </c>
      <c r="L1380" s="34"/>
    </row>
    <row r="1381" spans="1:22" s="39" customFormat="1" ht="11.25" customHeight="1" x14ac:dyDescent="0.35">
      <c r="A1381" s="52" t="s">
        <v>5215</v>
      </c>
      <c r="B1381" s="646" t="s">
        <v>6873</v>
      </c>
      <c r="C1381" s="282" t="s">
        <v>7055</v>
      </c>
      <c r="D1381" s="63" t="s">
        <v>7056</v>
      </c>
      <c r="E1381" s="52">
        <v>3</v>
      </c>
      <c r="F1381" s="13">
        <v>45303</v>
      </c>
      <c r="G1381" s="52">
        <v>2</v>
      </c>
      <c r="H1381" s="167">
        <v>45349</v>
      </c>
      <c r="I1381" s="52" t="s">
        <v>6883</v>
      </c>
      <c r="J1381" s="52"/>
      <c r="K1381" s="52" t="s">
        <v>5365</v>
      </c>
      <c r="L1381" s="34"/>
    </row>
    <row r="1382" spans="1:22" s="39" customFormat="1" ht="11.25" customHeight="1" x14ac:dyDescent="0.25">
      <c r="A1382" s="52" t="s">
        <v>5215</v>
      </c>
      <c r="B1382" s="646" t="s">
        <v>6873</v>
      </c>
      <c r="C1382" s="282" t="s">
        <v>5232</v>
      </c>
      <c r="D1382" s="63" t="s">
        <v>7057</v>
      </c>
      <c r="E1382" s="52">
        <v>1</v>
      </c>
      <c r="F1382" s="13">
        <v>45303</v>
      </c>
      <c r="G1382" s="52">
        <v>1</v>
      </c>
      <c r="H1382" s="167">
        <v>45349</v>
      </c>
      <c r="I1382" s="93" t="s">
        <v>6883</v>
      </c>
      <c r="J1382" s="52"/>
      <c r="K1382" s="52" t="s">
        <v>5365</v>
      </c>
      <c r="L1382" s="34"/>
    </row>
    <row r="1383" spans="1:22" s="34" customFormat="1" ht="11.25" customHeight="1" x14ac:dyDescent="0.35">
      <c r="A1383" s="51" t="s">
        <v>5215</v>
      </c>
      <c r="B1383" s="646" t="s">
        <v>6873</v>
      </c>
      <c r="C1383" s="290" t="s">
        <v>881</v>
      </c>
      <c r="D1383" s="66" t="s">
        <v>7058</v>
      </c>
      <c r="E1383" s="51">
        <v>6</v>
      </c>
      <c r="F1383" s="20">
        <v>45303</v>
      </c>
      <c r="G1383" s="51">
        <v>6</v>
      </c>
      <c r="H1383" s="174">
        <v>45349</v>
      </c>
      <c r="I1383" s="51"/>
      <c r="J1383" s="51"/>
      <c r="K1383" s="51" t="s">
        <v>5338</v>
      </c>
    </row>
    <row r="1384" spans="1:22" s="39" customFormat="1" ht="11.25" customHeight="1" x14ac:dyDescent="0.25">
      <c r="A1384" s="52" t="s">
        <v>7059</v>
      </c>
      <c r="B1384" s="646" t="s">
        <v>6873</v>
      </c>
      <c r="C1384" s="282" t="s">
        <v>5234</v>
      </c>
      <c r="D1384" s="63" t="s">
        <v>7060</v>
      </c>
      <c r="E1384" s="52">
        <v>2</v>
      </c>
      <c r="F1384" s="13">
        <v>45303</v>
      </c>
      <c r="G1384" s="52">
        <v>2</v>
      </c>
      <c r="H1384" s="167">
        <v>45349</v>
      </c>
      <c r="I1384" s="93" t="s">
        <v>6883</v>
      </c>
      <c r="J1384" s="52"/>
      <c r="K1384" s="52" t="s">
        <v>5365</v>
      </c>
      <c r="L1384" s="34"/>
      <c r="M1384" s="34"/>
    </row>
    <row r="1385" spans="1:22" s="35" customFormat="1" ht="11.25" customHeight="1" x14ac:dyDescent="0.35">
      <c r="A1385" s="51" t="s">
        <v>5215</v>
      </c>
      <c r="B1385" s="646" t="s">
        <v>6873</v>
      </c>
      <c r="C1385" s="290" t="s">
        <v>7061</v>
      </c>
      <c r="D1385" s="66" t="s">
        <v>7062</v>
      </c>
      <c r="E1385" s="51">
        <v>1</v>
      </c>
      <c r="F1385" s="20">
        <v>45303</v>
      </c>
      <c r="G1385" s="51"/>
      <c r="H1385" s="174"/>
      <c r="I1385" s="51"/>
      <c r="J1385" s="51"/>
      <c r="K1385" s="52" t="s">
        <v>5338</v>
      </c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  <c r="V1385" s="34"/>
    </row>
    <row r="1386" spans="1:22" s="39" customFormat="1" ht="11.25" customHeight="1" x14ac:dyDescent="0.35">
      <c r="A1386" s="52" t="s">
        <v>5215</v>
      </c>
      <c r="B1386" s="646" t="s">
        <v>6873</v>
      </c>
      <c r="C1386" s="282" t="s">
        <v>7063</v>
      </c>
      <c r="D1386" s="63" t="s">
        <v>7064</v>
      </c>
      <c r="E1386" s="52">
        <v>1</v>
      </c>
      <c r="F1386" s="13">
        <v>45303</v>
      </c>
      <c r="G1386" s="52">
        <v>1</v>
      </c>
      <c r="H1386" s="167">
        <v>45349</v>
      </c>
      <c r="I1386" s="52" t="s">
        <v>6883</v>
      </c>
      <c r="J1386" s="52"/>
      <c r="K1386" s="52" t="s">
        <v>5365</v>
      </c>
      <c r="L1386" s="34"/>
      <c r="M1386" s="34"/>
    </row>
    <row r="1387" spans="1:22" s="39" customFormat="1" ht="11.25" customHeight="1" x14ac:dyDescent="0.35">
      <c r="A1387" s="52" t="s">
        <v>5215</v>
      </c>
      <c r="B1387" s="646" t="s">
        <v>6873</v>
      </c>
      <c r="C1387" s="282" t="s">
        <v>5225</v>
      </c>
      <c r="D1387" s="63" t="s">
        <v>7065</v>
      </c>
      <c r="E1387" s="52">
        <v>3</v>
      </c>
      <c r="F1387" s="13">
        <v>45303</v>
      </c>
      <c r="G1387" s="52">
        <v>3</v>
      </c>
      <c r="H1387" s="167">
        <v>45349</v>
      </c>
      <c r="I1387" s="52" t="s">
        <v>6883</v>
      </c>
      <c r="J1387" s="52"/>
      <c r="K1387" s="52" t="s">
        <v>5365</v>
      </c>
      <c r="L1387" s="34"/>
      <c r="M1387" s="34"/>
    </row>
    <row r="1388" spans="1:22" s="86" customFormat="1" ht="11.25" customHeight="1" x14ac:dyDescent="0.25">
      <c r="A1388" s="222" t="s">
        <v>5215</v>
      </c>
      <c r="B1388" s="645" t="s">
        <v>6873</v>
      </c>
      <c r="C1388" s="289" t="s">
        <v>7066</v>
      </c>
      <c r="D1388" s="223" t="s">
        <v>7067</v>
      </c>
      <c r="E1388" s="222">
        <v>2</v>
      </c>
      <c r="F1388" s="224">
        <v>45303</v>
      </c>
      <c r="G1388" s="222">
        <v>1</v>
      </c>
      <c r="H1388" s="225">
        <v>45407</v>
      </c>
      <c r="I1388" s="222" t="s">
        <v>5429</v>
      </c>
      <c r="J1388" s="226"/>
      <c r="K1388" s="52" t="s">
        <v>5511</v>
      </c>
      <c r="L1388" s="34"/>
      <c r="M1388" s="34"/>
    </row>
    <row r="1389" spans="1:22" s="39" customFormat="1" ht="11.25" customHeight="1" x14ac:dyDescent="0.35">
      <c r="A1389" s="52" t="s">
        <v>5215</v>
      </c>
      <c r="B1389" s="646" t="s">
        <v>6873</v>
      </c>
      <c r="C1389" s="282" t="s">
        <v>7068</v>
      </c>
      <c r="D1389" s="63" t="s">
        <v>7069</v>
      </c>
      <c r="E1389" s="52">
        <v>1</v>
      </c>
      <c r="F1389" s="13">
        <v>45303</v>
      </c>
      <c r="G1389" s="52">
        <v>1</v>
      </c>
      <c r="H1389" s="167">
        <v>45349</v>
      </c>
      <c r="I1389" s="52" t="s">
        <v>6883</v>
      </c>
      <c r="J1389" s="52"/>
      <c r="K1389" s="52" t="s">
        <v>5365</v>
      </c>
      <c r="L1389" s="34"/>
      <c r="M1389" s="34"/>
    </row>
    <row r="1390" spans="1:22" s="39" customFormat="1" ht="11.25" customHeight="1" x14ac:dyDescent="0.35">
      <c r="A1390" s="52" t="s">
        <v>5215</v>
      </c>
      <c r="B1390" s="646" t="s">
        <v>6873</v>
      </c>
      <c r="C1390" s="282" t="s">
        <v>5262</v>
      </c>
      <c r="D1390" s="63" t="s">
        <v>7070</v>
      </c>
      <c r="E1390" s="52">
        <v>1</v>
      </c>
      <c r="F1390" s="13">
        <v>45303</v>
      </c>
      <c r="G1390" s="52">
        <v>1</v>
      </c>
      <c r="H1390" s="167">
        <v>45349</v>
      </c>
      <c r="I1390" s="52" t="s">
        <v>6883</v>
      </c>
      <c r="J1390" s="52"/>
      <c r="K1390" s="52" t="s">
        <v>5365</v>
      </c>
      <c r="L1390" s="34"/>
      <c r="M1390" s="34"/>
    </row>
    <row r="1391" spans="1:22" s="39" customFormat="1" ht="11.25" customHeight="1" x14ac:dyDescent="0.35">
      <c r="A1391" s="52" t="s">
        <v>5215</v>
      </c>
      <c r="B1391" s="646" t="s">
        <v>6873</v>
      </c>
      <c r="C1391" s="282" t="s">
        <v>5265</v>
      </c>
      <c r="D1391" s="63" t="s">
        <v>7071</v>
      </c>
      <c r="E1391" s="52">
        <v>1</v>
      </c>
      <c r="F1391" s="13">
        <v>45303</v>
      </c>
      <c r="G1391" s="52">
        <v>1</v>
      </c>
      <c r="H1391" s="167">
        <v>45349</v>
      </c>
      <c r="I1391" s="52" t="s">
        <v>6883</v>
      </c>
      <c r="J1391" s="52"/>
      <c r="K1391" s="52" t="s">
        <v>5365</v>
      </c>
      <c r="L1391" s="34"/>
      <c r="M1391" s="34"/>
    </row>
    <row r="1392" spans="1:22" s="39" customFormat="1" ht="11.25" customHeight="1" x14ac:dyDescent="0.35">
      <c r="A1392" s="52" t="s">
        <v>5215</v>
      </c>
      <c r="B1392" s="646" t="s">
        <v>6873</v>
      </c>
      <c r="C1392" s="282" t="s">
        <v>5227</v>
      </c>
      <c r="D1392" s="63" t="s">
        <v>7072</v>
      </c>
      <c r="E1392" s="52">
        <v>1</v>
      </c>
      <c r="F1392" s="13">
        <v>45303</v>
      </c>
      <c r="G1392" s="52">
        <v>1</v>
      </c>
      <c r="H1392" s="167">
        <v>45349</v>
      </c>
      <c r="I1392" s="52" t="s">
        <v>6883</v>
      </c>
      <c r="J1392" s="52"/>
      <c r="K1392" s="52" t="s">
        <v>5365</v>
      </c>
      <c r="L1392" s="34"/>
      <c r="M1392" s="34"/>
    </row>
    <row r="1393" spans="1:22" s="45" customFormat="1" ht="11.25" customHeight="1" x14ac:dyDescent="0.35">
      <c r="A1393" s="11" t="s">
        <v>5215</v>
      </c>
      <c r="B1393" s="646" t="s">
        <v>6873</v>
      </c>
      <c r="C1393" s="292" t="s">
        <v>7073</v>
      </c>
      <c r="D1393" s="67" t="s">
        <v>4732</v>
      </c>
      <c r="E1393" s="11">
        <v>1</v>
      </c>
      <c r="F1393" s="68">
        <v>45303</v>
      </c>
      <c r="G1393" s="11"/>
      <c r="H1393" s="176"/>
      <c r="I1393" s="11"/>
      <c r="J1393" s="67" t="s">
        <v>7074</v>
      </c>
      <c r="K1393" s="52" t="s">
        <v>5338</v>
      </c>
      <c r="L1393" s="34"/>
      <c r="M1393" s="34"/>
      <c r="N1393" s="69"/>
      <c r="O1393" s="69"/>
      <c r="P1393" s="69"/>
      <c r="Q1393" s="69"/>
      <c r="R1393" s="69"/>
      <c r="S1393" s="69"/>
      <c r="T1393" s="69"/>
      <c r="U1393" s="69"/>
      <c r="V1393" s="69"/>
    </row>
    <row r="1394" spans="1:22" s="35" customFormat="1" ht="11.25" customHeight="1" x14ac:dyDescent="0.35">
      <c r="A1394" s="51" t="s">
        <v>5215</v>
      </c>
      <c r="B1394" s="646" t="s">
        <v>6873</v>
      </c>
      <c r="C1394" s="290" t="s">
        <v>7075</v>
      </c>
      <c r="D1394" s="66" t="s">
        <v>7076</v>
      </c>
      <c r="E1394" s="51">
        <v>1</v>
      </c>
      <c r="F1394" s="20">
        <v>45303</v>
      </c>
      <c r="G1394" s="51"/>
      <c r="H1394" s="174"/>
      <c r="I1394" s="51"/>
      <c r="J1394" s="51"/>
      <c r="K1394" s="52" t="s">
        <v>5338</v>
      </c>
      <c r="L1394" s="34"/>
      <c r="M1394" s="34"/>
      <c r="N1394" s="34"/>
      <c r="O1394" s="34"/>
      <c r="P1394" s="34"/>
      <c r="Q1394" s="34"/>
      <c r="R1394" s="34"/>
      <c r="S1394" s="34"/>
      <c r="T1394" s="34"/>
      <c r="U1394" s="34"/>
      <c r="V1394" s="34"/>
    </row>
    <row r="1395" spans="1:22" s="39" customFormat="1" ht="11.25" customHeight="1" x14ac:dyDescent="0.25">
      <c r="A1395" s="52" t="s">
        <v>5215</v>
      </c>
      <c r="B1395" s="646" t="s">
        <v>6873</v>
      </c>
      <c r="C1395" s="282" t="s">
        <v>7077</v>
      </c>
      <c r="D1395" s="63" t="s">
        <v>7078</v>
      </c>
      <c r="E1395" s="52">
        <v>1</v>
      </c>
      <c r="F1395" s="13">
        <v>45303</v>
      </c>
      <c r="G1395" s="52">
        <v>1</v>
      </c>
      <c r="H1395" s="167">
        <v>45407</v>
      </c>
      <c r="I1395" s="52" t="s">
        <v>5429</v>
      </c>
      <c r="J1395" s="93" t="s">
        <v>6941</v>
      </c>
      <c r="K1395" s="52" t="s">
        <v>5365</v>
      </c>
      <c r="L1395" s="34"/>
      <c r="M1395" s="34"/>
    </row>
    <row r="1396" spans="1:22" s="45" customFormat="1" ht="11.25" customHeight="1" x14ac:dyDescent="0.35">
      <c r="A1396" s="11" t="s">
        <v>5215</v>
      </c>
      <c r="B1396" s="646" t="s">
        <v>6873</v>
      </c>
      <c r="C1396" s="292" t="s">
        <v>7079</v>
      </c>
      <c r="D1396" s="67" t="s">
        <v>4732</v>
      </c>
      <c r="E1396" s="11">
        <v>1</v>
      </c>
      <c r="F1396" s="68">
        <v>45303</v>
      </c>
      <c r="G1396" s="11"/>
      <c r="H1396" s="176"/>
      <c r="I1396" s="11"/>
      <c r="J1396" s="67" t="s">
        <v>7080</v>
      </c>
      <c r="K1396" s="52" t="s">
        <v>5338</v>
      </c>
      <c r="L1396" s="34"/>
      <c r="M1396" s="34"/>
      <c r="N1396" s="69"/>
      <c r="O1396" s="69"/>
      <c r="P1396" s="69"/>
      <c r="Q1396" s="69"/>
      <c r="R1396" s="69"/>
      <c r="S1396" s="69"/>
      <c r="T1396" s="69"/>
      <c r="U1396" s="69"/>
      <c r="V1396" s="69"/>
    </row>
    <row r="1397" spans="1:22" s="39" customFormat="1" ht="11.25" customHeight="1" x14ac:dyDescent="0.35">
      <c r="A1397" s="52" t="s">
        <v>5215</v>
      </c>
      <c r="B1397" s="646" t="s">
        <v>6873</v>
      </c>
      <c r="C1397" s="282" t="s">
        <v>7081</v>
      </c>
      <c r="D1397" s="63" t="s">
        <v>7082</v>
      </c>
      <c r="E1397" s="52">
        <v>6</v>
      </c>
      <c r="F1397" s="13">
        <v>45303</v>
      </c>
      <c r="G1397" s="52">
        <v>6</v>
      </c>
      <c r="H1397" s="167">
        <v>45349</v>
      </c>
      <c r="I1397" s="52" t="s">
        <v>6883</v>
      </c>
      <c r="J1397" s="52"/>
      <c r="K1397" s="52" t="s">
        <v>5365</v>
      </c>
      <c r="L1397" s="34"/>
      <c r="M1397" s="34"/>
    </row>
    <row r="1398" spans="1:22" s="39" customFormat="1" ht="11.25" customHeight="1" x14ac:dyDescent="0.25">
      <c r="A1398" s="52" t="s">
        <v>5215</v>
      </c>
      <c r="B1398" s="646" t="s">
        <v>6873</v>
      </c>
      <c r="C1398" s="282" t="s">
        <v>5240</v>
      </c>
      <c r="D1398" s="63" t="s">
        <v>7083</v>
      </c>
      <c r="E1398" s="52">
        <v>2</v>
      </c>
      <c r="F1398" s="13">
        <v>45303</v>
      </c>
      <c r="G1398" s="52">
        <v>2</v>
      </c>
      <c r="H1398" s="167">
        <v>45349</v>
      </c>
      <c r="I1398" s="93" t="s">
        <v>6883</v>
      </c>
      <c r="J1398" s="52"/>
      <c r="K1398" s="52" t="s">
        <v>5365</v>
      </c>
      <c r="L1398" s="34"/>
      <c r="M1398" s="34"/>
    </row>
    <row r="1399" spans="1:22" s="39" customFormat="1" ht="11.25" customHeight="1" x14ac:dyDescent="0.25">
      <c r="A1399" s="52" t="s">
        <v>5215</v>
      </c>
      <c r="B1399" s="646" t="s">
        <v>6873</v>
      </c>
      <c r="C1399" s="282" t="s">
        <v>7084</v>
      </c>
      <c r="D1399" s="63" t="s">
        <v>7085</v>
      </c>
      <c r="E1399" s="52">
        <v>2</v>
      </c>
      <c r="F1399" s="13">
        <v>45303</v>
      </c>
      <c r="G1399" s="52">
        <v>2</v>
      </c>
      <c r="H1399" s="167">
        <v>45407</v>
      </c>
      <c r="I1399" s="52" t="s">
        <v>5429</v>
      </c>
      <c r="J1399" s="93" t="s">
        <v>6941</v>
      </c>
      <c r="K1399" s="52" t="s">
        <v>5365</v>
      </c>
      <c r="L1399" s="34"/>
      <c r="M1399" s="34"/>
    </row>
    <row r="1400" spans="1:22" s="35" customFormat="1" ht="11.25" customHeight="1" x14ac:dyDescent="0.35">
      <c r="A1400" s="51" t="s">
        <v>5215</v>
      </c>
      <c r="B1400" s="646" t="s">
        <v>6873</v>
      </c>
      <c r="C1400" s="290" t="s">
        <v>7086</v>
      </c>
      <c r="D1400" s="66" t="s">
        <v>7087</v>
      </c>
      <c r="E1400" s="51">
        <v>1</v>
      </c>
      <c r="F1400" s="20">
        <v>45303</v>
      </c>
      <c r="G1400" s="51"/>
      <c r="H1400" s="174"/>
      <c r="I1400" s="51"/>
      <c r="J1400" s="51"/>
      <c r="K1400" s="52" t="s">
        <v>5338</v>
      </c>
      <c r="L1400" s="34"/>
      <c r="M1400" s="34"/>
      <c r="N1400" s="34"/>
      <c r="O1400" s="34"/>
      <c r="P1400" s="34"/>
      <c r="Q1400" s="34"/>
      <c r="R1400" s="34"/>
      <c r="S1400" s="34"/>
      <c r="T1400" s="34"/>
      <c r="U1400" s="34"/>
      <c r="V1400" s="34"/>
    </row>
    <row r="1401" spans="1:22" s="39" customFormat="1" ht="11.25" customHeight="1" x14ac:dyDescent="0.35">
      <c r="A1401" s="52" t="s">
        <v>5215</v>
      </c>
      <c r="B1401" s="646" t="s">
        <v>6873</v>
      </c>
      <c r="C1401" s="282" t="s">
        <v>3446</v>
      </c>
      <c r="D1401" s="63" t="s">
        <v>7088</v>
      </c>
      <c r="E1401" s="52">
        <v>1</v>
      </c>
      <c r="F1401" s="13">
        <v>45303</v>
      </c>
      <c r="G1401" s="52">
        <v>1</v>
      </c>
      <c r="H1401" s="167">
        <v>45349</v>
      </c>
      <c r="I1401" s="52" t="s">
        <v>6883</v>
      </c>
      <c r="J1401" s="52"/>
      <c r="K1401" s="52" t="s">
        <v>5365</v>
      </c>
      <c r="L1401" s="34"/>
      <c r="M1401" s="34"/>
    </row>
    <row r="1402" spans="1:22" s="39" customFormat="1" ht="11.25" customHeight="1" x14ac:dyDescent="0.35">
      <c r="A1402" s="52" t="s">
        <v>5215</v>
      </c>
      <c r="B1402" s="646" t="s">
        <v>6873</v>
      </c>
      <c r="C1402" s="282" t="s">
        <v>4004</v>
      </c>
      <c r="D1402" s="63" t="s">
        <v>7089</v>
      </c>
      <c r="E1402" s="52">
        <v>1</v>
      </c>
      <c r="F1402" s="13">
        <v>45303</v>
      </c>
      <c r="G1402" s="52">
        <v>1</v>
      </c>
      <c r="H1402" s="167">
        <v>45349</v>
      </c>
      <c r="I1402" s="52" t="s">
        <v>6883</v>
      </c>
      <c r="J1402" s="52"/>
      <c r="K1402" s="52" t="s">
        <v>5365</v>
      </c>
      <c r="L1402" s="34"/>
      <c r="M1402" s="34"/>
    </row>
    <row r="1403" spans="1:22" s="35" customFormat="1" ht="11.25" customHeight="1" x14ac:dyDescent="0.35">
      <c r="A1403" s="51" t="s">
        <v>5215</v>
      </c>
      <c r="B1403" s="646" t="s">
        <v>6873</v>
      </c>
      <c r="C1403" s="290" t="s">
        <v>7090</v>
      </c>
      <c r="D1403" s="66" t="s">
        <v>7091</v>
      </c>
      <c r="E1403" s="51">
        <v>1</v>
      </c>
      <c r="F1403" s="20">
        <v>45303</v>
      </c>
      <c r="G1403" s="51"/>
      <c r="H1403" s="174"/>
      <c r="I1403" s="51"/>
      <c r="J1403" s="51"/>
      <c r="K1403" s="52" t="s">
        <v>5338</v>
      </c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</row>
    <row r="1404" spans="1:22" s="39" customFormat="1" ht="11.25" customHeight="1" x14ac:dyDescent="0.35">
      <c r="A1404" s="52" t="s">
        <v>5215</v>
      </c>
      <c r="B1404" s="646" t="s">
        <v>6873</v>
      </c>
      <c r="C1404" s="282" t="s">
        <v>5244</v>
      </c>
      <c r="D1404" s="63" t="s">
        <v>7092</v>
      </c>
      <c r="E1404" s="52">
        <v>5</v>
      </c>
      <c r="F1404" s="13">
        <v>45303</v>
      </c>
      <c r="G1404" s="52">
        <v>5</v>
      </c>
      <c r="H1404" s="167">
        <v>45349</v>
      </c>
      <c r="I1404" s="52" t="s">
        <v>6883</v>
      </c>
      <c r="J1404" s="52"/>
      <c r="K1404" s="52" t="s">
        <v>5365</v>
      </c>
      <c r="L1404" s="34"/>
      <c r="M1404" s="34"/>
    </row>
    <row r="1405" spans="1:22" s="35" customFormat="1" ht="11.25" customHeight="1" x14ac:dyDescent="0.35">
      <c r="A1405" s="51" t="s">
        <v>5215</v>
      </c>
      <c r="B1405" s="646" t="s">
        <v>6873</v>
      </c>
      <c r="C1405" s="290" t="s">
        <v>7093</v>
      </c>
      <c r="D1405" s="66" t="s">
        <v>7094</v>
      </c>
      <c r="E1405" s="51">
        <v>72</v>
      </c>
      <c r="F1405" s="20">
        <v>45303</v>
      </c>
      <c r="G1405" s="51"/>
      <c r="H1405" s="174"/>
      <c r="I1405" s="51"/>
      <c r="J1405" s="51"/>
      <c r="K1405" s="52" t="s">
        <v>5338</v>
      </c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  <c r="V1405" s="34"/>
    </row>
    <row r="1406" spans="1:22" s="39" customFormat="1" ht="11.25" customHeight="1" x14ac:dyDescent="0.35">
      <c r="A1406" s="52" t="s">
        <v>5215</v>
      </c>
      <c r="B1406" s="646" t="s">
        <v>6873</v>
      </c>
      <c r="C1406" s="282" t="s">
        <v>7095</v>
      </c>
      <c r="D1406" s="63" t="s">
        <v>7096</v>
      </c>
      <c r="E1406" s="52">
        <v>4</v>
      </c>
      <c r="F1406" s="13">
        <v>45303</v>
      </c>
      <c r="G1406" s="52">
        <v>4</v>
      </c>
      <c r="H1406" s="167">
        <v>45349</v>
      </c>
      <c r="I1406" s="52" t="s">
        <v>6883</v>
      </c>
      <c r="J1406" s="52"/>
      <c r="K1406" s="52" t="s">
        <v>5365</v>
      </c>
      <c r="L1406" s="34"/>
      <c r="M1406" s="34"/>
    </row>
    <row r="1407" spans="1:22" s="35" customFormat="1" ht="11.25" customHeight="1" x14ac:dyDescent="0.35">
      <c r="A1407" s="51" t="s">
        <v>5215</v>
      </c>
      <c r="B1407" s="646" t="s">
        <v>6873</v>
      </c>
      <c r="C1407" s="290" t="s">
        <v>7097</v>
      </c>
      <c r="D1407" s="66" t="s">
        <v>7098</v>
      </c>
      <c r="E1407" s="51">
        <v>1</v>
      </c>
      <c r="F1407" s="20">
        <v>45303</v>
      </c>
      <c r="G1407" s="51"/>
      <c r="H1407" s="174"/>
      <c r="I1407" s="51"/>
      <c r="J1407" s="51"/>
      <c r="K1407" s="52" t="s">
        <v>5338</v>
      </c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</row>
    <row r="1408" spans="1:22" s="35" customFormat="1" ht="11.25" customHeight="1" x14ac:dyDescent="0.35">
      <c r="A1408" s="51" t="s">
        <v>5215</v>
      </c>
      <c r="B1408" s="646" t="s">
        <v>6873</v>
      </c>
      <c r="C1408" s="290" t="s">
        <v>7099</v>
      </c>
      <c r="D1408" s="66" t="s">
        <v>7100</v>
      </c>
      <c r="E1408" s="51">
        <v>1</v>
      </c>
      <c r="F1408" s="20">
        <v>45303</v>
      </c>
      <c r="G1408" s="51"/>
      <c r="H1408" s="174"/>
      <c r="I1408" s="51"/>
      <c r="J1408" s="51"/>
      <c r="K1408" s="52" t="s">
        <v>5338</v>
      </c>
      <c r="L1408" s="34"/>
      <c r="M1408" s="34"/>
      <c r="N1408" s="34"/>
      <c r="O1408" s="34"/>
      <c r="P1408" s="34"/>
      <c r="Q1408" s="34"/>
      <c r="R1408" s="34"/>
      <c r="S1408" s="34"/>
      <c r="T1408" s="34"/>
      <c r="U1408" s="34"/>
      <c r="V1408" s="34"/>
    </row>
    <row r="1409" spans="1:22" s="39" customFormat="1" ht="11.25" customHeight="1" x14ac:dyDescent="0.35">
      <c r="A1409" s="52" t="s">
        <v>5215</v>
      </c>
      <c r="B1409" s="646" t="s">
        <v>6873</v>
      </c>
      <c r="C1409" s="282" t="s">
        <v>7101</v>
      </c>
      <c r="D1409" s="63" t="s">
        <v>7102</v>
      </c>
      <c r="E1409" s="52">
        <v>1</v>
      </c>
      <c r="F1409" s="13">
        <v>45303</v>
      </c>
      <c r="G1409" s="52">
        <v>1</v>
      </c>
      <c r="H1409" s="167">
        <v>45349</v>
      </c>
      <c r="I1409" s="52" t="s">
        <v>6883</v>
      </c>
      <c r="J1409" s="52"/>
      <c r="K1409" s="52" t="s">
        <v>5365</v>
      </c>
      <c r="L1409" s="34"/>
      <c r="M1409" s="34"/>
    </row>
    <row r="1410" spans="1:22" s="35" customFormat="1" ht="11.25" customHeight="1" x14ac:dyDescent="0.35">
      <c r="A1410" s="51" t="s">
        <v>5215</v>
      </c>
      <c r="B1410" s="646" t="s">
        <v>6873</v>
      </c>
      <c r="C1410" s="290" t="s">
        <v>7103</v>
      </c>
      <c r="D1410" s="66" t="s">
        <v>7104</v>
      </c>
      <c r="E1410" s="51">
        <v>1</v>
      </c>
      <c r="F1410" s="20">
        <v>45303</v>
      </c>
      <c r="G1410" s="51"/>
      <c r="H1410" s="174"/>
      <c r="I1410" s="51"/>
      <c r="J1410" s="51"/>
      <c r="K1410" s="52" t="s">
        <v>5338</v>
      </c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  <c r="V1410" s="34"/>
    </row>
    <row r="1411" spans="1:22" s="86" customFormat="1" ht="11.25" customHeight="1" x14ac:dyDescent="0.35">
      <c r="A1411" s="90" t="s">
        <v>5215</v>
      </c>
      <c r="B1411" s="646" t="s">
        <v>6873</v>
      </c>
      <c r="C1411" s="285" t="s">
        <v>7105</v>
      </c>
      <c r="D1411" s="91" t="s">
        <v>7106</v>
      </c>
      <c r="E1411" s="90">
        <v>2</v>
      </c>
      <c r="F1411" s="92">
        <v>45303</v>
      </c>
      <c r="G1411" s="90">
        <v>1</v>
      </c>
      <c r="H1411" s="170">
        <v>45349</v>
      </c>
      <c r="I1411" s="90" t="s">
        <v>6883</v>
      </c>
      <c r="J1411" s="90"/>
      <c r="K1411" s="52" t="s">
        <v>5511</v>
      </c>
      <c r="L1411" s="34"/>
      <c r="M1411" s="34"/>
    </row>
    <row r="1412" spans="1:22" s="35" customFormat="1" ht="11.25" customHeight="1" x14ac:dyDescent="0.35">
      <c r="A1412" s="51" t="s">
        <v>5215</v>
      </c>
      <c r="B1412" s="646" t="s">
        <v>6873</v>
      </c>
      <c r="C1412" s="290" t="s">
        <v>7107</v>
      </c>
      <c r="D1412" s="66" t="s">
        <v>7108</v>
      </c>
      <c r="E1412" s="51">
        <v>1</v>
      </c>
      <c r="F1412" s="20">
        <v>45303</v>
      </c>
      <c r="G1412" s="51"/>
      <c r="H1412" s="174"/>
      <c r="I1412" s="51"/>
      <c r="J1412" s="51"/>
      <c r="K1412" s="52" t="s">
        <v>5338</v>
      </c>
      <c r="L1412" s="34"/>
      <c r="M1412" s="34"/>
      <c r="N1412" s="34"/>
      <c r="O1412" s="34"/>
      <c r="P1412" s="34"/>
      <c r="Q1412" s="34"/>
      <c r="R1412" s="34"/>
      <c r="S1412" s="34"/>
      <c r="T1412" s="34"/>
      <c r="U1412" s="34"/>
      <c r="V1412" s="34"/>
    </row>
    <row r="1413" spans="1:22" s="39" customFormat="1" ht="11.25" customHeight="1" x14ac:dyDescent="0.35">
      <c r="A1413" s="52" t="s">
        <v>5215</v>
      </c>
      <c r="B1413" s="646" t="s">
        <v>6873</v>
      </c>
      <c r="C1413" s="282" t="s">
        <v>7109</v>
      </c>
      <c r="D1413" s="63" t="s">
        <v>7110</v>
      </c>
      <c r="E1413" s="52">
        <v>6</v>
      </c>
      <c r="F1413" s="13">
        <v>45303</v>
      </c>
      <c r="G1413" s="52">
        <v>6</v>
      </c>
      <c r="H1413" s="167">
        <v>45349</v>
      </c>
      <c r="I1413" s="52" t="s">
        <v>6883</v>
      </c>
      <c r="J1413" s="52"/>
      <c r="K1413" s="52" t="s">
        <v>5365</v>
      </c>
      <c r="L1413" s="34"/>
      <c r="M1413" s="34"/>
    </row>
    <row r="1414" spans="1:22" s="39" customFormat="1" ht="11.25" customHeight="1" x14ac:dyDescent="0.35">
      <c r="A1414" s="52" t="s">
        <v>5215</v>
      </c>
      <c r="B1414" s="646" t="s">
        <v>6873</v>
      </c>
      <c r="C1414" s="282" t="s">
        <v>7111</v>
      </c>
      <c r="D1414" s="63" t="s">
        <v>7110</v>
      </c>
      <c r="E1414" s="52">
        <v>1</v>
      </c>
      <c r="F1414" s="13">
        <v>45303</v>
      </c>
      <c r="G1414" s="52">
        <v>1</v>
      </c>
      <c r="H1414" s="167">
        <v>45349</v>
      </c>
      <c r="I1414" s="52" t="s">
        <v>6883</v>
      </c>
      <c r="J1414" s="52"/>
      <c r="K1414" s="52" t="s">
        <v>5365</v>
      </c>
      <c r="L1414" s="34"/>
      <c r="M1414" s="34"/>
    </row>
    <row r="1415" spans="1:22" s="39" customFormat="1" ht="11.25" customHeight="1" x14ac:dyDescent="0.35">
      <c r="A1415" s="52" t="s">
        <v>5215</v>
      </c>
      <c r="B1415" s="646" t="s">
        <v>6873</v>
      </c>
      <c r="C1415" s="282" t="s">
        <v>7112</v>
      </c>
      <c r="D1415" s="63" t="s">
        <v>7113</v>
      </c>
      <c r="E1415" s="52">
        <v>1</v>
      </c>
      <c r="F1415" s="13">
        <v>45303</v>
      </c>
      <c r="G1415" s="52">
        <v>1</v>
      </c>
      <c r="H1415" s="167">
        <v>45349</v>
      </c>
      <c r="I1415" s="52" t="s">
        <v>6883</v>
      </c>
      <c r="J1415" s="52"/>
      <c r="K1415" s="52" t="s">
        <v>5365</v>
      </c>
      <c r="L1415" s="34"/>
      <c r="M1415" s="34"/>
    </row>
    <row r="1416" spans="1:22" s="39" customFormat="1" ht="11.25" customHeight="1" x14ac:dyDescent="0.35">
      <c r="A1416" s="52" t="s">
        <v>5215</v>
      </c>
      <c r="B1416" s="646" t="s">
        <v>6873</v>
      </c>
      <c r="C1416" s="282" t="s">
        <v>996</v>
      </c>
      <c r="D1416" s="63" t="s">
        <v>7114</v>
      </c>
      <c r="E1416" s="52">
        <v>2</v>
      </c>
      <c r="F1416" s="13">
        <v>45303</v>
      </c>
      <c r="G1416" s="52">
        <v>2</v>
      </c>
      <c r="H1416" s="167">
        <v>45349</v>
      </c>
      <c r="I1416" s="52" t="s">
        <v>6883</v>
      </c>
      <c r="J1416" s="52"/>
      <c r="K1416" s="52" t="s">
        <v>5365</v>
      </c>
      <c r="L1416" s="34"/>
      <c r="M1416" s="34"/>
    </row>
    <row r="1417" spans="1:22" s="35" customFormat="1" ht="11.25" customHeight="1" x14ac:dyDescent="0.35">
      <c r="A1417" s="51" t="s">
        <v>5215</v>
      </c>
      <c r="B1417" s="646" t="s">
        <v>6873</v>
      </c>
      <c r="C1417" s="290" t="s">
        <v>7115</v>
      </c>
      <c r="D1417" s="66" t="s">
        <v>7116</v>
      </c>
      <c r="E1417" s="51">
        <v>2</v>
      </c>
      <c r="F1417" s="20">
        <v>45303</v>
      </c>
      <c r="G1417" s="51"/>
      <c r="H1417" s="174"/>
      <c r="I1417" s="51"/>
      <c r="J1417" s="51"/>
      <c r="K1417" s="52" t="s">
        <v>5338</v>
      </c>
      <c r="L1417" s="34"/>
      <c r="M1417" s="34"/>
      <c r="N1417" s="34"/>
      <c r="O1417" s="34"/>
      <c r="P1417" s="34"/>
      <c r="Q1417" s="34"/>
      <c r="R1417" s="34"/>
      <c r="S1417" s="34"/>
      <c r="T1417" s="34"/>
      <c r="U1417" s="34"/>
      <c r="V1417" s="34"/>
    </row>
    <row r="1418" spans="1:22" s="39" customFormat="1" ht="11.25" customHeight="1" x14ac:dyDescent="0.35">
      <c r="A1418" s="52" t="s">
        <v>5215</v>
      </c>
      <c r="B1418" s="646" t="s">
        <v>6873</v>
      </c>
      <c r="C1418" s="282" t="s">
        <v>7117</v>
      </c>
      <c r="D1418" s="63" t="s">
        <v>7118</v>
      </c>
      <c r="E1418" s="52">
        <v>1</v>
      </c>
      <c r="F1418" s="13">
        <v>45303</v>
      </c>
      <c r="G1418" s="52">
        <v>1</v>
      </c>
      <c r="H1418" s="167">
        <v>45349</v>
      </c>
      <c r="I1418" s="52" t="s">
        <v>6883</v>
      </c>
      <c r="J1418" s="52"/>
      <c r="K1418" s="52" t="s">
        <v>5365</v>
      </c>
      <c r="L1418" s="34"/>
    </row>
    <row r="1419" spans="1:22" s="35" customFormat="1" ht="11.25" customHeight="1" x14ac:dyDescent="0.35">
      <c r="A1419" s="51" t="s">
        <v>5215</v>
      </c>
      <c r="B1419" s="646" t="s">
        <v>6873</v>
      </c>
      <c r="C1419" s="290" t="s">
        <v>7119</v>
      </c>
      <c r="D1419" s="66" t="s">
        <v>7120</v>
      </c>
      <c r="E1419" s="51">
        <v>1</v>
      </c>
      <c r="F1419" s="20">
        <v>45303</v>
      </c>
      <c r="G1419" s="51"/>
      <c r="H1419" s="174"/>
      <c r="I1419" s="51"/>
      <c r="J1419" s="51"/>
      <c r="K1419" s="52" t="s">
        <v>5338</v>
      </c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</row>
    <row r="1420" spans="1:22" s="35" customFormat="1" ht="11.25" customHeight="1" x14ac:dyDescent="0.35">
      <c r="A1420" s="51" t="s">
        <v>5215</v>
      </c>
      <c r="B1420" s="646" t="s">
        <v>6873</v>
      </c>
      <c r="C1420" s="290" t="s">
        <v>1097</v>
      </c>
      <c r="D1420" s="66" t="s">
        <v>7121</v>
      </c>
      <c r="E1420" s="51">
        <v>2</v>
      </c>
      <c r="F1420" s="20">
        <v>45303</v>
      </c>
      <c r="G1420" s="51"/>
      <c r="H1420" s="174"/>
      <c r="I1420" s="51"/>
      <c r="J1420" s="51"/>
      <c r="K1420" s="52" t="s">
        <v>5338</v>
      </c>
      <c r="L1420" s="34"/>
      <c r="M1420" s="34"/>
      <c r="N1420" s="34"/>
      <c r="O1420" s="34"/>
      <c r="P1420" s="34"/>
      <c r="Q1420" s="34"/>
      <c r="R1420" s="34"/>
      <c r="S1420" s="34"/>
      <c r="T1420" s="34"/>
      <c r="U1420" s="34"/>
      <c r="V1420" s="34"/>
    </row>
    <row r="1421" spans="1:22" s="39" customFormat="1" ht="11.25" customHeight="1" x14ac:dyDescent="0.25">
      <c r="A1421" s="52" t="s">
        <v>5215</v>
      </c>
      <c r="B1421" s="646" t="s">
        <v>6873</v>
      </c>
      <c r="C1421" s="282" t="s">
        <v>5230</v>
      </c>
      <c r="D1421" s="63" t="s">
        <v>7122</v>
      </c>
      <c r="E1421" s="52">
        <v>4</v>
      </c>
      <c r="F1421" s="13">
        <v>45303</v>
      </c>
      <c r="G1421" s="52">
        <v>4</v>
      </c>
      <c r="H1421" s="167">
        <v>45349</v>
      </c>
      <c r="I1421" s="93" t="s">
        <v>6883</v>
      </c>
      <c r="J1421" s="52"/>
      <c r="K1421" s="52" t="s">
        <v>5365</v>
      </c>
      <c r="L1421" s="34"/>
    </row>
    <row r="1422" spans="1:22" s="35" customFormat="1" ht="11.25" customHeight="1" x14ac:dyDescent="0.35">
      <c r="A1422" s="51" t="s">
        <v>5215</v>
      </c>
      <c r="B1422" s="646" t="s">
        <v>6873</v>
      </c>
      <c r="C1422" s="290" t="s">
        <v>7123</v>
      </c>
      <c r="D1422" s="66" t="s">
        <v>7124</v>
      </c>
      <c r="E1422" s="51">
        <v>1</v>
      </c>
      <c r="F1422" s="20">
        <v>45303</v>
      </c>
      <c r="G1422" s="51"/>
      <c r="H1422" s="174"/>
      <c r="I1422" s="51"/>
      <c r="J1422" s="51"/>
      <c r="K1422" s="52" t="s">
        <v>5338</v>
      </c>
      <c r="L1422" s="34"/>
      <c r="M1422" s="34"/>
      <c r="N1422" s="34"/>
      <c r="O1422" s="34"/>
      <c r="P1422" s="34"/>
      <c r="Q1422" s="34"/>
      <c r="R1422" s="34"/>
      <c r="S1422" s="34"/>
      <c r="T1422" s="34"/>
      <c r="U1422" s="34"/>
      <c r="V1422" s="34"/>
    </row>
    <row r="1423" spans="1:22" s="39" customFormat="1" ht="11.25" customHeight="1" x14ac:dyDescent="0.35">
      <c r="A1423" s="52" t="s">
        <v>5215</v>
      </c>
      <c r="B1423" s="646" t="s">
        <v>6873</v>
      </c>
      <c r="C1423" s="282" t="s">
        <v>7125</v>
      </c>
      <c r="D1423" s="63" t="s">
        <v>7126</v>
      </c>
      <c r="E1423" s="52">
        <v>1</v>
      </c>
      <c r="F1423" s="13">
        <v>45303</v>
      </c>
      <c r="G1423" s="52">
        <v>1</v>
      </c>
      <c r="H1423" s="167">
        <v>45349</v>
      </c>
      <c r="I1423" s="52" t="s">
        <v>6883</v>
      </c>
      <c r="J1423" s="52"/>
      <c r="K1423" s="52" t="s">
        <v>5365</v>
      </c>
      <c r="L1423" s="34"/>
    </row>
    <row r="1424" spans="1:22" s="35" customFormat="1" ht="11.25" customHeight="1" x14ac:dyDescent="0.35">
      <c r="A1424" s="51" t="s">
        <v>5215</v>
      </c>
      <c r="B1424" s="646" t="s">
        <v>6873</v>
      </c>
      <c r="C1424" s="290" t="s">
        <v>7127</v>
      </c>
      <c r="D1424" s="66" t="s">
        <v>7128</v>
      </c>
      <c r="E1424" s="51">
        <v>5</v>
      </c>
      <c r="F1424" s="20">
        <v>45303</v>
      </c>
      <c r="G1424" s="51"/>
      <c r="H1424" s="174"/>
      <c r="I1424" s="51"/>
      <c r="J1424" s="51"/>
      <c r="K1424" s="52" t="s">
        <v>5338</v>
      </c>
      <c r="L1424" s="34"/>
      <c r="M1424" s="34"/>
      <c r="N1424" s="34"/>
      <c r="O1424" s="34"/>
      <c r="P1424" s="34"/>
      <c r="Q1424" s="34"/>
      <c r="R1424" s="34"/>
      <c r="S1424" s="34"/>
      <c r="T1424" s="34"/>
      <c r="U1424" s="34"/>
      <c r="V1424" s="34"/>
    </row>
    <row r="1425" spans="1:22" s="39" customFormat="1" ht="11.25" customHeight="1" x14ac:dyDescent="0.35">
      <c r="A1425" s="52" t="s">
        <v>5215</v>
      </c>
      <c r="B1425" s="646" t="s">
        <v>6873</v>
      </c>
      <c r="C1425" s="282" t="s">
        <v>7129</v>
      </c>
      <c r="D1425" s="63" t="s">
        <v>7130</v>
      </c>
      <c r="E1425" s="52">
        <v>2</v>
      </c>
      <c r="F1425" s="13">
        <v>45303</v>
      </c>
      <c r="G1425" s="52">
        <v>2</v>
      </c>
      <c r="H1425" s="167">
        <v>45349</v>
      </c>
      <c r="I1425" s="52" t="s">
        <v>6883</v>
      </c>
      <c r="J1425" s="52"/>
      <c r="K1425" s="52" t="s">
        <v>5365</v>
      </c>
      <c r="L1425" s="34"/>
    </row>
    <row r="1426" spans="1:22" s="35" customFormat="1" ht="11.25" customHeight="1" x14ac:dyDescent="0.35">
      <c r="A1426" s="51" t="s">
        <v>5215</v>
      </c>
      <c r="B1426" s="646" t="s">
        <v>6873</v>
      </c>
      <c r="C1426" s="290" t="s">
        <v>7131</v>
      </c>
      <c r="D1426" s="66" t="s">
        <v>7132</v>
      </c>
      <c r="E1426" s="51">
        <v>1</v>
      </c>
      <c r="F1426" s="20">
        <v>45303</v>
      </c>
      <c r="G1426" s="51"/>
      <c r="H1426" s="174"/>
      <c r="I1426" s="51"/>
      <c r="J1426" s="51"/>
      <c r="K1426" s="52" t="s">
        <v>5338</v>
      </c>
      <c r="L1426" s="34"/>
      <c r="M1426" s="34"/>
      <c r="N1426" s="34"/>
      <c r="O1426" s="34"/>
      <c r="P1426" s="34"/>
      <c r="Q1426" s="34"/>
      <c r="R1426" s="34"/>
      <c r="S1426" s="34"/>
      <c r="T1426" s="34"/>
      <c r="U1426" s="34"/>
      <c r="V1426" s="34"/>
    </row>
    <row r="1427" spans="1:22" s="35" customFormat="1" ht="11.25" customHeight="1" x14ac:dyDescent="0.35">
      <c r="A1427" s="51" t="s">
        <v>5215</v>
      </c>
      <c r="B1427" s="646" t="s">
        <v>6873</v>
      </c>
      <c r="C1427" s="290" t="s">
        <v>7133</v>
      </c>
      <c r="D1427" s="66" t="s">
        <v>7134</v>
      </c>
      <c r="E1427" s="51">
        <v>1</v>
      </c>
      <c r="F1427" s="20">
        <v>45303</v>
      </c>
      <c r="G1427" s="51"/>
      <c r="H1427" s="174"/>
      <c r="I1427" s="51"/>
      <c r="J1427" s="51"/>
      <c r="K1427" s="52" t="s">
        <v>5338</v>
      </c>
      <c r="L1427" s="34"/>
      <c r="M1427" s="34"/>
      <c r="N1427" s="34"/>
      <c r="O1427" s="34"/>
      <c r="P1427" s="34"/>
      <c r="Q1427" s="34"/>
      <c r="R1427" s="34"/>
      <c r="S1427" s="34"/>
      <c r="T1427" s="34"/>
      <c r="U1427" s="34"/>
      <c r="V1427" s="34"/>
    </row>
    <row r="1428" spans="1:22" s="39" customFormat="1" ht="11.25" customHeight="1" x14ac:dyDescent="0.35">
      <c r="A1428" s="52" t="s">
        <v>5215</v>
      </c>
      <c r="B1428" s="646" t="s">
        <v>6873</v>
      </c>
      <c r="C1428" s="282" t="s">
        <v>7135</v>
      </c>
      <c r="D1428" s="63" t="s">
        <v>7136</v>
      </c>
      <c r="E1428" s="52">
        <v>6</v>
      </c>
      <c r="F1428" s="13">
        <v>45303</v>
      </c>
      <c r="G1428" s="52">
        <v>6</v>
      </c>
      <c r="H1428" s="167">
        <v>45349</v>
      </c>
      <c r="I1428" s="52" t="s">
        <v>6883</v>
      </c>
      <c r="J1428" s="52"/>
      <c r="K1428" s="52" t="s">
        <v>5365</v>
      </c>
      <c r="L1428" s="34"/>
    </row>
    <row r="1429" spans="1:22" s="35" customFormat="1" ht="11.25" customHeight="1" x14ac:dyDescent="0.35">
      <c r="A1429" s="51" t="s">
        <v>5215</v>
      </c>
      <c r="B1429" s="646" t="s">
        <v>6873</v>
      </c>
      <c r="C1429" s="290" t="s">
        <v>7137</v>
      </c>
      <c r="D1429" s="66" t="s">
        <v>7138</v>
      </c>
      <c r="E1429" s="51">
        <v>6</v>
      </c>
      <c r="F1429" s="20">
        <v>45303</v>
      </c>
      <c r="G1429" s="51"/>
      <c r="H1429" s="174"/>
      <c r="I1429" s="51"/>
      <c r="J1429" s="51"/>
      <c r="K1429" s="52" t="s">
        <v>5338</v>
      </c>
      <c r="L1429" s="34"/>
      <c r="M1429" s="34"/>
      <c r="N1429" s="34"/>
      <c r="O1429" s="34"/>
      <c r="P1429" s="34"/>
      <c r="Q1429" s="34"/>
      <c r="R1429" s="34"/>
      <c r="S1429" s="34"/>
      <c r="T1429" s="34"/>
      <c r="U1429" s="34"/>
      <c r="V1429" s="34"/>
    </row>
    <row r="1430" spans="1:22" s="35" customFormat="1" ht="11.25" customHeight="1" x14ac:dyDescent="0.35">
      <c r="A1430" s="51" t="s">
        <v>5215</v>
      </c>
      <c r="B1430" s="646" t="s">
        <v>6873</v>
      </c>
      <c r="C1430" s="290" t="s">
        <v>7139</v>
      </c>
      <c r="D1430" s="66" t="s">
        <v>7140</v>
      </c>
      <c r="E1430" s="51">
        <v>1</v>
      </c>
      <c r="F1430" s="20">
        <v>45303</v>
      </c>
      <c r="G1430" s="51"/>
      <c r="H1430" s="174"/>
      <c r="I1430" s="51"/>
      <c r="J1430" s="51"/>
      <c r="K1430" s="52" t="s">
        <v>5338</v>
      </c>
      <c r="L1430" s="34"/>
      <c r="M1430" s="34"/>
      <c r="N1430" s="34"/>
      <c r="O1430" s="34"/>
      <c r="P1430" s="34"/>
      <c r="Q1430" s="34"/>
      <c r="R1430" s="34"/>
      <c r="S1430" s="34"/>
      <c r="T1430" s="34"/>
      <c r="U1430" s="34"/>
      <c r="V1430" s="34"/>
    </row>
    <row r="1431" spans="1:22" s="45" customFormat="1" ht="11.25" customHeight="1" x14ac:dyDescent="0.35">
      <c r="A1431" s="11" t="s">
        <v>5215</v>
      </c>
      <c r="B1431" s="646" t="s">
        <v>6873</v>
      </c>
      <c r="C1431" s="292" t="s">
        <v>7141</v>
      </c>
      <c r="D1431" s="67" t="s">
        <v>7142</v>
      </c>
      <c r="E1431" s="11">
        <v>1</v>
      </c>
      <c r="F1431" s="68">
        <v>45303</v>
      </c>
      <c r="G1431" s="11"/>
      <c r="H1431" s="176"/>
      <c r="I1431" s="11"/>
      <c r="J1431" s="11"/>
      <c r="K1431" s="52" t="s">
        <v>5338</v>
      </c>
      <c r="L1431" s="69"/>
      <c r="M1431" s="69"/>
      <c r="N1431" s="69"/>
      <c r="O1431" s="69"/>
      <c r="P1431" s="69"/>
      <c r="Q1431" s="69"/>
      <c r="R1431" s="69"/>
      <c r="S1431" s="69"/>
      <c r="T1431" s="69"/>
      <c r="U1431" s="69"/>
      <c r="V1431" s="69"/>
    </row>
    <row r="1432" spans="1:22" s="39" customFormat="1" ht="11.25" customHeight="1" x14ac:dyDescent="0.35">
      <c r="A1432" s="52" t="s">
        <v>5215</v>
      </c>
      <c r="B1432" s="646" t="s">
        <v>6873</v>
      </c>
      <c r="C1432" s="282" t="s">
        <v>5270</v>
      </c>
      <c r="D1432" s="63" t="s">
        <v>7143</v>
      </c>
      <c r="E1432" s="52">
        <v>1</v>
      </c>
      <c r="F1432" s="13">
        <v>45303</v>
      </c>
      <c r="G1432" s="52">
        <v>1</v>
      </c>
      <c r="H1432" s="167">
        <v>45349</v>
      </c>
      <c r="I1432" s="52" t="s">
        <v>6883</v>
      </c>
      <c r="J1432" s="52"/>
      <c r="K1432" s="52" t="s">
        <v>5365</v>
      </c>
      <c r="L1432" s="34"/>
    </row>
    <row r="1433" spans="1:22" s="39" customFormat="1" ht="11.25" customHeight="1" x14ac:dyDescent="0.35">
      <c r="A1433" s="52" t="s">
        <v>5215</v>
      </c>
      <c r="B1433" s="646" t="s">
        <v>6873</v>
      </c>
      <c r="C1433" s="282" t="s">
        <v>5254</v>
      </c>
      <c r="D1433" s="63" t="s">
        <v>7144</v>
      </c>
      <c r="E1433" s="52">
        <v>1</v>
      </c>
      <c r="F1433" s="13">
        <v>45303</v>
      </c>
      <c r="G1433" s="52">
        <v>1</v>
      </c>
      <c r="H1433" s="167">
        <v>45349</v>
      </c>
      <c r="I1433" s="52" t="s">
        <v>6883</v>
      </c>
      <c r="J1433" s="52"/>
      <c r="K1433" s="52" t="s">
        <v>5365</v>
      </c>
      <c r="L1433" s="34"/>
    </row>
    <row r="1434" spans="1:22" s="39" customFormat="1" ht="11.25" customHeight="1" x14ac:dyDescent="0.35">
      <c r="A1434" s="52" t="s">
        <v>5215</v>
      </c>
      <c r="B1434" s="646" t="s">
        <v>6873</v>
      </c>
      <c r="C1434" s="282" t="s">
        <v>7145</v>
      </c>
      <c r="D1434" s="63" t="s">
        <v>7146</v>
      </c>
      <c r="E1434" s="52">
        <v>2</v>
      </c>
      <c r="F1434" s="13">
        <v>45303</v>
      </c>
      <c r="G1434" s="52">
        <v>2</v>
      </c>
      <c r="H1434" s="167">
        <v>45349</v>
      </c>
      <c r="I1434" s="52" t="s">
        <v>6883</v>
      </c>
      <c r="J1434" s="52"/>
      <c r="K1434" s="52" t="s">
        <v>5365</v>
      </c>
      <c r="L1434" s="34"/>
    </row>
    <row r="1435" spans="1:22" s="35" customFormat="1" ht="11.25" customHeight="1" x14ac:dyDescent="0.35">
      <c r="A1435" s="51" t="s">
        <v>5215</v>
      </c>
      <c r="B1435" s="646" t="s">
        <v>6873</v>
      </c>
      <c r="C1435" s="290" t="s">
        <v>7147</v>
      </c>
      <c r="D1435" s="66" t="s">
        <v>7148</v>
      </c>
      <c r="E1435" s="51">
        <v>6</v>
      </c>
      <c r="F1435" s="20">
        <v>45303</v>
      </c>
      <c r="G1435" s="51"/>
      <c r="H1435" s="174"/>
      <c r="I1435" s="51"/>
      <c r="J1435" s="51"/>
      <c r="K1435" s="52" t="s">
        <v>5338</v>
      </c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  <c r="V1435" s="34"/>
    </row>
    <row r="1436" spans="1:22" s="62" customFormat="1" ht="11.25" customHeight="1" x14ac:dyDescent="0.35">
      <c r="A1436" s="52" t="s">
        <v>4832</v>
      </c>
      <c r="B1436" s="111" t="s">
        <v>5904</v>
      </c>
      <c r="C1436" s="281" t="s">
        <v>1999</v>
      </c>
      <c r="D1436" s="71" t="s">
        <v>6338</v>
      </c>
      <c r="E1436" s="70">
        <v>1</v>
      </c>
      <c r="F1436" s="72">
        <v>45306</v>
      </c>
      <c r="G1436" s="70">
        <v>1</v>
      </c>
      <c r="H1436" s="166"/>
      <c r="I1436" s="70" t="s">
        <v>5553</v>
      </c>
      <c r="J1436" s="70"/>
      <c r="K1436" s="52" t="s">
        <v>5365</v>
      </c>
    </row>
    <row r="1437" spans="1:22" s="62" customFormat="1" ht="11.25" customHeight="1" x14ac:dyDescent="0.35">
      <c r="A1437" s="52" t="s">
        <v>4832</v>
      </c>
      <c r="B1437" s="111" t="s">
        <v>5904</v>
      </c>
      <c r="C1437" s="281" t="s">
        <v>1996</v>
      </c>
      <c r="D1437" s="71" t="s">
        <v>1997</v>
      </c>
      <c r="E1437" s="70">
        <v>1</v>
      </c>
      <c r="F1437" s="72">
        <v>45306</v>
      </c>
      <c r="G1437" s="70">
        <v>1</v>
      </c>
      <c r="H1437" s="166"/>
      <c r="I1437" s="70" t="s">
        <v>5553</v>
      </c>
      <c r="J1437" s="70"/>
      <c r="K1437" s="52" t="s">
        <v>5365</v>
      </c>
    </row>
    <row r="1438" spans="1:22" s="62" customFormat="1" ht="11.25" customHeight="1" x14ac:dyDescent="0.35">
      <c r="A1438" s="52" t="s">
        <v>4832</v>
      </c>
      <c r="B1438" s="111" t="s">
        <v>5904</v>
      </c>
      <c r="C1438" s="281" t="s">
        <v>1990</v>
      </c>
      <c r="D1438" s="71" t="s">
        <v>7149</v>
      </c>
      <c r="E1438" s="70">
        <v>2</v>
      </c>
      <c r="F1438" s="72">
        <v>45306</v>
      </c>
      <c r="G1438" s="70" t="s">
        <v>7150</v>
      </c>
      <c r="H1438" s="166">
        <v>45313</v>
      </c>
      <c r="I1438" s="70" t="s">
        <v>7151</v>
      </c>
      <c r="J1438" s="70"/>
      <c r="K1438" s="52" t="s">
        <v>5365</v>
      </c>
      <c r="L1438" s="73"/>
    </row>
    <row r="1439" spans="1:22" s="62" customFormat="1" ht="11.25" customHeight="1" x14ac:dyDescent="0.35">
      <c r="A1439" s="52" t="s">
        <v>4832</v>
      </c>
      <c r="B1439" s="111" t="s">
        <v>5904</v>
      </c>
      <c r="C1439" s="281" t="s">
        <v>1036</v>
      </c>
      <c r="D1439" s="71" t="s">
        <v>7152</v>
      </c>
      <c r="E1439" s="70">
        <v>2</v>
      </c>
      <c r="F1439" s="72">
        <v>45306</v>
      </c>
      <c r="G1439" s="70" t="s">
        <v>7150</v>
      </c>
      <c r="H1439" s="166">
        <v>45313</v>
      </c>
      <c r="I1439" s="70" t="s">
        <v>7151</v>
      </c>
      <c r="J1439" s="70"/>
      <c r="K1439" s="52" t="s">
        <v>5365</v>
      </c>
      <c r="L1439" s="73"/>
    </row>
    <row r="1440" spans="1:22" s="62" customFormat="1" ht="11.25" customHeight="1" x14ac:dyDescent="0.35">
      <c r="A1440" s="52" t="s">
        <v>4832</v>
      </c>
      <c r="B1440" s="111" t="s">
        <v>5904</v>
      </c>
      <c r="C1440" s="281" t="s">
        <v>2010</v>
      </c>
      <c r="D1440" s="71" t="s">
        <v>2011</v>
      </c>
      <c r="E1440" s="70">
        <v>2</v>
      </c>
      <c r="F1440" s="72">
        <v>45306</v>
      </c>
      <c r="G1440" s="70">
        <v>2</v>
      </c>
      <c r="H1440" s="166">
        <v>45407</v>
      </c>
      <c r="I1440" s="70" t="s">
        <v>7153</v>
      </c>
      <c r="J1440" s="70" t="s">
        <v>7154</v>
      </c>
      <c r="K1440" s="52" t="s">
        <v>5365</v>
      </c>
      <c r="L1440" s="69"/>
    </row>
    <row r="1441" spans="1:12" s="62" customFormat="1" ht="11.25" customHeight="1" x14ac:dyDescent="0.35">
      <c r="A1441" s="52" t="s">
        <v>4832</v>
      </c>
      <c r="B1441" s="111" t="s">
        <v>5904</v>
      </c>
      <c r="C1441" s="281" t="s">
        <v>2014</v>
      </c>
      <c r="D1441" s="71" t="s">
        <v>2015</v>
      </c>
      <c r="E1441" s="70">
        <v>1</v>
      </c>
      <c r="F1441" s="72">
        <v>45306</v>
      </c>
      <c r="G1441" s="70">
        <v>1</v>
      </c>
      <c r="H1441" s="166">
        <v>45349</v>
      </c>
      <c r="I1441" s="70" t="s">
        <v>7155</v>
      </c>
      <c r="J1441" s="70"/>
      <c r="K1441" s="52" t="s">
        <v>5365</v>
      </c>
      <c r="L1441" s="69"/>
    </row>
    <row r="1442" spans="1:12" s="62" customFormat="1" ht="11.25" customHeight="1" x14ac:dyDescent="0.35">
      <c r="A1442" s="52" t="s">
        <v>4832</v>
      </c>
      <c r="B1442" s="111" t="s">
        <v>5904</v>
      </c>
      <c r="C1442" s="281" t="s">
        <v>2018</v>
      </c>
      <c r="D1442" s="71" t="s">
        <v>7156</v>
      </c>
      <c r="E1442" s="70">
        <v>1</v>
      </c>
      <c r="F1442" s="72">
        <v>45306</v>
      </c>
      <c r="G1442" s="70">
        <v>1</v>
      </c>
      <c r="H1442" s="166">
        <v>45407</v>
      </c>
      <c r="I1442" s="70" t="s">
        <v>7157</v>
      </c>
      <c r="J1442" s="70" t="s">
        <v>7158</v>
      </c>
      <c r="K1442" s="52" t="s">
        <v>5365</v>
      </c>
      <c r="L1442" s="69"/>
    </row>
    <row r="1443" spans="1:12" s="62" customFormat="1" ht="11.25" customHeight="1" x14ac:dyDescent="0.35">
      <c r="A1443" s="52" t="s">
        <v>4832</v>
      </c>
      <c r="B1443" s="111" t="s">
        <v>5904</v>
      </c>
      <c r="C1443" s="281" t="s">
        <v>2021</v>
      </c>
      <c r="D1443" s="71" t="s">
        <v>7159</v>
      </c>
      <c r="E1443" s="70">
        <v>5</v>
      </c>
      <c r="F1443" s="72">
        <v>45306</v>
      </c>
      <c r="G1443" s="70">
        <v>5</v>
      </c>
      <c r="H1443" s="166">
        <v>45315</v>
      </c>
      <c r="I1443" s="70" t="s">
        <v>5842</v>
      </c>
      <c r="J1443" s="70"/>
      <c r="K1443" s="52" t="s">
        <v>5365</v>
      </c>
    </row>
    <row r="1444" spans="1:12" s="87" customFormat="1" ht="11.25" customHeight="1" x14ac:dyDescent="0.35">
      <c r="A1444" s="52" t="s">
        <v>4832</v>
      </c>
      <c r="B1444" s="111" t="s">
        <v>5904</v>
      </c>
      <c r="C1444" s="281" t="s">
        <v>2024</v>
      </c>
      <c r="D1444" s="71" t="s">
        <v>2025</v>
      </c>
      <c r="E1444" s="70">
        <v>1</v>
      </c>
      <c r="F1444" s="72">
        <v>45306</v>
      </c>
      <c r="G1444" s="70">
        <v>1</v>
      </c>
      <c r="H1444" s="166">
        <v>45405</v>
      </c>
      <c r="I1444" s="70" t="s">
        <v>7160</v>
      </c>
      <c r="J1444" s="70"/>
      <c r="K1444" s="52" t="s">
        <v>5365</v>
      </c>
      <c r="L1444" s="69"/>
    </row>
    <row r="1445" spans="1:12" s="62" customFormat="1" ht="11.25" customHeight="1" x14ac:dyDescent="0.35">
      <c r="A1445" s="52" t="s">
        <v>4832</v>
      </c>
      <c r="B1445" s="111" t="s">
        <v>5904</v>
      </c>
      <c r="C1445" s="281" t="s">
        <v>2027</v>
      </c>
      <c r="D1445" s="71" t="s">
        <v>7161</v>
      </c>
      <c r="E1445" s="70">
        <v>1</v>
      </c>
      <c r="F1445" s="72">
        <v>45306</v>
      </c>
      <c r="G1445" s="70">
        <v>1</v>
      </c>
      <c r="H1445" s="166">
        <v>45327</v>
      </c>
      <c r="I1445" s="70" t="s">
        <v>5842</v>
      </c>
      <c r="J1445" s="70"/>
      <c r="K1445" s="52" t="s">
        <v>5365</v>
      </c>
    </row>
    <row r="1446" spans="1:12" s="87" customFormat="1" ht="11.25" customHeight="1" x14ac:dyDescent="0.35">
      <c r="A1446" s="52" t="s">
        <v>4832</v>
      </c>
      <c r="B1446" s="111" t="s">
        <v>5904</v>
      </c>
      <c r="C1446" s="281" t="s">
        <v>2030</v>
      </c>
      <c r="D1446" s="71" t="s">
        <v>7162</v>
      </c>
      <c r="E1446" s="70">
        <v>1</v>
      </c>
      <c r="F1446" s="72">
        <v>45306</v>
      </c>
      <c r="G1446" s="70">
        <v>1</v>
      </c>
      <c r="H1446" s="166"/>
      <c r="I1446" s="70" t="s">
        <v>7163</v>
      </c>
      <c r="J1446" s="70"/>
      <c r="K1446" s="52" t="s">
        <v>5365</v>
      </c>
      <c r="L1446" s="69"/>
    </row>
    <row r="1447" spans="1:12" s="62" customFormat="1" ht="11.25" customHeight="1" x14ac:dyDescent="0.35">
      <c r="A1447" s="52" t="s">
        <v>4832</v>
      </c>
      <c r="B1447" s="111" t="s">
        <v>5904</v>
      </c>
      <c r="C1447" s="281" t="s">
        <v>2036</v>
      </c>
      <c r="D1447" s="71" t="s">
        <v>7164</v>
      </c>
      <c r="E1447" s="70">
        <v>3</v>
      </c>
      <c r="F1447" s="72">
        <v>45306</v>
      </c>
      <c r="G1447" s="70">
        <v>3</v>
      </c>
      <c r="H1447" s="166">
        <v>45324</v>
      </c>
      <c r="I1447" s="70" t="s">
        <v>7165</v>
      </c>
      <c r="J1447" s="70"/>
      <c r="K1447" s="52" t="s">
        <v>5365</v>
      </c>
      <c r="L1447" s="69"/>
    </row>
    <row r="1448" spans="1:12" s="87" customFormat="1" ht="11.25" customHeight="1" x14ac:dyDescent="0.35">
      <c r="A1448" s="52" t="s">
        <v>4832</v>
      </c>
      <c r="B1448" s="111" t="s">
        <v>5904</v>
      </c>
      <c r="C1448" s="281" t="s">
        <v>2040</v>
      </c>
      <c r="D1448" s="71" t="s">
        <v>7166</v>
      </c>
      <c r="E1448" s="70">
        <v>2</v>
      </c>
      <c r="F1448" s="72">
        <v>45306</v>
      </c>
      <c r="G1448" s="70">
        <v>1</v>
      </c>
      <c r="H1448" s="166"/>
      <c r="I1448" s="70" t="s">
        <v>7167</v>
      </c>
      <c r="J1448" s="70"/>
      <c r="K1448" s="52" t="s">
        <v>5365</v>
      </c>
      <c r="L1448" s="69"/>
    </row>
    <row r="1449" spans="1:12" s="62" customFormat="1" ht="11.25" customHeight="1" x14ac:dyDescent="0.35">
      <c r="A1449" s="52" t="s">
        <v>4832</v>
      </c>
      <c r="B1449" s="111" t="s">
        <v>5904</v>
      </c>
      <c r="C1449" s="281" t="s">
        <v>2043</v>
      </c>
      <c r="D1449" s="71" t="s">
        <v>2044</v>
      </c>
      <c r="E1449" s="70">
        <v>2</v>
      </c>
      <c r="F1449" s="72">
        <v>45306</v>
      </c>
      <c r="G1449" s="70" t="s">
        <v>7150</v>
      </c>
      <c r="H1449" s="166" t="s">
        <v>7168</v>
      </c>
      <c r="I1449" s="70" t="s">
        <v>7169</v>
      </c>
      <c r="J1449" s="70"/>
      <c r="K1449" s="52" t="s">
        <v>5365</v>
      </c>
      <c r="L1449" s="61"/>
    </row>
    <row r="1450" spans="1:12" s="62" customFormat="1" ht="11.25" customHeight="1" x14ac:dyDescent="0.35">
      <c r="A1450" s="52" t="s">
        <v>4832</v>
      </c>
      <c r="B1450" s="111" t="s">
        <v>5904</v>
      </c>
      <c r="C1450" s="281" t="s">
        <v>7170</v>
      </c>
      <c r="D1450" s="71" t="s">
        <v>3512</v>
      </c>
      <c r="E1450" s="70">
        <v>2</v>
      </c>
      <c r="F1450" s="72">
        <v>45306</v>
      </c>
      <c r="G1450" s="70" t="s">
        <v>7150</v>
      </c>
      <c r="H1450" s="166" t="s">
        <v>7171</v>
      </c>
      <c r="I1450" s="70" t="s">
        <v>7172</v>
      </c>
      <c r="J1450" s="70"/>
      <c r="K1450" s="52" t="s">
        <v>5365</v>
      </c>
      <c r="L1450" s="69"/>
    </row>
    <row r="1451" spans="1:12" s="62" customFormat="1" ht="11.25" customHeight="1" x14ac:dyDescent="0.35">
      <c r="A1451" s="52" t="s">
        <v>4832</v>
      </c>
      <c r="B1451" s="111" t="s">
        <v>5904</v>
      </c>
      <c r="C1451" s="281" t="s">
        <v>1371</v>
      </c>
      <c r="D1451" s="71" t="s">
        <v>7173</v>
      </c>
      <c r="E1451" s="70">
        <v>5</v>
      </c>
      <c r="F1451" s="72">
        <v>45306</v>
      </c>
      <c r="G1451" s="70">
        <v>5</v>
      </c>
      <c r="H1451" s="166">
        <v>45306</v>
      </c>
      <c r="I1451" s="70" t="s">
        <v>5842</v>
      </c>
      <c r="J1451" s="70"/>
      <c r="K1451" s="52" t="s">
        <v>5365</v>
      </c>
    </row>
    <row r="1452" spans="1:12" s="87" customFormat="1" ht="11.25" customHeight="1" x14ac:dyDescent="0.35">
      <c r="A1452" s="52" t="s">
        <v>4832</v>
      </c>
      <c r="B1452" s="111" t="s">
        <v>5904</v>
      </c>
      <c r="C1452" s="281" t="s">
        <v>7174</v>
      </c>
      <c r="D1452" s="71" t="s">
        <v>1974</v>
      </c>
      <c r="E1452" s="70">
        <v>1</v>
      </c>
      <c r="F1452" s="72">
        <v>45306</v>
      </c>
      <c r="G1452" s="70">
        <v>1</v>
      </c>
      <c r="H1452" s="166"/>
      <c r="I1452" s="70" t="s">
        <v>5433</v>
      </c>
      <c r="J1452" s="70"/>
      <c r="K1452" s="52" t="s">
        <v>5365</v>
      </c>
      <c r="L1452" s="69"/>
    </row>
    <row r="1453" spans="1:12" s="62" customFormat="1" ht="11.25" customHeight="1" x14ac:dyDescent="0.35">
      <c r="A1453" s="52" t="s">
        <v>4832</v>
      </c>
      <c r="B1453" s="111" t="s">
        <v>5904</v>
      </c>
      <c r="C1453" s="281" t="s">
        <v>1365</v>
      </c>
      <c r="D1453" s="71" t="s">
        <v>7175</v>
      </c>
      <c r="E1453" s="70">
        <v>5</v>
      </c>
      <c r="F1453" s="72">
        <v>45306</v>
      </c>
      <c r="G1453" s="70">
        <v>5</v>
      </c>
      <c r="H1453" s="166">
        <v>45315</v>
      </c>
      <c r="I1453" s="70" t="s">
        <v>5842</v>
      </c>
      <c r="J1453" s="70"/>
      <c r="K1453" s="52" t="s">
        <v>5365</v>
      </c>
    </row>
    <row r="1454" spans="1:12" s="87" customFormat="1" ht="11.25" customHeight="1" x14ac:dyDescent="0.35">
      <c r="A1454" s="52" t="s">
        <v>4832</v>
      </c>
      <c r="B1454" s="111" t="s">
        <v>5904</v>
      </c>
      <c r="C1454" s="281" t="s">
        <v>7176</v>
      </c>
      <c r="D1454" s="71" t="s">
        <v>1977</v>
      </c>
      <c r="E1454" s="70">
        <v>1</v>
      </c>
      <c r="F1454" s="72">
        <v>45306</v>
      </c>
      <c r="G1454" s="70" t="s">
        <v>7177</v>
      </c>
      <c r="H1454" s="166"/>
      <c r="I1454" s="70" t="s">
        <v>7178</v>
      </c>
      <c r="J1454" s="70"/>
      <c r="K1454" s="52" t="s">
        <v>5511</v>
      </c>
      <c r="L1454" s="69"/>
    </row>
    <row r="1455" spans="1:12" s="87" customFormat="1" ht="11.25" customHeight="1" x14ac:dyDescent="0.35">
      <c r="A1455" s="52" t="s">
        <v>4832</v>
      </c>
      <c r="B1455" s="111" t="s">
        <v>5904</v>
      </c>
      <c r="C1455" s="281" t="s">
        <v>1980</v>
      </c>
      <c r="D1455" s="71" t="s">
        <v>7179</v>
      </c>
      <c r="E1455" s="70">
        <v>1</v>
      </c>
      <c r="F1455" s="72">
        <v>45306</v>
      </c>
      <c r="G1455" s="70"/>
      <c r="H1455" s="166"/>
      <c r="I1455" s="70" t="s">
        <v>7180</v>
      </c>
      <c r="J1455" s="70"/>
      <c r="K1455" s="52" t="s">
        <v>5365</v>
      </c>
      <c r="L1455" s="69"/>
    </row>
    <row r="1456" spans="1:12" s="87" customFormat="1" ht="11.25" customHeight="1" x14ac:dyDescent="0.35">
      <c r="A1456" s="52" t="s">
        <v>4832</v>
      </c>
      <c r="B1456" s="111" t="s">
        <v>5904</v>
      </c>
      <c r="C1456" s="281" t="s">
        <v>1983</v>
      </c>
      <c r="D1456" s="71" t="s">
        <v>7181</v>
      </c>
      <c r="E1456" s="70">
        <v>1</v>
      </c>
      <c r="F1456" s="72">
        <v>45306</v>
      </c>
      <c r="G1456" s="70">
        <v>1</v>
      </c>
      <c r="H1456" s="166">
        <v>45405</v>
      </c>
      <c r="I1456" s="70" t="s">
        <v>7182</v>
      </c>
      <c r="J1456" s="70"/>
      <c r="K1456" s="52" t="s">
        <v>5365</v>
      </c>
      <c r="L1456" s="69"/>
    </row>
    <row r="1457" spans="1:22" s="62" customFormat="1" ht="11.25" customHeight="1" x14ac:dyDescent="0.35">
      <c r="A1457" s="52" t="s">
        <v>4832</v>
      </c>
      <c r="B1457" s="111" t="s">
        <v>5904</v>
      </c>
      <c r="C1457" s="281" t="s">
        <v>1987</v>
      </c>
      <c r="D1457" s="71" t="s">
        <v>7183</v>
      </c>
      <c r="E1457" s="70">
        <v>1</v>
      </c>
      <c r="F1457" s="72">
        <v>45306</v>
      </c>
      <c r="G1457" s="70">
        <v>1</v>
      </c>
      <c r="H1457" s="166">
        <v>45349</v>
      </c>
      <c r="I1457" s="70" t="s">
        <v>7184</v>
      </c>
      <c r="J1457" s="70"/>
      <c r="K1457" s="52" t="s">
        <v>5365</v>
      </c>
      <c r="L1457" s="69"/>
    </row>
    <row r="1458" spans="1:22" s="62" customFormat="1" ht="11.25" customHeight="1" x14ac:dyDescent="0.35">
      <c r="A1458" s="52" t="s">
        <v>4832</v>
      </c>
      <c r="B1458" s="111" t="s">
        <v>5904</v>
      </c>
      <c r="C1458" s="281" t="s">
        <v>2049</v>
      </c>
      <c r="D1458" s="71" t="s">
        <v>2050</v>
      </c>
      <c r="E1458" s="70">
        <v>1</v>
      </c>
      <c r="F1458" s="72">
        <v>45306</v>
      </c>
      <c r="G1458" s="70">
        <v>1</v>
      </c>
      <c r="H1458" s="166">
        <v>45349</v>
      </c>
      <c r="I1458" s="70" t="s">
        <v>7155</v>
      </c>
      <c r="J1458" s="70"/>
      <c r="K1458" s="52" t="s">
        <v>5365</v>
      </c>
      <c r="L1458" s="69"/>
    </row>
    <row r="1459" spans="1:22" s="62" customFormat="1" ht="11.25" customHeight="1" x14ac:dyDescent="0.35">
      <c r="A1459" s="52" t="s">
        <v>4832</v>
      </c>
      <c r="B1459" s="111" t="s">
        <v>5904</v>
      </c>
      <c r="C1459" s="281" t="s">
        <v>329</v>
      </c>
      <c r="D1459" s="71" t="s">
        <v>2052</v>
      </c>
      <c r="E1459" s="70">
        <v>5</v>
      </c>
      <c r="F1459" s="72">
        <v>45306</v>
      </c>
      <c r="G1459" s="70">
        <v>5</v>
      </c>
      <c r="H1459" s="166">
        <v>45315</v>
      </c>
      <c r="I1459" s="70" t="s">
        <v>5842</v>
      </c>
      <c r="J1459" s="70"/>
      <c r="K1459" s="52" t="s">
        <v>5365</v>
      </c>
    </row>
    <row r="1460" spans="1:22" s="62" customFormat="1" ht="11.25" customHeight="1" x14ac:dyDescent="0.35">
      <c r="A1460" s="52" t="s">
        <v>4832</v>
      </c>
      <c r="B1460" s="111" t="s">
        <v>5904</v>
      </c>
      <c r="C1460" s="281" t="s">
        <v>2054</v>
      </c>
      <c r="D1460" s="71" t="s">
        <v>2055</v>
      </c>
      <c r="E1460" s="70">
        <v>3</v>
      </c>
      <c r="F1460" s="72">
        <v>45306</v>
      </c>
      <c r="G1460" s="70">
        <v>3</v>
      </c>
      <c r="H1460" s="166">
        <v>45324</v>
      </c>
      <c r="I1460" s="70" t="s">
        <v>7165</v>
      </c>
      <c r="J1460" s="70"/>
      <c r="K1460" s="52" t="s">
        <v>5365</v>
      </c>
    </row>
    <row r="1461" spans="1:22" s="62" customFormat="1" ht="11.25" customHeight="1" x14ac:dyDescent="0.35">
      <c r="A1461" s="52" t="s">
        <v>4832</v>
      </c>
      <c r="B1461" s="111" t="s">
        <v>5904</v>
      </c>
      <c r="C1461" s="281" t="s">
        <v>7185</v>
      </c>
      <c r="D1461" s="71" t="s">
        <v>7186</v>
      </c>
      <c r="E1461" s="70">
        <v>1</v>
      </c>
      <c r="F1461" s="72">
        <v>45306</v>
      </c>
      <c r="G1461" s="70">
        <v>1</v>
      </c>
      <c r="H1461" s="166">
        <v>45344</v>
      </c>
      <c r="I1461" s="70" t="s">
        <v>5766</v>
      </c>
      <c r="J1461" s="70"/>
      <c r="K1461" s="52" t="s">
        <v>5365</v>
      </c>
      <c r="L1461" s="69"/>
    </row>
    <row r="1462" spans="1:22" s="62" customFormat="1" ht="11.25" customHeight="1" x14ac:dyDescent="0.35">
      <c r="A1462" s="52" t="s">
        <v>4832</v>
      </c>
      <c r="B1462" s="111" t="s">
        <v>5904</v>
      </c>
      <c r="C1462" s="281" t="s">
        <v>2062</v>
      </c>
      <c r="D1462" s="71" t="s">
        <v>2063</v>
      </c>
      <c r="E1462" s="70">
        <v>1</v>
      </c>
      <c r="F1462" s="72">
        <v>45306</v>
      </c>
      <c r="G1462" s="70">
        <v>1</v>
      </c>
      <c r="H1462" s="166">
        <v>45349</v>
      </c>
      <c r="I1462" s="70" t="s">
        <v>6044</v>
      </c>
      <c r="J1462" s="70"/>
      <c r="K1462" s="52" t="s">
        <v>5365</v>
      </c>
      <c r="L1462" s="69"/>
    </row>
    <row r="1463" spans="1:22" s="87" customFormat="1" ht="11.25" customHeight="1" x14ac:dyDescent="0.35">
      <c r="A1463" s="52" t="s">
        <v>4832</v>
      </c>
      <c r="B1463" s="111" t="s">
        <v>5904</v>
      </c>
      <c r="C1463" s="281" t="s">
        <v>7187</v>
      </c>
      <c r="D1463" s="71" t="s">
        <v>7188</v>
      </c>
      <c r="E1463" s="70">
        <v>1</v>
      </c>
      <c r="F1463" s="72">
        <v>45306</v>
      </c>
      <c r="G1463" s="70">
        <v>1</v>
      </c>
      <c r="H1463" s="166">
        <v>45435</v>
      </c>
      <c r="I1463" s="70" t="s">
        <v>7189</v>
      </c>
      <c r="J1463" s="70"/>
      <c r="K1463" s="52" t="s">
        <v>5365</v>
      </c>
      <c r="L1463" s="69"/>
    </row>
    <row r="1464" spans="1:22" s="62" customFormat="1" ht="11.25" customHeight="1" x14ac:dyDescent="0.35">
      <c r="A1464" s="52" t="s">
        <v>4832</v>
      </c>
      <c r="B1464" s="111" t="s">
        <v>5904</v>
      </c>
      <c r="C1464" s="281" t="s">
        <v>7190</v>
      </c>
      <c r="D1464" s="71" t="s">
        <v>1977</v>
      </c>
      <c r="E1464" s="70">
        <v>1</v>
      </c>
      <c r="F1464" s="72">
        <v>45306</v>
      </c>
      <c r="G1464" s="70">
        <v>1</v>
      </c>
      <c r="H1464" s="166">
        <v>45355</v>
      </c>
      <c r="I1464" s="70" t="s">
        <v>7178</v>
      </c>
      <c r="J1464" s="70"/>
      <c r="K1464" s="52" t="s">
        <v>5365</v>
      </c>
      <c r="L1464" s="69"/>
    </row>
    <row r="1465" spans="1:22" s="62" customFormat="1" ht="11.25" customHeight="1" x14ac:dyDescent="0.35">
      <c r="A1465" s="52" t="s">
        <v>4832</v>
      </c>
      <c r="B1465" s="111" t="s">
        <v>5904</v>
      </c>
      <c r="C1465" s="281" t="s">
        <v>2046</v>
      </c>
      <c r="D1465" s="71" t="s">
        <v>7191</v>
      </c>
      <c r="E1465" s="70">
        <v>2</v>
      </c>
      <c r="F1465" s="72">
        <v>45306</v>
      </c>
      <c r="G1465" s="70">
        <v>2</v>
      </c>
      <c r="H1465" s="166">
        <v>45316</v>
      </c>
      <c r="I1465" s="70" t="s">
        <v>6067</v>
      </c>
      <c r="J1465" s="70"/>
      <c r="K1465" s="52" t="s">
        <v>5365</v>
      </c>
    </row>
    <row r="1466" spans="1:22" s="39" customFormat="1" ht="11.25" customHeight="1" x14ac:dyDescent="0.35">
      <c r="A1466" s="52" t="s">
        <v>7192</v>
      </c>
      <c r="B1466" s="80">
        <v>9016</v>
      </c>
      <c r="C1466" s="282" t="s">
        <v>89</v>
      </c>
      <c r="D1466" s="63" t="s">
        <v>90</v>
      </c>
      <c r="E1466" s="52">
        <v>16</v>
      </c>
      <c r="F1466" s="13">
        <v>45308</v>
      </c>
      <c r="G1466" s="52">
        <v>16</v>
      </c>
      <c r="H1466" s="167">
        <v>45323</v>
      </c>
      <c r="I1466" s="52"/>
      <c r="J1466" s="52"/>
      <c r="K1466" s="52" t="s">
        <v>5365</v>
      </c>
    </row>
    <row r="1467" spans="1:22" s="39" customFormat="1" ht="11.25" customHeight="1" x14ac:dyDescent="0.35">
      <c r="A1467" s="52" t="s">
        <v>7192</v>
      </c>
      <c r="B1467" s="80">
        <v>9016</v>
      </c>
      <c r="C1467" s="282" t="s">
        <v>511</v>
      </c>
      <c r="D1467" s="63" t="s">
        <v>7193</v>
      </c>
      <c r="E1467" s="52">
        <v>16</v>
      </c>
      <c r="F1467" s="13">
        <v>45308</v>
      </c>
      <c r="G1467" s="52">
        <v>16</v>
      </c>
      <c r="H1467" s="167">
        <v>45323</v>
      </c>
      <c r="I1467" s="52"/>
      <c r="J1467" s="52"/>
      <c r="K1467" s="52" t="s">
        <v>5365</v>
      </c>
    </row>
    <row r="1468" spans="1:22" s="39" customFormat="1" ht="11.25" customHeight="1" x14ac:dyDescent="0.35">
      <c r="A1468" s="52" t="s">
        <v>7192</v>
      </c>
      <c r="B1468" s="80">
        <v>9016</v>
      </c>
      <c r="C1468" s="282" t="s">
        <v>514</v>
      </c>
      <c r="D1468" s="63" t="s">
        <v>7194</v>
      </c>
      <c r="E1468" s="52">
        <v>1</v>
      </c>
      <c r="F1468" s="13">
        <v>45308</v>
      </c>
      <c r="G1468" s="52">
        <v>1</v>
      </c>
      <c r="H1468" s="167">
        <v>45323</v>
      </c>
      <c r="I1468" s="52"/>
      <c r="J1468" s="52"/>
      <c r="K1468" s="52" t="s">
        <v>5365</v>
      </c>
    </row>
    <row r="1469" spans="1:22" s="35" customFormat="1" ht="11.25" customHeight="1" x14ac:dyDescent="0.35">
      <c r="A1469" s="52" t="s">
        <v>4917</v>
      </c>
      <c r="B1469" s="80" t="s">
        <v>6752</v>
      </c>
      <c r="C1469" s="282">
        <v>3642400010</v>
      </c>
      <c r="D1469" s="63" t="s">
        <v>7195</v>
      </c>
      <c r="E1469" s="52">
        <v>1</v>
      </c>
      <c r="F1469" s="13">
        <v>45252</v>
      </c>
      <c r="G1469" s="52">
        <v>1</v>
      </c>
      <c r="H1469" s="167">
        <v>45254</v>
      </c>
      <c r="I1469" s="52" t="s">
        <v>5842</v>
      </c>
      <c r="J1469" s="52"/>
      <c r="K1469" s="52" t="s">
        <v>5365</v>
      </c>
      <c r="L1469" s="39"/>
      <c r="M1469" s="39"/>
      <c r="N1469" s="39"/>
      <c r="O1469" s="39"/>
      <c r="P1469" s="39"/>
      <c r="Q1469" s="39"/>
      <c r="R1469" s="39"/>
      <c r="S1469" s="39"/>
      <c r="T1469" s="39"/>
      <c r="U1469" s="39"/>
      <c r="V1469" s="39"/>
    </row>
    <row r="1470" spans="1:22" s="35" customFormat="1" ht="11.25" customHeight="1" x14ac:dyDescent="0.35">
      <c r="A1470" s="52" t="s">
        <v>7192</v>
      </c>
      <c r="B1470" s="80" t="s">
        <v>575</v>
      </c>
      <c r="C1470" s="282" t="s">
        <v>580</v>
      </c>
      <c r="D1470" s="63" t="s">
        <v>7196</v>
      </c>
      <c r="E1470" s="52">
        <v>1</v>
      </c>
      <c r="F1470" s="13">
        <v>45308</v>
      </c>
      <c r="G1470" s="52">
        <v>1</v>
      </c>
      <c r="H1470" s="167">
        <v>45488</v>
      </c>
      <c r="I1470" s="52" t="s">
        <v>5433</v>
      </c>
      <c r="J1470" s="52"/>
      <c r="K1470" s="52" t="s">
        <v>5365</v>
      </c>
      <c r="L1470" s="34"/>
      <c r="M1470" s="34"/>
      <c r="N1470" s="34"/>
      <c r="O1470" s="34"/>
      <c r="P1470" s="34"/>
      <c r="Q1470" s="34"/>
      <c r="R1470" s="34"/>
      <c r="S1470" s="34"/>
      <c r="T1470" s="34"/>
      <c r="U1470" s="34"/>
      <c r="V1470" s="34"/>
    </row>
    <row r="1471" spans="1:22" s="35" customFormat="1" ht="11.25" customHeight="1" x14ac:dyDescent="0.35">
      <c r="A1471" s="51" t="s">
        <v>7192</v>
      </c>
      <c r="B1471" s="646" t="s">
        <v>575</v>
      </c>
      <c r="C1471" s="290" t="s">
        <v>589</v>
      </c>
      <c r="D1471" s="66" t="s">
        <v>590</v>
      </c>
      <c r="E1471" s="51">
        <v>10</v>
      </c>
      <c r="F1471" s="20">
        <v>45308</v>
      </c>
      <c r="G1471" s="51"/>
      <c r="H1471" s="174"/>
      <c r="I1471" s="51"/>
      <c r="J1471" s="51"/>
      <c r="K1471" s="51" t="s">
        <v>5338</v>
      </c>
      <c r="L1471" s="34"/>
      <c r="M1471" s="34"/>
      <c r="N1471" s="34"/>
      <c r="O1471" s="34"/>
      <c r="P1471" s="34"/>
      <c r="Q1471" s="34"/>
      <c r="R1471" s="34"/>
      <c r="S1471" s="34"/>
      <c r="T1471" s="34"/>
      <c r="U1471" s="34"/>
      <c r="V1471" s="34"/>
    </row>
    <row r="1472" spans="1:22" s="62" customFormat="1" ht="11.25" customHeight="1" x14ac:dyDescent="0.35">
      <c r="A1472" s="52" t="s">
        <v>7192</v>
      </c>
      <c r="B1472" s="80" t="s">
        <v>575</v>
      </c>
      <c r="C1472" s="282" t="s">
        <v>595</v>
      </c>
      <c r="D1472" s="63" t="s">
        <v>596</v>
      </c>
      <c r="E1472" s="52">
        <v>1</v>
      </c>
      <c r="F1472" s="13">
        <v>45308</v>
      </c>
      <c r="G1472" s="52">
        <v>1</v>
      </c>
      <c r="H1472" s="167">
        <v>45355</v>
      </c>
      <c r="I1472" s="52" t="s">
        <v>6182</v>
      </c>
      <c r="J1472" s="52"/>
      <c r="K1472" s="52" t="s">
        <v>5365</v>
      </c>
      <c r="L1472" s="39"/>
      <c r="M1472" s="39"/>
      <c r="N1472" s="39"/>
      <c r="O1472" s="39"/>
      <c r="P1472" s="39"/>
      <c r="Q1472" s="39"/>
      <c r="R1472" s="39"/>
      <c r="S1472" s="39"/>
      <c r="T1472" s="39"/>
      <c r="U1472" s="39"/>
      <c r="V1472" s="39"/>
    </row>
    <row r="1473" spans="1:22" s="45" customFormat="1" ht="11.25" customHeight="1" x14ac:dyDescent="0.35">
      <c r="A1473" s="70" t="s">
        <v>7192</v>
      </c>
      <c r="B1473" s="111" t="s">
        <v>598</v>
      </c>
      <c r="C1473" s="281" t="s">
        <v>7197</v>
      </c>
      <c r="D1473" s="71" t="s">
        <v>7198</v>
      </c>
      <c r="E1473" s="70">
        <v>2</v>
      </c>
      <c r="F1473" s="72">
        <v>45308</v>
      </c>
      <c r="G1473" s="70">
        <v>2</v>
      </c>
      <c r="H1473" s="166">
        <v>45315</v>
      </c>
      <c r="I1473" s="70" t="s">
        <v>6669</v>
      </c>
      <c r="J1473" s="70"/>
      <c r="K1473" s="70" t="s">
        <v>5365</v>
      </c>
      <c r="L1473" s="62"/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</row>
    <row r="1474" spans="1:22" s="45" customFormat="1" ht="11.25" customHeight="1" x14ac:dyDescent="0.35">
      <c r="A1474" s="11" t="s">
        <v>7192</v>
      </c>
      <c r="B1474" s="647" t="s">
        <v>598</v>
      </c>
      <c r="C1474" s="292" t="s">
        <v>764</v>
      </c>
      <c r="D1474" s="67" t="s">
        <v>7199</v>
      </c>
      <c r="E1474" s="11">
        <v>12</v>
      </c>
      <c r="F1474" s="68">
        <v>45308</v>
      </c>
      <c r="G1474" s="11"/>
      <c r="H1474" s="176"/>
      <c r="I1474" s="11"/>
      <c r="J1474" s="11"/>
      <c r="K1474" s="11" t="s">
        <v>5338</v>
      </c>
      <c r="L1474" s="69"/>
      <c r="M1474" s="69"/>
      <c r="N1474" s="69"/>
      <c r="O1474" s="69"/>
      <c r="P1474" s="69"/>
      <c r="Q1474" s="69"/>
      <c r="R1474" s="69"/>
      <c r="S1474" s="69"/>
      <c r="T1474" s="69"/>
      <c r="U1474" s="69"/>
      <c r="V1474" s="69"/>
    </row>
    <row r="1475" spans="1:22" s="73" customFormat="1" ht="11.25" customHeight="1" x14ac:dyDescent="0.35">
      <c r="A1475" s="11" t="s">
        <v>7192</v>
      </c>
      <c r="B1475" s="647" t="s">
        <v>598</v>
      </c>
      <c r="C1475" s="292" t="s">
        <v>767</v>
      </c>
      <c r="D1475" s="67" t="s">
        <v>7199</v>
      </c>
      <c r="E1475" s="11">
        <v>12</v>
      </c>
      <c r="F1475" s="68">
        <v>45308</v>
      </c>
      <c r="G1475" s="11"/>
      <c r="H1475" s="176"/>
      <c r="I1475" s="11"/>
      <c r="J1475" s="11"/>
      <c r="K1475" s="11" t="s">
        <v>5338</v>
      </c>
      <c r="L1475" s="69"/>
      <c r="M1475" s="69"/>
      <c r="N1475" s="69"/>
      <c r="O1475" s="69"/>
      <c r="P1475" s="69"/>
      <c r="Q1475" s="69"/>
      <c r="R1475" s="69"/>
      <c r="S1475" s="69"/>
      <c r="T1475" s="69"/>
      <c r="U1475" s="69"/>
      <c r="V1475" s="69"/>
    </row>
    <row r="1476" spans="1:22" s="73" customFormat="1" ht="11.25" customHeight="1" x14ac:dyDescent="0.35">
      <c r="A1476" s="75" t="s">
        <v>7192</v>
      </c>
      <c r="B1476" s="648" t="s">
        <v>598</v>
      </c>
      <c r="C1476" s="293" t="s">
        <v>7200</v>
      </c>
      <c r="D1476" s="76" t="s">
        <v>7201</v>
      </c>
      <c r="E1476" s="75">
        <v>12</v>
      </c>
      <c r="F1476" s="77">
        <v>45308</v>
      </c>
      <c r="G1476" s="75">
        <v>7</v>
      </c>
      <c r="H1476" s="177">
        <v>45315</v>
      </c>
      <c r="I1476" s="75" t="s">
        <v>6669</v>
      </c>
      <c r="J1476" s="75"/>
      <c r="K1476" s="75" t="s">
        <v>5511</v>
      </c>
    </row>
    <row r="1477" spans="1:22" s="39" customFormat="1" ht="11.25" customHeight="1" x14ac:dyDescent="0.35">
      <c r="A1477" s="75" t="s">
        <v>7192</v>
      </c>
      <c r="B1477" s="648" t="s">
        <v>598</v>
      </c>
      <c r="C1477" s="293" t="s">
        <v>7202</v>
      </c>
      <c r="D1477" s="76" t="s">
        <v>7203</v>
      </c>
      <c r="E1477" s="75">
        <v>12</v>
      </c>
      <c r="F1477" s="77">
        <v>45308</v>
      </c>
      <c r="G1477" s="75">
        <v>7</v>
      </c>
      <c r="H1477" s="177">
        <v>45315</v>
      </c>
      <c r="I1477" s="75" t="s">
        <v>6669</v>
      </c>
      <c r="J1477" s="75"/>
      <c r="K1477" s="75" t="s">
        <v>5511</v>
      </c>
      <c r="L1477" s="73"/>
      <c r="M1477" s="73"/>
      <c r="N1477" s="73" t="s">
        <v>7204</v>
      </c>
      <c r="O1477" s="73"/>
      <c r="P1477" s="73"/>
      <c r="Q1477" s="73"/>
      <c r="R1477" s="73"/>
      <c r="S1477" s="73"/>
      <c r="T1477" s="73"/>
      <c r="U1477" s="73"/>
      <c r="V1477" s="73"/>
    </row>
    <row r="1478" spans="1:22" s="62" customFormat="1" ht="11.25" customHeight="1" x14ac:dyDescent="0.35">
      <c r="A1478" s="70" t="s">
        <v>7192</v>
      </c>
      <c r="B1478" s="111" t="s">
        <v>7205</v>
      </c>
      <c r="C1478" s="281" t="s">
        <v>62</v>
      </c>
      <c r="D1478" s="71" t="s">
        <v>63</v>
      </c>
      <c r="E1478" s="70">
        <v>16</v>
      </c>
      <c r="F1478" s="72">
        <v>45308</v>
      </c>
      <c r="G1478" s="70">
        <v>16</v>
      </c>
      <c r="H1478" s="166">
        <v>45317</v>
      </c>
      <c r="I1478" s="70" t="s">
        <v>6390</v>
      </c>
      <c r="J1478" s="70"/>
      <c r="K1478" s="70" t="s">
        <v>5365</v>
      </c>
      <c r="L1478" s="39"/>
    </row>
    <row r="1479" spans="1:22" s="62" customFormat="1" ht="11.25" customHeight="1" x14ac:dyDescent="0.35">
      <c r="A1479" s="70" t="s">
        <v>7192</v>
      </c>
      <c r="B1479" s="111" t="s">
        <v>7205</v>
      </c>
      <c r="C1479" s="281" t="s">
        <v>86</v>
      </c>
      <c r="D1479" s="71" t="s">
        <v>87</v>
      </c>
      <c r="E1479" s="70">
        <v>16</v>
      </c>
      <c r="F1479" s="72">
        <v>45308</v>
      </c>
      <c r="G1479" s="70">
        <v>16</v>
      </c>
      <c r="H1479" s="166">
        <v>45317</v>
      </c>
      <c r="I1479" s="70" t="s">
        <v>6390</v>
      </c>
      <c r="J1479" s="70"/>
      <c r="K1479" s="70" t="s">
        <v>5365</v>
      </c>
      <c r="L1479" s="39"/>
    </row>
    <row r="1480" spans="1:22" s="62" customFormat="1" ht="11.25" customHeight="1" x14ac:dyDescent="0.35">
      <c r="A1480" s="70" t="s">
        <v>7192</v>
      </c>
      <c r="B1480" s="111" t="s">
        <v>7205</v>
      </c>
      <c r="C1480" s="281" t="s">
        <v>744</v>
      </c>
      <c r="D1480" s="71" t="s">
        <v>745</v>
      </c>
      <c r="E1480" s="70">
        <v>8</v>
      </c>
      <c r="F1480" s="72">
        <v>45308</v>
      </c>
      <c r="G1480" s="70">
        <v>8</v>
      </c>
      <c r="H1480" s="166">
        <v>45317</v>
      </c>
      <c r="I1480" s="70" t="s">
        <v>6390</v>
      </c>
      <c r="J1480" s="70"/>
      <c r="K1480" s="70" t="s">
        <v>5365</v>
      </c>
      <c r="L1480" s="39"/>
    </row>
    <row r="1481" spans="1:22" s="62" customFormat="1" ht="11.25" customHeight="1" x14ac:dyDescent="0.35">
      <c r="A1481" s="70" t="s">
        <v>7192</v>
      </c>
      <c r="B1481" s="111" t="s">
        <v>7205</v>
      </c>
      <c r="C1481" s="281" t="s">
        <v>770</v>
      </c>
      <c r="D1481" s="71" t="s">
        <v>771</v>
      </c>
      <c r="E1481" s="70">
        <v>120</v>
      </c>
      <c r="F1481" s="72">
        <v>45308</v>
      </c>
      <c r="G1481" s="70">
        <v>120</v>
      </c>
      <c r="H1481" s="166">
        <v>45317</v>
      </c>
      <c r="I1481" s="70" t="s">
        <v>6390</v>
      </c>
      <c r="J1481" s="70"/>
      <c r="K1481" s="70" t="s">
        <v>5365</v>
      </c>
      <c r="L1481" s="39"/>
    </row>
    <row r="1482" spans="1:22" s="39" customFormat="1" ht="11.25" customHeight="1" x14ac:dyDescent="0.35">
      <c r="A1482" s="52" t="s">
        <v>7192</v>
      </c>
      <c r="B1482" s="111" t="s">
        <v>7205</v>
      </c>
      <c r="C1482" s="281" t="s">
        <v>773</v>
      </c>
      <c r="D1482" s="71" t="s">
        <v>774</v>
      </c>
      <c r="E1482" s="70">
        <v>24</v>
      </c>
      <c r="F1482" s="72">
        <v>45308</v>
      </c>
      <c r="G1482" s="70">
        <v>24</v>
      </c>
      <c r="H1482" s="166">
        <v>45316</v>
      </c>
      <c r="I1482" s="52" t="s">
        <v>6669</v>
      </c>
      <c r="J1482" s="70"/>
      <c r="K1482" s="52" t="s">
        <v>5365</v>
      </c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</row>
    <row r="1483" spans="1:22" s="62" customFormat="1" ht="11.25" customHeight="1" x14ac:dyDescent="0.35">
      <c r="A1483" s="70" t="s">
        <v>7192</v>
      </c>
      <c r="B1483" s="111" t="s">
        <v>7205</v>
      </c>
      <c r="C1483" s="281" t="s">
        <v>777</v>
      </c>
      <c r="D1483" s="71" t="s">
        <v>778</v>
      </c>
      <c r="E1483" s="70">
        <v>48</v>
      </c>
      <c r="F1483" s="72">
        <v>45308</v>
      </c>
      <c r="G1483" s="70">
        <v>48</v>
      </c>
      <c r="H1483" s="166">
        <v>45317</v>
      </c>
      <c r="I1483" s="70" t="s">
        <v>6390</v>
      </c>
      <c r="J1483" s="70"/>
      <c r="K1483" s="70" t="s">
        <v>5365</v>
      </c>
      <c r="L1483" s="39"/>
    </row>
    <row r="1484" spans="1:22" s="62" customFormat="1" ht="11.25" customHeight="1" x14ac:dyDescent="0.35">
      <c r="A1484" s="70" t="s">
        <v>7192</v>
      </c>
      <c r="B1484" s="111" t="s">
        <v>7205</v>
      </c>
      <c r="C1484" s="281" t="s">
        <v>786</v>
      </c>
      <c r="D1484" s="71" t="s">
        <v>7206</v>
      </c>
      <c r="E1484" s="70">
        <v>2</v>
      </c>
      <c r="F1484" s="72">
        <v>45308</v>
      </c>
      <c r="G1484" s="70">
        <v>2</v>
      </c>
      <c r="H1484" s="166">
        <v>45317</v>
      </c>
      <c r="I1484" s="70" t="s">
        <v>6390</v>
      </c>
      <c r="J1484" s="70"/>
      <c r="K1484" s="70" t="s">
        <v>5365</v>
      </c>
      <c r="L1484" s="39"/>
    </row>
    <row r="1485" spans="1:22" s="62" customFormat="1" ht="11.25" customHeight="1" x14ac:dyDescent="0.35">
      <c r="A1485" s="70" t="s">
        <v>7192</v>
      </c>
      <c r="B1485" s="111" t="s">
        <v>7207</v>
      </c>
      <c r="C1485" s="281" t="s">
        <v>2502</v>
      </c>
      <c r="D1485" s="71" t="s">
        <v>2503</v>
      </c>
      <c r="E1485" s="70">
        <v>3</v>
      </c>
      <c r="F1485" s="72">
        <v>45308</v>
      </c>
      <c r="G1485" s="70">
        <v>3</v>
      </c>
      <c r="H1485" s="166">
        <v>45317</v>
      </c>
      <c r="I1485" s="70" t="s">
        <v>6390</v>
      </c>
      <c r="J1485" s="70"/>
      <c r="K1485" s="70" t="s">
        <v>5365</v>
      </c>
      <c r="L1485" s="39"/>
    </row>
    <row r="1486" spans="1:22" s="62" customFormat="1" ht="11.25" customHeight="1" x14ac:dyDescent="0.35">
      <c r="A1486" s="70" t="s">
        <v>7192</v>
      </c>
      <c r="B1486" s="111" t="s">
        <v>7207</v>
      </c>
      <c r="C1486" s="281" t="s">
        <v>2505</v>
      </c>
      <c r="D1486" s="71" t="s">
        <v>2506</v>
      </c>
      <c r="E1486" s="70">
        <v>36</v>
      </c>
      <c r="F1486" s="72">
        <v>45308</v>
      </c>
      <c r="G1486" s="70">
        <v>36</v>
      </c>
      <c r="H1486" s="166">
        <v>45317</v>
      </c>
      <c r="I1486" s="70" t="s">
        <v>6390</v>
      </c>
      <c r="J1486" s="70"/>
      <c r="K1486" s="70" t="s">
        <v>5365</v>
      </c>
      <c r="L1486" s="39"/>
    </row>
    <row r="1487" spans="1:22" s="62" customFormat="1" ht="11.25" customHeight="1" x14ac:dyDescent="0.35">
      <c r="A1487" s="70" t="s">
        <v>7192</v>
      </c>
      <c r="B1487" s="111" t="s">
        <v>7207</v>
      </c>
      <c r="C1487" s="281" t="s">
        <v>7208</v>
      </c>
      <c r="D1487" s="71" t="s">
        <v>2512</v>
      </c>
      <c r="E1487" s="70">
        <v>6</v>
      </c>
      <c r="F1487" s="72">
        <v>45308</v>
      </c>
      <c r="G1487" s="70">
        <v>6</v>
      </c>
      <c r="H1487" s="166">
        <v>45317</v>
      </c>
      <c r="I1487" s="70" t="s">
        <v>6390</v>
      </c>
      <c r="J1487" s="70"/>
      <c r="K1487" s="70" t="s">
        <v>5365</v>
      </c>
      <c r="L1487" s="39"/>
    </row>
    <row r="1488" spans="1:22" s="62" customFormat="1" ht="11.25" customHeight="1" x14ac:dyDescent="0.35">
      <c r="A1488" s="70" t="s">
        <v>7192</v>
      </c>
      <c r="B1488" s="111" t="s">
        <v>7207</v>
      </c>
      <c r="C1488" s="281" t="s">
        <v>2515</v>
      </c>
      <c r="D1488" s="71" t="s">
        <v>2512</v>
      </c>
      <c r="E1488" s="70">
        <v>12</v>
      </c>
      <c r="F1488" s="72">
        <v>45308</v>
      </c>
      <c r="G1488" s="70">
        <v>12</v>
      </c>
      <c r="H1488" s="166">
        <v>45317</v>
      </c>
      <c r="I1488" s="70" t="s">
        <v>6390</v>
      </c>
      <c r="J1488" s="70"/>
      <c r="K1488" s="70" t="s">
        <v>5365</v>
      </c>
      <c r="L1488" s="39"/>
    </row>
    <row r="1489" spans="1:22" s="62" customFormat="1" ht="11.25" customHeight="1" x14ac:dyDescent="0.35">
      <c r="A1489" s="70" t="s">
        <v>7192</v>
      </c>
      <c r="B1489" s="111" t="s">
        <v>7207</v>
      </c>
      <c r="C1489" s="281" t="s">
        <v>2523</v>
      </c>
      <c r="D1489" s="71" t="s">
        <v>2524</v>
      </c>
      <c r="E1489" s="70">
        <v>1</v>
      </c>
      <c r="F1489" s="72">
        <v>45308</v>
      </c>
      <c r="G1489" s="70">
        <v>1</v>
      </c>
      <c r="H1489" s="166">
        <v>45317</v>
      </c>
      <c r="I1489" s="70" t="s">
        <v>6390</v>
      </c>
      <c r="J1489" s="70"/>
      <c r="K1489" s="70" t="s">
        <v>5365</v>
      </c>
      <c r="L1489" s="39"/>
    </row>
    <row r="1490" spans="1:22" s="62" customFormat="1" ht="11.25" customHeight="1" x14ac:dyDescent="0.35">
      <c r="A1490" s="70" t="s">
        <v>7192</v>
      </c>
      <c r="B1490" s="111" t="s">
        <v>7207</v>
      </c>
      <c r="C1490" s="281" t="s">
        <v>7209</v>
      </c>
      <c r="D1490" s="71" t="s">
        <v>2527</v>
      </c>
      <c r="E1490" s="70">
        <v>1</v>
      </c>
      <c r="F1490" s="72">
        <v>45308</v>
      </c>
      <c r="G1490" s="70">
        <v>1</v>
      </c>
      <c r="H1490" s="166">
        <v>45317</v>
      </c>
      <c r="I1490" s="70" t="s">
        <v>6390</v>
      </c>
      <c r="J1490" s="70"/>
      <c r="K1490" s="70" t="s">
        <v>5365</v>
      </c>
      <c r="L1490" s="39"/>
    </row>
    <row r="1491" spans="1:22" s="62" customFormat="1" ht="11.25" customHeight="1" x14ac:dyDescent="0.35">
      <c r="A1491" s="70" t="s">
        <v>7192</v>
      </c>
      <c r="B1491" s="111" t="s">
        <v>7207</v>
      </c>
      <c r="C1491" s="281" t="s">
        <v>2529</v>
      </c>
      <c r="D1491" s="71" t="s">
        <v>7210</v>
      </c>
      <c r="E1491" s="70">
        <v>96</v>
      </c>
      <c r="F1491" s="72">
        <v>45308</v>
      </c>
      <c r="G1491" s="70">
        <v>96</v>
      </c>
      <c r="H1491" s="166">
        <v>45317</v>
      </c>
      <c r="I1491" s="70" t="s">
        <v>6390</v>
      </c>
      <c r="J1491" s="70"/>
      <c r="K1491" s="70" t="s">
        <v>5365</v>
      </c>
      <c r="L1491" s="39"/>
    </row>
    <row r="1492" spans="1:22" s="62" customFormat="1" ht="11.25" customHeight="1" x14ac:dyDescent="0.35">
      <c r="A1492" s="70" t="s">
        <v>7192</v>
      </c>
      <c r="B1492" s="111" t="s">
        <v>7207</v>
      </c>
      <c r="C1492" s="281" t="s">
        <v>2533</v>
      </c>
      <c r="D1492" s="71" t="s">
        <v>7210</v>
      </c>
      <c r="E1492" s="70">
        <v>96</v>
      </c>
      <c r="F1492" s="72">
        <v>45308</v>
      </c>
      <c r="G1492" s="70">
        <v>96</v>
      </c>
      <c r="H1492" s="166">
        <v>45317</v>
      </c>
      <c r="I1492" s="70" t="s">
        <v>6390</v>
      </c>
      <c r="J1492" s="70"/>
      <c r="K1492" s="70" t="s">
        <v>5365</v>
      </c>
      <c r="L1492" s="39"/>
    </row>
    <row r="1493" spans="1:22" s="62" customFormat="1" ht="11.25" customHeight="1" x14ac:dyDescent="0.35">
      <c r="A1493" s="70" t="s">
        <v>7192</v>
      </c>
      <c r="B1493" s="111" t="s">
        <v>7207</v>
      </c>
      <c r="C1493" s="281" t="s">
        <v>2535</v>
      </c>
      <c r="D1493" s="71" t="s">
        <v>7211</v>
      </c>
      <c r="E1493" s="70">
        <v>96</v>
      </c>
      <c r="F1493" s="72">
        <v>45308</v>
      </c>
      <c r="G1493" s="70">
        <v>96</v>
      </c>
      <c r="H1493" s="166">
        <v>45317</v>
      </c>
      <c r="I1493" s="70" t="s">
        <v>6390</v>
      </c>
      <c r="J1493" s="70"/>
      <c r="K1493" s="70" t="s">
        <v>5365</v>
      </c>
      <c r="L1493" s="39"/>
    </row>
    <row r="1494" spans="1:22" s="62" customFormat="1" ht="11.25" customHeight="1" x14ac:dyDescent="0.35">
      <c r="A1494" s="70" t="s">
        <v>7192</v>
      </c>
      <c r="B1494" s="111" t="s">
        <v>7207</v>
      </c>
      <c r="C1494" s="281" t="s">
        <v>2538</v>
      </c>
      <c r="D1494" s="71" t="s">
        <v>7212</v>
      </c>
      <c r="E1494" s="70">
        <v>12</v>
      </c>
      <c r="F1494" s="72">
        <v>45308</v>
      </c>
      <c r="G1494" s="70">
        <v>12</v>
      </c>
      <c r="H1494" s="166">
        <v>45317</v>
      </c>
      <c r="I1494" s="70" t="s">
        <v>6390</v>
      </c>
      <c r="J1494" s="70"/>
      <c r="K1494" s="70" t="s">
        <v>5365</v>
      </c>
      <c r="L1494" s="39"/>
    </row>
    <row r="1495" spans="1:22" s="62" customFormat="1" ht="11.25" customHeight="1" x14ac:dyDescent="0.35">
      <c r="A1495" s="70" t="s">
        <v>7192</v>
      </c>
      <c r="B1495" s="111" t="s">
        <v>7207</v>
      </c>
      <c r="C1495" s="281" t="s">
        <v>2562</v>
      </c>
      <c r="D1495" s="71" t="s">
        <v>6397</v>
      </c>
      <c r="E1495" s="70">
        <v>48</v>
      </c>
      <c r="F1495" s="72">
        <v>45308</v>
      </c>
      <c r="G1495" s="70">
        <v>48</v>
      </c>
      <c r="H1495" s="166">
        <v>45317</v>
      </c>
      <c r="I1495" s="70" t="s">
        <v>6390</v>
      </c>
      <c r="J1495" s="70"/>
      <c r="K1495" s="70" t="s">
        <v>5365</v>
      </c>
      <c r="L1495" s="39"/>
    </row>
    <row r="1496" spans="1:22" s="62" customFormat="1" ht="11.25" customHeight="1" x14ac:dyDescent="0.35">
      <c r="A1496" s="70" t="s">
        <v>7192</v>
      </c>
      <c r="B1496" s="111" t="s">
        <v>7207</v>
      </c>
      <c r="C1496" s="281" t="s">
        <v>2565</v>
      </c>
      <c r="D1496" s="71" t="s">
        <v>5859</v>
      </c>
      <c r="E1496" s="70">
        <v>72</v>
      </c>
      <c r="F1496" s="72">
        <v>45308</v>
      </c>
      <c r="G1496" s="70">
        <v>72</v>
      </c>
      <c r="H1496" s="166">
        <v>45317</v>
      </c>
      <c r="I1496" s="70" t="s">
        <v>6390</v>
      </c>
      <c r="J1496" s="70"/>
      <c r="K1496" s="70" t="s">
        <v>5365</v>
      </c>
      <c r="L1496" s="39"/>
    </row>
    <row r="1497" spans="1:22" s="62" customFormat="1" ht="11.25" customHeight="1" x14ac:dyDescent="0.35">
      <c r="A1497" s="70" t="s">
        <v>7192</v>
      </c>
      <c r="B1497" s="111" t="s">
        <v>7207</v>
      </c>
      <c r="C1497" s="281" t="s">
        <v>2568</v>
      </c>
      <c r="D1497" s="71" t="s">
        <v>7210</v>
      </c>
      <c r="E1497" s="70">
        <v>24</v>
      </c>
      <c r="F1497" s="72">
        <v>45308</v>
      </c>
      <c r="G1497" s="70">
        <v>24</v>
      </c>
      <c r="H1497" s="166">
        <v>45317</v>
      </c>
      <c r="I1497" s="70" t="s">
        <v>6390</v>
      </c>
      <c r="J1497" s="70"/>
      <c r="K1497" s="70" t="s">
        <v>5365</v>
      </c>
      <c r="L1497" s="39"/>
    </row>
    <row r="1498" spans="1:22" s="62" customFormat="1" ht="11.25" customHeight="1" x14ac:dyDescent="0.35">
      <c r="A1498" s="70" t="s">
        <v>7192</v>
      </c>
      <c r="B1498" s="111" t="s">
        <v>7207</v>
      </c>
      <c r="C1498" s="281" t="s">
        <v>2573</v>
      </c>
      <c r="D1498" s="71" t="s">
        <v>5346</v>
      </c>
      <c r="E1498" s="70">
        <v>48</v>
      </c>
      <c r="F1498" s="72">
        <v>45308</v>
      </c>
      <c r="G1498" s="70">
        <v>48</v>
      </c>
      <c r="H1498" s="166">
        <v>45317</v>
      </c>
      <c r="I1498" s="70" t="s">
        <v>6390</v>
      </c>
      <c r="J1498" s="70"/>
      <c r="K1498" s="70" t="s">
        <v>5365</v>
      </c>
      <c r="L1498" s="39"/>
    </row>
    <row r="1499" spans="1:22" s="62" customFormat="1" ht="11.25" customHeight="1" x14ac:dyDescent="0.35">
      <c r="A1499" s="70" t="s">
        <v>7192</v>
      </c>
      <c r="B1499" s="111" t="s">
        <v>7207</v>
      </c>
      <c r="C1499" s="281" t="s">
        <v>2581</v>
      </c>
      <c r="D1499" s="71" t="s">
        <v>631</v>
      </c>
      <c r="E1499" s="70">
        <v>12</v>
      </c>
      <c r="F1499" s="72">
        <v>45308</v>
      </c>
      <c r="G1499" s="70">
        <v>12</v>
      </c>
      <c r="H1499" s="166">
        <v>45317</v>
      </c>
      <c r="I1499" s="70" t="s">
        <v>6390</v>
      </c>
      <c r="J1499" s="70"/>
      <c r="K1499" s="70" t="s">
        <v>5365</v>
      </c>
      <c r="L1499" s="39"/>
    </row>
    <row r="1500" spans="1:22" s="62" customFormat="1" ht="11.25" customHeight="1" x14ac:dyDescent="0.35">
      <c r="A1500" s="70" t="s">
        <v>7192</v>
      </c>
      <c r="B1500" s="111" t="s">
        <v>7207</v>
      </c>
      <c r="C1500" s="281" t="s">
        <v>2653</v>
      </c>
      <c r="D1500" s="71" t="s">
        <v>7213</v>
      </c>
      <c r="E1500" s="70">
        <v>2</v>
      </c>
      <c r="F1500" s="72">
        <v>45308</v>
      </c>
      <c r="G1500" s="70">
        <v>2</v>
      </c>
      <c r="H1500" s="166">
        <v>45317</v>
      </c>
      <c r="I1500" s="70" t="s">
        <v>6390</v>
      </c>
      <c r="J1500" s="70"/>
      <c r="K1500" s="70" t="s">
        <v>5365</v>
      </c>
      <c r="L1500" s="39"/>
    </row>
    <row r="1501" spans="1:22" s="45" customFormat="1" ht="11.25" customHeight="1" x14ac:dyDescent="0.35">
      <c r="A1501" s="70" t="s">
        <v>7192</v>
      </c>
      <c r="B1501" s="111" t="s">
        <v>7207</v>
      </c>
      <c r="C1501" s="281" t="s">
        <v>2656</v>
      </c>
      <c r="D1501" s="71" t="s">
        <v>7214</v>
      </c>
      <c r="E1501" s="70">
        <v>1</v>
      </c>
      <c r="F1501" s="72">
        <v>45308</v>
      </c>
      <c r="G1501" s="70">
        <v>1</v>
      </c>
      <c r="H1501" s="166">
        <v>45317</v>
      </c>
      <c r="I1501" s="70" t="s">
        <v>6390</v>
      </c>
      <c r="J1501" s="70"/>
      <c r="K1501" s="70" t="s">
        <v>5365</v>
      </c>
      <c r="L1501" s="39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</row>
    <row r="1502" spans="1:22" s="62" customFormat="1" ht="11.25" customHeight="1" x14ac:dyDescent="0.35">
      <c r="A1502" s="70" t="s">
        <v>7192</v>
      </c>
      <c r="B1502" s="111" t="s">
        <v>2659</v>
      </c>
      <c r="C1502" s="281" t="s">
        <v>2666</v>
      </c>
      <c r="D1502" s="71" t="s">
        <v>2667</v>
      </c>
      <c r="E1502" s="70">
        <v>1</v>
      </c>
      <c r="F1502" s="72">
        <v>45308</v>
      </c>
      <c r="G1502" s="70">
        <v>1</v>
      </c>
      <c r="H1502" s="166">
        <v>45323</v>
      </c>
      <c r="I1502" s="70" t="s">
        <v>6390</v>
      </c>
      <c r="J1502" s="70"/>
      <c r="K1502" s="70" t="s">
        <v>5365</v>
      </c>
      <c r="L1502" s="39"/>
    </row>
    <row r="1503" spans="1:22" s="62" customFormat="1" ht="11.25" customHeight="1" x14ac:dyDescent="0.35">
      <c r="A1503" s="70" t="s">
        <v>7192</v>
      </c>
      <c r="B1503" s="111" t="s">
        <v>2659</v>
      </c>
      <c r="C1503" s="281" t="s">
        <v>2669</v>
      </c>
      <c r="D1503" s="71" t="s">
        <v>7215</v>
      </c>
      <c r="E1503" s="70">
        <v>32</v>
      </c>
      <c r="F1503" s="72">
        <v>45308</v>
      </c>
      <c r="G1503" s="70">
        <v>32</v>
      </c>
      <c r="H1503" s="166">
        <v>45323</v>
      </c>
      <c r="I1503" s="70" t="s">
        <v>6390</v>
      </c>
      <c r="J1503" s="70"/>
      <c r="K1503" s="70" t="s">
        <v>5365</v>
      </c>
      <c r="L1503" s="39"/>
    </row>
    <row r="1504" spans="1:22" s="62" customFormat="1" ht="11.25" customHeight="1" x14ac:dyDescent="0.35">
      <c r="A1504" s="70" t="s">
        <v>7192</v>
      </c>
      <c r="B1504" s="111" t="s">
        <v>2659</v>
      </c>
      <c r="C1504" s="281" t="s">
        <v>2675</v>
      </c>
      <c r="D1504" s="71" t="s">
        <v>2676</v>
      </c>
      <c r="E1504" s="70">
        <v>16</v>
      </c>
      <c r="F1504" s="72">
        <v>45308</v>
      </c>
      <c r="G1504" s="70">
        <v>16</v>
      </c>
      <c r="H1504" s="166">
        <v>45323</v>
      </c>
      <c r="I1504" s="70" t="s">
        <v>6390</v>
      </c>
      <c r="J1504" s="70"/>
      <c r="K1504" s="70" t="s">
        <v>5365</v>
      </c>
      <c r="L1504" s="39"/>
    </row>
    <row r="1505" spans="1:22" s="62" customFormat="1" ht="11.25" customHeight="1" x14ac:dyDescent="0.35">
      <c r="A1505" s="70" t="s">
        <v>7192</v>
      </c>
      <c r="B1505" s="111" t="s">
        <v>2659</v>
      </c>
      <c r="C1505" s="281" t="s">
        <v>2678</v>
      </c>
      <c r="D1505" s="71" t="s">
        <v>2679</v>
      </c>
      <c r="E1505" s="70">
        <v>80</v>
      </c>
      <c r="F1505" s="72">
        <v>45308</v>
      </c>
      <c r="G1505" s="70">
        <v>80</v>
      </c>
      <c r="H1505" s="166">
        <v>45323</v>
      </c>
      <c r="I1505" s="70" t="s">
        <v>6390</v>
      </c>
      <c r="J1505" s="70"/>
      <c r="K1505" s="70" t="s">
        <v>5365</v>
      </c>
      <c r="L1505" s="39"/>
    </row>
    <row r="1506" spans="1:22" s="62" customFormat="1" ht="11.25" customHeight="1" x14ac:dyDescent="0.35">
      <c r="A1506" s="70" t="s">
        <v>7192</v>
      </c>
      <c r="B1506" s="111" t="s">
        <v>2659</v>
      </c>
      <c r="C1506" s="281" t="s">
        <v>2681</v>
      </c>
      <c r="D1506" s="71" t="s">
        <v>2682</v>
      </c>
      <c r="E1506" s="70">
        <v>32</v>
      </c>
      <c r="F1506" s="72">
        <v>45308</v>
      </c>
      <c r="G1506" s="70">
        <v>32</v>
      </c>
      <c r="H1506" s="166">
        <v>45323</v>
      </c>
      <c r="I1506" s="70" t="s">
        <v>6390</v>
      </c>
      <c r="J1506" s="70"/>
      <c r="K1506" s="70" t="s">
        <v>5365</v>
      </c>
      <c r="L1506" s="39"/>
    </row>
    <row r="1507" spans="1:22" s="62" customFormat="1" ht="11.25" customHeight="1" x14ac:dyDescent="0.35">
      <c r="A1507" s="70" t="s">
        <v>7192</v>
      </c>
      <c r="B1507" s="111" t="s">
        <v>2659</v>
      </c>
      <c r="C1507" s="281" t="s">
        <v>2692</v>
      </c>
      <c r="D1507" s="71" t="s">
        <v>2693</v>
      </c>
      <c r="E1507" s="70">
        <v>16</v>
      </c>
      <c r="F1507" s="72">
        <v>45308</v>
      </c>
      <c r="G1507" s="70">
        <v>16</v>
      </c>
      <c r="H1507" s="166">
        <v>45323</v>
      </c>
      <c r="I1507" s="70" t="s">
        <v>6390</v>
      </c>
      <c r="J1507" s="70"/>
      <c r="K1507" s="70" t="s">
        <v>5365</v>
      </c>
      <c r="L1507" s="39"/>
    </row>
    <row r="1508" spans="1:22" s="62" customFormat="1" ht="11.25" customHeight="1" x14ac:dyDescent="0.35">
      <c r="A1508" s="70" t="s">
        <v>7192</v>
      </c>
      <c r="B1508" s="111" t="s">
        <v>2659</v>
      </c>
      <c r="C1508" s="281" t="s">
        <v>2727</v>
      </c>
      <c r="D1508" s="71" t="s">
        <v>2728</v>
      </c>
      <c r="E1508" s="70">
        <v>128</v>
      </c>
      <c r="F1508" s="72">
        <v>45308</v>
      </c>
      <c r="G1508" s="70">
        <v>128</v>
      </c>
      <c r="H1508" s="166">
        <v>45323</v>
      </c>
      <c r="I1508" s="70" t="s">
        <v>6390</v>
      </c>
      <c r="J1508" s="70"/>
      <c r="K1508" s="70" t="s">
        <v>5365</v>
      </c>
      <c r="L1508" s="39"/>
    </row>
    <row r="1509" spans="1:22" s="62" customFormat="1" ht="11.25" customHeight="1" x14ac:dyDescent="0.35">
      <c r="A1509" s="70" t="s">
        <v>7192</v>
      </c>
      <c r="B1509" s="111" t="s">
        <v>2659</v>
      </c>
      <c r="C1509" s="281" t="s">
        <v>2742</v>
      </c>
      <c r="D1509" s="71" t="s">
        <v>1181</v>
      </c>
      <c r="E1509" s="70">
        <v>96</v>
      </c>
      <c r="F1509" s="72">
        <v>45308</v>
      </c>
      <c r="G1509" s="70">
        <v>96</v>
      </c>
      <c r="H1509" s="166">
        <v>45323</v>
      </c>
      <c r="I1509" s="70" t="s">
        <v>6390</v>
      </c>
      <c r="J1509" s="70"/>
      <c r="K1509" s="70" t="s">
        <v>5365</v>
      </c>
      <c r="L1509" s="39"/>
    </row>
    <row r="1510" spans="1:22" s="62" customFormat="1" ht="11.25" customHeight="1" x14ac:dyDescent="0.35">
      <c r="A1510" s="70" t="s">
        <v>7192</v>
      </c>
      <c r="B1510" s="111" t="s">
        <v>2659</v>
      </c>
      <c r="C1510" s="281" t="s">
        <v>2744</v>
      </c>
      <c r="D1510" s="71" t="s">
        <v>2403</v>
      </c>
      <c r="E1510" s="70">
        <v>96</v>
      </c>
      <c r="F1510" s="72">
        <v>45308</v>
      </c>
      <c r="G1510" s="70">
        <v>96</v>
      </c>
      <c r="H1510" s="166">
        <v>45323</v>
      </c>
      <c r="I1510" s="70" t="s">
        <v>6390</v>
      </c>
      <c r="J1510" s="70"/>
      <c r="K1510" s="70" t="s">
        <v>5365</v>
      </c>
      <c r="L1510" s="39"/>
    </row>
    <row r="1511" spans="1:22" s="62" customFormat="1" ht="11.25" customHeight="1" x14ac:dyDescent="0.35">
      <c r="A1511" s="70" t="s">
        <v>7192</v>
      </c>
      <c r="B1511" s="111" t="s">
        <v>2659</v>
      </c>
      <c r="C1511" s="281" t="s">
        <v>2746</v>
      </c>
      <c r="D1511" s="71" t="s">
        <v>7216</v>
      </c>
      <c r="E1511" s="70">
        <v>128</v>
      </c>
      <c r="F1511" s="72">
        <v>45308</v>
      </c>
      <c r="G1511" s="70">
        <v>128</v>
      </c>
      <c r="H1511" s="166">
        <v>45323</v>
      </c>
      <c r="I1511" s="70" t="s">
        <v>6390</v>
      </c>
      <c r="J1511" s="70"/>
      <c r="K1511" s="70" t="s">
        <v>5365</v>
      </c>
      <c r="L1511" s="39"/>
    </row>
    <row r="1512" spans="1:22" s="35" customFormat="1" ht="11.25" customHeight="1" x14ac:dyDescent="0.35">
      <c r="A1512" s="51" t="s">
        <v>7192</v>
      </c>
      <c r="B1512" s="646"/>
      <c r="C1512" s="290" t="s">
        <v>7217</v>
      </c>
      <c r="D1512" s="66" t="s">
        <v>7218</v>
      </c>
      <c r="E1512" s="51">
        <v>1</v>
      </c>
      <c r="F1512" s="20">
        <v>45308</v>
      </c>
      <c r="G1512" s="51"/>
      <c r="H1512" s="174"/>
      <c r="I1512" s="51"/>
      <c r="J1512" s="51"/>
      <c r="K1512" s="51" t="s">
        <v>5338</v>
      </c>
      <c r="L1512" s="34"/>
      <c r="M1512" s="34"/>
      <c r="N1512" s="34"/>
      <c r="O1512" s="34"/>
      <c r="P1512" s="34"/>
      <c r="Q1512" s="34"/>
      <c r="R1512" s="34"/>
      <c r="S1512" s="34"/>
      <c r="T1512" s="34"/>
      <c r="U1512" s="34"/>
      <c r="V1512" s="34"/>
    </row>
    <row r="1513" spans="1:22" s="35" customFormat="1" ht="11.25" customHeight="1" x14ac:dyDescent="0.35">
      <c r="A1513" s="51" t="s">
        <v>7192</v>
      </c>
      <c r="B1513" s="646" t="s">
        <v>1675</v>
      </c>
      <c r="C1513" s="290" t="s">
        <v>7219</v>
      </c>
      <c r="D1513" s="66" t="s">
        <v>7220</v>
      </c>
      <c r="E1513" s="51">
        <v>12</v>
      </c>
      <c r="F1513" s="20">
        <v>45308</v>
      </c>
      <c r="G1513" s="51"/>
      <c r="H1513" s="174"/>
      <c r="I1513" s="51"/>
      <c r="J1513" s="51"/>
      <c r="K1513" s="51" t="s">
        <v>5338</v>
      </c>
      <c r="L1513" s="34"/>
      <c r="M1513" s="34"/>
      <c r="N1513" s="34"/>
      <c r="O1513" s="34"/>
      <c r="P1513" s="34"/>
      <c r="Q1513" s="34"/>
      <c r="R1513" s="34"/>
      <c r="S1513" s="34"/>
      <c r="T1513" s="34"/>
      <c r="U1513" s="34"/>
      <c r="V1513" s="34"/>
    </row>
    <row r="1514" spans="1:22" s="35" customFormat="1" ht="11.25" customHeight="1" x14ac:dyDescent="0.35">
      <c r="A1514" s="51" t="s">
        <v>7192</v>
      </c>
      <c r="B1514" s="646"/>
      <c r="C1514" s="290" t="s">
        <v>7221</v>
      </c>
      <c r="D1514" s="66" t="s">
        <v>7222</v>
      </c>
      <c r="E1514" s="51">
        <v>1</v>
      </c>
      <c r="F1514" s="20">
        <v>45308</v>
      </c>
      <c r="G1514" s="51"/>
      <c r="H1514" s="174"/>
      <c r="I1514" s="51"/>
      <c r="J1514" s="51"/>
      <c r="K1514" s="51" t="s">
        <v>5338</v>
      </c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  <c r="V1514" s="34"/>
    </row>
    <row r="1515" spans="1:22" s="35" customFormat="1" ht="11.25" customHeight="1" x14ac:dyDescent="0.35">
      <c r="A1515" s="51" t="s">
        <v>7192</v>
      </c>
      <c r="B1515" s="646"/>
      <c r="C1515" s="290" t="s">
        <v>7223</v>
      </c>
      <c r="D1515" s="66" t="s">
        <v>7224</v>
      </c>
      <c r="E1515" s="51">
        <v>1</v>
      </c>
      <c r="F1515" s="20">
        <v>45308</v>
      </c>
      <c r="G1515" s="51"/>
      <c r="H1515" s="174"/>
      <c r="I1515" s="51"/>
      <c r="J1515" s="51"/>
      <c r="K1515" s="51" t="s">
        <v>5338</v>
      </c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  <c r="V1515" s="34"/>
    </row>
    <row r="1516" spans="1:22" s="35" customFormat="1" ht="11.25" customHeight="1" x14ac:dyDescent="0.35">
      <c r="A1516" s="51" t="s">
        <v>7192</v>
      </c>
      <c r="B1516" s="646"/>
      <c r="C1516" s="290" t="s">
        <v>7225</v>
      </c>
      <c r="D1516" s="66" t="s">
        <v>7226</v>
      </c>
      <c r="E1516" s="51">
        <v>1</v>
      </c>
      <c r="F1516" s="20">
        <v>45308</v>
      </c>
      <c r="G1516" s="51"/>
      <c r="H1516" s="174"/>
      <c r="I1516" s="51"/>
      <c r="J1516" s="51"/>
      <c r="K1516" s="51" t="s">
        <v>5338</v>
      </c>
      <c r="L1516" s="34"/>
      <c r="M1516" s="34"/>
      <c r="N1516" s="34"/>
      <c r="O1516" s="34"/>
      <c r="P1516" s="34"/>
      <c r="Q1516" s="34"/>
      <c r="R1516" s="34"/>
      <c r="S1516" s="34"/>
      <c r="T1516" s="34"/>
      <c r="U1516" s="34"/>
      <c r="V1516" s="34"/>
    </row>
    <row r="1517" spans="1:22" s="35" customFormat="1" ht="11.25" customHeight="1" x14ac:dyDescent="0.35">
      <c r="A1517" s="51" t="s">
        <v>7192</v>
      </c>
      <c r="B1517" s="638"/>
      <c r="C1517" s="290" t="s">
        <v>7227</v>
      </c>
      <c r="D1517" s="66" t="s">
        <v>7228</v>
      </c>
      <c r="E1517" s="51">
        <v>1</v>
      </c>
      <c r="F1517" s="20">
        <v>45308</v>
      </c>
      <c r="G1517" s="51"/>
      <c r="H1517" s="174"/>
      <c r="I1517" s="51"/>
      <c r="J1517" s="51"/>
      <c r="K1517" s="51" t="s">
        <v>5338</v>
      </c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  <c r="V1517" s="34"/>
    </row>
    <row r="1518" spans="1:22" s="35" customFormat="1" ht="11.25" customHeight="1" x14ac:dyDescent="0.35">
      <c r="A1518" s="51" t="s">
        <v>7192</v>
      </c>
      <c r="B1518" s="646"/>
      <c r="C1518" s="290" t="s">
        <v>2675</v>
      </c>
      <c r="D1518" s="66" t="s">
        <v>2686</v>
      </c>
      <c r="E1518" s="51">
        <v>16</v>
      </c>
      <c r="F1518" s="20">
        <v>45308</v>
      </c>
      <c r="G1518" s="51"/>
      <c r="H1518" s="174"/>
      <c r="I1518" s="51"/>
      <c r="J1518" s="51"/>
      <c r="K1518" s="51" t="s">
        <v>5338</v>
      </c>
      <c r="L1518" s="34"/>
      <c r="M1518" s="34"/>
      <c r="N1518" s="34"/>
      <c r="O1518" s="34"/>
      <c r="P1518" s="34"/>
      <c r="Q1518" s="34"/>
      <c r="R1518" s="34"/>
      <c r="S1518" s="34"/>
      <c r="T1518" s="34"/>
      <c r="U1518" s="34"/>
      <c r="V1518" s="34"/>
    </row>
    <row r="1519" spans="1:22" s="35" customFormat="1" ht="11.25" customHeight="1" x14ac:dyDescent="0.35">
      <c r="A1519" s="51" t="s">
        <v>7192</v>
      </c>
      <c r="B1519" s="646"/>
      <c r="C1519" s="290" t="s">
        <v>6831</v>
      </c>
      <c r="D1519" s="66" t="s">
        <v>1181</v>
      </c>
      <c r="E1519" s="51">
        <v>20</v>
      </c>
      <c r="F1519" s="20">
        <v>45308</v>
      </c>
      <c r="G1519" s="51"/>
      <c r="H1519" s="174"/>
      <c r="I1519" s="51"/>
      <c r="J1519" s="51"/>
      <c r="K1519" s="51" t="s">
        <v>5338</v>
      </c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  <c r="V1519" s="34"/>
    </row>
    <row r="1520" spans="1:22" s="35" customFormat="1" ht="11.25" customHeight="1" x14ac:dyDescent="0.35">
      <c r="A1520" s="51" t="s">
        <v>7192</v>
      </c>
      <c r="B1520" s="646"/>
      <c r="C1520" s="290" t="s">
        <v>6829</v>
      </c>
      <c r="D1520" s="66" t="s">
        <v>7229</v>
      </c>
      <c r="E1520" s="51">
        <v>20</v>
      </c>
      <c r="F1520" s="20">
        <v>45308</v>
      </c>
      <c r="G1520" s="51"/>
      <c r="H1520" s="174"/>
      <c r="I1520" s="51"/>
      <c r="J1520" s="51"/>
      <c r="K1520" s="51" t="s">
        <v>5338</v>
      </c>
      <c r="L1520" s="34"/>
      <c r="M1520" s="34"/>
      <c r="N1520" s="34"/>
      <c r="O1520" s="34"/>
      <c r="P1520" s="34"/>
      <c r="Q1520" s="34"/>
      <c r="R1520" s="34"/>
      <c r="S1520" s="34"/>
      <c r="T1520" s="34"/>
      <c r="U1520" s="34"/>
      <c r="V1520" s="34"/>
    </row>
    <row r="1521" spans="1:12" s="39" customFormat="1" ht="11.25" customHeight="1" x14ac:dyDescent="0.35">
      <c r="A1521" s="52" t="s">
        <v>7192</v>
      </c>
      <c r="B1521" s="80"/>
      <c r="C1521" s="282"/>
      <c r="D1521" s="63" t="s">
        <v>7230</v>
      </c>
      <c r="E1521" s="52">
        <v>8</v>
      </c>
      <c r="F1521" s="13">
        <v>45312</v>
      </c>
      <c r="G1521" s="52">
        <v>8</v>
      </c>
      <c r="H1521" s="167">
        <v>45331</v>
      </c>
      <c r="I1521" s="13" t="s">
        <v>5433</v>
      </c>
      <c r="J1521" s="52"/>
      <c r="K1521" s="52" t="s">
        <v>5365</v>
      </c>
    </row>
    <row r="1522" spans="1:12" s="39" customFormat="1" ht="11.25" customHeight="1" x14ac:dyDescent="0.35">
      <c r="A1522" s="52" t="s">
        <v>4832</v>
      </c>
      <c r="B1522" s="80" t="s">
        <v>5904</v>
      </c>
      <c r="C1522" s="282" t="s">
        <v>7231</v>
      </c>
      <c r="D1522" s="63" t="s">
        <v>7232</v>
      </c>
      <c r="E1522" s="52">
        <v>1</v>
      </c>
      <c r="F1522" s="13">
        <v>45310</v>
      </c>
      <c r="G1522" s="52">
        <v>1</v>
      </c>
      <c r="H1522" s="167">
        <v>45323</v>
      </c>
      <c r="I1522" s="52" t="s">
        <v>7233</v>
      </c>
      <c r="J1522" s="52" t="s">
        <v>7234</v>
      </c>
      <c r="K1522" s="52" t="s">
        <v>5365</v>
      </c>
    </row>
    <row r="1523" spans="1:12" s="35" customFormat="1" ht="11.25" customHeight="1" x14ac:dyDescent="0.35">
      <c r="A1523" s="50" t="s">
        <v>4832</v>
      </c>
      <c r="B1523" s="638" t="s">
        <v>71</v>
      </c>
      <c r="C1523" s="280" t="s">
        <v>1299</v>
      </c>
      <c r="D1523" s="64" t="s">
        <v>7235</v>
      </c>
      <c r="E1523" s="50">
        <v>1</v>
      </c>
      <c r="F1523" s="15">
        <v>45322</v>
      </c>
      <c r="G1523" s="14"/>
      <c r="H1523" s="165"/>
      <c r="I1523" s="50"/>
      <c r="J1523" s="50"/>
      <c r="K1523" s="50" t="s">
        <v>5338</v>
      </c>
    </row>
    <row r="1524" spans="1:12" s="35" customFormat="1" ht="11.25" customHeight="1" x14ac:dyDescent="0.35">
      <c r="A1524" s="50" t="s">
        <v>4832</v>
      </c>
      <c r="B1524" s="638" t="s">
        <v>71</v>
      </c>
      <c r="C1524" s="294" t="s">
        <v>1310</v>
      </c>
      <c r="D1524" s="64" t="s">
        <v>1785</v>
      </c>
      <c r="E1524" s="50">
        <v>1</v>
      </c>
      <c r="F1524" s="15">
        <v>45322</v>
      </c>
      <c r="G1524" s="14"/>
      <c r="H1524" s="165"/>
      <c r="I1524" s="50"/>
      <c r="J1524" s="50"/>
      <c r="K1524" s="50" t="s">
        <v>5338</v>
      </c>
    </row>
    <row r="1525" spans="1:12" s="39" customFormat="1" ht="11.25" customHeight="1" x14ac:dyDescent="0.35">
      <c r="A1525" s="52" t="s">
        <v>4832</v>
      </c>
      <c r="B1525" s="80" t="s">
        <v>71</v>
      </c>
      <c r="C1525" s="282" t="s">
        <v>1307</v>
      </c>
      <c r="D1525" s="63" t="s">
        <v>7236</v>
      </c>
      <c r="E1525" s="52">
        <v>1</v>
      </c>
      <c r="F1525" s="13">
        <v>45322</v>
      </c>
      <c r="G1525" s="12">
        <v>1</v>
      </c>
      <c r="H1525" s="167"/>
      <c r="I1525" s="52"/>
      <c r="J1525" s="52"/>
      <c r="K1525" s="52" t="s">
        <v>5365</v>
      </c>
      <c r="L1525" s="35"/>
    </row>
    <row r="1526" spans="1:12" s="35" customFormat="1" ht="11.25" customHeight="1" x14ac:dyDescent="0.35">
      <c r="A1526" s="52" t="s">
        <v>4832</v>
      </c>
      <c r="B1526" s="80" t="s">
        <v>71</v>
      </c>
      <c r="C1526" s="282" t="s">
        <v>2142</v>
      </c>
      <c r="D1526" s="63" t="s">
        <v>6034</v>
      </c>
      <c r="E1526" s="52">
        <v>2</v>
      </c>
      <c r="F1526" s="13">
        <v>45322</v>
      </c>
      <c r="G1526" s="12">
        <v>2</v>
      </c>
      <c r="H1526" s="167">
        <v>45346</v>
      </c>
      <c r="I1526" s="52" t="s">
        <v>6479</v>
      </c>
      <c r="J1526" s="52"/>
      <c r="K1526" s="52" t="s">
        <v>5338</v>
      </c>
    </row>
    <row r="1527" spans="1:12" s="44" customFormat="1" ht="11.25" customHeight="1" x14ac:dyDescent="0.35">
      <c r="A1527" s="54" t="s">
        <v>4832</v>
      </c>
      <c r="B1527" s="643" t="s">
        <v>71</v>
      </c>
      <c r="C1527" s="287" t="s">
        <v>675</v>
      </c>
      <c r="D1527" s="78" t="s">
        <v>7237</v>
      </c>
      <c r="E1527" s="54">
        <v>10</v>
      </c>
      <c r="F1527" s="18">
        <v>45322</v>
      </c>
      <c r="G1527" s="17">
        <v>5</v>
      </c>
      <c r="H1527" s="172">
        <v>45337</v>
      </c>
      <c r="I1527" s="54" t="s">
        <v>6182</v>
      </c>
      <c r="J1527" s="54"/>
      <c r="K1527" s="54" t="s">
        <v>5511</v>
      </c>
    </row>
    <row r="1528" spans="1:12" s="35" customFormat="1" ht="11.25" customHeight="1" x14ac:dyDescent="0.35">
      <c r="A1528" s="50" t="s">
        <v>4832</v>
      </c>
      <c r="B1528" s="638" t="s">
        <v>71</v>
      </c>
      <c r="C1528" s="280" t="s">
        <v>2139</v>
      </c>
      <c r="D1528" s="64" t="s">
        <v>7238</v>
      </c>
      <c r="E1528" s="50">
        <v>1</v>
      </c>
      <c r="F1528" s="15">
        <v>45322</v>
      </c>
      <c r="G1528" s="14"/>
      <c r="H1528" s="165"/>
      <c r="I1528" s="50"/>
      <c r="J1528" s="50"/>
      <c r="K1528" s="50" t="s">
        <v>5338</v>
      </c>
    </row>
    <row r="1529" spans="1:12" s="39" customFormat="1" ht="11.25" customHeight="1" x14ac:dyDescent="0.35">
      <c r="A1529" s="52" t="s">
        <v>4832</v>
      </c>
      <c r="B1529" s="80" t="s">
        <v>71</v>
      </c>
      <c r="C1529" s="282" t="s">
        <v>663</v>
      </c>
      <c r="D1529" s="63" t="s">
        <v>7239</v>
      </c>
      <c r="E1529" s="52">
        <v>1</v>
      </c>
      <c r="F1529" s="13">
        <v>45322</v>
      </c>
      <c r="G1529" s="12">
        <v>1</v>
      </c>
      <c r="H1529" s="167">
        <v>45510</v>
      </c>
      <c r="I1529" s="52" t="s">
        <v>6227</v>
      </c>
      <c r="J1529" s="52"/>
      <c r="K1529" s="52" t="s">
        <v>5365</v>
      </c>
    </row>
    <row r="1530" spans="1:12" s="35" customFormat="1" ht="11.25" customHeight="1" x14ac:dyDescent="0.35">
      <c r="A1530" s="50" t="s">
        <v>4832</v>
      </c>
      <c r="B1530" s="638" t="s">
        <v>71</v>
      </c>
      <c r="C1530" s="280" t="s">
        <v>84</v>
      </c>
      <c r="D1530" s="64" t="s">
        <v>6785</v>
      </c>
      <c r="E1530" s="50">
        <v>10</v>
      </c>
      <c r="F1530" s="15">
        <v>45322</v>
      </c>
      <c r="G1530" s="14"/>
      <c r="H1530" s="165"/>
      <c r="I1530" s="50"/>
      <c r="J1530" s="50"/>
      <c r="K1530" s="50" t="s">
        <v>5338</v>
      </c>
    </row>
    <row r="1531" spans="1:12" s="39" customFormat="1" ht="11.25" customHeight="1" x14ac:dyDescent="0.35">
      <c r="A1531" s="52" t="s">
        <v>4832</v>
      </c>
      <c r="B1531" s="80" t="s">
        <v>71</v>
      </c>
      <c r="C1531" s="282" t="s">
        <v>2148</v>
      </c>
      <c r="D1531" s="63" t="s">
        <v>7240</v>
      </c>
      <c r="E1531" s="52">
        <v>5</v>
      </c>
      <c r="F1531" s="13">
        <v>45322</v>
      </c>
      <c r="G1531" s="12">
        <v>5</v>
      </c>
      <c r="H1531" s="167">
        <v>45337</v>
      </c>
      <c r="I1531" s="52" t="s">
        <v>6182</v>
      </c>
      <c r="J1531" s="52"/>
      <c r="K1531" s="52" t="s">
        <v>5365</v>
      </c>
    </row>
    <row r="1532" spans="1:12" s="39" customFormat="1" ht="11.25" customHeight="1" x14ac:dyDescent="0.35">
      <c r="A1532" s="52" t="s">
        <v>4832</v>
      </c>
      <c r="B1532" s="80" t="s">
        <v>71</v>
      </c>
      <c r="C1532" s="282" t="s">
        <v>2145</v>
      </c>
      <c r="D1532" s="63" t="s">
        <v>7241</v>
      </c>
      <c r="E1532" s="52">
        <v>1</v>
      </c>
      <c r="F1532" s="13">
        <v>45322</v>
      </c>
      <c r="G1532" s="12">
        <v>1</v>
      </c>
      <c r="H1532" s="167">
        <v>45338</v>
      </c>
      <c r="I1532" s="52" t="s">
        <v>6182</v>
      </c>
      <c r="J1532" s="52"/>
      <c r="K1532" s="52" t="s">
        <v>5365</v>
      </c>
    </row>
    <row r="1533" spans="1:12" s="35" customFormat="1" ht="11.25" customHeight="1" x14ac:dyDescent="0.35">
      <c r="A1533" s="50" t="s">
        <v>4832</v>
      </c>
      <c r="B1533" s="638" t="s">
        <v>71</v>
      </c>
      <c r="C1533" s="280" t="s">
        <v>1289</v>
      </c>
      <c r="D1533" s="64" t="s">
        <v>1290</v>
      </c>
      <c r="E1533" s="50">
        <v>2</v>
      </c>
      <c r="F1533" s="15">
        <v>45322</v>
      </c>
      <c r="G1533" s="14"/>
      <c r="H1533" s="165"/>
      <c r="I1533" s="50"/>
      <c r="J1533" s="50"/>
      <c r="K1533" s="50" t="s">
        <v>5338</v>
      </c>
    </row>
    <row r="1534" spans="1:12" s="35" customFormat="1" ht="11.25" customHeight="1" x14ac:dyDescent="0.35">
      <c r="A1534" s="50" t="s">
        <v>4832</v>
      </c>
      <c r="B1534" s="638" t="s">
        <v>71</v>
      </c>
      <c r="C1534" s="280" t="s">
        <v>1296</v>
      </c>
      <c r="D1534" s="64" t="s">
        <v>6224</v>
      </c>
      <c r="E1534" s="50">
        <v>1</v>
      </c>
      <c r="F1534" s="15">
        <v>45322</v>
      </c>
      <c r="G1534" s="14"/>
      <c r="H1534" s="165"/>
      <c r="I1534" s="50"/>
      <c r="J1534" s="50"/>
      <c r="K1534" s="50" t="s">
        <v>5338</v>
      </c>
    </row>
    <row r="1535" spans="1:12" s="39" customFormat="1" ht="11.25" customHeight="1" x14ac:dyDescent="0.35">
      <c r="A1535" s="52" t="s">
        <v>4832</v>
      </c>
      <c r="B1535" s="80" t="s">
        <v>71</v>
      </c>
      <c r="C1535" s="282" t="s">
        <v>2151</v>
      </c>
      <c r="D1535" s="63" t="s">
        <v>4179</v>
      </c>
      <c r="E1535" s="52">
        <v>1</v>
      </c>
      <c r="F1535" s="13">
        <v>45322</v>
      </c>
      <c r="G1535" s="12">
        <v>1</v>
      </c>
      <c r="H1535" s="167">
        <v>45338</v>
      </c>
      <c r="I1535" s="52" t="s">
        <v>7242</v>
      </c>
      <c r="J1535" s="52"/>
      <c r="K1535" s="52" t="s">
        <v>5365</v>
      </c>
    </row>
    <row r="1536" spans="1:12" s="35" customFormat="1" ht="11.25" customHeight="1" x14ac:dyDescent="0.35">
      <c r="A1536" s="50" t="s">
        <v>4832</v>
      </c>
      <c r="B1536" s="638" t="s">
        <v>71</v>
      </c>
      <c r="C1536" s="280" t="s">
        <v>1114</v>
      </c>
      <c r="D1536" s="64" t="s">
        <v>1115</v>
      </c>
      <c r="E1536" s="50">
        <v>2</v>
      </c>
      <c r="F1536" s="15">
        <v>45322</v>
      </c>
      <c r="G1536" s="14"/>
      <c r="H1536" s="165"/>
      <c r="I1536" s="50"/>
      <c r="J1536" s="50"/>
      <c r="K1536" s="50" t="s">
        <v>5338</v>
      </c>
    </row>
    <row r="1537" spans="1:22" s="35" customFormat="1" ht="11.25" customHeight="1" x14ac:dyDescent="0.35">
      <c r="A1537" s="52" t="s">
        <v>4832</v>
      </c>
      <c r="B1537" s="80" t="s">
        <v>71</v>
      </c>
      <c r="C1537" s="282" t="s">
        <v>7243</v>
      </c>
      <c r="D1537" s="63" t="s">
        <v>7244</v>
      </c>
      <c r="E1537" s="52">
        <v>1</v>
      </c>
      <c r="F1537" s="13">
        <v>45322</v>
      </c>
      <c r="G1537" s="12">
        <v>1</v>
      </c>
      <c r="H1537" s="167">
        <v>45345</v>
      </c>
      <c r="I1537" s="52" t="s">
        <v>6479</v>
      </c>
      <c r="J1537" s="52"/>
      <c r="K1537" s="52" t="s">
        <v>5365</v>
      </c>
    </row>
    <row r="1538" spans="1:22" s="35" customFormat="1" ht="11.25" customHeight="1" x14ac:dyDescent="0.35">
      <c r="A1538" s="52" t="s">
        <v>4832</v>
      </c>
      <c r="B1538" s="80" t="s">
        <v>71</v>
      </c>
      <c r="C1538" s="282" t="s">
        <v>2154</v>
      </c>
      <c r="D1538" s="63" t="s">
        <v>7245</v>
      </c>
      <c r="E1538" s="52">
        <v>1</v>
      </c>
      <c r="F1538" s="13">
        <v>45322</v>
      </c>
      <c r="G1538" s="12">
        <v>1</v>
      </c>
      <c r="H1538" s="167">
        <v>45345</v>
      </c>
      <c r="I1538" s="52" t="s">
        <v>6479</v>
      </c>
      <c r="J1538" s="52"/>
      <c r="K1538" s="52" t="s">
        <v>5365</v>
      </c>
    </row>
    <row r="1539" spans="1:22" s="39" customFormat="1" ht="11.25" customHeight="1" x14ac:dyDescent="0.35">
      <c r="A1539" s="52" t="s">
        <v>6471</v>
      </c>
      <c r="B1539" s="80" t="s">
        <v>5763</v>
      </c>
      <c r="C1539" s="282">
        <v>1548500</v>
      </c>
      <c r="D1539" s="63" t="s">
        <v>5841</v>
      </c>
      <c r="E1539" s="52">
        <v>3</v>
      </c>
      <c r="F1539" s="13">
        <v>45322</v>
      </c>
      <c r="G1539" s="52">
        <v>3</v>
      </c>
      <c r="H1539" s="167">
        <v>45323</v>
      </c>
      <c r="I1539" s="52" t="s">
        <v>7246</v>
      </c>
      <c r="J1539" s="52"/>
      <c r="K1539" s="52" t="s">
        <v>5365</v>
      </c>
    </row>
    <row r="1540" spans="1:22" s="39" customFormat="1" ht="11.25" customHeight="1" x14ac:dyDescent="0.35">
      <c r="A1540" s="52" t="s">
        <v>6471</v>
      </c>
      <c r="B1540" s="80" t="s">
        <v>5763</v>
      </c>
      <c r="C1540" s="282">
        <v>2485792</v>
      </c>
      <c r="D1540" s="63" t="s">
        <v>7247</v>
      </c>
      <c r="E1540" s="52">
        <v>10</v>
      </c>
      <c r="F1540" s="13">
        <v>45322</v>
      </c>
      <c r="G1540" s="52">
        <v>10</v>
      </c>
      <c r="H1540" s="167">
        <v>45323</v>
      </c>
      <c r="I1540" s="52" t="s">
        <v>5766</v>
      </c>
      <c r="J1540" s="52"/>
      <c r="K1540" s="52" t="s">
        <v>5365</v>
      </c>
    </row>
    <row r="1541" spans="1:22" s="39" customFormat="1" ht="11.25" customHeight="1" x14ac:dyDescent="0.35">
      <c r="A1541" s="52" t="s">
        <v>6471</v>
      </c>
      <c r="B1541" s="80" t="s">
        <v>5763</v>
      </c>
      <c r="C1541" s="282">
        <v>805976</v>
      </c>
      <c r="D1541" s="63" t="s">
        <v>5060</v>
      </c>
      <c r="E1541" s="52">
        <v>8</v>
      </c>
      <c r="F1541" s="13">
        <v>45322</v>
      </c>
      <c r="G1541" s="52">
        <v>8</v>
      </c>
      <c r="H1541" s="167">
        <v>45323</v>
      </c>
      <c r="I1541" s="52" t="s">
        <v>5766</v>
      </c>
      <c r="J1541" s="52"/>
      <c r="K1541" s="52" t="s">
        <v>5365</v>
      </c>
    </row>
    <row r="1542" spans="1:22" s="34" customFormat="1" ht="11.25" customHeight="1" x14ac:dyDescent="0.35">
      <c r="A1542" s="51" t="s">
        <v>6471</v>
      </c>
      <c r="B1542" s="646" t="s">
        <v>5763</v>
      </c>
      <c r="C1542" s="290">
        <v>2168490</v>
      </c>
      <c r="D1542" s="66" t="s">
        <v>7248</v>
      </c>
      <c r="E1542" s="51">
        <v>1</v>
      </c>
      <c r="F1542" s="20">
        <v>45322</v>
      </c>
      <c r="G1542" s="19"/>
      <c r="H1542" s="174"/>
      <c r="I1542" s="51" t="s">
        <v>7249</v>
      </c>
      <c r="J1542" s="51"/>
      <c r="K1542" s="51" t="s">
        <v>5338</v>
      </c>
    </row>
    <row r="1543" spans="1:22" s="39" customFormat="1" ht="11.25" customHeight="1" x14ac:dyDescent="0.35">
      <c r="A1543" s="52" t="s">
        <v>6471</v>
      </c>
      <c r="B1543" s="80" t="s">
        <v>5763</v>
      </c>
      <c r="C1543" s="282">
        <v>2674378</v>
      </c>
      <c r="D1543" s="63" t="s">
        <v>7250</v>
      </c>
      <c r="E1543" s="52"/>
      <c r="F1543" s="13">
        <v>45322</v>
      </c>
      <c r="G1543" s="52">
        <v>1</v>
      </c>
      <c r="H1543" s="167">
        <v>45323</v>
      </c>
      <c r="I1543" s="52"/>
      <c r="J1543" s="52"/>
      <c r="K1543" s="52" t="s">
        <v>5365</v>
      </c>
    </row>
    <row r="1544" spans="1:22" s="39" customFormat="1" ht="11.25" customHeight="1" x14ac:dyDescent="0.35">
      <c r="A1544" s="52" t="s">
        <v>6471</v>
      </c>
      <c r="B1544" s="80" t="s">
        <v>5763</v>
      </c>
      <c r="C1544" s="282">
        <v>1548500</v>
      </c>
      <c r="D1544" s="63" t="s">
        <v>5841</v>
      </c>
      <c r="E1544" s="52"/>
      <c r="F1544" s="13">
        <v>45322</v>
      </c>
      <c r="G1544" s="52">
        <v>10</v>
      </c>
      <c r="H1544" s="167">
        <v>45323</v>
      </c>
      <c r="I1544" s="52" t="s">
        <v>7251</v>
      </c>
      <c r="J1544" s="52"/>
      <c r="K1544" s="52" t="s">
        <v>5365</v>
      </c>
    </row>
    <row r="1545" spans="1:22" s="39" customFormat="1" ht="11.25" customHeight="1" x14ac:dyDescent="0.35">
      <c r="A1545" s="52" t="s">
        <v>6471</v>
      </c>
      <c r="B1545" s="80" t="s">
        <v>5763</v>
      </c>
      <c r="C1545" s="282">
        <v>2673171</v>
      </c>
      <c r="D1545" s="63" t="s">
        <v>7252</v>
      </c>
      <c r="E1545" s="52"/>
      <c r="F1545" s="13">
        <v>45322</v>
      </c>
      <c r="G1545" s="52">
        <v>8</v>
      </c>
      <c r="H1545" s="167">
        <v>45323</v>
      </c>
      <c r="I1545" s="52" t="s">
        <v>7251</v>
      </c>
      <c r="J1545" s="52"/>
      <c r="K1545" s="52" t="s">
        <v>5365</v>
      </c>
    </row>
    <row r="1546" spans="1:22" s="39" customFormat="1" ht="11.25" customHeight="1" x14ac:dyDescent="0.35">
      <c r="A1546" s="52" t="s">
        <v>6471</v>
      </c>
      <c r="B1546" s="80" t="s">
        <v>5763</v>
      </c>
      <c r="C1546" s="282">
        <v>2676189</v>
      </c>
      <c r="D1546" s="63" t="s">
        <v>7253</v>
      </c>
      <c r="E1546" s="52"/>
      <c r="F1546" s="13">
        <v>45322</v>
      </c>
      <c r="G1546" s="52">
        <v>4</v>
      </c>
      <c r="H1546" s="167">
        <v>45323</v>
      </c>
      <c r="I1546" s="52" t="s">
        <v>7251</v>
      </c>
      <c r="J1546" s="52"/>
      <c r="K1546" s="52" t="s">
        <v>5365</v>
      </c>
    </row>
    <row r="1547" spans="1:22" s="35" customFormat="1" ht="11.25" customHeight="1" x14ac:dyDescent="0.35">
      <c r="A1547" s="50" t="s">
        <v>6471</v>
      </c>
      <c r="B1547" s="638" t="s">
        <v>5763</v>
      </c>
      <c r="C1547" s="290">
        <v>3035684</v>
      </c>
      <c r="D1547" s="66" t="s">
        <v>7254</v>
      </c>
      <c r="E1547" s="51" t="s">
        <v>6644</v>
      </c>
      <c r="F1547" s="20">
        <v>45327</v>
      </c>
      <c r="G1547" s="51"/>
      <c r="H1547" s="174"/>
      <c r="I1547" s="51"/>
      <c r="J1547" s="51"/>
      <c r="K1547" s="51" t="s">
        <v>5338</v>
      </c>
      <c r="L1547" s="34"/>
      <c r="M1547" s="34"/>
      <c r="N1547" s="34"/>
      <c r="O1547" s="34"/>
      <c r="P1547" s="34"/>
      <c r="Q1547" s="34"/>
      <c r="R1547" s="34"/>
      <c r="S1547" s="34"/>
      <c r="T1547" s="34"/>
      <c r="U1547" s="34"/>
      <c r="V1547" s="34"/>
    </row>
    <row r="1548" spans="1:22" s="39" customFormat="1" ht="11.25" customHeight="1" x14ac:dyDescent="0.35">
      <c r="A1548" s="52" t="s">
        <v>6471</v>
      </c>
      <c r="B1548" s="80" t="s">
        <v>5763</v>
      </c>
      <c r="C1548" s="282">
        <v>2265358</v>
      </c>
      <c r="D1548" s="63" t="s">
        <v>7255</v>
      </c>
      <c r="E1548" s="52">
        <v>1</v>
      </c>
      <c r="F1548" s="13">
        <v>45327</v>
      </c>
      <c r="G1548" s="52">
        <v>1</v>
      </c>
      <c r="H1548" s="167">
        <v>45331</v>
      </c>
      <c r="I1548" s="52" t="s">
        <v>5766</v>
      </c>
      <c r="J1548" s="52"/>
      <c r="K1548" s="52" t="s">
        <v>5365</v>
      </c>
    </row>
    <row r="1549" spans="1:22" s="39" customFormat="1" ht="11.25" customHeight="1" x14ac:dyDescent="0.35">
      <c r="A1549" s="52" t="s">
        <v>6471</v>
      </c>
      <c r="B1549" s="80" t="s">
        <v>5763</v>
      </c>
      <c r="C1549" s="282">
        <v>2706860</v>
      </c>
      <c r="D1549" s="63" t="s">
        <v>7256</v>
      </c>
      <c r="E1549" s="52">
        <v>1</v>
      </c>
      <c r="F1549" s="13">
        <v>45327</v>
      </c>
      <c r="G1549" s="52">
        <v>1</v>
      </c>
      <c r="H1549" s="167">
        <v>45330</v>
      </c>
      <c r="I1549" s="52" t="s">
        <v>7257</v>
      </c>
      <c r="J1549" s="52"/>
      <c r="K1549" s="52" t="s">
        <v>5365</v>
      </c>
      <c r="L1549" s="34"/>
    </row>
    <row r="1550" spans="1:22" s="35" customFormat="1" ht="11.25" customHeight="1" x14ac:dyDescent="0.35">
      <c r="A1550" s="50" t="s">
        <v>6471</v>
      </c>
      <c r="B1550" s="638" t="s">
        <v>5763</v>
      </c>
      <c r="C1550" s="290">
        <v>2917366</v>
      </c>
      <c r="D1550" s="66" t="s">
        <v>7258</v>
      </c>
      <c r="E1550" s="51">
        <v>1</v>
      </c>
      <c r="F1550" s="20">
        <v>45327</v>
      </c>
      <c r="G1550" s="51"/>
      <c r="H1550" s="174"/>
      <c r="I1550" s="51"/>
      <c r="J1550" s="51"/>
      <c r="K1550" s="51" t="s">
        <v>5338</v>
      </c>
      <c r="L1550" s="34"/>
      <c r="M1550" s="34"/>
      <c r="N1550" s="34"/>
      <c r="O1550" s="34"/>
      <c r="P1550" s="34"/>
      <c r="Q1550" s="34"/>
      <c r="R1550" s="34"/>
      <c r="S1550" s="34"/>
      <c r="T1550" s="34"/>
      <c r="U1550" s="34"/>
      <c r="V1550" s="34"/>
    </row>
    <row r="1551" spans="1:22" s="39" customFormat="1" ht="11.25" customHeight="1" x14ac:dyDescent="0.35">
      <c r="A1551" s="52" t="s">
        <v>6471</v>
      </c>
      <c r="B1551" s="80" t="s">
        <v>5763</v>
      </c>
      <c r="C1551" s="282">
        <v>2656388</v>
      </c>
      <c r="D1551" s="63" t="s">
        <v>7259</v>
      </c>
      <c r="E1551" s="52">
        <v>1</v>
      </c>
      <c r="F1551" s="13">
        <v>45327</v>
      </c>
      <c r="G1551" s="52">
        <v>1</v>
      </c>
      <c r="H1551" s="167">
        <v>45331</v>
      </c>
      <c r="I1551" s="52" t="s">
        <v>5766</v>
      </c>
      <c r="J1551" s="52"/>
      <c r="K1551" s="52" t="s">
        <v>5365</v>
      </c>
    </row>
    <row r="1552" spans="1:22" s="39" customFormat="1" ht="11.25" customHeight="1" x14ac:dyDescent="0.35">
      <c r="A1552" s="52" t="s">
        <v>6471</v>
      </c>
      <c r="B1552" s="80" t="s">
        <v>5763</v>
      </c>
      <c r="C1552" s="282">
        <v>2656387</v>
      </c>
      <c r="D1552" s="63" t="s">
        <v>7260</v>
      </c>
      <c r="E1552" s="52">
        <v>1</v>
      </c>
      <c r="F1552" s="13">
        <v>45327</v>
      </c>
      <c r="G1552" s="52">
        <v>1</v>
      </c>
      <c r="H1552" s="167">
        <v>45331</v>
      </c>
      <c r="I1552" s="52" t="s">
        <v>5766</v>
      </c>
      <c r="J1552" s="52"/>
      <c r="K1552" s="52" t="s">
        <v>5365</v>
      </c>
    </row>
    <row r="1553" spans="1:22" s="39" customFormat="1" ht="11.25" customHeight="1" x14ac:dyDescent="0.35">
      <c r="A1553" s="52" t="s">
        <v>6471</v>
      </c>
      <c r="B1553" s="80" t="s">
        <v>5763</v>
      </c>
      <c r="C1553" s="282">
        <v>2358538</v>
      </c>
      <c r="D1553" s="63" t="s">
        <v>7261</v>
      </c>
      <c r="E1553" s="52">
        <v>1</v>
      </c>
      <c r="F1553" s="13">
        <v>45327</v>
      </c>
      <c r="G1553" s="52">
        <v>1</v>
      </c>
      <c r="H1553" s="167">
        <v>45331</v>
      </c>
      <c r="I1553" s="52" t="s">
        <v>5766</v>
      </c>
      <c r="J1553" s="52"/>
      <c r="K1553" s="52" t="s">
        <v>5365</v>
      </c>
    </row>
    <row r="1554" spans="1:22" s="35" customFormat="1" ht="11.25" customHeight="1" x14ac:dyDescent="0.35">
      <c r="A1554" s="50" t="s">
        <v>6471</v>
      </c>
      <c r="B1554" s="638" t="s">
        <v>5763</v>
      </c>
      <c r="C1554" s="290">
        <v>2676189</v>
      </c>
      <c r="D1554" s="66" t="s">
        <v>7253</v>
      </c>
      <c r="E1554" s="51">
        <v>4</v>
      </c>
      <c r="F1554" s="20">
        <v>45327</v>
      </c>
      <c r="G1554" s="51"/>
      <c r="H1554" s="174"/>
      <c r="I1554" s="51"/>
      <c r="J1554" s="51"/>
      <c r="K1554" s="51" t="s">
        <v>5338</v>
      </c>
      <c r="L1554" s="34"/>
      <c r="M1554" s="34"/>
      <c r="N1554" s="34"/>
      <c r="O1554" s="34"/>
      <c r="P1554" s="34"/>
      <c r="Q1554" s="34"/>
      <c r="R1554" s="34"/>
      <c r="S1554" s="34"/>
      <c r="T1554" s="34"/>
      <c r="U1554" s="34"/>
      <c r="V1554" s="34"/>
    </row>
    <row r="1555" spans="1:22" s="39" customFormat="1" ht="11.25" customHeight="1" x14ac:dyDescent="0.35">
      <c r="A1555" s="50" t="s">
        <v>6471</v>
      </c>
      <c r="B1555" s="80" t="s">
        <v>5763</v>
      </c>
      <c r="C1555" s="282">
        <v>2497306</v>
      </c>
      <c r="D1555" s="63" t="s">
        <v>7262</v>
      </c>
      <c r="E1555" s="52">
        <v>1</v>
      </c>
      <c r="F1555" s="13">
        <v>45327</v>
      </c>
      <c r="G1555" s="52">
        <v>1</v>
      </c>
      <c r="H1555" s="167">
        <v>45330</v>
      </c>
      <c r="I1555" s="52" t="s">
        <v>7257</v>
      </c>
      <c r="J1555" s="52"/>
      <c r="K1555" s="52" t="s">
        <v>5365</v>
      </c>
      <c r="L1555" s="34"/>
    </row>
    <row r="1556" spans="1:22" s="35" customFormat="1" ht="11.25" customHeight="1" x14ac:dyDescent="0.35">
      <c r="A1556" s="50" t="s">
        <v>6471</v>
      </c>
      <c r="B1556" s="638" t="s">
        <v>5763</v>
      </c>
      <c r="C1556" s="290">
        <v>2076267</v>
      </c>
      <c r="D1556" s="66" t="s">
        <v>7263</v>
      </c>
      <c r="E1556" s="51">
        <v>1</v>
      </c>
      <c r="F1556" s="20">
        <v>45327</v>
      </c>
      <c r="G1556" s="51"/>
      <c r="H1556" s="174"/>
      <c r="I1556" s="51"/>
      <c r="J1556" s="51"/>
      <c r="K1556" s="51" t="s">
        <v>5338</v>
      </c>
      <c r="L1556" s="34"/>
      <c r="M1556" s="34"/>
      <c r="N1556" s="34"/>
      <c r="O1556" s="34"/>
      <c r="P1556" s="34"/>
      <c r="Q1556" s="34"/>
      <c r="R1556" s="34"/>
      <c r="S1556" s="34"/>
      <c r="T1556" s="34"/>
      <c r="U1556" s="34"/>
      <c r="V1556" s="34"/>
    </row>
    <row r="1557" spans="1:22" s="35" customFormat="1" ht="11.25" customHeight="1" x14ac:dyDescent="0.35">
      <c r="A1557" s="50" t="s">
        <v>6471</v>
      </c>
      <c r="B1557" s="638" t="s">
        <v>5763</v>
      </c>
      <c r="C1557" s="290">
        <v>1548500</v>
      </c>
      <c r="D1557" s="66" t="s">
        <v>5841</v>
      </c>
      <c r="E1557" s="51">
        <v>1</v>
      </c>
      <c r="F1557" s="20">
        <v>45327</v>
      </c>
      <c r="G1557" s="51"/>
      <c r="H1557" s="174"/>
      <c r="I1557" s="51"/>
      <c r="J1557" s="51"/>
      <c r="K1557" s="51" t="s">
        <v>5338</v>
      </c>
      <c r="L1557" s="34"/>
      <c r="M1557" s="34"/>
      <c r="N1557" s="34"/>
      <c r="O1557" s="34"/>
      <c r="P1557" s="34"/>
      <c r="Q1557" s="34"/>
      <c r="R1557" s="34"/>
      <c r="S1557" s="34"/>
      <c r="T1557" s="34"/>
      <c r="U1557" s="34"/>
      <c r="V1557" s="34"/>
    </row>
    <row r="1558" spans="1:22" s="39" customFormat="1" ht="11.25" customHeight="1" x14ac:dyDescent="0.35">
      <c r="A1558" s="52" t="s">
        <v>6471</v>
      </c>
      <c r="B1558" s="80" t="s">
        <v>5763</v>
      </c>
      <c r="C1558" s="282">
        <v>2080807</v>
      </c>
      <c r="D1558" s="63" t="s">
        <v>7264</v>
      </c>
      <c r="E1558" s="52">
        <v>1</v>
      </c>
      <c r="F1558" s="13">
        <v>45327</v>
      </c>
      <c r="G1558" s="52">
        <v>1</v>
      </c>
      <c r="H1558" s="167">
        <v>45331</v>
      </c>
      <c r="I1558" s="52" t="s">
        <v>5865</v>
      </c>
      <c r="J1558" s="52"/>
      <c r="K1558" s="52" t="s">
        <v>5365</v>
      </c>
    </row>
    <row r="1559" spans="1:22" s="35" customFormat="1" ht="11.25" customHeight="1" x14ac:dyDescent="0.35">
      <c r="A1559" s="50" t="s">
        <v>6471</v>
      </c>
      <c r="B1559" s="638" t="s">
        <v>5763</v>
      </c>
      <c r="C1559" s="290">
        <v>1740275</v>
      </c>
      <c r="D1559" s="66" t="s">
        <v>7265</v>
      </c>
      <c r="E1559" s="51">
        <v>4</v>
      </c>
      <c r="F1559" s="20">
        <v>45327</v>
      </c>
      <c r="G1559" s="51"/>
      <c r="H1559" s="174"/>
      <c r="I1559" s="51"/>
      <c r="J1559" s="51"/>
      <c r="K1559" s="51" t="s">
        <v>5338</v>
      </c>
      <c r="L1559" s="34"/>
      <c r="M1559" s="34"/>
      <c r="N1559" s="34"/>
      <c r="O1559" s="34"/>
      <c r="P1559" s="34"/>
      <c r="Q1559" s="34"/>
      <c r="R1559" s="34"/>
      <c r="S1559" s="34"/>
      <c r="T1559" s="34"/>
      <c r="U1559" s="34"/>
      <c r="V1559" s="34"/>
    </row>
    <row r="1560" spans="1:22" s="44" customFormat="1" ht="11.25" customHeight="1" x14ac:dyDescent="0.35">
      <c r="A1560" s="54" t="s">
        <v>6471</v>
      </c>
      <c r="B1560" s="643" t="s">
        <v>5763</v>
      </c>
      <c r="C1560" s="287">
        <v>2673171</v>
      </c>
      <c r="D1560" s="78" t="s">
        <v>7266</v>
      </c>
      <c r="E1560" s="54">
        <v>8</v>
      </c>
      <c r="F1560" s="18">
        <v>45327</v>
      </c>
      <c r="G1560" s="54">
        <v>4</v>
      </c>
      <c r="H1560" s="172">
        <v>45330</v>
      </c>
      <c r="I1560" s="54" t="s">
        <v>7257</v>
      </c>
      <c r="J1560" s="54"/>
      <c r="K1560" s="54" t="s">
        <v>5511</v>
      </c>
      <c r="L1560" s="34"/>
    </row>
    <row r="1561" spans="1:22" s="35" customFormat="1" ht="11.25" customHeight="1" x14ac:dyDescent="0.35">
      <c r="A1561" s="50" t="s">
        <v>6471</v>
      </c>
      <c r="B1561" s="638" t="s">
        <v>5763</v>
      </c>
      <c r="C1561" s="290">
        <v>2643441</v>
      </c>
      <c r="D1561" s="66" t="s">
        <v>7267</v>
      </c>
      <c r="E1561" s="51">
        <v>1</v>
      </c>
      <c r="F1561" s="20">
        <v>45327</v>
      </c>
      <c r="G1561" s="51"/>
      <c r="H1561" s="174"/>
      <c r="I1561" s="51"/>
      <c r="J1561" s="51"/>
      <c r="K1561" s="51" t="s">
        <v>5338</v>
      </c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  <c r="V1561" s="34"/>
    </row>
    <row r="1562" spans="1:22" s="35" customFormat="1" ht="11.25" customHeight="1" x14ac:dyDescent="0.35">
      <c r="A1562" s="50" t="s">
        <v>6471</v>
      </c>
      <c r="B1562" s="638" t="s">
        <v>5763</v>
      </c>
      <c r="C1562" s="280">
        <v>2379581</v>
      </c>
      <c r="D1562" s="64" t="s">
        <v>7268</v>
      </c>
      <c r="E1562" s="50">
        <v>3</v>
      </c>
      <c r="F1562" s="15">
        <v>45329</v>
      </c>
      <c r="G1562" s="14"/>
      <c r="H1562" s="165"/>
      <c r="I1562" s="50"/>
      <c r="J1562" s="50"/>
      <c r="K1562" s="51" t="s">
        <v>5338</v>
      </c>
    </row>
    <row r="1563" spans="1:22" s="35" customFormat="1" ht="11.25" customHeight="1" x14ac:dyDescent="0.35">
      <c r="A1563" s="50" t="s">
        <v>6471</v>
      </c>
      <c r="B1563" s="638" t="s">
        <v>5763</v>
      </c>
      <c r="C1563" s="280">
        <v>2379580</v>
      </c>
      <c r="D1563" s="64" t="s">
        <v>7269</v>
      </c>
      <c r="E1563" s="50">
        <v>3</v>
      </c>
      <c r="F1563" s="15">
        <v>45329</v>
      </c>
      <c r="G1563" s="14"/>
      <c r="H1563" s="165"/>
      <c r="I1563" s="50"/>
      <c r="J1563" s="50"/>
      <c r="K1563" s="51" t="s">
        <v>5338</v>
      </c>
    </row>
    <row r="1564" spans="1:22" s="39" customFormat="1" ht="11.25" customHeight="1" x14ac:dyDescent="0.35">
      <c r="A1564" s="52" t="s">
        <v>4832</v>
      </c>
      <c r="B1564" s="80" t="s">
        <v>6225</v>
      </c>
      <c r="C1564" s="282" t="s">
        <v>7270</v>
      </c>
      <c r="D1564" s="63" t="s">
        <v>7271</v>
      </c>
      <c r="E1564" s="52">
        <v>2</v>
      </c>
      <c r="F1564" s="13">
        <v>45330</v>
      </c>
      <c r="G1564" s="52">
        <v>2</v>
      </c>
      <c r="H1564" s="167"/>
      <c r="I1564" s="12" t="s">
        <v>5433</v>
      </c>
      <c r="J1564" s="52"/>
      <c r="K1564" s="52" t="s">
        <v>5365</v>
      </c>
      <c r="L1564" s="34"/>
    </row>
    <row r="1565" spans="1:22" s="39" customFormat="1" ht="11.25" customHeight="1" x14ac:dyDescent="0.35">
      <c r="A1565" s="52" t="s">
        <v>4832</v>
      </c>
      <c r="B1565" s="80" t="s">
        <v>6225</v>
      </c>
      <c r="C1565" s="282" t="s">
        <v>7272</v>
      </c>
      <c r="D1565" s="63" t="s">
        <v>7273</v>
      </c>
      <c r="E1565" s="52">
        <v>4</v>
      </c>
      <c r="F1565" s="13">
        <v>45330</v>
      </c>
      <c r="G1565" s="52">
        <v>4</v>
      </c>
      <c r="H1565" s="167"/>
      <c r="I1565" s="12" t="s">
        <v>5433</v>
      </c>
      <c r="J1565" s="52"/>
      <c r="K1565" s="52" t="s">
        <v>5365</v>
      </c>
      <c r="L1565" s="34"/>
    </row>
    <row r="1566" spans="1:22" s="39" customFormat="1" ht="11.25" customHeight="1" x14ac:dyDescent="0.35">
      <c r="A1566" s="52" t="s">
        <v>4832</v>
      </c>
      <c r="B1566" s="80" t="s">
        <v>6225</v>
      </c>
      <c r="C1566" s="282" t="s">
        <v>6239</v>
      </c>
      <c r="D1566" s="63" t="s">
        <v>7274</v>
      </c>
      <c r="E1566" s="52">
        <v>1</v>
      </c>
      <c r="F1566" s="13">
        <v>45330</v>
      </c>
      <c r="G1566" s="52">
        <v>1</v>
      </c>
      <c r="H1566" s="167"/>
      <c r="I1566" s="12" t="s">
        <v>5433</v>
      </c>
      <c r="J1566" s="52"/>
      <c r="K1566" s="52" t="s">
        <v>5365</v>
      </c>
      <c r="L1566" s="34"/>
    </row>
    <row r="1567" spans="1:22" s="39" customFormat="1" ht="11.25" customHeight="1" x14ac:dyDescent="0.35">
      <c r="A1567" s="52" t="s">
        <v>4832</v>
      </c>
      <c r="B1567" s="80" t="s">
        <v>6225</v>
      </c>
      <c r="C1567" s="282" t="s">
        <v>7275</v>
      </c>
      <c r="D1567" s="63" t="s">
        <v>7276</v>
      </c>
      <c r="E1567" s="52">
        <v>1</v>
      </c>
      <c r="F1567" s="13">
        <v>45330</v>
      </c>
      <c r="G1567" s="52">
        <v>1</v>
      </c>
      <c r="H1567" s="167"/>
      <c r="I1567" s="12" t="s">
        <v>5433</v>
      </c>
      <c r="J1567" s="52"/>
      <c r="K1567" s="52" t="s">
        <v>5365</v>
      </c>
      <c r="L1567" s="34"/>
    </row>
    <row r="1568" spans="1:22" s="39" customFormat="1" ht="11.25" customHeight="1" x14ac:dyDescent="0.35">
      <c r="A1568" s="52" t="s">
        <v>4832</v>
      </c>
      <c r="B1568" s="80" t="s">
        <v>6225</v>
      </c>
      <c r="C1568" s="282" t="s">
        <v>2440</v>
      </c>
      <c r="D1568" s="63" t="s">
        <v>2441</v>
      </c>
      <c r="E1568" s="52">
        <v>3</v>
      </c>
      <c r="F1568" s="13">
        <v>45330</v>
      </c>
      <c r="G1568" s="52">
        <v>3</v>
      </c>
      <c r="H1568" s="167"/>
      <c r="I1568" s="12" t="s">
        <v>5433</v>
      </c>
      <c r="J1568" s="52"/>
      <c r="K1568" s="52" t="s">
        <v>5365</v>
      </c>
      <c r="L1568" s="34"/>
    </row>
    <row r="1569" spans="1:22" s="39" customFormat="1" ht="11.25" customHeight="1" x14ac:dyDescent="0.35">
      <c r="A1569" s="52" t="s">
        <v>4832</v>
      </c>
      <c r="B1569" s="80" t="s">
        <v>6225</v>
      </c>
      <c r="C1569" s="282" t="s">
        <v>2252</v>
      </c>
      <c r="D1569" s="63" t="s">
        <v>1181</v>
      </c>
      <c r="E1569" s="52">
        <v>6</v>
      </c>
      <c r="F1569" s="13">
        <v>45330</v>
      </c>
      <c r="G1569" s="52">
        <v>6</v>
      </c>
      <c r="H1569" s="167"/>
      <c r="I1569" s="12" t="s">
        <v>5433</v>
      </c>
      <c r="J1569" s="52"/>
      <c r="K1569" s="52" t="s">
        <v>5365</v>
      </c>
      <c r="L1569" s="34"/>
    </row>
    <row r="1570" spans="1:22" s="39" customFormat="1" ht="10.5" x14ac:dyDescent="0.35">
      <c r="A1570" s="52" t="s">
        <v>4917</v>
      </c>
      <c r="B1570" s="80" t="s">
        <v>4917</v>
      </c>
      <c r="C1570" s="282">
        <v>585888503349</v>
      </c>
      <c r="D1570" s="63" t="s">
        <v>7277</v>
      </c>
      <c r="E1570" s="52">
        <v>32</v>
      </c>
      <c r="F1570" s="13">
        <v>45330</v>
      </c>
      <c r="G1570" s="52">
        <v>32</v>
      </c>
      <c r="H1570" s="167">
        <v>45331</v>
      </c>
      <c r="I1570" s="52" t="s">
        <v>6211</v>
      </c>
      <c r="J1570" s="52"/>
      <c r="K1570" s="52" t="s">
        <v>5365</v>
      </c>
    </row>
    <row r="1571" spans="1:22" s="39" customFormat="1" ht="10.5" x14ac:dyDescent="0.35">
      <c r="A1571" s="52" t="s">
        <v>4917</v>
      </c>
      <c r="B1571" s="80" t="s">
        <v>4917</v>
      </c>
      <c r="C1571" s="282">
        <v>585888503350</v>
      </c>
      <c r="D1571" s="63" t="s">
        <v>7278</v>
      </c>
      <c r="E1571" s="52">
        <v>32</v>
      </c>
      <c r="F1571" s="13">
        <v>45330</v>
      </c>
      <c r="G1571" s="52">
        <v>32</v>
      </c>
      <c r="H1571" s="167">
        <v>45331</v>
      </c>
      <c r="I1571" s="52" t="s">
        <v>6211</v>
      </c>
      <c r="J1571" s="52"/>
      <c r="K1571" s="52" t="s">
        <v>5365</v>
      </c>
    </row>
    <row r="1572" spans="1:22" s="39" customFormat="1" ht="21" x14ac:dyDescent="0.35">
      <c r="A1572" s="52" t="s">
        <v>4917</v>
      </c>
      <c r="B1572" s="80" t="s">
        <v>4917</v>
      </c>
      <c r="C1572" s="282">
        <v>585888503351</v>
      </c>
      <c r="D1572" s="63" t="s">
        <v>7279</v>
      </c>
      <c r="E1572" s="52">
        <v>32</v>
      </c>
      <c r="F1572" s="13">
        <v>45330</v>
      </c>
      <c r="G1572" s="52">
        <v>32</v>
      </c>
      <c r="H1572" s="167">
        <v>45331</v>
      </c>
      <c r="I1572" s="52" t="s">
        <v>6211</v>
      </c>
      <c r="J1572" s="52"/>
      <c r="K1572" s="52" t="s">
        <v>5365</v>
      </c>
    </row>
    <row r="1573" spans="1:22" s="39" customFormat="1" ht="10.5" x14ac:dyDescent="0.35">
      <c r="A1573" s="52" t="s">
        <v>4917</v>
      </c>
      <c r="B1573" s="80" t="s">
        <v>4917</v>
      </c>
      <c r="C1573" s="282">
        <v>570618130102</v>
      </c>
      <c r="D1573" s="63" t="s">
        <v>7280</v>
      </c>
      <c r="E1573" s="52">
        <v>2</v>
      </c>
      <c r="F1573" s="13">
        <v>45330</v>
      </c>
      <c r="G1573" s="52">
        <v>2</v>
      </c>
      <c r="H1573" s="167">
        <v>45331</v>
      </c>
      <c r="I1573" s="52" t="s">
        <v>6211</v>
      </c>
      <c r="J1573" s="52"/>
      <c r="K1573" s="52" t="s">
        <v>5365</v>
      </c>
    </row>
    <row r="1574" spans="1:22" s="35" customFormat="1" ht="11.25" customHeight="1" x14ac:dyDescent="0.35">
      <c r="A1574" s="51" t="s">
        <v>4917</v>
      </c>
      <c r="B1574" s="646" t="s">
        <v>4917</v>
      </c>
      <c r="C1574" s="290">
        <v>257354100161</v>
      </c>
      <c r="D1574" s="66" t="s">
        <v>7281</v>
      </c>
      <c r="E1574" s="51">
        <v>1</v>
      </c>
      <c r="F1574" s="20">
        <v>45330</v>
      </c>
      <c r="G1574" s="51"/>
      <c r="H1574" s="174"/>
      <c r="I1574" s="51"/>
      <c r="J1574" s="51"/>
      <c r="K1574" s="51" t="s">
        <v>5338</v>
      </c>
      <c r="L1574" s="34"/>
      <c r="M1574" s="34"/>
      <c r="N1574" s="34"/>
      <c r="O1574" s="34"/>
      <c r="P1574" s="34"/>
      <c r="Q1574" s="34"/>
      <c r="R1574" s="34"/>
      <c r="S1574" s="34"/>
      <c r="T1574" s="34"/>
      <c r="U1574" s="34"/>
      <c r="V1574" s="34"/>
    </row>
    <row r="1575" spans="1:22" s="35" customFormat="1" ht="11.25" customHeight="1" x14ac:dyDescent="0.35">
      <c r="A1575" s="51" t="s">
        <v>4917</v>
      </c>
      <c r="B1575" s="646" t="s">
        <v>4917</v>
      </c>
      <c r="C1575" s="290">
        <v>263258408209</v>
      </c>
      <c r="D1575" s="66" t="s">
        <v>5132</v>
      </c>
      <c r="E1575" s="51">
        <v>5</v>
      </c>
      <c r="F1575" s="20">
        <v>45330</v>
      </c>
      <c r="G1575" s="51"/>
      <c r="H1575" s="174"/>
      <c r="I1575" s="51"/>
      <c r="J1575" s="51"/>
      <c r="K1575" s="51" t="s">
        <v>5338</v>
      </c>
      <c r="L1575" s="34"/>
      <c r="M1575" s="34"/>
      <c r="N1575" s="34"/>
      <c r="O1575" s="34"/>
      <c r="P1575" s="34"/>
      <c r="Q1575" s="34"/>
      <c r="R1575" s="34"/>
      <c r="S1575" s="34"/>
      <c r="T1575" s="34"/>
      <c r="U1575" s="34"/>
      <c r="V1575" s="34"/>
    </row>
    <row r="1576" spans="1:22" s="35" customFormat="1" ht="11.25" customHeight="1" x14ac:dyDescent="0.35">
      <c r="A1576" s="51" t="s">
        <v>4917</v>
      </c>
      <c r="B1576" s="646" t="s">
        <v>4917</v>
      </c>
      <c r="C1576" s="290">
        <v>12301500805</v>
      </c>
      <c r="D1576" s="66" t="s">
        <v>7282</v>
      </c>
      <c r="E1576" s="51">
        <v>64</v>
      </c>
      <c r="F1576" s="20">
        <v>45330</v>
      </c>
      <c r="G1576" s="51"/>
      <c r="H1576" s="174"/>
      <c r="I1576" s="51"/>
      <c r="J1576" s="51"/>
      <c r="K1576" s="51" t="s">
        <v>5338</v>
      </c>
      <c r="L1576" s="34"/>
      <c r="M1576" s="34"/>
      <c r="N1576" s="34"/>
      <c r="O1576" s="34"/>
      <c r="P1576" s="34"/>
      <c r="Q1576" s="34"/>
      <c r="R1576" s="34"/>
      <c r="S1576" s="34"/>
      <c r="T1576" s="34"/>
      <c r="U1576" s="34"/>
      <c r="V1576" s="34"/>
    </row>
    <row r="1577" spans="1:22" s="35" customFormat="1" ht="11.25" customHeight="1" x14ac:dyDescent="0.35">
      <c r="A1577" s="51" t="s">
        <v>4917</v>
      </c>
      <c r="B1577" s="646" t="s">
        <v>4917</v>
      </c>
      <c r="C1577" s="290">
        <v>11347596142</v>
      </c>
      <c r="D1577" s="66" t="s">
        <v>7283</v>
      </c>
      <c r="E1577" s="51">
        <v>96</v>
      </c>
      <c r="F1577" s="20">
        <v>45330</v>
      </c>
      <c r="G1577" s="51"/>
      <c r="H1577" s="174"/>
      <c r="I1577" s="51"/>
      <c r="J1577" s="51"/>
      <c r="K1577" s="51" t="s">
        <v>5338</v>
      </c>
      <c r="L1577" s="34"/>
      <c r="M1577" s="34"/>
      <c r="N1577" s="34"/>
      <c r="O1577" s="34"/>
      <c r="P1577" s="34"/>
      <c r="Q1577" s="34"/>
      <c r="R1577" s="34"/>
      <c r="S1577" s="34"/>
      <c r="T1577" s="34"/>
      <c r="U1577" s="34"/>
      <c r="V1577" s="34"/>
    </row>
    <row r="1578" spans="1:22" s="35" customFormat="1" ht="11.25" customHeight="1" x14ac:dyDescent="0.35">
      <c r="A1578" s="51" t="s">
        <v>4917</v>
      </c>
      <c r="B1578" s="646" t="s">
        <v>4917</v>
      </c>
      <c r="C1578" s="290">
        <v>11341508250</v>
      </c>
      <c r="D1578" s="66" t="s">
        <v>7284</v>
      </c>
      <c r="E1578" s="51">
        <v>64</v>
      </c>
      <c r="F1578" s="20">
        <v>45330</v>
      </c>
      <c r="G1578" s="51"/>
      <c r="H1578" s="174"/>
      <c r="I1578" s="51"/>
      <c r="J1578" s="51"/>
      <c r="K1578" s="51" t="s">
        <v>5338</v>
      </c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</row>
    <row r="1579" spans="1:22" s="35" customFormat="1" ht="11.25" customHeight="1" x14ac:dyDescent="0.35">
      <c r="A1579" s="51" t="s">
        <v>4917</v>
      </c>
      <c r="B1579" s="646" t="s">
        <v>4917</v>
      </c>
      <c r="C1579" s="290">
        <v>12302996081</v>
      </c>
      <c r="D1579" s="66" t="s">
        <v>7282</v>
      </c>
      <c r="E1579" s="51">
        <v>96</v>
      </c>
      <c r="F1579" s="20">
        <v>45330</v>
      </c>
      <c r="G1579" s="51"/>
      <c r="H1579" s="174"/>
      <c r="I1579" s="51"/>
      <c r="J1579" s="51"/>
      <c r="K1579" s="51" t="s">
        <v>5338</v>
      </c>
      <c r="L1579" s="34"/>
      <c r="M1579" s="34"/>
      <c r="N1579" s="34"/>
      <c r="O1579" s="34"/>
      <c r="P1579" s="34"/>
      <c r="Q1579" s="34"/>
      <c r="R1579" s="34"/>
      <c r="S1579" s="34"/>
      <c r="T1579" s="34"/>
      <c r="U1579" s="34"/>
      <c r="V1579" s="34"/>
    </row>
    <row r="1580" spans="1:22" s="35" customFormat="1" ht="11.25" customHeight="1" x14ac:dyDescent="0.35">
      <c r="A1580" s="51" t="s">
        <v>4917</v>
      </c>
      <c r="B1580" s="646" t="s">
        <v>4917</v>
      </c>
      <c r="C1580" s="290">
        <v>282132106701</v>
      </c>
      <c r="D1580" s="66" t="s">
        <v>7285</v>
      </c>
      <c r="E1580" s="51">
        <v>1</v>
      </c>
      <c r="F1580" s="20">
        <v>45330</v>
      </c>
      <c r="G1580" s="51"/>
      <c r="H1580" s="174"/>
      <c r="I1580" s="51"/>
      <c r="J1580" s="51"/>
      <c r="K1580" s="51" t="s">
        <v>5338</v>
      </c>
      <c r="L1580" s="34"/>
      <c r="M1580" s="34"/>
      <c r="N1580" s="34"/>
      <c r="O1580" s="34"/>
      <c r="P1580" s="34"/>
      <c r="Q1580" s="34"/>
      <c r="R1580" s="34"/>
      <c r="S1580" s="34"/>
      <c r="T1580" s="34"/>
      <c r="U1580" s="34"/>
      <c r="V1580" s="34"/>
    </row>
    <row r="1581" spans="1:22" s="35" customFormat="1" ht="11.25" customHeight="1" x14ac:dyDescent="0.35">
      <c r="A1581" s="51" t="s">
        <v>4917</v>
      </c>
      <c r="B1581" s="646" t="s">
        <v>4917</v>
      </c>
      <c r="C1581" s="290">
        <v>12355196071</v>
      </c>
      <c r="D1581" s="66" t="s">
        <v>1264</v>
      </c>
      <c r="E1581" s="51">
        <v>96</v>
      </c>
      <c r="F1581" s="20">
        <v>45330</v>
      </c>
      <c r="G1581" s="51"/>
      <c r="H1581" s="174"/>
      <c r="I1581" s="51"/>
      <c r="J1581" s="51"/>
      <c r="K1581" s="51" t="s">
        <v>5338</v>
      </c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  <c r="V1581" s="34"/>
    </row>
    <row r="1582" spans="1:22" s="35" customFormat="1" ht="11.25" customHeight="1" x14ac:dyDescent="0.35">
      <c r="A1582" s="51" t="s">
        <v>4917</v>
      </c>
      <c r="B1582" s="646" t="s">
        <v>4917</v>
      </c>
      <c r="C1582" s="290">
        <v>11406706208</v>
      </c>
      <c r="D1582" s="66" t="s">
        <v>7286</v>
      </c>
      <c r="E1582" s="51">
        <v>100</v>
      </c>
      <c r="F1582" s="20">
        <v>45330</v>
      </c>
      <c r="G1582" s="51"/>
      <c r="H1582" s="174"/>
      <c r="I1582" s="51"/>
      <c r="J1582" s="51"/>
      <c r="K1582" s="51" t="s">
        <v>5338</v>
      </c>
      <c r="L1582" s="34"/>
      <c r="M1582" s="34"/>
      <c r="N1582" s="34"/>
      <c r="O1582" s="34"/>
      <c r="P1582" s="34"/>
      <c r="Q1582" s="34"/>
      <c r="R1582" s="34"/>
      <c r="S1582" s="34"/>
      <c r="T1582" s="34"/>
      <c r="U1582" s="34"/>
      <c r="V1582" s="34"/>
    </row>
    <row r="1583" spans="1:22" s="35" customFormat="1" ht="11.25" customHeight="1" x14ac:dyDescent="0.35">
      <c r="A1583" s="51" t="s">
        <v>4917</v>
      </c>
      <c r="B1583" s="646" t="s">
        <v>4917</v>
      </c>
      <c r="C1583" s="290">
        <v>12303096050</v>
      </c>
      <c r="D1583" s="66" t="s">
        <v>7282</v>
      </c>
      <c r="E1583" s="51">
        <v>128</v>
      </c>
      <c r="F1583" s="20">
        <v>45330</v>
      </c>
      <c r="G1583" s="51"/>
      <c r="H1583" s="174"/>
      <c r="I1583" s="51"/>
      <c r="J1583" s="51"/>
      <c r="K1583" s="51" t="s">
        <v>5338</v>
      </c>
      <c r="L1583" s="34"/>
      <c r="M1583" s="34"/>
      <c r="N1583" s="34"/>
      <c r="O1583" s="34"/>
      <c r="P1583" s="34"/>
      <c r="Q1583" s="34"/>
      <c r="R1583" s="34"/>
      <c r="S1583" s="34"/>
      <c r="T1583" s="34"/>
      <c r="U1583" s="34"/>
      <c r="V1583" s="34"/>
    </row>
    <row r="1584" spans="1:22" s="35" customFormat="1" ht="11.25" customHeight="1" x14ac:dyDescent="0.35">
      <c r="A1584" s="51" t="s">
        <v>4917</v>
      </c>
      <c r="B1584" s="646" t="s">
        <v>4917</v>
      </c>
      <c r="C1584" s="290">
        <v>11347796010</v>
      </c>
      <c r="D1584" s="66" t="s">
        <v>7287</v>
      </c>
      <c r="E1584" s="51">
        <v>128</v>
      </c>
      <c r="F1584" s="20">
        <v>45330</v>
      </c>
      <c r="G1584" s="51"/>
      <c r="H1584" s="174"/>
      <c r="I1584" s="51"/>
      <c r="J1584" s="51"/>
      <c r="K1584" s="51" t="s">
        <v>5338</v>
      </c>
      <c r="L1584" s="34"/>
      <c r="M1584" s="34"/>
      <c r="N1584" s="34"/>
      <c r="O1584" s="34"/>
      <c r="P1584" s="34"/>
      <c r="Q1584" s="34"/>
      <c r="R1584" s="34"/>
      <c r="S1584" s="34"/>
      <c r="T1584" s="34"/>
      <c r="U1584" s="34"/>
      <c r="V1584" s="34"/>
    </row>
    <row r="1585" spans="1:22" s="39" customFormat="1" ht="11.25" customHeight="1" x14ac:dyDescent="0.35">
      <c r="A1585" s="52" t="s">
        <v>4832</v>
      </c>
      <c r="B1585" s="80" t="s">
        <v>71</v>
      </c>
      <c r="C1585" s="282" t="s">
        <v>2074</v>
      </c>
      <c r="D1585" s="63" t="s">
        <v>7288</v>
      </c>
      <c r="E1585" s="52">
        <v>1</v>
      </c>
      <c r="F1585" s="13">
        <v>45335</v>
      </c>
      <c r="G1585" s="52">
        <v>1</v>
      </c>
      <c r="H1585" s="167">
        <v>45335</v>
      </c>
      <c r="I1585" s="52" t="s">
        <v>5433</v>
      </c>
      <c r="J1585" s="52"/>
      <c r="K1585" s="52" t="s">
        <v>5365</v>
      </c>
    </row>
    <row r="1586" spans="1:22" s="35" customFormat="1" ht="11.25" customHeight="1" x14ac:dyDescent="0.35">
      <c r="A1586" s="52" t="s">
        <v>4832</v>
      </c>
      <c r="B1586" s="80" t="s">
        <v>71</v>
      </c>
      <c r="C1586" s="282" t="s">
        <v>2107</v>
      </c>
      <c r="D1586" s="63" t="s">
        <v>7289</v>
      </c>
      <c r="E1586" s="52">
        <v>1</v>
      </c>
      <c r="F1586" s="13">
        <v>45335</v>
      </c>
      <c r="G1586" s="52">
        <v>1</v>
      </c>
      <c r="H1586" s="167">
        <v>45345</v>
      </c>
      <c r="I1586" s="52" t="s">
        <v>6479</v>
      </c>
      <c r="J1586" s="52"/>
      <c r="K1586" s="52" t="s">
        <v>5365</v>
      </c>
      <c r="L1586" s="34"/>
      <c r="M1586" s="34"/>
      <c r="N1586" s="34"/>
      <c r="O1586" s="34"/>
      <c r="P1586" s="34"/>
      <c r="Q1586" s="34"/>
      <c r="R1586" s="34"/>
      <c r="S1586" s="34"/>
      <c r="T1586" s="34"/>
      <c r="U1586" s="34"/>
      <c r="V1586" s="34"/>
    </row>
    <row r="1587" spans="1:22" s="35" customFormat="1" ht="11.25" customHeight="1" x14ac:dyDescent="0.35">
      <c r="A1587" s="52" t="s">
        <v>4832</v>
      </c>
      <c r="B1587" s="80" t="s">
        <v>71</v>
      </c>
      <c r="C1587" s="282" t="s">
        <v>2104</v>
      </c>
      <c r="D1587" s="63" t="s">
        <v>7290</v>
      </c>
      <c r="E1587" s="52">
        <v>1</v>
      </c>
      <c r="F1587" s="13">
        <v>45335</v>
      </c>
      <c r="G1587" s="52">
        <v>1</v>
      </c>
      <c r="H1587" s="167">
        <v>45345</v>
      </c>
      <c r="I1587" s="52" t="s">
        <v>6479</v>
      </c>
      <c r="J1587" s="52"/>
      <c r="K1587" s="52" t="s">
        <v>5365</v>
      </c>
      <c r="L1587" s="34"/>
      <c r="M1587" s="34"/>
      <c r="N1587" s="34"/>
      <c r="O1587" s="34"/>
      <c r="P1587" s="34"/>
      <c r="Q1587" s="34"/>
      <c r="R1587" s="34"/>
      <c r="S1587" s="34"/>
      <c r="T1587" s="34"/>
      <c r="U1587" s="34"/>
      <c r="V1587" s="34"/>
    </row>
    <row r="1588" spans="1:22" s="35" customFormat="1" ht="11.25" customHeight="1" x14ac:dyDescent="0.35">
      <c r="A1588" s="52" t="s">
        <v>4832</v>
      </c>
      <c r="B1588" s="80" t="s">
        <v>71</v>
      </c>
      <c r="C1588" s="282" t="s">
        <v>2094</v>
      </c>
      <c r="D1588" s="63" t="s">
        <v>7291</v>
      </c>
      <c r="E1588" s="52">
        <v>1</v>
      </c>
      <c r="F1588" s="13">
        <v>45335</v>
      </c>
      <c r="G1588" s="52">
        <v>1</v>
      </c>
      <c r="H1588" s="167">
        <v>45345</v>
      </c>
      <c r="I1588" s="52" t="s">
        <v>6479</v>
      </c>
      <c r="J1588" s="52"/>
      <c r="K1588" s="52" t="s">
        <v>5365</v>
      </c>
      <c r="L1588" s="34"/>
      <c r="M1588" s="34"/>
      <c r="N1588" s="34"/>
      <c r="O1588" s="34"/>
      <c r="P1588" s="34"/>
      <c r="Q1588" s="34"/>
      <c r="R1588" s="34"/>
      <c r="S1588" s="34"/>
      <c r="T1588" s="34"/>
      <c r="U1588" s="34"/>
      <c r="V1588" s="34"/>
    </row>
    <row r="1589" spans="1:22" s="35" customFormat="1" ht="11.25" customHeight="1" x14ac:dyDescent="0.35">
      <c r="A1589" s="51" t="s">
        <v>4832</v>
      </c>
      <c r="B1589" s="646" t="s">
        <v>71</v>
      </c>
      <c r="C1589" s="290" t="s">
        <v>7292</v>
      </c>
      <c r="D1589" s="66" t="s">
        <v>7293</v>
      </c>
      <c r="E1589" s="50">
        <v>2</v>
      </c>
      <c r="F1589" s="20">
        <v>45335</v>
      </c>
      <c r="G1589" s="51"/>
      <c r="H1589" s="174"/>
      <c r="I1589" s="51"/>
      <c r="J1589" s="51"/>
      <c r="K1589" s="51" t="s">
        <v>5338</v>
      </c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  <c r="V1589" s="34"/>
    </row>
    <row r="1590" spans="1:22" s="35" customFormat="1" ht="11.25" customHeight="1" x14ac:dyDescent="0.35">
      <c r="A1590" s="52" t="s">
        <v>4832</v>
      </c>
      <c r="B1590" s="80" t="s">
        <v>71</v>
      </c>
      <c r="C1590" s="282" t="s">
        <v>2098</v>
      </c>
      <c r="D1590" s="63" t="s">
        <v>7294</v>
      </c>
      <c r="E1590" s="52">
        <v>1</v>
      </c>
      <c r="F1590" s="13">
        <v>45335</v>
      </c>
      <c r="G1590" s="52">
        <v>1</v>
      </c>
      <c r="H1590" s="167">
        <v>45345</v>
      </c>
      <c r="I1590" s="52"/>
      <c r="J1590" s="52"/>
      <c r="K1590" s="52" t="s">
        <v>5365</v>
      </c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  <c r="V1590" s="34"/>
    </row>
    <row r="1591" spans="1:22" s="44" customFormat="1" ht="11.25" customHeight="1" x14ac:dyDescent="0.35">
      <c r="A1591" s="52" t="s">
        <v>4832</v>
      </c>
      <c r="B1591" s="80" t="s">
        <v>71</v>
      </c>
      <c r="C1591" s="282" t="s">
        <v>2084</v>
      </c>
      <c r="D1591" s="63" t="s">
        <v>7295</v>
      </c>
      <c r="E1591" s="52">
        <v>20</v>
      </c>
      <c r="F1591" s="13">
        <v>45335</v>
      </c>
      <c r="G1591" s="52" t="s">
        <v>7296</v>
      </c>
      <c r="H1591" s="167" t="s">
        <v>7297</v>
      </c>
      <c r="I1591" s="52" t="s">
        <v>7298</v>
      </c>
      <c r="J1591" s="52"/>
      <c r="K1591" s="52" t="s">
        <v>5365</v>
      </c>
    </row>
    <row r="1592" spans="1:22" s="44" customFormat="1" ht="11.25" customHeight="1" x14ac:dyDescent="0.35">
      <c r="A1592" s="52" t="s">
        <v>4832</v>
      </c>
      <c r="B1592" s="80" t="s">
        <v>71</v>
      </c>
      <c r="C1592" s="282" t="s">
        <v>2080</v>
      </c>
      <c r="D1592" s="63" t="s">
        <v>7299</v>
      </c>
      <c r="E1592" s="52">
        <v>20</v>
      </c>
      <c r="F1592" s="13">
        <v>45335</v>
      </c>
      <c r="G1592" s="52" t="s">
        <v>7300</v>
      </c>
      <c r="H1592" s="167" t="s">
        <v>7301</v>
      </c>
      <c r="I1592" s="52" t="s">
        <v>7302</v>
      </c>
      <c r="J1592" s="52"/>
      <c r="K1592" s="52" t="s">
        <v>5365</v>
      </c>
    </row>
    <row r="1593" spans="1:22" s="39" customFormat="1" ht="11.25" customHeight="1" x14ac:dyDescent="0.35">
      <c r="A1593" s="52" t="s">
        <v>4832</v>
      </c>
      <c r="B1593" s="80" t="s">
        <v>71</v>
      </c>
      <c r="C1593" s="282" t="s">
        <v>2110</v>
      </c>
      <c r="D1593" s="63" t="s">
        <v>6630</v>
      </c>
      <c r="E1593" s="52">
        <v>5</v>
      </c>
      <c r="F1593" s="13">
        <v>45335</v>
      </c>
      <c r="G1593" s="52"/>
      <c r="H1593" s="167"/>
      <c r="I1593" s="52" t="s">
        <v>6227</v>
      </c>
      <c r="J1593" s="52"/>
      <c r="K1593" s="52" t="s">
        <v>5365</v>
      </c>
      <c r="L1593" s="34"/>
    </row>
    <row r="1594" spans="1:22" s="35" customFormat="1" ht="11.25" customHeight="1" x14ac:dyDescent="0.35">
      <c r="A1594" s="51" t="s">
        <v>4832</v>
      </c>
      <c r="B1594" s="646" t="s">
        <v>71</v>
      </c>
      <c r="C1594" s="290" t="s">
        <v>2125</v>
      </c>
      <c r="D1594" s="66" t="s">
        <v>7303</v>
      </c>
      <c r="E1594" s="51">
        <v>1</v>
      </c>
      <c r="F1594" s="20">
        <v>45335</v>
      </c>
      <c r="G1594" s="51"/>
      <c r="H1594" s="174"/>
      <c r="I1594" s="51"/>
      <c r="J1594" s="51"/>
      <c r="K1594" s="51" t="s">
        <v>5338</v>
      </c>
      <c r="L1594" s="34"/>
      <c r="M1594" s="34"/>
      <c r="N1594" s="34"/>
      <c r="O1594" s="34"/>
      <c r="P1594" s="34"/>
      <c r="Q1594" s="34"/>
      <c r="R1594" s="34"/>
      <c r="S1594" s="34"/>
      <c r="T1594" s="34"/>
      <c r="U1594" s="34"/>
      <c r="V1594" s="34"/>
    </row>
    <row r="1595" spans="1:22" s="35" customFormat="1" ht="11.25" customHeight="1" x14ac:dyDescent="0.35">
      <c r="A1595" s="52" t="s">
        <v>4832</v>
      </c>
      <c r="B1595" s="80" t="s">
        <v>71</v>
      </c>
      <c r="C1595" s="282" t="s">
        <v>2122</v>
      </c>
      <c r="D1595" s="63" t="s">
        <v>7304</v>
      </c>
      <c r="E1595" s="52">
        <v>4</v>
      </c>
      <c r="F1595" s="13">
        <v>45335</v>
      </c>
      <c r="G1595" s="52">
        <v>4</v>
      </c>
      <c r="H1595" s="167">
        <v>45345</v>
      </c>
      <c r="I1595" s="52" t="s">
        <v>6479</v>
      </c>
      <c r="J1595" s="52"/>
      <c r="K1595" s="52" t="s">
        <v>5365</v>
      </c>
      <c r="L1595" s="34"/>
      <c r="M1595" s="34"/>
      <c r="N1595" s="34"/>
      <c r="O1595" s="34"/>
      <c r="P1595" s="34"/>
      <c r="Q1595" s="34"/>
      <c r="R1595" s="34"/>
      <c r="S1595" s="34"/>
      <c r="T1595" s="34"/>
      <c r="U1595" s="34"/>
      <c r="V1595" s="34"/>
    </row>
    <row r="1596" spans="1:22" s="44" customFormat="1" ht="11.25" customHeight="1" x14ac:dyDescent="0.35">
      <c r="A1596" s="54" t="s">
        <v>4832</v>
      </c>
      <c r="B1596" s="643" t="s">
        <v>71</v>
      </c>
      <c r="C1596" s="287" t="s">
        <v>2119</v>
      </c>
      <c r="D1596" s="78" t="s">
        <v>7305</v>
      </c>
      <c r="E1596" s="54">
        <v>20</v>
      </c>
      <c r="F1596" s="18" t="s">
        <v>7306</v>
      </c>
      <c r="G1596" s="54" t="s">
        <v>7307</v>
      </c>
      <c r="H1596" s="172" t="s">
        <v>7308</v>
      </c>
      <c r="I1596" s="54" t="s">
        <v>7309</v>
      </c>
      <c r="J1596" s="54"/>
      <c r="K1596" s="54" t="s">
        <v>5511</v>
      </c>
      <c r="L1596" s="34"/>
    </row>
    <row r="1597" spans="1:22" s="35" customFormat="1" ht="11.25" customHeight="1" x14ac:dyDescent="0.35">
      <c r="A1597" s="51" t="s">
        <v>4832</v>
      </c>
      <c r="B1597" s="646" t="s">
        <v>71</v>
      </c>
      <c r="C1597" s="290" t="s">
        <v>672</v>
      </c>
      <c r="D1597" s="66" t="s">
        <v>161</v>
      </c>
      <c r="E1597" s="51">
        <v>10</v>
      </c>
      <c r="F1597" s="20">
        <v>45335</v>
      </c>
      <c r="G1597" s="51"/>
      <c r="H1597" s="174"/>
      <c r="I1597" s="51"/>
      <c r="J1597" s="51"/>
      <c r="K1597" s="51" t="s">
        <v>5338</v>
      </c>
      <c r="L1597" s="34"/>
      <c r="M1597" s="34"/>
      <c r="N1597" s="34"/>
      <c r="O1597" s="34"/>
      <c r="P1597" s="34"/>
      <c r="Q1597" s="34"/>
      <c r="R1597" s="34"/>
      <c r="S1597" s="34"/>
      <c r="T1597" s="34"/>
      <c r="U1597" s="34"/>
      <c r="V1597" s="34"/>
    </row>
    <row r="1598" spans="1:22" s="35" customFormat="1" ht="11.25" customHeight="1" x14ac:dyDescent="0.35">
      <c r="A1598" s="51" t="s">
        <v>4832</v>
      </c>
      <c r="B1598" s="646" t="s">
        <v>71</v>
      </c>
      <c r="C1598" s="290" t="s">
        <v>2087</v>
      </c>
      <c r="D1598" s="66" t="s">
        <v>161</v>
      </c>
      <c r="E1598" s="51">
        <v>1</v>
      </c>
      <c r="F1598" s="20">
        <v>45335</v>
      </c>
      <c r="G1598" s="51"/>
      <c r="H1598" s="174"/>
      <c r="I1598" s="51"/>
      <c r="J1598" s="51"/>
      <c r="K1598" s="51" t="s">
        <v>5338</v>
      </c>
      <c r="L1598" s="34"/>
      <c r="M1598" s="34"/>
      <c r="N1598" s="34"/>
      <c r="O1598" s="34"/>
      <c r="P1598" s="34"/>
      <c r="Q1598" s="34"/>
      <c r="R1598" s="34"/>
      <c r="S1598" s="34"/>
      <c r="T1598" s="34"/>
      <c r="U1598" s="34"/>
      <c r="V1598" s="34"/>
    </row>
    <row r="1599" spans="1:22" s="39" customFormat="1" ht="11.25" customHeight="1" x14ac:dyDescent="0.35">
      <c r="A1599" s="52" t="s">
        <v>4832</v>
      </c>
      <c r="B1599" s="80" t="s">
        <v>71</v>
      </c>
      <c r="C1599" s="282" t="s">
        <v>2091</v>
      </c>
      <c r="D1599" s="63" t="s">
        <v>7310</v>
      </c>
      <c r="E1599" s="52">
        <v>4</v>
      </c>
      <c r="F1599" s="13">
        <v>45335</v>
      </c>
      <c r="G1599" s="52">
        <v>4</v>
      </c>
      <c r="H1599" s="167"/>
      <c r="I1599" s="52" t="s">
        <v>7311</v>
      </c>
      <c r="J1599" s="52"/>
      <c r="K1599" s="52" t="s">
        <v>5365</v>
      </c>
      <c r="L1599" s="34"/>
    </row>
    <row r="1600" spans="1:22" s="35" customFormat="1" ht="11.25" customHeight="1" x14ac:dyDescent="0.35">
      <c r="A1600" s="52" t="s">
        <v>4832</v>
      </c>
      <c r="B1600" s="80" t="s">
        <v>71</v>
      </c>
      <c r="C1600" s="282" t="s">
        <v>2077</v>
      </c>
      <c r="D1600" s="63" t="s">
        <v>7312</v>
      </c>
      <c r="E1600" s="52">
        <v>1</v>
      </c>
      <c r="F1600" s="13">
        <v>45335</v>
      </c>
      <c r="G1600" s="52">
        <v>1</v>
      </c>
      <c r="H1600" s="167">
        <v>45345</v>
      </c>
      <c r="I1600" s="52" t="s">
        <v>6479</v>
      </c>
      <c r="J1600" s="52"/>
      <c r="K1600" s="52" t="s">
        <v>5365</v>
      </c>
      <c r="L1600" s="34"/>
      <c r="M1600" s="34"/>
      <c r="N1600" s="34"/>
      <c r="O1600" s="34"/>
      <c r="P1600" s="34"/>
      <c r="Q1600" s="34"/>
      <c r="R1600" s="34"/>
      <c r="S1600" s="34"/>
      <c r="T1600" s="34"/>
      <c r="U1600" s="34"/>
      <c r="V1600" s="34"/>
    </row>
    <row r="1601" spans="1:22" s="35" customFormat="1" ht="11.25" customHeight="1" x14ac:dyDescent="0.35">
      <c r="A1601" s="52" t="s">
        <v>4832</v>
      </c>
      <c r="B1601" s="80" t="s">
        <v>71</v>
      </c>
      <c r="C1601" s="282" t="s">
        <v>2101</v>
      </c>
      <c r="D1601" s="63" t="s">
        <v>7313</v>
      </c>
      <c r="E1601" s="52">
        <v>1</v>
      </c>
      <c r="F1601" s="13">
        <v>45335</v>
      </c>
      <c r="G1601" s="52">
        <v>1</v>
      </c>
      <c r="H1601" s="167">
        <v>45345</v>
      </c>
      <c r="I1601" s="52" t="s">
        <v>6479</v>
      </c>
      <c r="J1601" s="52"/>
      <c r="K1601" s="52" t="s">
        <v>5365</v>
      </c>
      <c r="L1601" s="34"/>
      <c r="M1601" s="34"/>
      <c r="N1601" s="34"/>
      <c r="O1601" s="34"/>
      <c r="P1601" s="34"/>
      <c r="Q1601" s="34"/>
      <c r="R1601" s="34"/>
      <c r="S1601" s="34"/>
      <c r="T1601" s="34"/>
      <c r="U1601" s="34"/>
      <c r="V1601" s="34"/>
    </row>
    <row r="1602" spans="1:22" s="35" customFormat="1" ht="11.25" customHeight="1" x14ac:dyDescent="0.35">
      <c r="A1602" s="51" t="s">
        <v>6471</v>
      </c>
      <c r="B1602" s="646" t="s">
        <v>5763</v>
      </c>
      <c r="C1602" s="290">
        <v>1529698</v>
      </c>
      <c r="D1602" s="66" t="s">
        <v>7314</v>
      </c>
      <c r="E1602" s="51">
        <v>3</v>
      </c>
      <c r="F1602" s="20">
        <v>45337</v>
      </c>
      <c r="G1602" s="51"/>
      <c r="H1602" s="174"/>
      <c r="I1602" s="51"/>
      <c r="J1602" s="51"/>
      <c r="K1602" s="51" t="s">
        <v>5338</v>
      </c>
      <c r="L1602" s="34"/>
      <c r="M1602" s="34"/>
      <c r="N1602" s="34"/>
      <c r="O1602" s="34"/>
      <c r="P1602" s="34"/>
      <c r="Q1602" s="34"/>
      <c r="R1602" s="34"/>
      <c r="S1602" s="34"/>
      <c r="T1602" s="34"/>
      <c r="U1602" s="34"/>
      <c r="V1602" s="34"/>
    </row>
    <row r="1603" spans="1:22" s="35" customFormat="1" ht="11.25" customHeight="1" x14ac:dyDescent="0.35">
      <c r="A1603" s="51" t="s">
        <v>6471</v>
      </c>
      <c r="B1603" s="646" t="s">
        <v>5763</v>
      </c>
      <c r="C1603" s="290">
        <v>1740275</v>
      </c>
      <c r="D1603" s="66" t="s">
        <v>7265</v>
      </c>
      <c r="E1603" s="51">
        <v>10</v>
      </c>
      <c r="F1603" s="20">
        <v>45337</v>
      </c>
      <c r="G1603" s="51"/>
      <c r="H1603" s="174"/>
      <c r="I1603" s="51"/>
      <c r="J1603" s="51"/>
      <c r="K1603" s="51" t="s">
        <v>5338</v>
      </c>
      <c r="L1603" s="34"/>
      <c r="M1603" s="34"/>
      <c r="N1603" s="34"/>
      <c r="O1603" s="34"/>
      <c r="P1603" s="34"/>
      <c r="Q1603" s="34"/>
      <c r="R1603" s="34"/>
      <c r="S1603" s="34"/>
      <c r="T1603" s="34"/>
      <c r="U1603" s="34"/>
      <c r="V1603" s="34"/>
    </row>
    <row r="1604" spans="1:22" s="44" customFormat="1" ht="11.25" customHeight="1" x14ac:dyDescent="0.35">
      <c r="A1604" s="54" t="s">
        <v>6471</v>
      </c>
      <c r="B1604" s="643" t="s">
        <v>5763</v>
      </c>
      <c r="C1604" s="287">
        <v>182931</v>
      </c>
      <c r="D1604" s="78" t="s">
        <v>7315</v>
      </c>
      <c r="E1604" s="54">
        <v>20</v>
      </c>
      <c r="F1604" s="18">
        <v>45337</v>
      </c>
      <c r="G1604" s="54" t="s">
        <v>7316</v>
      </c>
      <c r="H1604" s="172">
        <v>45364</v>
      </c>
      <c r="I1604" s="54" t="s">
        <v>7317</v>
      </c>
      <c r="J1604" s="54"/>
      <c r="K1604" s="54" t="s">
        <v>5511</v>
      </c>
    </row>
    <row r="1605" spans="1:22" s="35" customFormat="1" ht="11.25" customHeight="1" x14ac:dyDescent="0.35">
      <c r="A1605" s="51" t="s">
        <v>6471</v>
      </c>
      <c r="B1605" s="646" t="s">
        <v>5763</v>
      </c>
      <c r="C1605" s="290">
        <v>805976</v>
      </c>
      <c r="D1605" s="66" t="s">
        <v>5060</v>
      </c>
      <c r="E1605" s="51">
        <v>20</v>
      </c>
      <c r="F1605" s="20">
        <v>45337</v>
      </c>
      <c r="G1605" s="51"/>
      <c r="H1605" s="174"/>
      <c r="I1605" s="51"/>
      <c r="J1605" s="51"/>
      <c r="K1605" s="51" t="s">
        <v>5338</v>
      </c>
      <c r="L1605" s="34"/>
      <c r="M1605" s="34"/>
      <c r="N1605" s="34"/>
      <c r="O1605" s="34"/>
      <c r="P1605" s="34"/>
      <c r="Q1605" s="34"/>
      <c r="R1605" s="34"/>
      <c r="S1605" s="34"/>
      <c r="T1605" s="34"/>
      <c r="U1605" s="34"/>
      <c r="V1605" s="34"/>
    </row>
    <row r="1606" spans="1:22" s="35" customFormat="1" ht="11.25" customHeight="1" x14ac:dyDescent="0.35">
      <c r="A1606" s="51" t="s">
        <v>6471</v>
      </c>
      <c r="B1606" s="646" t="s">
        <v>5763</v>
      </c>
      <c r="C1606" s="290">
        <v>2468490</v>
      </c>
      <c r="D1606" s="66" t="s">
        <v>6852</v>
      </c>
      <c r="E1606" s="51">
        <v>1</v>
      </c>
      <c r="F1606" s="20">
        <v>45337</v>
      </c>
      <c r="G1606" s="51"/>
      <c r="H1606" s="174"/>
      <c r="I1606" s="51"/>
      <c r="J1606" s="51"/>
      <c r="K1606" s="51" t="s">
        <v>5338</v>
      </c>
      <c r="L1606" s="34"/>
      <c r="M1606" s="34"/>
      <c r="N1606" s="34"/>
      <c r="O1606" s="34"/>
      <c r="P1606" s="34"/>
      <c r="Q1606" s="34"/>
      <c r="R1606" s="34"/>
      <c r="S1606" s="34"/>
      <c r="T1606" s="34"/>
      <c r="U1606" s="34"/>
      <c r="V1606" s="34"/>
    </row>
    <row r="1607" spans="1:22" s="35" customFormat="1" ht="11.25" customHeight="1" x14ac:dyDescent="0.35">
      <c r="A1607" s="51" t="s">
        <v>6471</v>
      </c>
      <c r="B1607" s="646" t="s">
        <v>5763</v>
      </c>
      <c r="C1607" s="290">
        <v>2220292</v>
      </c>
      <c r="D1607" s="66" t="s">
        <v>7318</v>
      </c>
      <c r="E1607" s="51">
        <v>4</v>
      </c>
      <c r="F1607" s="20">
        <v>45337</v>
      </c>
      <c r="G1607" s="51"/>
      <c r="H1607" s="174"/>
      <c r="I1607" s="51"/>
      <c r="J1607" s="51"/>
      <c r="K1607" s="51" t="s">
        <v>5338</v>
      </c>
      <c r="L1607" s="34"/>
      <c r="M1607" s="34"/>
      <c r="N1607" s="34"/>
      <c r="O1607" s="34"/>
      <c r="P1607" s="34"/>
      <c r="Q1607" s="34"/>
      <c r="R1607" s="34"/>
      <c r="S1607" s="34"/>
      <c r="T1607" s="34"/>
      <c r="U1607" s="34"/>
      <c r="V1607" s="34"/>
    </row>
    <row r="1608" spans="1:22" s="35" customFormat="1" ht="11.25" customHeight="1" x14ac:dyDescent="0.35">
      <c r="A1608" s="51" t="s">
        <v>6471</v>
      </c>
      <c r="B1608" s="646" t="s">
        <v>5763</v>
      </c>
      <c r="C1608" s="290">
        <v>2076267</v>
      </c>
      <c r="D1608" s="66" t="s">
        <v>7319</v>
      </c>
      <c r="E1608" s="51">
        <v>1</v>
      </c>
      <c r="F1608" s="20">
        <v>45337</v>
      </c>
      <c r="G1608" s="51"/>
      <c r="H1608" s="174"/>
      <c r="I1608" s="51"/>
      <c r="J1608" s="51"/>
      <c r="K1608" s="51" t="s">
        <v>5338</v>
      </c>
      <c r="L1608" s="34"/>
      <c r="M1608" s="34"/>
      <c r="N1608" s="34"/>
      <c r="O1608" s="34"/>
      <c r="P1608" s="34"/>
      <c r="Q1608" s="34"/>
      <c r="R1608" s="34"/>
      <c r="S1608" s="34"/>
      <c r="T1608" s="34"/>
      <c r="U1608" s="34"/>
      <c r="V1608" s="34"/>
    </row>
    <row r="1609" spans="1:22" s="86" customFormat="1" ht="11.25" customHeight="1" x14ac:dyDescent="0.35">
      <c r="A1609" s="90" t="s">
        <v>6471</v>
      </c>
      <c r="B1609" s="641" t="s">
        <v>5763</v>
      </c>
      <c r="C1609" s="285">
        <v>2485792</v>
      </c>
      <c r="D1609" s="91" t="s">
        <v>7247</v>
      </c>
      <c r="E1609" s="90">
        <v>10</v>
      </c>
      <c r="F1609" s="92">
        <v>45337</v>
      </c>
      <c r="G1609" s="90">
        <v>2</v>
      </c>
      <c r="H1609" s="170"/>
      <c r="I1609" s="90"/>
      <c r="J1609" s="90"/>
      <c r="K1609" s="90" t="s">
        <v>5338</v>
      </c>
      <c r="L1609" s="34"/>
    </row>
    <row r="1610" spans="1:22" s="39" customFormat="1" ht="11.25" customHeight="1" x14ac:dyDescent="0.35">
      <c r="A1610" s="52" t="s">
        <v>6471</v>
      </c>
      <c r="B1610" s="80" t="s">
        <v>5763</v>
      </c>
      <c r="C1610" s="282">
        <v>2080807</v>
      </c>
      <c r="D1610" s="63" t="s">
        <v>7320</v>
      </c>
      <c r="E1610" s="52">
        <v>1</v>
      </c>
      <c r="F1610" s="13">
        <v>45337</v>
      </c>
      <c r="G1610" s="52">
        <v>1</v>
      </c>
      <c r="H1610" s="167">
        <v>45384</v>
      </c>
      <c r="I1610" s="52" t="s">
        <v>5865</v>
      </c>
      <c r="J1610" s="52"/>
      <c r="K1610" s="52" t="s">
        <v>5365</v>
      </c>
    </row>
    <row r="1611" spans="1:22" s="35" customFormat="1" ht="11.25" customHeight="1" x14ac:dyDescent="0.35">
      <c r="A1611" s="51" t="s">
        <v>6471</v>
      </c>
      <c r="B1611" s="646" t="s">
        <v>5763</v>
      </c>
      <c r="C1611" s="290">
        <v>2497306</v>
      </c>
      <c r="D1611" s="66" t="s">
        <v>7262</v>
      </c>
      <c r="E1611" s="51">
        <v>1</v>
      </c>
      <c r="F1611" s="20">
        <v>45337</v>
      </c>
      <c r="G1611" s="51">
        <v>1</v>
      </c>
      <c r="H1611" s="174"/>
      <c r="I1611" s="51"/>
      <c r="J1611" s="51"/>
      <c r="K1611" s="51" t="s">
        <v>5338</v>
      </c>
      <c r="L1611" s="34"/>
      <c r="M1611" s="34"/>
      <c r="N1611" s="34"/>
      <c r="O1611" s="34"/>
      <c r="P1611" s="34"/>
      <c r="Q1611" s="34"/>
      <c r="R1611" s="34"/>
      <c r="S1611" s="34"/>
      <c r="T1611" s="34"/>
      <c r="U1611" s="34"/>
      <c r="V1611" s="34"/>
    </row>
    <row r="1612" spans="1:22" s="35" customFormat="1" ht="11.25" customHeight="1" x14ac:dyDescent="0.35">
      <c r="A1612" s="51" t="s">
        <v>6471</v>
      </c>
      <c r="B1612" s="646" t="s">
        <v>5763</v>
      </c>
      <c r="C1612" s="290">
        <v>2458463</v>
      </c>
      <c r="D1612" s="66" t="s">
        <v>7318</v>
      </c>
      <c r="E1612" s="51">
        <v>1</v>
      </c>
      <c r="F1612" s="20">
        <v>45337</v>
      </c>
      <c r="G1612" s="51"/>
      <c r="H1612" s="174"/>
      <c r="I1612" s="51"/>
      <c r="J1612" s="51"/>
      <c r="K1612" s="51" t="s">
        <v>5338</v>
      </c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  <c r="V1612" s="34"/>
    </row>
    <row r="1613" spans="1:22" s="35" customFormat="1" ht="11.25" customHeight="1" x14ac:dyDescent="0.35">
      <c r="A1613" s="51" t="s">
        <v>6471</v>
      </c>
      <c r="B1613" s="646" t="s">
        <v>5763</v>
      </c>
      <c r="C1613" s="290">
        <v>2656387</v>
      </c>
      <c r="D1613" s="66" t="s">
        <v>7260</v>
      </c>
      <c r="E1613" s="51">
        <v>1</v>
      </c>
      <c r="F1613" s="20">
        <v>45337</v>
      </c>
      <c r="G1613" s="51"/>
      <c r="H1613" s="174"/>
      <c r="I1613" s="51"/>
      <c r="J1613" s="51"/>
      <c r="K1613" s="51" t="s">
        <v>5338</v>
      </c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  <c r="V1613" s="34"/>
    </row>
    <row r="1614" spans="1:22" s="35" customFormat="1" ht="11.25" customHeight="1" x14ac:dyDescent="0.35">
      <c r="A1614" s="51" t="s">
        <v>6471</v>
      </c>
      <c r="B1614" s="646" t="s">
        <v>5763</v>
      </c>
      <c r="C1614" s="290">
        <v>2656388</v>
      </c>
      <c r="D1614" s="66" t="s">
        <v>7259</v>
      </c>
      <c r="E1614" s="51">
        <v>1</v>
      </c>
      <c r="F1614" s="20">
        <v>45337</v>
      </c>
      <c r="G1614" s="51"/>
      <c r="H1614" s="174"/>
      <c r="I1614" s="51"/>
      <c r="J1614" s="51"/>
      <c r="K1614" s="51" t="s">
        <v>5338</v>
      </c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  <c r="V1614" s="34"/>
    </row>
    <row r="1615" spans="1:22" s="35" customFormat="1" ht="11.25" customHeight="1" x14ac:dyDescent="0.35">
      <c r="A1615" s="51" t="s">
        <v>6471</v>
      </c>
      <c r="B1615" s="646" t="s">
        <v>5763</v>
      </c>
      <c r="C1615" s="290">
        <v>2643441</v>
      </c>
      <c r="D1615" s="66" t="s">
        <v>7267</v>
      </c>
      <c r="E1615" s="51"/>
      <c r="F1615" s="20">
        <v>45337</v>
      </c>
      <c r="G1615" s="51"/>
      <c r="H1615" s="174"/>
      <c r="I1615" s="51"/>
      <c r="J1615" s="51"/>
      <c r="K1615" s="51" t="s">
        <v>5338</v>
      </c>
      <c r="L1615" s="34"/>
      <c r="M1615" s="34"/>
      <c r="N1615" s="34"/>
      <c r="O1615" s="34"/>
      <c r="P1615" s="34"/>
      <c r="Q1615" s="34"/>
      <c r="R1615" s="34"/>
      <c r="S1615" s="34"/>
      <c r="T1615" s="34"/>
      <c r="U1615" s="34"/>
      <c r="V1615" s="34"/>
    </row>
    <row r="1616" spans="1:22" s="35" customFormat="1" ht="11.25" customHeight="1" x14ac:dyDescent="0.35">
      <c r="A1616" s="51" t="s">
        <v>6471</v>
      </c>
      <c r="B1616" s="646" t="s">
        <v>5763</v>
      </c>
      <c r="C1616" s="290">
        <v>2706860</v>
      </c>
      <c r="D1616" s="66" t="s">
        <v>7321</v>
      </c>
      <c r="E1616" s="51"/>
      <c r="F1616" s="20">
        <v>45337</v>
      </c>
      <c r="G1616" s="51"/>
      <c r="H1616" s="174"/>
      <c r="I1616" s="51"/>
      <c r="J1616" s="51"/>
      <c r="K1616" s="51" t="s">
        <v>5338</v>
      </c>
      <c r="L1616" s="34"/>
      <c r="M1616" s="34"/>
      <c r="N1616" s="34"/>
      <c r="O1616" s="34"/>
      <c r="P1616" s="34"/>
      <c r="Q1616" s="34"/>
      <c r="R1616" s="34"/>
      <c r="S1616" s="34"/>
      <c r="T1616" s="34"/>
      <c r="U1616" s="34"/>
      <c r="V1616" s="34"/>
    </row>
    <row r="1617" spans="1:22" s="35" customFormat="1" ht="11.25" customHeight="1" x14ac:dyDescent="0.35">
      <c r="A1617" s="51" t="s">
        <v>6471</v>
      </c>
      <c r="B1617" s="646" t="s">
        <v>5763</v>
      </c>
      <c r="C1617" s="290">
        <v>1718492</v>
      </c>
      <c r="D1617" s="66" t="s">
        <v>5870</v>
      </c>
      <c r="E1617" s="51">
        <v>1</v>
      </c>
      <c r="F1617" s="20">
        <v>45337</v>
      </c>
      <c r="G1617" s="51"/>
      <c r="H1617" s="174"/>
      <c r="I1617" s="51"/>
      <c r="J1617" s="51"/>
      <c r="K1617" s="51" t="s">
        <v>5338</v>
      </c>
      <c r="L1617" s="34"/>
      <c r="M1617" s="34"/>
      <c r="N1617" s="34"/>
      <c r="O1617" s="34"/>
      <c r="P1617" s="34"/>
      <c r="Q1617" s="34"/>
      <c r="R1617" s="34"/>
      <c r="S1617" s="34"/>
      <c r="T1617" s="34"/>
      <c r="U1617" s="34"/>
      <c r="V1617" s="34"/>
    </row>
    <row r="1618" spans="1:22" s="35" customFormat="1" ht="11.25" customHeight="1" x14ac:dyDescent="0.35">
      <c r="A1618" s="51" t="s">
        <v>6471</v>
      </c>
      <c r="B1618" s="646" t="s">
        <v>5763</v>
      </c>
      <c r="C1618" s="290">
        <v>2917366</v>
      </c>
      <c r="D1618" s="66" t="s">
        <v>7322</v>
      </c>
      <c r="E1618" s="51"/>
      <c r="F1618" s="20">
        <v>45337</v>
      </c>
      <c r="G1618" s="51"/>
      <c r="H1618" s="174"/>
      <c r="I1618" s="51"/>
      <c r="J1618" s="51"/>
      <c r="K1618" s="51" t="s">
        <v>5338</v>
      </c>
      <c r="L1618" s="34"/>
      <c r="M1618" s="34"/>
      <c r="N1618" s="34"/>
      <c r="O1618" s="34"/>
      <c r="P1618" s="34"/>
      <c r="Q1618" s="34"/>
      <c r="R1618" s="34"/>
      <c r="S1618" s="34"/>
      <c r="T1618" s="34"/>
      <c r="U1618" s="34"/>
      <c r="V1618" s="34"/>
    </row>
    <row r="1619" spans="1:22" s="35" customFormat="1" ht="11.25" customHeight="1" x14ac:dyDescent="0.35">
      <c r="A1619" s="51" t="s">
        <v>4917</v>
      </c>
      <c r="B1619" s="646" t="s">
        <v>4917</v>
      </c>
      <c r="C1619" s="290">
        <v>550624100103</v>
      </c>
      <c r="D1619" s="64" t="s">
        <v>7323</v>
      </c>
      <c r="E1619" s="51">
        <v>8</v>
      </c>
      <c r="F1619" s="20">
        <v>45342</v>
      </c>
      <c r="G1619" s="51"/>
      <c r="H1619" s="174"/>
      <c r="I1619" s="51"/>
      <c r="J1619" s="51"/>
      <c r="K1619" s="51" t="s">
        <v>5338</v>
      </c>
      <c r="L1619" s="34"/>
      <c r="M1619" s="34"/>
      <c r="N1619" s="34"/>
      <c r="O1619" s="34"/>
      <c r="P1619" s="34"/>
      <c r="Q1619" s="34"/>
      <c r="R1619" s="34"/>
      <c r="S1619" s="34"/>
      <c r="T1619" s="34"/>
      <c r="U1619" s="34"/>
      <c r="V1619" s="34"/>
    </row>
    <row r="1620" spans="1:22" s="35" customFormat="1" ht="11.25" customHeight="1" x14ac:dyDescent="0.35">
      <c r="A1620" s="51" t="s">
        <v>4917</v>
      </c>
      <c r="B1620" s="646" t="s">
        <v>4917</v>
      </c>
      <c r="C1620" s="290">
        <v>550731408243</v>
      </c>
      <c r="D1620" s="64" t="s">
        <v>7324</v>
      </c>
      <c r="E1620" s="51">
        <v>1</v>
      </c>
      <c r="F1620" s="20">
        <v>45342</v>
      </c>
      <c r="G1620" s="51"/>
      <c r="H1620" s="174"/>
      <c r="I1620" s="51"/>
      <c r="J1620" s="51"/>
      <c r="K1620" s="51" t="s">
        <v>5338</v>
      </c>
      <c r="L1620" s="34"/>
      <c r="M1620" s="34"/>
      <c r="N1620" s="34"/>
      <c r="O1620" s="34"/>
      <c r="P1620" s="34"/>
      <c r="Q1620" s="34"/>
      <c r="R1620" s="34"/>
      <c r="S1620" s="34"/>
      <c r="T1620" s="34"/>
      <c r="U1620" s="34"/>
      <c r="V1620" s="34"/>
    </row>
    <row r="1621" spans="1:22" s="35" customFormat="1" ht="11.25" customHeight="1" x14ac:dyDescent="0.35">
      <c r="A1621" s="51" t="s">
        <v>4917</v>
      </c>
      <c r="B1621" s="646" t="s">
        <v>4917</v>
      </c>
      <c r="C1621" s="290">
        <v>550731408245</v>
      </c>
      <c r="D1621" s="64" t="s">
        <v>7325</v>
      </c>
      <c r="E1621" s="51">
        <v>1</v>
      </c>
      <c r="F1621" s="20">
        <v>45342</v>
      </c>
      <c r="G1621" s="51"/>
      <c r="H1621" s="174"/>
      <c r="I1621" s="51"/>
      <c r="J1621" s="51"/>
      <c r="K1621" s="51" t="s">
        <v>5338</v>
      </c>
      <c r="L1621" s="34"/>
      <c r="M1621" s="34"/>
      <c r="N1621" s="34"/>
      <c r="O1621" s="34"/>
      <c r="P1621" s="34"/>
      <c r="Q1621" s="34"/>
      <c r="R1621" s="34"/>
      <c r="S1621" s="34"/>
      <c r="T1621" s="34"/>
      <c r="U1621" s="34"/>
      <c r="V1621" s="34"/>
    </row>
    <row r="1622" spans="1:22" s="35" customFormat="1" ht="11.25" customHeight="1" x14ac:dyDescent="0.35">
      <c r="A1622" s="51" t="s">
        <v>4917</v>
      </c>
      <c r="B1622" s="646" t="s">
        <v>4917</v>
      </c>
      <c r="C1622" s="290">
        <v>282131207120</v>
      </c>
      <c r="D1622" s="64" t="s">
        <v>1275</v>
      </c>
      <c r="E1622" s="51">
        <v>2</v>
      </c>
      <c r="F1622" s="20">
        <v>45342</v>
      </c>
      <c r="G1622" s="51"/>
      <c r="H1622" s="174"/>
      <c r="I1622" s="51"/>
      <c r="J1622" s="51"/>
      <c r="K1622" s="51" t="s">
        <v>5338</v>
      </c>
      <c r="L1622" s="34"/>
      <c r="M1622" s="34"/>
      <c r="N1622" s="34"/>
      <c r="O1622" s="34"/>
      <c r="P1622" s="34"/>
      <c r="Q1622" s="34"/>
      <c r="R1622" s="34"/>
      <c r="S1622" s="34"/>
      <c r="T1622" s="34"/>
      <c r="U1622" s="34"/>
      <c r="V1622" s="34"/>
    </row>
    <row r="1623" spans="1:22" s="39" customFormat="1" ht="11.25" customHeight="1" x14ac:dyDescent="0.35">
      <c r="A1623" s="52" t="s">
        <v>4917</v>
      </c>
      <c r="B1623" s="80" t="s">
        <v>4917</v>
      </c>
      <c r="C1623" s="282">
        <v>207746800159</v>
      </c>
      <c r="D1623" s="63" t="s">
        <v>7326</v>
      </c>
      <c r="E1623" s="52">
        <v>16</v>
      </c>
      <c r="F1623" s="20">
        <v>45342</v>
      </c>
      <c r="G1623" s="52">
        <v>16</v>
      </c>
      <c r="H1623" s="167">
        <v>45343</v>
      </c>
      <c r="I1623" s="52" t="s">
        <v>5433</v>
      </c>
      <c r="J1623" s="52"/>
      <c r="K1623" s="52" t="s">
        <v>5365</v>
      </c>
    </row>
    <row r="1624" spans="1:22" s="35" customFormat="1" ht="11.25" customHeight="1" x14ac:dyDescent="0.35">
      <c r="A1624" s="51" t="s">
        <v>4917</v>
      </c>
      <c r="B1624" s="646" t="s">
        <v>4917</v>
      </c>
      <c r="C1624" s="290">
        <v>11063996191</v>
      </c>
      <c r="D1624" s="66" t="s">
        <v>7287</v>
      </c>
      <c r="E1624" s="51">
        <v>10</v>
      </c>
      <c r="F1624" s="20">
        <v>45342</v>
      </c>
      <c r="G1624" s="51"/>
      <c r="H1624" s="174"/>
      <c r="I1624" s="51"/>
      <c r="J1624" s="51"/>
      <c r="K1624" s="51" t="s">
        <v>5338</v>
      </c>
      <c r="L1624" s="34"/>
      <c r="M1624" s="34"/>
      <c r="N1624" s="34"/>
      <c r="O1624" s="34"/>
      <c r="P1624" s="34"/>
      <c r="Q1624" s="34"/>
      <c r="R1624" s="34"/>
      <c r="S1624" s="34"/>
      <c r="T1624" s="34"/>
      <c r="U1624" s="34"/>
      <c r="V1624" s="34"/>
    </row>
    <row r="1625" spans="1:22" s="35" customFormat="1" ht="11.25" customHeight="1" x14ac:dyDescent="0.35">
      <c r="A1625" s="51" t="s">
        <v>4917</v>
      </c>
      <c r="B1625" s="646" t="s">
        <v>4917</v>
      </c>
      <c r="C1625" s="290" t="s">
        <v>2708</v>
      </c>
      <c r="D1625" s="66" t="s">
        <v>7327</v>
      </c>
      <c r="E1625" s="51">
        <v>10</v>
      </c>
      <c r="F1625" s="20">
        <v>45342</v>
      </c>
      <c r="G1625" s="51"/>
      <c r="H1625" s="174"/>
      <c r="I1625" s="51"/>
      <c r="J1625" s="51"/>
      <c r="K1625" s="51" t="s">
        <v>5338</v>
      </c>
      <c r="L1625" s="34"/>
      <c r="M1625" s="34"/>
      <c r="N1625" s="34"/>
      <c r="O1625" s="34"/>
      <c r="P1625" s="34"/>
      <c r="Q1625" s="34"/>
      <c r="R1625" s="34"/>
      <c r="S1625" s="34"/>
      <c r="T1625" s="34"/>
      <c r="U1625" s="34"/>
      <c r="V1625" s="34"/>
    </row>
    <row r="1626" spans="1:22" s="35" customFormat="1" ht="11.25" customHeight="1" x14ac:dyDescent="0.35">
      <c r="A1626" s="51" t="s">
        <v>4917</v>
      </c>
      <c r="B1626" s="646" t="s">
        <v>4917</v>
      </c>
      <c r="C1626" s="290">
        <v>265472306323</v>
      </c>
      <c r="D1626" s="66" t="s">
        <v>7328</v>
      </c>
      <c r="E1626" s="51">
        <v>1</v>
      </c>
      <c r="F1626" s="20">
        <v>45342</v>
      </c>
      <c r="G1626" s="51"/>
      <c r="H1626" s="174"/>
      <c r="I1626" s="51"/>
      <c r="J1626" s="51"/>
      <c r="K1626" s="51" t="s">
        <v>5338</v>
      </c>
      <c r="L1626" s="34"/>
      <c r="M1626" s="34"/>
      <c r="N1626" s="34"/>
      <c r="O1626" s="34"/>
      <c r="P1626" s="34"/>
      <c r="Q1626" s="34"/>
      <c r="R1626" s="34"/>
      <c r="S1626" s="34"/>
      <c r="T1626" s="34"/>
      <c r="U1626" s="34"/>
      <c r="V1626" s="34"/>
    </row>
    <row r="1627" spans="1:22" s="35" customFormat="1" ht="11.25" customHeight="1" x14ac:dyDescent="0.35">
      <c r="A1627" s="51" t="s">
        <v>4917</v>
      </c>
      <c r="B1627" s="646" t="s">
        <v>4917</v>
      </c>
      <c r="C1627" s="290">
        <v>264191500173</v>
      </c>
      <c r="D1627" s="66" t="s">
        <v>7329</v>
      </c>
      <c r="E1627" s="51">
        <v>2</v>
      </c>
      <c r="F1627" s="20">
        <v>45342</v>
      </c>
      <c r="G1627" s="51"/>
      <c r="H1627" s="174"/>
      <c r="I1627" s="51"/>
      <c r="J1627" s="51"/>
      <c r="K1627" s="51" t="s">
        <v>5338</v>
      </c>
      <c r="L1627" s="34"/>
      <c r="M1627" s="34"/>
      <c r="N1627" s="34"/>
      <c r="O1627" s="34"/>
      <c r="P1627" s="34"/>
      <c r="Q1627" s="34"/>
      <c r="R1627" s="34"/>
      <c r="S1627" s="34"/>
      <c r="T1627" s="34"/>
      <c r="U1627" s="34"/>
      <c r="V1627" s="34"/>
    </row>
    <row r="1628" spans="1:22" s="35" customFormat="1" ht="11.25" customHeight="1" x14ac:dyDescent="0.35">
      <c r="A1628" s="51" t="s">
        <v>4917</v>
      </c>
      <c r="B1628" s="646" t="s">
        <v>4917</v>
      </c>
      <c r="C1628" s="290">
        <v>585867106319</v>
      </c>
      <c r="D1628" s="66" t="s">
        <v>7330</v>
      </c>
      <c r="E1628" s="51">
        <v>1</v>
      </c>
      <c r="F1628" s="20">
        <v>45342</v>
      </c>
      <c r="G1628" s="51"/>
      <c r="H1628" s="174"/>
      <c r="I1628" s="51"/>
      <c r="J1628" s="51"/>
      <c r="K1628" s="51" t="s">
        <v>5338</v>
      </c>
      <c r="L1628" s="34"/>
      <c r="M1628" s="34"/>
      <c r="N1628" s="34"/>
      <c r="O1628" s="34"/>
      <c r="P1628" s="34"/>
      <c r="Q1628" s="34"/>
      <c r="R1628" s="34"/>
      <c r="S1628" s="34"/>
      <c r="T1628" s="34"/>
      <c r="U1628" s="34"/>
      <c r="V1628" s="34"/>
    </row>
    <row r="1629" spans="1:22" s="35" customFormat="1" ht="11.25" customHeight="1" x14ac:dyDescent="0.35">
      <c r="A1629" s="51" t="s">
        <v>4917</v>
      </c>
      <c r="B1629" s="646" t="s">
        <v>4917</v>
      </c>
      <c r="C1629" s="290">
        <v>585867106313</v>
      </c>
      <c r="D1629" s="66" t="s">
        <v>7331</v>
      </c>
      <c r="E1629" s="51">
        <v>2</v>
      </c>
      <c r="F1629" s="20">
        <v>45342</v>
      </c>
      <c r="G1629" s="51"/>
      <c r="H1629" s="174"/>
      <c r="I1629" s="51"/>
      <c r="J1629" s="51"/>
      <c r="K1629" s="51" t="s">
        <v>5338</v>
      </c>
      <c r="L1629" s="34"/>
      <c r="M1629" s="34"/>
      <c r="N1629" s="34"/>
      <c r="O1629" s="34"/>
      <c r="P1629" s="34"/>
      <c r="Q1629" s="34"/>
      <c r="R1629" s="34"/>
      <c r="S1629" s="34"/>
      <c r="T1629" s="34"/>
      <c r="U1629" s="34"/>
      <c r="V1629" s="34"/>
    </row>
    <row r="1630" spans="1:22" s="35" customFormat="1" ht="11.25" customHeight="1" x14ac:dyDescent="0.35">
      <c r="A1630" s="51" t="s">
        <v>4917</v>
      </c>
      <c r="B1630" s="646" t="s">
        <v>4917</v>
      </c>
      <c r="C1630" s="290">
        <v>12301500805</v>
      </c>
      <c r="D1630" s="66" t="s">
        <v>2403</v>
      </c>
      <c r="E1630" s="51">
        <v>600</v>
      </c>
      <c r="F1630" s="20">
        <v>45342</v>
      </c>
      <c r="G1630" s="51"/>
      <c r="H1630" s="174"/>
      <c r="I1630" s="51"/>
      <c r="J1630" s="51"/>
      <c r="K1630" s="51" t="s">
        <v>5338</v>
      </c>
      <c r="L1630" s="34"/>
      <c r="M1630" s="34"/>
      <c r="N1630" s="34"/>
      <c r="O1630" s="34"/>
      <c r="P1630" s="34"/>
      <c r="Q1630" s="34"/>
      <c r="R1630" s="34"/>
      <c r="S1630" s="34"/>
      <c r="T1630" s="34"/>
      <c r="U1630" s="34"/>
      <c r="V1630" s="34"/>
    </row>
    <row r="1631" spans="1:22" s="62" customFormat="1" ht="11.25" customHeight="1" x14ac:dyDescent="0.35">
      <c r="A1631" s="70" t="s">
        <v>5215</v>
      </c>
      <c r="B1631" s="649" t="s">
        <v>6142</v>
      </c>
      <c r="C1631" s="281" t="s">
        <v>1847</v>
      </c>
      <c r="D1631" s="71" t="s">
        <v>1848</v>
      </c>
      <c r="E1631" s="70">
        <v>12</v>
      </c>
      <c r="F1631" s="72">
        <v>45348</v>
      </c>
      <c r="G1631" s="70">
        <v>12</v>
      </c>
      <c r="H1631" s="166">
        <v>45350</v>
      </c>
      <c r="I1631" s="70">
        <v>1887</v>
      </c>
      <c r="J1631" s="70"/>
      <c r="K1631" s="70" t="s">
        <v>5365</v>
      </c>
    </row>
    <row r="1632" spans="1:22" s="62" customFormat="1" ht="11.25" customHeight="1" x14ac:dyDescent="0.35">
      <c r="A1632" s="70" t="s">
        <v>5215</v>
      </c>
      <c r="B1632" s="649" t="s">
        <v>6142</v>
      </c>
      <c r="C1632" s="281" t="s">
        <v>2185</v>
      </c>
      <c r="D1632" s="71" t="s">
        <v>7332</v>
      </c>
      <c r="E1632" s="70">
        <v>4</v>
      </c>
      <c r="F1632" s="72">
        <v>45348</v>
      </c>
      <c r="G1632" s="70">
        <v>4</v>
      </c>
      <c r="H1632" s="166">
        <v>45350</v>
      </c>
      <c r="I1632" s="70">
        <v>1724</v>
      </c>
      <c r="J1632" s="70"/>
      <c r="K1632" s="70" t="s">
        <v>5365</v>
      </c>
    </row>
    <row r="1633" spans="1:22" s="45" customFormat="1" ht="11.25" customHeight="1" x14ac:dyDescent="0.35">
      <c r="A1633" s="11"/>
      <c r="B1633" s="650" t="s">
        <v>6142</v>
      </c>
      <c r="C1633" s="292" t="s">
        <v>2207</v>
      </c>
      <c r="D1633" s="67" t="s">
        <v>7333</v>
      </c>
      <c r="E1633" s="11">
        <v>72</v>
      </c>
      <c r="F1633" s="68">
        <v>45348</v>
      </c>
      <c r="G1633" s="11"/>
      <c r="H1633" s="176"/>
      <c r="I1633" s="11"/>
      <c r="J1633" s="11"/>
      <c r="K1633" s="70" t="s">
        <v>5338</v>
      </c>
      <c r="L1633" s="69"/>
      <c r="M1633" s="69"/>
      <c r="N1633" s="69"/>
      <c r="O1633" s="69"/>
      <c r="P1633" s="69"/>
      <c r="Q1633" s="69"/>
      <c r="R1633" s="69"/>
      <c r="S1633" s="69"/>
      <c r="T1633" s="69"/>
      <c r="U1633" s="69"/>
      <c r="V1633" s="69"/>
    </row>
    <row r="1634" spans="1:22" s="62" customFormat="1" ht="11.25" customHeight="1" x14ac:dyDescent="0.35">
      <c r="A1634" s="70" t="s">
        <v>5215</v>
      </c>
      <c r="B1634" s="649" t="s">
        <v>6142</v>
      </c>
      <c r="C1634" s="281" t="s">
        <v>2210</v>
      </c>
      <c r="D1634" s="71" t="s">
        <v>7334</v>
      </c>
      <c r="E1634" s="70">
        <v>24</v>
      </c>
      <c r="F1634" s="72">
        <v>45348</v>
      </c>
      <c r="G1634" s="70">
        <v>24</v>
      </c>
      <c r="H1634" s="166">
        <v>45350</v>
      </c>
      <c r="I1634" s="70">
        <v>1731</v>
      </c>
      <c r="J1634" s="70"/>
      <c r="K1634" s="70" t="s">
        <v>5365</v>
      </c>
    </row>
    <row r="1635" spans="1:22" s="62" customFormat="1" ht="11.25" customHeight="1" x14ac:dyDescent="0.35">
      <c r="A1635" s="70" t="s">
        <v>5215</v>
      </c>
      <c r="B1635" s="649" t="s">
        <v>6142</v>
      </c>
      <c r="C1635" s="281" t="s">
        <v>7335</v>
      </c>
      <c r="D1635" s="71" t="s">
        <v>7336</v>
      </c>
      <c r="E1635" s="70">
        <v>36</v>
      </c>
      <c r="F1635" s="72">
        <v>45348</v>
      </c>
      <c r="G1635" s="70">
        <v>36</v>
      </c>
      <c r="H1635" s="166">
        <v>45350</v>
      </c>
      <c r="I1635" s="70">
        <v>1764</v>
      </c>
      <c r="J1635" s="70"/>
      <c r="K1635" s="70" t="s">
        <v>5365</v>
      </c>
    </row>
    <row r="1636" spans="1:22" s="62" customFormat="1" ht="11.25" customHeight="1" x14ac:dyDescent="0.35">
      <c r="A1636" s="70" t="s">
        <v>5215</v>
      </c>
      <c r="B1636" s="649" t="s">
        <v>6142</v>
      </c>
      <c r="C1636" s="281" t="s">
        <v>2188</v>
      </c>
      <c r="D1636" s="71" t="s">
        <v>2189</v>
      </c>
      <c r="E1636" s="70">
        <v>1</v>
      </c>
      <c r="F1636" s="72">
        <v>45348</v>
      </c>
      <c r="G1636" s="70">
        <v>1</v>
      </c>
      <c r="H1636" s="166">
        <v>45573</v>
      </c>
      <c r="I1636" s="70" t="s">
        <v>5433</v>
      </c>
      <c r="J1636" s="70"/>
      <c r="K1636" s="70" t="s">
        <v>5365</v>
      </c>
    </row>
    <row r="1637" spans="1:22" s="62" customFormat="1" ht="11.25" customHeight="1" x14ac:dyDescent="0.35">
      <c r="A1637" s="70" t="s">
        <v>5215</v>
      </c>
      <c r="B1637" s="649" t="s">
        <v>6142</v>
      </c>
      <c r="C1637" s="281" t="s">
        <v>2225</v>
      </c>
      <c r="D1637" s="71" t="s">
        <v>5710</v>
      </c>
      <c r="E1637" s="70">
        <v>4</v>
      </c>
      <c r="F1637" s="72">
        <v>45348</v>
      </c>
      <c r="G1637" s="70">
        <v>4</v>
      </c>
      <c r="H1637" s="166"/>
      <c r="I1637" s="70"/>
      <c r="J1637" s="70"/>
      <c r="K1637" s="70" t="s">
        <v>5365</v>
      </c>
      <c r="L1637" s="69"/>
    </row>
    <row r="1638" spans="1:22" s="45" customFormat="1" ht="11.25" customHeight="1" x14ac:dyDescent="0.35">
      <c r="A1638" s="11" t="s">
        <v>5215</v>
      </c>
      <c r="B1638" s="650" t="s">
        <v>6142</v>
      </c>
      <c r="C1638" s="292" t="s">
        <v>7337</v>
      </c>
      <c r="D1638" s="67" t="s">
        <v>7338</v>
      </c>
      <c r="E1638" s="11">
        <v>4</v>
      </c>
      <c r="F1638" s="68">
        <v>45348</v>
      </c>
      <c r="G1638" s="11"/>
      <c r="H1638" s="176"/>
      <c r="I1638" s="11"/>
      <c r="J1638" s="11"/>
      <c r="K1638" s="70" t="s">
        <v>5338</v>
      </c>
      <c r="L1638" s="69"/>
      <c r="M1638" s="69"/>
      <c r="N1638" s="69"/>
      <c r="O1638" s="69"/>
      <c r="P1638" s="69"/>
      <c r="Q1638" s="69"/>
      <c r="R1638" s="69"/>
      <c r="S1638" s="69"/>
      <c r="T1638" s="69"/>
      <c r="U1638" s="69"/>
      <c r="V1638" s="69"/>
    </row>
    <row r="1639" spans="1:22" s="45" customFormat="1" ht="11.25" customHeight="1" x14ac:dyDescent="0.35">
      <c r="A1639" s="11" t="s">
        <v>5215</v>
      </c>
      <c r="B1639" s="650" t="s">
        <v>6142</v>
      </c>
      <c r="C1639" s="292" t="s">
        <v>7339</v>
      </c>
      <c r="D1639" s="67" t="s">
        <v>7340</v>
      </c>
      <c r="E1639" s="11">
        <v>1</v>
      </c>
      <c r="F1639" s="68">
        <v>45348</v>
      </c>
      <c r="G1639" s="11"/>
      <c r="H1639" s="176"/>
      <c r="I1639" s="11"/>
      <c r="J1639" s="11"/>
      <c r="K1639" s="70" t="s">
        <v>5338</v>
      </c>
      <c r="L1639" s="69"/>
      <c r="M1639" s="69"/>
      <c r="N1639" s="69"/>
      <c r="O1639" s="69"/>
      <c r="P1639" s="69"/>
      <c r="Q1639" s="69"/>
      <c r="R1639" s="69"/>
      <c r="S1639" s="69"/>
      <c r="T1639" s="69"/>
      <c r="U1639" s="69"/>
      <c r="V1639" s="69"/>
    </row>
    <row r="1640" spans="1:22" s="45" customFormat="1" ht="11.25" customHeight="1" x14ac:dyDescent="0.35">
      <c r="A1640" s="11" t="s">
        <v>5215</v>
      </c>
      <c r="B1640" s="650" t="s">
        <v>6142</v>
      </c>
      <c r="C1640" s="292" t="s">
        <v>2177</v>
      </c>
      <c r="D1640" s="67" t="s">
        <v>7341</v>
      </c>
      <c r="E1640" s="11">
        <v>1</v>
      </c>
      <c r="F1640" s="68">
        <v>45348</v>
      </c>
      <c r="G1640" s="11"/>
      <c r="H1640" s="176"/>
      <c r="I1640" s="11"/>
      <c r="J1640" s="11"/>
      <c r="K1640" s="70" t="s">
        <v>5338</v>
      </c>
      <c r="L1640" s="69"/>
      <c r="M1640" s="69"/>
      <c r="N1640" s="69"/>
      <c r="O1640" s="69"/>
      <c r="P1640" s="69"/>
      <c r="Q1640" s="69"/>
      <c r="R1640" s="69"/>
      <c r="S1640" s="69"/>
      <c r="T1640" s="69"/>
      <c r="U1640" s="69"/>
      <c r="V1640" s="69"/>
    </row>
    <row r="1641" spans="1:22" s="62" customFormat="1" ht="11.25" customHeight="1" x14ac:dyDescent="0.35">
      <c r="A1641" s="70" t="s">
        <v>5215</v>
      </c>
      <c r="B1641" s="649" t="s">
        <v>6142</v>
      </c>
      <c r="C1641" s="281" t="s">
        <v>7342</v>
      </c>
      <c r="D1641" s="71" t="s">
        <v>7343</v>
      </c>
      <c r="E1641" s="70">
        <v>1</v>
      </c>
      <c r="F1641" s="72">
        <v>45348</v>
      </c>
      <c r="G1641" s="70">
        <v>1</v>
      </c>
      <c r="H1641" s="166">
        <v>45350</v>
      </c>
      <c r="I1641" s="70">
        <v>1725</v>
      </c>
      <c r="J1641" s="70"/>
      <c r="K1641" s="70" t="s">
        <v>5365</v>
      </c>
    </row>
    <row r="1642" spans="1:22" s="45" customFormat="1" ht="11.25" customHeight="1" x14ac:dyDescent="0.35">
      <c r="A1642" s="11" t="s">
        <v>5215</v>
      </c>
      <c r="B1642" s="650" t="s">
        <v>6142</v>
      </c>
      <c r="C1642" s="292" t="s">
        <v>7344</v>
      </c>
      <c r="D1642" s="67" t="s">
        <v>7345</v>
      </c>
      <c r="E1642" s="11">
        <v>10</v>
      </c>
      <c r="F1642" s="68">
        <v>45348</v>
      </c>
      <c r="G1642" s="11"/>
      <c r="H1642" s="176"/>
      <c r="I1642" s="11"/>
      <c r="J1642" s="11"/>
      <c r="K1642" s="70" t="s">
        <v>5338</v>
      </c>
      <c r="L1642" s="69"/>
      <c r="M1642" s="69"/>
      <c r="N1642" s="69"/>
      <c r="O1642" s="69"/>
      <c r="P1642" s="69"/>
      <c r="Q1642" s="69"/>
      <c r="R1642" s="69"/>
      <c r="S1642" s="69"/>
      <c r="T1642" s="69"/>
      <c r="U1642" s="69"/>
      <c r="V1642" s="69"/>
    </row>
    <row r="1643" spans="1:22" s="45" customFormat="1" ht="11.25" customHeight="1" x14ac:dyDescent="0.35">
      <c r="A1643" s="11" t="s">
        <v>5215</v>
      </c>
      <c r="B1643" s="650" t="s">
        <v>6142</v>
      </c>
      <c r="C1643" s="292" t="s">
        <v>7346</v>
      </c>
      <c r="D1643" s="67" t="s">
        <v>7347</v>
      </c>
      <c r="E1643" s="11">
        <v>10</v>
      </c>
      <c r="F1643" s="68">
        <v>45348</v>
      </c>
      <c r="G1643" s="11"/>
      <c r="H1643" s="176"/>
      <c r="I1643" s="11"/>
      <c r="J1643" s="11"/>
      <c r="K1643" s="70" t="s">
        <v>5338</v>
      </c>
      <c r="L1643" s="69"/>
      <c r="M1643" s="69"/>
      <c r="N1643" s="69"/>
      <c r="O1643" s="69"/>
      <c r="P1643" s="69"/>
      <c r="Q1643" s="69"/>
      <c r="R1643" s="69"/>
      <c r="S1643" s="69"/>
      <c r="T1643" s="69"/>
      <c r="U1643" s="69"/>
      <c r="V1643" s="69"/>
    </row>
    <row r="1644" spans="1:22" s="45" customFormat="1" ht="11.25" customHeight="1" x14ac:dyDescent="0.35">
      <c r="A1644" s="11" t="s">
        <v>5215</v>
      </c>
      <c r="B1644" s="650" t="s">
        <v>6142</v>
      </c>
      <c r="C1644" s="292"/>
      <c r="D1644" s="67" t="s">
        <v>7348</v>
      </c>
      <c r="E1644" s="11">
        <v>31</v>
      </c>
      <c r="F1644" s="68">
        <v>45348</v>
      </c>
      <c r="G1644" s="11"/>
      <c r="H1644" s="176"/>
      <c r="I1644" s="11"/>
      <c r="J1644" s="11"/>
      <c r="K1644" s="70" t="s">
        <v>5338</v>
      </c>
      <c r="L1644" s="69"/>
      <c r="M1644" s="69"/>
      <c r="N1644" s="69"/>
      <c r="O1644" s="69"/>
      <c r="P1644" s="69"/>
      <c r="Q1644" s="69"/>
      <c r="R1644" s="69"/>
      <c r="S1644" s="69"/>
      <c r="T1644" s="69"/>
      <c r="U1644" s="69"/>
      <c r="V1644" s="69"/>
    </row>
    <row r="1645" spans="1:22" s="62" customFormat="1" ht="11.25" customHeight="1" x14ac:dyDescent="0.35">
      <c r="A1645" s="70" t="s">
        <v>5215</v>
      </c>
      <c r="B1645" s="649" t="s">
        <v>6142</v>
      </c>
      <c r="C1645" s="281"/>
      <c r="D1645" s="71" t="s">
        <v>7349</v>
      </c>
      <c r="E1645" s="70">
        <v>24</v>
      </c>
      <c r="F1645" s="72">
        <v>45348</v>
      </c>
      <c r="G1645" s="70">
        <v>24</v>
      </c>
      <c r="H1645" s="166">
        <v>45350</v>
      </c>
      <c r="I1645" s="70">
        <v>1731</v>
      </c>
      <c r="J1645" s="70"/>
      <c r="K1645" s="70" t="s">
        <v>5365</v>
      </c>
    </row>
    <row r="1646" spans="1:22" s="80" customFormat="1" ht="11.25" customHeight="1" x14ac:dyDescent="0.35">
      <c r="A1646" s="52" t="s">
        <v>4832</v>
      </c>
      <c r="B1646" s="80" t="s">
        <v>4340</v>
      </c>
      <c r="C1646" s="282" t="s">
        <v>1709</v>
      </c>
      <c r="D1646" s="63" t="s">
        <v>7350</v>
      </c>
      <c r="E1646" s="52">
        <v>2</v>
      </c>
      <c r="F1646" s="79">
        <v>45362</v>
      </c>
      <c r="G1646" s="52">
        <v>2</v>
      </c>
      <c r="H1646" s="178"/>
      <c r="I1646" s="52" t="s">
        <v>6040</v>
      </c>
      <c r="J1646" s="52"/>
      <c r="K1646" s="70" t="s">
        <v>5365</v>
      </c>
    </row>
    <row r="1647" spans="1:22" s="111" customFormat="1" ht="11.25" customHeight="1" x14ac:dyDescent="0.35">
      <c r="A1647" s="70" t="s">
        <v>4832</v>
      </c>
      <c r="B1647" s="111" t="s">
        <v>4340</v>
      </c>
      <c r="C1647" s="281" t="s">
        <v>1612</v>
      </c>
      <c r="D1647" s="71" t="s">
        <v>1613</v>
      </c>
      <c r="E1647" s="70">
        <v>2</v>
      </c>
      <c r="F1647" s="110">
        <v>45362</v>
      </c>
      <c r="G1647" s="70">
        <v>2</v>
      </c>
      <c r="H1647" s="179"/>
      <c r="I1647" s="52" t="s">
        <v>6040</v>
      </c>
      <c r="J1647" s="70"/>
      <c r="K1647" s="70" t="s">
        <v>5365</v>
      </c>
      <c r="L1647" s="80"/>
    </row>
    <row r="1648" spans="1:22" s="111" customFormat="1" ht="11.25" customHeight="1" x14ac:dyDescent="0.35">
      <c r="A1648" s="70" t="s">
        <v>4832</v>
      </c>
      <c r="B1648" s="111" t="s">
        <v>4340</v>
      </c>
      <c r="C1648" s="281" t="s">
        <v>1615</v>
      </c>
      <c r="D1648" s="71" t="s">
        <v>7351</v>
      </c>
      <c r="E1648" s="70">
        <v>1</v>
      </c>
      <c r="F1648" s="110">
        <v>45362</v>
      </c>
      <c r="G1648" s="70">
        <v>1</v>
      </c>
      <c r="H1648" s="179"/>
      <c r="I1648" s="52" t="s">
        <v>6040</v>
      </c>
      <c r="J1648" s="70"/>
      <c r="K1648" s="70" t="s">
        <v>5365</v>
      </c>
      <c r="L1648" s="80"/>
    </row>
    <row r="1649" spans="1:12" s="111" customFormat="1" ht="11.25" customHeight="1" x14ac:dyDescent="0.35">
      <c r="A1649" s="70" t="s">
        <v>4832</v>
      </c>
      <c r="B1649" s="111" t="s">
        <v>4340</v>
      </c>
      <c r="C1649" s="281" t="s">
        <v>962</v>
      </c>
      <c r="D1649" s="71" t="s">
        <v>7352</v>
      </c>
      <c r="E1649" s="70">
        <v>2</v>
      </c>
      <c r="F1649" s="110">
        <v>45362</v>
      </c>
      <c r="G1649" s="70">
        <v>2</v>
      </c>
      <c r="H1649" s="179"/>
      <c r="I1649" s="52" t="s">
        <v>6040</v>
      </c>
      <c r="J1649" s="70"/>
      <c r="K1649" s="70" t="s">
        <v>5365</v>
      </c>
      <c r="L1649" s="80"/>
    </row>
    <row r="1650" spans="1:12" s="111" customFormat="1" ht="11.25" customHeight="1" x14ac:dyDescent="0.35">
      <c r="A1650" s="70" t="s">
        <v>4832</v>
      </c>
      <c r="B1650" s="111" t="s">
        <v>4340</v>
      </c>
      <c r="C1650" s="281" t="s">
        <v>303</v>
      </c>
      <c r="D1650" s="71" t="s">
        <v>5697</v>
      </c>
      <c r="E1650" s="70">
        <v>1</v>
      </c>
      <c r="F1650" s="110">
        <v>45362</v>
      </c>
      <c r="G1650" s="70">
        <v>1</v>
      </c>
      <c r="H1650" s="179"/>
      <c r="I1650" s="52" t="s">
        <v>6040</v>
      </c>
      <c r="J1650" s="70"/>
      <c r="K1650" s="70" t="s">
        <v>5365</v>
      </c>
      <c r="L1650" s="80"/>
    </row>
    <row r="1651" spans="1:12" s="111" customFormat="1" ht="11.25" customHeight="1" x14ac:dyDescent="0.35">
      <c r="A1651" s="70" t="s">
        <v>4832</v>
      </c>
      <c r="B1651" s="111" t="s">
        <v>4340</v>
      </c>
      <c r="C1651" s="281" t="s">
        <v>306</v>
      </c>
      <c r="D1651" s="71" t="s">
        <v>2403</v>
      </c>
      <c r="E1651" s="70">
        <v>1</v>
      </c>
      <c r="F1651" s="110">
        <v>45362</v>
      </c>
      <c r="G1651" s="70">
        <v>1</v>
      </c>
      <c r="H1651" s="179"/>
      <c r="I1651" s="52" t="s">
        <v>6040</v>
      </c>
      <c r="J1651" s="70"/>
      <c r="K1651" s="70" t="s">
        <v>5365</v>
      </c>
      <c r="L1651" s="80"/>
    </row>
    <row r="1652" spans="1:12" s="111" customFormat="1" ht="11.25" customHeight="1" x14ac:dyDescent="0.35">
      <c r="A1652" s="70" t="s">
        <v>4832</v>
      </c>
      <c r="B1652" s="111" t="s">
        <v>4340</v>
      </c>
      <c r="C1652" s="281" t="s">
        <v>1860</v>
      </c>
      <c r="D1652" s="71" t="s">
        <v>127</v>
      </c>
      <c r="E1652" s="70">
        <v>1</v>
      </c>
      <c r="F1652" s="110">
        <v>45362</v>
      </c>
      <c r="G1652" s="70">
        <v>1</v>
      </c>
      <c r="H1652" s="179"/>
      <c r="I1652" s="52" t="s">
        <v>6040</v>
      </c>
      <c r="J1652" s="70"/>
      <c r="K1652" s="70" t="s">
        <v>5365</v>
      </c>
      <c r="L1652" s="80"/>
    </row>
    <row r="1653" spans="1:12" s="111" customFormat="1" ht="11.25" customHeight="1" x14ac:dyDescent="0.35">
      <c r="A1653" s="70" t="s">
        <v>4832</v>
      </c>
      <c r="B1653" s="111" t="s">
        <v>4340</v>
      </c>
      <c r="C1653" s="281" t="s">
        <v>1862</v>
      </c>
      <c r="D1653" s="71" t="s">
        <v>7288</v>
      </c>
      <c r="E1653" s="70">
        <v>1</v>
      </c>
      <c r="F1653" s="110">
        <v>45362</v>
      </c>
      <c r="G1653" s="70">
        <v>1</v>
      </c>
      <c r="H1653" s="179"/>
      <c r="I1653" s="52" t="s">
        <v>6040</v>
      </c>
      <c r="J1653" s="70"/>
      <c r="K1653" s="70" t="s">
        <v>5365</v>
      </c>
      <c r="L1653" s="80"/>
    </row>
    <row r="1654" spans="1:12" s="111" customFormat="1" ht="11.25" customHeight="1" x14ac:dyDescent="0.35">
      <c r="A1654" s="70" t="s">
        <v>4832</v>
      </c>
      <c r="B1654" s="111" t="s">
        <v>4340</v>
      </c>
      <c r="C1654" s="281" t="s">
        <v>1015</v>
      </c>
      <c r="D1654" s="71" t="s">
        <v>1865</v>
      </c>
      <c r="E1654" s="70">
        <v>6</v>
      </c>
      <c r="F1654" s="110">
        <v>45362</v>
      </c>
      <c r="G1654" s="70">
        <v>6</v>
      </c>
      <c r="H1654" s="179"/>
      <c r="I1654" s="52" t="s">
        <v>6040</v>
      </c>
      <c r="J1654" s="70"/>
      <c r="K1654" s="70" t="s">
        <v>5365</v>
      </c>
      <c r="L1654" s="80"/>
    </row>
    <row r="1655" spans="1:12" s="111" customFormat="1" ht="11.25" customHeight="1" x14ac:dyDescent="0.35">
      <c r="A1655" s="70" t="s">
        <v>4832</v>
      </c>
      <c r="B1655" s="111" t="s">
        <v>4340</v>
      </c>
      <c r="C1655" s="281" t="s">
        <v>748</v>
      </c>
      <c r="D1655" s="71" t="s">
        <v>7353</v>
      </c>
      <c r="E1655" s="70">
        <v>2</v>
      </c>
      <c r="F1655" s="110">
        <v>45362</v>
      </c>
      <c r="G1655" s="70">
        <v>2</v>
      </c>
      <c r="H1655" s="179"/>
      <c r="I1655" s="52" t="s">
        <v>6040</v>
      </c>
      <c r="J1655" s="70"/>
      <c r="K1655" s="70" t="s">
        <v>5365</v>
      </c>
      <c r="L1655" s="80"/>
    </row>
    <row r="1656" spans="1:12" s="111" customFormat="1" ht="11.25" customHeight="1" x14ac:dyDescent="0.35">
      <c r="A1656" s="70" t="s">
        <v>4832</v>
      </c>
      <c r="B1656" s="111" t="s">
        <v>4340</v>
      </c>
      <c r="C1656" s="281" t="s">
        <v>1083</v>
      </c>
      <c r="D1656" s="71" t="s">
        <v>1870</v>
      </c>
      <c r="E1656" s="70">
        <v>2</v>
      </c>
      <c r="F1656" s="110">
        <v>45362</v>
      </c>
      <c r="G1656" s="70">
        <v>2</v>
      </c>
      <c r="H1656" s="179"/>
      <c r="I1656" s="52" t="s">
        <v>6040</v>
      </c>
      <c r="J1656" s="70"/>
      <c r="K1656" s="70" t="s">
        <v>5365</v>
      </c>
      <c r="L1656" s="80"/>
    </row>
    <row r="1657" spans="1:12" s="111" customFormat="1" ht="11.25" customHeight="1" x14ac:dyDescent="0.35">
      <c r="A1657" s="70" t="s">
        <v>4832</v>
      </c>
      <c r="B1657" s="111" t="s">
        <v>4340</v>
      </c>
      <c r="C1657" s="281" t="s">
        <v>1061</v>
      </c>
      <c r="D1657" s="71" t="s">
        <v>2422</v>
      </c>
      <c r="E1657" s="70">
        <v>1</v>
      </c>
      <c r="F1657" s="110">
        <v>45362</v>
      </c>
      <c r="G1657" s="70">
        <v>1</v>
      </c>
      <c r="H1657" s="179"/>
      <c r="I1657" s="52" t="s">
        <v>6040</v>
      </c>
      <c r="J1657" s="70"/>
      <c r="K1657" s="70" t="s">
        <v>5365</v>
      </c>
      <c r="L1657" s="80"/>
    </row>
    <row r="1658" spans="1:12" s="111" customFormat="1" ht="11.25" customHeight="1" x14ac:dyDescent="0.35">
      <c r="A1658" s="70" t="s">
        <v>4832</v>
      </c>
      <c r="B1658" s="111" t="s">
        <v>4340</v>
      </c>
      <c r="C1658" s="281" t="s">
        <v>1876</v>
      </c>
      <c r="D1658" s="71" t="s">
        <v>7354</v>
      </c>
      <c r="E1658" s="70">
        <v>1</v>
      </c>
      <c r="F1658" s="110">
        <v>45362</v>
      </c>
      <c r="G1658" s="70">
        <v>1</v>
      </c>
      <c r="H1658" s="179"/>
      <c r="I1658" s="52" t="s">
        <v>6040</v>
      </c>
      <c r="J1658" s="70"/>
      <c r="K1658" s="70" t="s">
        <v>5365</v>
      </c>
      <c r="L1658" s="80"/>
    </row>
    <row r="1659" spans="1:12" s="111" customFormat="1" ht="11.25" customHeight="1" x14ac:dyDescent="0.35">
      <c r="A1659" s="70" t="s">
        <v>4832</v>
      </c>
      <c r="B1659" s="111" t="s">
        <v>4340</v>
      </c>
      <c r="C1659" s="281" t="s">
        <v>1880</v>
      </c>
      <c r="D1659" s="71" t="s">
        <v>4815</v>
      </c>
      <c r="E1659" s="70">
        <v>2</v>
      </c>
      <c r="F1659" s="110">
        <v>45362</v>
      </c>
      <c r="G1659" s="70">
        <v>2</v>
      </c>
      <c r="H1659" s="179"/>
      <c r="I1659" s="52" t="s">
        <v>6040</v>
      </c>
      <c r="J1659" s="70"/>
      <c r="K1659" s="70" t="s">
        <v>5365</v>
      </c>
      <c r="L1659" s="80"/>
    </row>
    <row r="1660" spans="1:12" s="62" customFormat="1" ht="11.25" customHeight="1" x14ac:dyDescent="0.35">
      <c r="A1660" s="70" t="s">
        <v>4832</v>
      </c>
      <c r="B1660" s="111" t="s">
        <v>4340</v>
      </c>
      <c r="C1660" s="279" t="s">
        <v>1883</v>
      </c>
      <c r="D1660" s="88" t="s">
        <v>7355</v>
      </c>
      <c r="E1660" s="87">
        <v>2</v>
      </c>
      <c r="F1660" s="110">
        <v>45362</v>
      </c>
      <c r="G1660" s="87">
        <v>2</v>
      </c>
      <c r="H1660" s="164"/>
      <c r="I1660" s="52" t="s">
        <v>6040</v>
      </c>
      <c r="J1660" s="87"/>
      <c r="K1660" s="70" t="s">
        <v>5365</v>
      </c>
      <c r="L1660" s="39"/>
    </row>
    <row r="1661" spans="1:12" s="62" customFormat="1" ht="11.25" customHeight="1" x14ac:dyDescent="0.35">
      <c r="A1661" s="70" t="s">
        <v>4832</v>
      </c>
      <c r="B1661" s="111" t="s">
        <v>4340</v>
      </c>
      <c r="C1661" s="279" t="s">
        <v>1887</v>
      </c>
      <c r="D1661" s="88" t="s">
        <v>7356</v>
      </c>
      <c r="E1661" s="87">
        <v>6</v>
      </c>
      <c r="F1661" s="110">
        <v>45362</v>
      </c>
      <c r="G1661" s="87">
        <v>6</v>
      </c>
      <c r="H1661" s="164"/>
      <c r="I1661" s="52" t="s">
        <v>6040</v>
      </c>
      <c r="J1661" s="87"/>
      <c r="K1661" s="70" t="s">
        <v>5365</v>
      </c>
      <c r="L1661" s="39"/>
    </row>
    <row r="1662" spans="1:12" s="62" customFormat="1" ht="11.25" customHeight="1" x14ac:dyDescent="0.35">
      <c r="A1662" s="70" t="s">
        <v>4832</v>
      </c>
      <c r="B1662" s="111" t="s">
        <v>4340</v>
      </c>
      <c r="C1662" s="279" t="s">
        <v>1890</v>
      </c>
      <c r="D1662" s="88" t="s">
        <v>7357</v>
      </c>
      <c r="E1662" s="87">
        <v>3</v>
      </c>
      <c r="F1662" s="110">
        <v>45362</v>
      </c>
      <c r="G1662" s="87">
        <v>3</v>
      </c>
      <c r="H1662" s="164"/>
      <c r="I1662" s="52" t="s">
        <v>6040</v>
      </c>
      <c r="J1662" s="87"/>
      <c r="K1662" s="70" t="s">
        <v>5365</v>
      </c>
      <c r="L1662" s="39"/>
    </row>
    <row r="1663" spans="1:12" s="62" customFormat="1" ht="11.25" customHeight="1" x14ac:dyDescent="0.35">
      <c r="A1663" s="70" t="s">
        <v>4832</v>
      </c>
      <c r="B1663" s="111" t="s">
        <v>4340</v>
      </c>
      <c r="C1663" s="279" t="s">
        <v>1893</v>
      </c>
      <c r="D1663" s="88" t="s">
        <v>7358</v>
      </c>
      <c r="E1663" s="87">
        <v>1</v>
      </c>
      <c r="F1663" s="110">
        <v>45362</v>
      </c>
      <c r="G1663" s="87">
        <v>1</v>
      </c>
      <c r="H1663" s="164"/>
      <c r="I1663" s="52" t="s">
        <v>6040</v>
      </c>
      <c r="J1663" s="87"/>
      <c r="K1663" s="70" t="s">
        <v>5365</v>
      </c>
      <c r="L1663" s="39"/>
    </row>
    <row r="1664" spans="1:12" s="62" customFormat="1" ht="11.25" customHeight="1" x14ac:dyDescent="0.35">
      <c r="A1664" s="70" t="s">
        <v>4832</v>
      </c>
      <c r="B1664" s="111" t="s">
        <v>4340</v>
      </c>
      <c r="C1664" s="279" t="s">
        <v>1896</v>
      </c>
      <c r="D1664" s="88" t="s">
        <v>7359</v>
      </c>
      <c r="E1664" s="87">
        <v>1</v>
      </c>
      <c r="F1664" s="110">
        <v>45362</v>
      </c>
      <c r="G1664" s="87">
        <v>1</v>
      </c>
      <c r="H1664" s="164"/>
      <c r="I1664" s="52" t="s">
        <v>6040</v>
      </c>
      <c r="J1664" s="87"/>
      <c r="K1664" s="70" t="s">
        <v>5365</v>
      </c>
      <c r="L1664" s="39"/>
    </row>
    <row r="1665" spans="1:12" s="62" customFormat="1" ht="11.25" customHeight="1" x14ac:dyDescent="0.35">
      <c r="A1665" s="70" t="s">
        <v>4832</v>
      </c>
      <c r="B1665" s="111" t="s">
        <v>4340</v>
      </c>
      <c r="C1665" s="279" t="s">
        <v>309</v>
      </c>
      <c r="D1665" s="88" t="s">
        <v>7360</v>
      </c>
      <c r="E1665" s="87">
        <v>2</v>
      </c>
      <c r="F1665" s="110">
        <v>45362</v>
      </c>
      <c r="G1665" s="87">
        <v>2</v>
      </c>
      <c r="H1665" s="164"/>
      <c r="I1665" s="52" t="s">
        <v>6040</v>
      </c>
      <c r="J1665" s="87"/>
      <c r="K1665" s="70" t="s">
        <v>5365</v>
      </c>
      <c r="L1665" s="39"/>
    </row>
    <row r="1666" spans="1:12" s="62" customFormat="1" ht="11.25" customHeight="1" x14ac:dyDescent="0.35">
      <c r="A1666" s="70" t="s">
        <v>4832</v>
      </c>
      <c r="B1666" s="111" t="s">
        <v>4340</v>
      </c>
      <c r="C1666" s="279" t="s">
        <v>1901</v>
      </c>
      <c r="D1666" s="88" t="s">
        <v>1751</v>
      </c>
      <c r="E1666" s="87">
        <v>1</v>
      </c>
      <c r="F1666" s="110">
        <v>45362</v>
      </c>
      <c r="G1666" s="87">
        <v>1</v>
      </c>
      <c r="H1666" s="164"/>
      <c r="I1666" s="52" t="s">
        <v>6040</v>
      </c>
      <c r="J1666" s="87"/>
      <c r="K1666" s="70" t="s">
        <v>5365</v>
      </c>
      <c r="L1666" s="39"/>
    </row>
    <row r="1667" spans="1:12" s="62" customFormat="1" ht="11.25" customHeight="1" x14ac:dyDescent="0.35">
      <c r="A1667" s="70" t="s">
        <v>4832</v>
      </c>
      <c r="B1667" s="111" t="s">
        <v>4340</v>
      </c>
      <c r="C1667" s="279" t="s">
        <v>1904</v>
      </c>
      <c r="D1667" s="88" t="s">
        <v>5481</v>
      </c>
      <c r="E1667" s="87">
        <v>1</v>
      </c>
      <c r="F1667" s="110">
        <v>45362</v>
      </c>
      <c r="G1667" s="87">
        <v>1</v>
      </c>
      <c r="H1667" s="164"/>
      <c r="I1667" s="52" t="s">
        <v>6040</v>
      </c>
      <c r="J1667" s="87"/>
      <c r="K1667" s="70" t="s">
        <v>5365</v>
      </c>
      <c r="L1667" s="39"/>
    </row>
    <row r="1668" spans="1:12" s="39" customFormat="1" ht="11.25" customHeight="1" x14ac:dyDescent="0.35">
      <c r="A1668" s="52" t="s">
        <v>4832</v>
      </c>
      <c r="B1668" s="80" t="s">
        <v>4340</v>
      </c>
      <c r="C1668" s="106" t="s">
        <v>7361</v>
      </c>
      <c r="D1668" s="82" t="s">
        <v>7362</v>
      </c>
      <c r="E1668" s="38">
        <v>1</v>
      </c>
      <c r="F1668" s="79">
        <v>45362</v>
      </c>
      <c r="G1668" s="38">
        <v>1</v>
      </c>
      <c r="H1668" s="160">
        <v>45362</v>
      </c>
      <c r="I1668" s="38" t="s">
        <v>6331</v>
      </c>
      <c r="J1668" s="38"/>
      <c r="K1668" s="70" t="s">
        <v>5365</v>
      </c>
    </row>
    <row r="1669" spans="1:12" s="62" customFormat="1" ht="11.25" customHeight="1" x14ac:dyDescent="0.35">
      <c r="A1669" s="70" t="s">
        <v>4832</v>
      </c>
      <c r="B1669" s="111" t="s">
        <v>4340</v>
      </c>
      <c r="C1669" s="279" t="s">
        <v>1910</v>
      </c>
      <c r="D1669" s="88" t="s">
        <v>1785</v>
      </c>
      <c r="E1669" s="87">
        <v>10</v>
      </c>
      <c r="F1669" s="110">
        <v>45362</v>
      </c>
      <c r="G1669" s="87">
        <v>10</v>
      </c>
      <c r="H1669" s="164"/>
      <c r="I1669" s="52" t="s">
        <v>6040</v>
      </c>
      <c r="J1669" s="87"/>
      <c r="K1669" s="70" t="s">
        <v>5365</v>
      </c>
      <c r="L1669" s="39"/>
    </row>
    <row r="1670" spans="1:12" s="62" customFormat="1" ht="11.25" customHeight="1" x14ac:dyDescent="0.35">
      <c r="A1670" s="70" t="s">
        <v>4832</v>
      </c>
      <c r="B1670" s="111" t="s">
        <v>4340</v>
      </c>
      <c r="C1670" s="279" t="s">
        <v>1913</v>
      </c>
      <c r="D1670" s="88" t="s">
        <v>5180</v>
      </c>
      <c r="E1670" s="87">
        <v>6</v>
      </c>
      <c r="F1670" s="110">
        <v>45362</v>
      </c>
      <c r="G1670" s="87">
        <v>6</v>
      </c>
      <c r="H1670" s="164"/>
      <c r="I1670" s="52" t="s">
        <v>6040</v>
      </c>
      <c r="J1670" s="87"/>
      <c r="K1670" s="70" t="s">
        <v>5365</v>
      </c>
      <c r="L1670" s="39"/>
    </row>
    <row r="1671" spans="1:12" s="62" customFormat="1" ht="11.25" customHeight="1" x14ac:dyDescent="0.35">
      <c r="A1671" s="70" t="s">
        <v>4832</v>
      </c>
      <c r="B1671" s="111" t="s">
        <v>4340</v>
      </c>
      <c r="C1671" s="279" t="s">
        <v>7363</v>
      </c>
      <c r="D1671" s="88" t="s">
        <v>5180</v>
      </c>
      <c r="E1671" s="87">
        <v>1</v>
      </c>
      <c r="F1671" s="110">
        <v>45362</v>
      </c>
      <c r="G1671" s="87">
        <v>1</v>
      </c>
      <c r="H1671" s="164"/>
      <c r="I1671" s="52" t="s">
        <v>6040</v>
      </c>
      <c r="J1671" s="87"/>
      <c r="K1671" s="70" t="s">
        <v>5365</v>
      </c>
      <c r="L1671" s="39"/>
    </row>
    <row r="1672" spans="1:12" s="62" customFormat="1" ht="11.25" customHeight="1" x14ac:dyDescent="0.35">
      <c r="A1672" s="70" t="s">
        <v>4832</v>
      </c>
      <c r="B1672" s="111" t="s">
        <v>4340</v>
      </c>
      <c r="C1672" s="279" t="s">
        <v>7364</v>
      </c>
      <c r="D1672" s="88" t="s">
        <v>7365</v>
      </c>
      <c r="E1672" s="87">
        <v>1</v>
      </c>
      <c r="F1672" s="110">
        <v>45362</v>
      </c>
      <c r="G1672" s="87">
        <v>1</v>
      </c>
      <c r="H1672" s="164"/>
      <c r="I1672" s="52" t="s">
        <v>6040</v>
      </c>
      <c r="J1672" s="87"/>
      <c r="K1672" s="70" t="s">
        <v>5365</v>
      </c>
      <c r="L1672" s="39"/>
    </row>
    <row r="1673" spans="1:12" s="62" customFormat="1" ht="11.25" customHeight="1" x14ac:dyDescent="0.35">
      <c r="A1673" s="70" t="s">
        <v>4832</v>
      </c>
      <c r="B1673" s="111" t="s">
        <v>4340</v>
      </c>
      <c r="C1673" s="279" t="s">
        <v>7366</v>
      </c>
      <c r="D1673" s="88" t="s">
        <v>7367</v>
      </c>
      <c r="E1673" s="87">
        <v>1</v>
      </c>
      <c r="F1673" s="110">
        <v>45362</v>
      </c>
      <c r="G1673" s="87">
        <v>1</v>
      </c>
      <c r="H1673" s="164"/>
      <c r="I1673" s="52" t="s">
        <v>6040</v>
      </c>
      <c r="J1673" s="87"/>
      <c r="K1673" s="70" t="s">
        <v>5365</v>
      </c>
      <c r="L1673" s="39"/>
    </row>
    <row r="1674" spans="1:12" s="62" customFormat="1" ht="11.25" customHeight="1" x14ac:dyDescent="0.35">
      <c r="A1674" s="70" t="s">
        <v>4832</v>
      </c>
      <c r="B1674" s="111" t="s">
        <v>4340</v>
      </c>
      <c r="C1674" s="279" t="s">
        <v>1925</v>
      </c>
      <c r="D1674" s="88" t="s">
        <v>6224</v>
      </c>
      <c r="E1674" s="87">
        <v>1</v>
      </c>
      <c r="F1674" s="110">
        <v>45362</v>
      </c>
      <c r="G1674" s="87">
        <v>1</v>
      </c>
      <c r="H1674" s="164"/>
      <c r="I1674" s="52" t="s">
        <v>6040</v>
      </c>
      <c r="J1674" s="87"/>
      <c r="K1674" s="70" t="s">
        <v>5365</v>
      </c>
      <c r="L1674" s="39"/>
    </row>
    <row r="1675" spans="1:12" s="62" customFormat="1" ht="11.25" customHeight="1" x14ac:dyDescent="0.35">
      <c r="A1675" s="70" t="s">
        <v>4832</v>
      </c>
      <c r="B1675" s="111" t="s">
        <v>4340</v>
      </c>
      <c r="C1675" s="279" t="s">
        <v>1928</v>
      </c>
      <c r="D1675" s="88" t="s">
        <v>2403</v>
      </c>
      <c r="E1675" s="87">
        <v>2</v>
      </c>
      <c r="F1675" s="110">
        <v>45362</v>
      </c>
      <c r="G1675" s="87">
        <v>2</v>
      </c>
      <c r="H1675" s="164"/>
      <c r="I1675" s="52" t="s">
        <v>6040</v>
      </c>
      <c r="J1675" s="87"/>
      <c r="K1675" s="70" t="s">
        <v>5365</v>
      </c>
      <c r="L1675" s="39"/>
    </row>
    <row r="1676" spans="1:12" s="62" customFormat="1" ht="11.25" customHeight="1" x14ac:dyDescent="0.35">
      <c r="A1676" s="70" t="s">
        <v>4832</v>
      </c>
      <c r="B1676" s="111" t="s">
        <v>4340</v>
      </c>
      <c r="C1676" s="279" t="s">
        <v>1932</v>
      </c>
      <c r="D1676" s="88" t="s">
        <v>7368</v>
      </c>
      <c r="E1676" s="87">
        <v>1</v>
      </c>
      <c r="F1676" s="110">
        <v>45362</v>
      </c>
      <c r="G1676" s="87">
        <v>1</v>
      </c>
      <c r="H1676" s="164"/>
      <c r="I1676" s="52" t="s">
        <v>6040</v>
      </c>
      <c r="J1676" s="87"/>
      <c r="K1676" s="70" t="s">
        <v>5365</v>
      </c>
      <c r="L1676" s="39"/>
    </row>
    <row r="1677" spans="1:12" s="62" customFormat="1" ht="11.25" customHeight="1" x14ac:dyDescent="0.35">
      <c r="A1677" s="70" t="s">
        <v>4832</v>
      </c>
      <c r="B1677" s="111" t="s">
        <v>4340</v>
      </c>
      <c r="C1677" s="279" t="s">
        <v>1935</v>
      </c>
      <c r="D1677" s="88" t="s">
        <v>7369</v>
      </c>
      <c r="E1677" s="87">
        <v>1</v>
      </c>
      <c r="F1677" s="110">
        <v>45362</v>
      </c>
      <c r="G1677" s="87">
        <v>1</v>
      </c>
      <c r="H1677" s="164"/>
      <c r="I1677" s="52" t="s">
        <v>6040</v>
      </c>
      <c r="J1677" s="87"/>
      <c r="K1677" s="70" t="s">
        <v>5365</v>
      </c>
      <c r="L1677" s="39"/>
    </row>
    <row r="1678" spans="1:12" s="62" customFormat="1" ht="11.25" customHeight="1" x14ac:dyDescent="0.35">
      <c r="A1678" s="70" t="s">
        <v>4832</v>
      </c>
      <c r="B1678" s="111" t="s">
        <v>4340</v>
      </c>
      <c r="C1678" s="279" t="s">
        <v>1938</v>
      </c>
      <c r="D1678" s="88" t="s">
        <v>7370</v>
      </c>
      <c r="E1678" s="87">
        <v>1</v>
      </c>
      <c r="F1678" s="110">
        <v>45362</v>
      </c>
      <c r="G1678" s="87">
        <v>1</v>
      </c>
      <c r="H1678" s="164"/>
      <c r="I1678" s="52" t="s">
        <v>6040</v>
      </c>
      <c r="J1678" s="87"/>
      <c r="K1678" s="70" t="s">
        <v>5365</v>
      </c>
      <c r="L1678" s="39"/>
    </row>
    <row r="1679" spans="1:12" s="62" customFormat="1" ht="11.25" customHeight="1" x14ac:dyDescent="0.35">
      <c r="A1679" s="70" t="s">
        <v>4832</v>
      </c>
      <c r="B1679" s="111" t="s">
        <v>4340</v>
      </c>
      <c r="C1679" s="279" t="s">
        <v>1941</v>
      </c>
      <c r="D1679" s="88" t="s">
        <v>7371</v>
      </c>
      <c r="E1679" s="87">
        <v>1</v>
      </c>
      <c r="F1679" s="110">
        <v>45362</v>
      </c>
      <c r="G1679" s="87">
        <v>1</v>
      </c>
      <c r="H1679" s="164"/>
      <c r="I1679" s="52" t="s">
        <v>6040</v>
      </c>
      <c r="J1679" s="87"/>
      <c r="K1679" s="70" t="s">
        <v>5365</v>
      </c>
      <c r="L1679" s="39"/>
    </row>
    <row r="1680" spans="1:12" s="62" customFormat="1" ht="11.25" customHeight="1" x14ac:dyDescent="0.35">
      <c r="A1680" s="70" t="s">
        <v>4832</v>
      </c>
      <c r="B1680" s="111" t="s">
        <v>4340</v>
      </c>
      <c r="C1680" s="279" t="s">
        <v>7372</v>
      </c>
      <c r="D1680" s="88" t="s">
        <v>7373</v>
      </c>
      <c r="E1680" s="87">
        <v>1</v>
      </c>
      <c r="F1680" s="110">
        <v>45362</v>
      </c>
      <c r="G1680" s="87">
        <v>1</v>
      </c>
      <c r="H1680" s="164"/>
      <c r="I1680" s="52" t="s">
        <v>6040</v>
      </c>
      <c r="J1680" s="87"/>
      <c r="K1680" s="70" t="s">
        <v>5365</v>
      </c>
      <c r="L1680" s="39"/>
    </row>
    <row r="1681" spans="1:22" s="62" customFormat="1" ht="11.25" customHeight="1" x14ac:dyDescent="0.35">
      <c r="A1681" s="70" t="s">
        <v>4832</v>
      </c>
      <c r="B1681" s="111" t="s">
        <v>4340</v>
      </c>
      <c r="C1681" s="279" t="s">
        <v>7374</v>
      </c>
      <c r="D1681" s="88" t="s">
        <v>1949</v>
      </c>
      <c r="E1681" s="87">
        <v>1</v>
      </c>
      <c r="F1681" s="110">
        <v>45362</v>
      </c>
      <c r="G1681" s="87">
        <v>1</v>
      </c>
      <c r="H1681" s="164"/>
      <c r="I1681" s="52" t="s">
        <v>6040</v>
      </c>
      <c r="J1681" s="87"/>
      <c r="K1681" s="70" t="s">
        <v>5365</v>
      </c>
      <c r="L1681" s="39"/>
    </row>
    <row r="1682" spans="1:22" s="62" customFormat="1" ht="11.25" customHeight="1" x14ac:dyDescent="0.35">
      <c r="A1682" s="70" t="s">
        <v>4832</v>
      </c>
      <c r="B1682" s="111" t="s">
        <v>4340</v>
      </c>
      <c r="C1682" s="279" t="s">
        <v>926</v>
      </c>
      <c r="D1682" s="88" t="s">
        <v>927</v>
      </c>
      <c r="E1682" s="87">
        <v>2</v>
      </c>
      <c r="F1682" s="110">
        <v>45362</v>
      </c>
      <c r="G1682" s="87">
        <v>2</v>
      </c>
      <c r="H1682" s="164"/>
      <c r="I1682" s="52" t="s">
        <v>6040</v>
      </c>
      <c r="J1682" s="87"/>
      <c r="K1682" s="70" t="s">
        <v>5365</v>
      </c>
      <c r="L1682" s="39"/>
    </row>
    <row r="1683" spans="1:22" s="62" customFormat="1" ht="11.25" customHeight="1" x14ac:dyDescent="0.35">
      <c r="A1683" s="70" t="s">
        <v>4832</v>
      </c>
      <c r="B1683" s="111" t="s">
        <v>4340</v>
      </c>
      <c r="C1683" s="279" t="s">
        <v>1612</v>
      </c>
      <c r="D1683" s="88" t="s">
        <v>2393</v>
      </c>
      <c r="E1683" s="87">
        <v>2</v>
      </c>
      <c r="F1683" s="110">
        <v>45362</v>
      </c>
      <c r="G1683" s="87">
        <v>2</v>
      </c>
      <c r="H1683" s="164"/>
      <c r="I1683" s="52" t="s">
        <v>6040</v>
      </c>
      <c r="J1683" s="87"/>
      <c r="K1683" s="70" t="s">
        <v>5365</v>
      </c>
      <c r="L1683" s="39"/>
    </row>
    <row r="1684" spans="1:22" s="62" customFormat="1" ht="11.25" customHeight="1" x14ac:dyDescent="0.35">
      <c r="A1684" s="70" t="s">
        <v>4832</v>
      </c>
      <c r="B1684" s="111" t="s">
        <v>4340</v>
      </c>
      <c r="C1684" s="279" t="s">
        <v>7375</v>
      </c>
      <c r="D1684" s="88" t="s">
        <v>7376</v>
      </c>
      <c r="E1684" s="87">
        <v>1</v>
      </c>
      <c r="F1684" s="110">
        <v>45362</v>
      </c>
      <c r="G1684" s="87">
        <v>1</v>
      </c>
      <c r="H1684" s="164"/>
      <c r="I1684" s="52" t="s">
        <v>6040</v>
      </c>
      <c r="J1684" s="87"/>
      <c r="K1684" s="70" t="s">
        <v>5365</v>
      </c>
      <c r="L1684" s="39"/>
    </row>
    <row r="1685" spans="1:22" s="62" customFormat="1" ht="11.25" customHeight="1" x14ac:dyDescent="0.35">
      <c r="A1685" s="70" t="s">
        <v>4832</v>
      </c>
      <c r="B1685" s="111" t="s">
        <v>4340</v>
      </c>
      <c r="C1685" s="279" t="s">
        <v>1959</v>
      </c>
      <c r="D1685" s="88" t="s">
        <v>7377</v>
      </c>
      <c r="E1685" s="87">
        <v>1</v>
      </c>
      <c r="F1685" s="110">
        <v>45362</v>
      </c>
      <c r="G1685" s="87">
        <v>1</v>
      </c>
      <c r="H1685" s="164"/>
      <c r="I1685" s="52" t="s">
        <v>6040</v>
      </c>
      <c r="J1685" s="87"/>
      <c r="K1685" s="70" t="s">
        <v>5365</v>
      </c>
      <c r="L1685" s="39"/>
    </row>
    <row r="1686" spans="1:22" s="62" customFormat="1" ht="11.25" customHeight="1" x14ac:dyDescent="0.35">
      <c r="A1686" s="70" t="s">
        <v>4832</v>
      </c>
      <c r="B1686" s="111" t="s">
        <v>4340</v>
      </c>
      <c r="C1686" s="279" t="s">
        <v>725</v>
      </c>
      <c r="D1686" s="88" t="s">
        <v>7378</v>
      </c>
      <c r="E1686" s="87">
        <v>1</v>
      </c>
      <c r="F1686" s="110">
        <v>45362</v>
      </c>
      <c r="G1686" s="87">
        <v>1</v>
      </c>
      <c r="H1686" s="164"/>
      <c r="I1686" s="52" t="s">
        <v>6040</v>
      </c>
      <c r="J1686" s="87"/>
      <c r="K1686" s="70" t="s">
        <v>5365</v>
      </c>
      <c r="L1686" s="39"/>
    </row>
    <row r="1687" spans="1:22" s="35" customFormat="1" ht="11.25" customHeight="1" x14ac:dyDescent="0.35">
      <c r="A1687" s="47" t="s">
        <v>5215</v>
      </c>
      <c r="B1687" s="34" t="s">
        <v>6142</v>
      </c>
      <c r="C1687" s="274" t="s">
        <v>2216</v>
      </c>
      <c r="D1687" s="81" t="s">
        <v>7379</v>
      </c>
      <c r="E1687" s="47">
        <v>1</v>
      </c>
      <c r="F1687" s="48">
        <v>45373</v>
      </c>
      <c r="G1687" s="47"/>
      <c r="H1687" s="162"/>
      <c r="I1687" s="47"/>
      <c r="J1687" s="47"/>
      <c r="K1687" s="70" t="s">
        <v>5338</v>
      </c>
      <c r="L1687" s="34"/>
      <c r="M1687" s="34"/>
      <c r="N1687" s="34"/>
      <c r="O1687" s="34"/>
      <c r="P1687" s="34"/>
      <c r="Q1687" s="34"/>
      <c r="R1687" s="34"/>
      <c r="S1687" s="34"/>
      <c r="T1687" s="34"/>
      <c r="U1687" s="34"/>
      <c r="V1687" s="34"/>
    </row>
    <row r="1688" spans="1:22" s="86" customFormat="1" ht="11.25" customHeight="1" x14ac:dyDescent="0.35">
      <c r="A1688" s="83" t="s">
        <v>5215</v>
      </c>
      <c r="B1688" s="86" t="s">
        <v>6142</v>
      </c>
      <c r="C1688" s="295" t="s">
        <v>6149</v>
      </c>
      <c r="D1688" s="84" t="s">
        <v>7380</v>
      </c>
      <c r="E1688" s="83">
        <v>5</v>
      </c>
      <c r="F1688" s="24">
        <v>45373</v>
      </c>
      <c r="G1688" s="83">
        <v>1</v>
      </c>
      <c r="H1688" s="180">
        <v>45384</v>
      </c>
      <c r="I1688" s="83" t="s">
        <v>5433</v>
      </c>
      <c r="J1688" s="83"/>
      <c r="K1688" s="85" t="s">
        <v>5511</v>
      </c>
      <c r="L1688" s="34"/>
    </row>
    <row r="1689" spans="1:22" s="86" customFormat="1" ht="11.25" customHeight="1" x14ac:dyDescent="0.35">
      <c r="A1689" s="83" t="s">
        <v>5215</v>
      </c>
      <c r="B1689" s="86" t="s">
        <v>6142</v>
      </c>
      <c r="C1689" s="295" t="s">
        <v>3994</v>
      </c>
      <c r="D1689" s="84" t="s">
        <v>2174</v>
      </c>
      <c r="E1689" s="83">
        <v>8</v>
      </c>
      <c r="F1689" s="24">
        <v>45373</v>
      </c>
      <c r="G1689" s="83">
        <v>5</v>
      </c>
      <c r="H1689" s="180">
        <v>45384</v>
      </c>
      <c r="I1689" s="83" t="s">
        <v>5433</v>
      </c>
      <c r="J1689" s="83"/>
      <c r="K1689" s="85" t="s">
        <v>5511</v>
      </c>
      <c r="L1689" s="34"/>
    </row>
    <row r="1690" spans="1:22" s="86" customFormat="1" ht="11.25" customHeight="1" x14ac:dyDescent="0.35">
      <c r="A1690" s="83" t="s">
        <v>5215</v>
      </c>
      <c r="B1690" s="86" t="s">
        <v>6142</v>
      </c>
      <c r="C1690" s="295" t="s">
        <v>2471</v>
      </c>
      <c r="D1690" s="84" t="s">
        <v>7381</v>
      </c>
      <c r="E1690" s="83">
        <v>11</v>
      </c>
      <c r="F1690" s="24">
        <v>45373</v>
      </c>
      <c r="G1690" s="83" t="s">
        <v>7382</v>
      </c>
      <c r="H1690" s="180">
        <v>45384</v>
      </c>
      <c r="I1690" s="83" t="s">
        <v>5433</v>
      </c>
      <c r="J1690" s="83"/>
      <c r="K1690" s="85" t="s">
        <v>5511</v>
      </c>
    </row>
    <row r="1691" spans="1:22" s="35" customFormat="1" ht="11.25" customHeight="1" x14ac:dyDescent="0.35">
      <c r="A1691" s="47" t="s">
        <v>5215</v>
      </c>
      <c r="B1691" s="34" t="s">
        <v>6142</v>
      </c>
      <c r="C1691" s="274" t="s">
        <v>7383</v>
      </c>
      <c r="D1691" s="81" t="s">
        <v>7384</v>
      </c>
      <c r="E1691" s="47">
        <v>6</v>
      </c>
      <c r="F1691" s="48">
        <v>45373</v>
      </c>
      <c r="G1691" s="47"/>
      <c r="H1691" s="162"/>
      <c r="I1691" s="47"/>
      <c r="J1691" s="47"/>
      <c r="K1691" s="70" t="s">
        <v>5338</v>
      </c>
      <c r="L1691" s="34"/>
      <c r="M1691" s="34"/>
      <c r="N1691" s="34"/>
      <c r="O1691" s="34"/>
      <c r="P1691" s="34"/>
      <c r="Q1691" s="34"/>
      <c r="R1691" s="34"/>
      <c r="S1691" s="34"/>
      <c r="T1691" s="34"/>
      <c r="U1691" s="34"/>
      <c r="V1691" s="34"/>
    </row>
    <row r="1692" spans="1:22" s="35" customFormat="1" ht="11.25" customHeight="1" x14ac:dyDescent="0.35">
      <c r="A1692" s="47" t="s">
        <v>5215</v>
      </c>
      <c r="B1692" s="34" t="s">
        <v>6142</v>
      </c>
      <c r="C1692" s="274" t="s">
        <v>2177</v>
      </c>
      <c r="D1692" s="81" t="s">
        <v>7385</v>
      </c>
      <c r="E1692" s="47">
        <v>4</v>
      </c>
      <c r="F1692" s="48">
        <v>45373</v>
      </c>
      <c r="G1692" s="47"/>
      <c r="H1692" s="162"/>
      <c r="I1692" s="47"/>
      <c r="J1692" s="47"/>
      <c r="K1692" s="70" t="s">
        <v>5338</v>
      </c>
      <c r="L1692" s="34"/>
      <c r="M1692" s="34"/>
      <c r="N1692" s="34"/>
      <c r="O1692" s="34"/>
      <c r="P1692" s="34"/>
      <c r="Q1692" s="34"/>
      <c r="R1692" s="34"/>
      <c r="S1692" s="34"/>
      <c r="T1692" s="34"/>
      <c r="U1692" s="34"/>
      <c r="V1692" s="34"/>
    </row>
    <row r="1693" spans="1:22" s="35" customFormat="1" ht="11.25" customHeight="1" x14ac:dyDescent="0.35">
      <c r="A1693" s="47" t="s">
        <v>5215</v>
      </c>
      <c r="B1693" s="34" t="s">
        <v>6142</v>
      </c>
      <c r="C1693" s="274" t="s">
        <v>2207</v>
      </c>
      <c r="D1693" s="81" t="s">
        <v>7386</v>
      </c>
      <c r="E1693" s="47">
        <v>70</v>
      </c>
      <c r="F1693" s="48">
        <v>45373</v>
      </c>
      <c r="G1693" s="47"/>
      <c r="H1693" s="162"/>
      <c r="I1693" s="47"/>
      <c r="J1693" s="47"/>
      <c r="K1693" s="70" t="s">
        <v>5338</v>
      </c>
      <c r="L1693" s="34"/>
      <c r="M1693" s="34"/>
      <c r="N1693" s="34"/>
      <c r="O1693" s="34"/>
      <c r="P1693" s="34"/>
      <c r="Q1693" s="34"/>
      <c r="R1693" s="34"/>
      <c r="S1693" s="34"/>
      <c r="T1693" s="34"/>
      <c r="U1693" s="34"/>
      <c r="V1693" s="34"/>
    </row>
    <row r="1694" spans="1:22" s="39" customFormat="1" ht="11.25" customHeight="1" x14ac:dyDescent="0.35">
      <c r="A1694" s="38" t="s">
        <v>5215</v>
      </c>
      <c r="B1694" s="39" t="s">
        <v>6142</v>
      </c>
      <c r="C1694" s="106" t="s">
        <v>7387</v>
      </c>
      <c r="D1694" s="82" t="s">
        <v>7120</v>
      </c>
      <c r="E1694" s="38">
        <v>1</v>
      </c>
      <c r="F1694" s="26">
        <v>45373</v>
      </c>
      <c r="G1694" s="38">
        <v>1</v>
      </c>
      <c r="H1694" s="160">
        <v>45384</v>
      </c>
      <c r="I1694" s="38" t="s">
        <v>5433</v>
      </c>
      <c r="J1694" s="38"/>
      <c r="K1694" s="70" t="s">
        <v>5365</v>
      </c>
    </row>
    <row r="1695" spans="1:22" s="35" customFormat="1" ht="11.25" customHeight="1" x14ac:dyDescent="0.35">
      <c r="A1695" s="47" t="s">
        <v>5215</v>
      </c>
      <c r="B1695" s="34" t="s">
        <v>6142</v>
      </c>
      <c r="C1695" s="274" t="s">
        <v>7388</v>
      </c>
      <c r="D1695" s="81" t="s">
        <v>7389</v>
      </c>
      <c r="E1695" s="47">
        <v>100</v>
      </c>
      <c r="F1695" s="48">
        <v>45373</v>
      </c>
      <c r="G1695" s="47"/>
      <c r="H1695" s="162"/>
      <c r="I1695" s="47"/>
      <c r="J1695" s="47"/>
      <c r="K1695" s="70" t="s">
        <v>5338</v>
      </c>
      <c r="L1695" s="34"/>
      <c r="M1695" s="34"/>
      <c r="N1695" s="34"/>
      <c r="O1695" s="34"/>
      <c r="P1695" s="34"/>
      <c r="Q1695" s="34"/>
      <c r="R1695" s="34"/>
      <c r="S1695" s="34"/>
      <c r="T1695" s="34"/>
      <c r="U1695" s="34"/>
      <c r="V1695" s="34"/>
    </row>
    <row r="1696" spans="1:22" s="35" customFormat="1" ht="11.25" customHeight="1" x14ac:dyDescent="0.35">
      <c r="A1696" s="47" t="s">
        <v>5215</v>
      </c>
      <c r="B1696" s="34" t="s">
        <v>6142</v>
      </c>
      <c r="C1696" s="274" t="s">
        <v>1847</v>
      </c>
      <c r="D1696" s="81" t="s">
        <v>7390</v>
      </c>
      <c r="E1696" s="47">
        <v>12</v>
      </c>
      <c r="F1696" s="48">
        <v>45373</v>
      </c>
      <c r="G1696" s="47"/>
      <c r="H1696" s="162"/>
      <c r="I1696" s="47"/>
      <c r="J1696" s="47"/>
      <c r="K1696" s="70" t="s">
        <v>5338</v>
      </c>
      <c r="L1696" s="34"/>
      <c r="M1696" s="34"/>
      <c r="N1696" s="34"/>
      <c r="O1696" s="34"/>
      <c r="P1696" s="34"/>
      <c r="Q1696" s="34"/>
      <c r="R1696" s="34"/>
      <c r="S1696" s="34"/>
      <c r="T1696" s="34"/>
      <c r="U1696" s="34"/>
      <c r="V1696" s="34"/>
    </row>
    <row r="1697" spans="1:22" s="39" customFormat="1" ht="11.25" customHeight="1" x14ac:dyDescent="0.35">
      <c r="A1697" s="38" t="s">
        <v>5215</v>
      </c>
      <c r="B1697" s="39" t="s">
        <v>6142</v>
      </c>
      <c r="C1697" s="106" t="s">
        <v>1844</v>
      </c>
      <c r="D1697" s="82" t="s">
        <v>7391</v>
      </c>
      <c r="E1697" s="38">
        <v>2</v>
      </c>
      <c r="F1697" s="26">
        <v>45373</v>
      </c>
      <c r="G1697" s="38">
        <v>2</v>
      </c>
      <c r="H1697" s="160">
        <v>45384</v>
      </c>
      <c r="I1697" s="38" t="s">
        <v>5433</v>
      </c>
      <c r="J1697" s="38"/>
      <c r="K1697" s="70" t="s">
        <v>5365</v>
      </c>
    </row>
    <row r="1698" spans="1:22" s="86" customFormat="1" ht="11.25" customHeight="1" x14ac:dyDescent="0.35">
      <c r="A1698" s="83" t="s">
        <v>5215</v>
      </c>
      <c r="B1698" s="86" t="s">
        <v>6142</v>
      </c>
      <c r="C1698" s="295" t="s">
        <v>5604</v>
      </c>
      <c r="D1698" s="84" t="s">
        <v>7392</v>
      </c>
      <c r="E1698" s="83">
        <v>10</v>
      </c>
      <c r="F1698" s="24">
        <v>45373</v>
      </c>
      <c r="G1698" s="83" t="s">
        <v>7393</v>
      </c>
      <c r="H1698" s="180" t="s">
        <v>7394</v>
      </c>
      <c r="I1698" s="83" t="s">
        <v>5433</v>
      </c>
      <c r="J1698" s="83"/>
      <c r="K1698" s="85" t="s">
        <v>5511</v>
      </c>
    </row>
    <row r="1699" spans="1:22" s="35" customFormat="1" ht="11.25" customHeight="1" x14ac:dyDescent="0.35">
      <c r="A1699" s="47" t="s">
        <v>5215</v>
      </c>
      <c r="B1699" s="34" t="s">
        <v>6142</v>
      </c>
      <c r="C1699" s="272" t="s">
        <v>7395</v>
      </c>
      <c r="D1699" s="31" t="s">
        <v>1851</v>
      </c>
      <c r="E1699" s="33">
        <v>1</v>
      </c>
      <c r="F1699" s="48">
        <v>45373</v>
      </c>
      <c r="G1699" s="21"/>
      <c r="H1699" s="159"/>
      <c r="I1699" s="33"/>
      <c r="J1699" s="33"/>
      <c r="K1699" s="70" t="s">
        <v>5338</v>
      </c>
    </row>
    <row r="1700" spans="1:22" s="86" customFormat="1" ht="11.25" customHeight="1" x14ac:dyDescent="0.35">
      <c r="A1700" s="83" t="s">
        <v>5215</v>
      </c>
      <c r="B1700" s="86" t="s">
        <v>6142</v>
      </c>
      <c r="C1700" s="295" t="s">
        <v>2185</v>
      </c>
      <c r="D1700" s="84" t="s">
        <v>7396</v>
      </c>
      <c r="E1700" s="83">
        <v>4</v>
      </c>
      <c r="F1700" s="24">
        <v>45373</v>
      </c>
      <c r="G1700" s="23" t="s">
        <v>7150</v>
      </c>
      <c r="H1700" s="180">
        <v>45384</v>
      </c>
      <c r="I1700" s="83" t="s">
        <v>5433</v>
      </c>
      <c r="J1700" s="83"/>
      <c r="K1700" s="85" t="s">
        <v>5511</v>
      </c>
    </row>
    <row r="1701" spans="1:22" s="35" customFormat="1" ht="11.25" customHeight="1" x14ac:dyDescent="0.35">
      <c r="A1701" s="47" t="s">
        <v>5215</v>
      </c>
      <c r="B1701" s="34" t="s">
        <v>6142</v>
      </c>
      <c r="C1701" s="272" t="s">
        <v>2213</v>
      </c>
      <c r="D1701" s="31" t="s">
        <v>7397</v>
      </c>
      <c r="E1701" s="33">
        <v>35</v>
      </c>
      <c r="F1701" s="48">
        <v>45373</v>
      </c>
      <c r="G1701" s="21"/>
      <c r="H1701" s="159"/>
      <c r="I1701" s="33"/>
      <c r="J1701" s="33"/>
      <c r="K1701" s="70" t="s">
        <v>5338</v>
      </c>
    </row>
    <row r="1702" spans="1:22" s="86" customFormat="1" ht="11.25" customHeight="1" x14ac:dyDescent="0.35">
      <c r="A1702" s="83" t="s">
        <v>5215</v>
      </c>
      <c r="B1702" s="86" t="s">
        <v>6142</v>
      </c>
      <c r="C1702" s="295" t="s">
        <v>2225</v>
      </c>
      <c r="D1702" s="84" t="s">
        <v>7398</v>
      </c>
      <c r="E1702" s="83">
        <v>30</v>
      </c>
      <c r="F1702" s="24">
        <v>45373</v>
      </c>
      <c r="G1702" s="23">
        <v>16</v>
      </c>
      <c r="H1702" s="180"/>
      <c r="I1702" s="83" t="s">
        <v>5433</v>
      </c>
      <c r="J1702" s="83"/>
      <c r="K1702" s="85" t="s">
        <v>5511</v>
      </c>
      <c r="L1702" s="35"/>
    </row>
    <row r="1703" spans="1:22" s="39" customFormat="1" ht="11.25" customHeight="1" x14ac:dyDescent="0.35">
      <c r="A1703" s="38" t="s">
        <v>5215</v>
      </c>
      <c r="B1703" s="39" t="s">
        <v>6142</v>
      </c>
      <c r="C1703" s="106" t="s">
        <v>2479</v>
      </c>
      <c r="D1703" s="82" t="s">
        <v>7399</v>
      </c>
      <c r="E1703" s="38">
        <v>8</v>
      </c>
      <c r="F1703" s="26">
        <v>45373</v>
      </c>
      <c r="G1703" s="25">
        <v>8</v>
      </c>
      <c r="H1703" s="160">
        <v>45384</v>
      </c>
      <c r="I1703" s="38" t="s">
        <v>5433</v>
      </c>
      <c r="J1703" s="38"/>
      <c r="K1703" s="70" t="s">
        <v>5365</v>
      </c>
      <c r="L1703" s="35"/>
    </row>
    <row r="1704" spans="1:22" s="86" customFormat="1" ht="11.25" customHeight="1" x14ac:dyDescent="0.35">
      <c r="A1704" s="83" t="s">
        <v>5215</v>
      </c>
      <c r="B1704" s="86" t="s">
        <v>6142</v>
      </c>
      <c r="C1704" s="295" t="s">
        <v>2210</v>
      </c>
      <c r="D1704" s="84" t="s">
        <v>7400</v>
      </c>
      <c r="E1704" s="83">
        <v>24</v>
      </c>
      <c r="F1704" s="24">
        <v>45373</v>
      </c>
      <c r="G1704" s="23" t="s">
        <v>7401</v>
      </c>
      <c r="H1704" s="180" t="s">
        <v>7402</v>
      </c>
      <c r="I1704" s="83" t="s">
        <v>5433</v>
      </c>
      <c r="J1704" s="83"/>
      <c r="K1704" s="85" t="s">
        <v>5511</v>
      </c>
      <c r="L1704" s="35"/>
    </row>
    <row r="1705" spans="1:22" s="35" customFormat="1" ht="11.25" customHeight="1" x14ac:dyDescent="0.35">
      <c r="A1705" s="47" t="s">
        <v>5215</v>
      </c>
      <c r="B1705" s="34" t="s">
        <v>6142</v>
      </c>
      <c r="C1705" s="272" t="s">
        <v>2188</v>
      </c>
      <c r="D1705" s="31" t="s">
        <v>2189</v>
      </c>
      <c r="E1705" s="33">
        <v>1</v>
      </c>
      <c r="F1705" s="48">
        <v>45373</v>
      </c>
      <c r="G1705" s="21"/>
      <c r="H1705" s="159"/>
      <c r="I1705" s="33"/>
      <c r="J1705" s="33"/>
      <c r="K1705" s="70" t="s">
        <v>5338</v>
      </c>
    </row>
    <row r="1706" spans="1:22" s="39" customFormat="1" ht="11.25" customHeight="1" x14ac:dyDescent="0.35">
      <c r="A1706" s="38" t="s">
        <v>5215</v>
      </c>
      <c r="B1706" s="39" t="s">
        <v>6142</v>
      </c>
      <c r="C1706" s="106" t="s">
        <v>7403</v>
      </c>
      <c r="D1706" s="82" t="s">
        <v>7404</v>
      </c>
      <c r="E1706" s="38">
        <v>1</v>
      </c>
      <c r="F1706" s="26">
        <v>45373</v>
      </c>
      <c r="G1706" s="25">
        <v>1</v>
      </c>
      <c r="H1706" s="160"/>
      <c r="I1706" s="38"/>
      <c r="J1706" s="38"/>
      <c r="K1706" s="70" t="s">
        <v>5365</v>
      </c>
    </row>
    <row r="1707" spans="1:22" s="35" customFormat="1" ht="11.25" customHeight="1" x14ac:dyDescent="0.35">
      <c r="A1707" s="47" t="s">
        <v>5215</v>
      </c>
      <c r="B1707" s="34" t="s">
        <v>6142</v>
      </c>
      <c r="C1707" s="272" t="s">
        <v>7337</v>
      </c>
      <c r="D1707" s="31" t="s">
        <v>7405</v>
      </c>
      <c r="E1707" s="33">
        <v>4</v>
      </c>
      <c r="F1707" s="48">
        <v>45373</v>
      </c>
      <c r="G1707" s="21"/>
      <c r="H1707" s="159"/>
      <c r="I1707" s="33"/>
      <c r="J1707" s="33"/>
      <c r="K1707" s="70" t="s">
        <v>5338</v>
      </c>
    </row>
    <row r="1708" spans="1:22" s="35" customFormat="1" ht="11.25" customHeight="1" x14ac:dyDescent="0.35">
      <c r="A1708" s="47" t="s">
        <v>5215</v>
      </c>
      <c r="B1708" s="34" t="s">
        <v>6142</v>
      </c>
      <c r="C1708" s="272" t="s">
        <v>1840</v>
      </c>
      <c r="D1708" s="31" t="s">
        <v>7406</v>
      </c>
      <c r="E1708" s="33">
        <v>3</v>
      </c>
      <c r="F1708" s="48">
        <v>45373</v>
      </c>
      <c r="G1708" s="21"/>
      <c r="H1708" s="159"/>
      <c r="I1708" s="33"/>
      <c r="J1708" s="33"/>
      <c r="K1708" s="70" t="s">
        <v>5338</v>
      </c>
    </row>
    <row r="1709" spans="1:22" s="35" customFormat="1" ht="11.25" customHeight="1" x14ac:dyDescent="0.35">
      <c r="A1709" s="47" t="s">
        <v>5215</v>
      </c>
      <c r="B1709" s="34" t="s">
        <v>6142</v>
      </c>
      <c r="C1709" s="272" t="s">
        <v>7407</v>
      </c>
      <c r="D1709" s="31" t="s">
        <v>7408</v>
      </c>
      <c r="E1709" s="33">
        <v>1</v>
      </c>
      <c r="F1709" s="48">
        <v>45373</v>
      </c>
      <c r="G1709" s="21"/>
      <c r="H1709" s="159"/>
      <c r="I1709" s="33"/>
      <c r="J1709" s="33"/>
      <c r="K1709" s="70" t="s">
        <v>5338</v>
      </c>
    </row>
    <row r="1710" spans="1:22" s="39" customFormat="1" ht="11.25" customHeight="1" x14ac:dyDescent="0.35">
      <c r="A1710" s="38" t="s">
        <v>5215</v>
      </c>
      <c r="B1710" s="39" t="s">
        <v>6142</v>
      </c>
      <c r="C1710" s="106" t="s">
        <v>2222</v>
      </c>
      <c r="D1710" s="82" t="s">
        <v>7409</v>
      </c>
      <c r="E1710" s="38">
        <v>4</v>
      </c>
      <c r="F1710" s="26">
        <v>45373</v>
      </c>
      <c r="G1710" s="25">
        <v>4</v>
      </c>
      <c r="H1710" s="160">
        <v>45386</v>
      </c>
      <c r="I1710" s="38" t="s">
        <v>5433</v>
      </c>
      <c r="J1710" s="38"/>
      <c r="K1710" s="70" t="s">
        <v>5365</v>
      </c>
      <c r="L1710" s="35"/>
    </row>
    <row r="1711" spans="1:22" s="39" customFormat="1" ht="11.25" customHeight="1" x14ac:dyDescent="0.35">
      <c r="A1711" s="38" t="s">
        <v>5215</v>
      </c>
      <c r="B1711" s="39" t="s">
        <v>6142</v>
      </c>
      <c r="C1711" s="106"/>
      <c r="D1711" s="82" t="s">
        <v>7410</v>
      </c>
      <c r="E1711" s="38">
        <v>1</v>
      </c>
      <c r="F1711" s="26">
        <v>45373</v>
      </c>
      <c r="G1711" s="25">
        <v>1</v>
      </c>
      <c r="H1711" s="160">
        <v>45404</v>
      </c>
      <c r="I1711" s="38" t="s">
        <v>5570</v>
      </c>
      <c r="J1711" s="38"/>
      <c r="K1711" s="70" t="s">
        <v>5365</v>
      </c>
    </row>
    <row r="1712" spans="1:22" s="35" customFormat="1" ht="11.25" customHeight="1" x14ac:dyDescent="0.35">
      <c r="A1712" s="38" t="s">
        <v>5215</v>
      </c>
      <c r="B1712" s="39" t="s">
        <v>7411</v>
      </c>
      <c r="C1712" s="106">
        <v>326332000</v>
      </c>
      <c r="D1712" s="82" t="s">
        <v>1264</v>
      </c>
      <c r="E1712" s="38">
        <v>8</v>
      </c>
      <c r="F1712" s="26"/>
      <c r="G1712" s="38">
        <v>8</v>
      </c>
      <c r="H1712" s="160">
        <v>45379</v>
      </c>
      <c r="I1712" s="38" t="s">
        <v>6556</v>
      </c>
      <c r="J1712" s="38"/>
      <c r="K1712" s="70" t="s">
        <v>5365</v>
      </c>
      <c r="L1712" s="39"/>
      <c r="M1712" s="39"/>
      <c r="N1712" s="34"/>
      <c r="O1712" s="34"/>
      <c r="P1712" s="34"/>
      <c r="Q1712" s="34"/>
      <c r="R1712" s="34"/>
      <c r="S1712" s="34"/>
      <c r="T1712" s="34"/>
      <c r="U1712" s="34"/>
      <c r="V1712" s="34"/>
    </row>
    <row r="1713" spans="1:22" s="35" customFormat="1" ht="11.25" customHeight="1" x14ac:dyDescent="0.35">
      <c r="A1713" s="38" t="s">
        <v>5215</v>
      </c>
      <c r="B1713" s="39" t="s">
        <v>7411</v>
      </c>
      <c r="C1713" s="106">
        <v>326333000</v>
      </c>
      <c r="D1713" s="82" t="s">
        <v>1264</v>
      </c>
      <c r="E1713" s="38">
        <v>8</v>
      </c>
      <c r="F1713" s="26"/>
      <c r="G1713" s="38">
        <v>8</v>
      </c>
      <c r="H1713" s="160">
        <v>45379</v>
      </c>
      <c r="I1713" s="38"/>
      <c r="J1713" s="38"/>
      <c r="K1713" s="70" t="s">
        <v>5365</v>
      </c>
      <c r="L1713" s="39"/>
      <c r="M1713" s="39"/>
      <c r="N1713" s="34"/>
      <c r="O1713" s="34"/>
      <c r="P1713" s="34"/>
      <c r="Q1713" s="34"/>
      <c r="R1713" s="34"/>
      <c r="S1713" s="34"/>
      <c r="T1713" s="34"/>
      <c r="U1713" s="34"/>
      <c r="V1713" s="34"/>
    </row>
    <row r="1714" spans="1:22" s="35" customFormat="1" ht="11.25" customHeight="1" x14ac:dyDescent="0.35">
      <c r="A1714" s="33" t="s">
        <v>5215</v>
      </c>
      <c r="B1714" s="35" t="s">
        <v>7412</v>
      </c>
      <c r="C1714" s="272" t="s">
        <v>1488</v>
      </c>
      <c r="D1714" s="31" t="s">
        <v>7413</v>
      </c>
      <c r="E1714" s="33">
        <v>1</v>
      </c>
      <c r="F1714" s="22">
        <v>45387</v>
      </c>
      <c r="G1714" s="21"/>
      <c r="H1714" s="159"/>
      <c r="I1714" s="33"/>
      <c r="J1714" s="33"/>
      <c r="K1714" s="70" t="s">
        <v>5338</v>
      </c>
      <c r="M1714" s="33"/>
      <c r="N1714" s="33"/>
      <c r="O1714" s="33"/>
      <c r="P1714" s="33"/>
      <c r="Q1714" s="33"/>
      <c r="R1714" s="33"/>
      <c r="S1714" s="33"/>
      <c r="T1714" s="33"/>
      <c r="U1714" s="33"/>
      <c r="V1714" s="33"/>
    </row>
    <row r="1715" spans="1:22" s="62" customFormat="1" ht="11.25" customHeight="1" x14ac:dyDescent="0.35">
      <c r="A1715" s="33" t="s">
        <v>5215</v>
      </c>
      <c r="B1715" s="35" t="s">
        <v>7412</v>
      </c>
      <c r="C1715" s="272" t="s">
        <v>827</v>
      </c>
      <c r="D1715" s="31" t="s">
        <v>7414</v>
      </c>
      <c r="E1715" s="33">
        <v>1</v>
      </c>
      <c r="F1715" s="22">
        <v>45387</v>
      </c>
      <c r="G1715" s="21"/>
      <c r="H1715" s="159"/>
      <c r="I1715" s="33"/>
      <c r="J1715" s="33"/>
      <c r="K1715" s="70" t="s">
        <v>5338</v>
      </c>
      <c r="L1715" s="35"/>
      <c r="M1715" s="33"/>
      <c r="N1715" s="33"/>
      <c r="O1715" s="33"/>
      <c r="P1715" s="33"/>
      <c r="Q1715" s="33"/>
      <c r="R1715" s="33"/>
      <c r="S1715" s="33"/>
      <c r="T1715" s="33"/>
      <c r="U1715" s="33"/>
      <c r="V1715" s="33"/>
    </row>
    <row r="1716" spans="1:22" s="62" customFormat="1" ht="11.25" customHeight="1" x14ac:dyDescent="0.35">
      <c r="A1716" s="33" t="s">
        <v>5215</v>
      </c>
      <c r="B1716" s="35" t="s">
        <v>7412</v>
      </c>
      <c r="C1716" s="272" t="s">
        <v>1552</v>
      </c>
      <c r="D1716" s="31" t="s">
        <v>1553</v>
      </c>
      <c r="E1716" s="33">
        <v>8</v>
      </c>
      <c r="F1716" s="22">
        <v>45387</v>
      </c>
      <c r="G1716" s="21"/>
      <c r="H1716" s="159"/>
      <c r="I1716" s="33"/>
      <c r="J1716" s="33"/>
      <c r="K1716" s="70" t="s">
        <v>5338</v>
      </c>
      <c r="L1716" s="35"/>
      <c r="M1716" s="33"/>
      <c r="N1716" s="33"/>
      <c r="O1716" s="33"/>
      <c r="P1716" s="33"/>
      <c r="Q1716" s="33"/>
      <c r="R1716" s="33"/>
      <c r="S1716" s="33"/>
      <c r="T1716" s="33"/>
      <c r="U1716" s="33"/>
      <c r="V1716" s="33"/>
    </row>
    <row r="1717" spans="1:22" s="62" customFormat="1" ht="11.25" customHeight="1" x14ac:dyDescent="0.35">
      <c r="A1717" s="38" t="s">
        <v>5215</v>
      </c>
      <c r="B1717" s="39" t="s">
        <v>7412</v>
      </c>
      <c r="C1717" s="106" t="s">
        <v>7415</v>
      </c>
      <c r="D1717" s="82" t="s">
        <v>1498</v>
      </c>
      <c r="E1717" s="38">
        <v>1</v>
      </c>
      <c r="F1717" s="26">
        <v>45387</v>
      </c>
      <c r="G1717" s="25">
        <v>1</v>
      </c>
      <c r="H1717" s="160">
        <v>45456</v>
      </c>
      <c r="I1717" s="38" t="s">
        <v>7416</v>
      </c>
      <c r="J1717" s="38"/>
      <c r="K1717" s="70" t="s">
        <v>5365</v>
      </c>
      <c r="L1717" s="39"/>
      <c r="M1717" s="38"/>
      <c r="N1717" s="38"/>
      <c r="O1717" s="38"/>
      <c r="P1717" s="38"/>
      <c r="Q1717" s="38"/>
      <c r="R1717" s="38"/>
      <c r="S1717" s="38"/>
      <c r="T1717" s="38"/>
      <c r="U1717" s="38"/>
      <c r="V1717" s="38"/>
    </row>
    <row r="1718" spans="1:22" s="62" customFormat="1" ht="11.25" customHeight="1" x14ac:dyDescent="0.35">
      <c r="A1718" s="33" t="s">
        <v>5215</v>
      </c>
      <c r="B1718" s="35" t="s">
        <v>7412</v>
      </c>
      <c r="C1718" s="272" t="s">
        <v>1542</v>
      </c>
      <c r="D1718" s="31" t="s">
        <v>1115</v>
      </c>
      <c r="E1718" s="33">
        <v>1</v>
      </c>
      <c r="F1718" s="22">
        <v>45387</v>
      </c>
      <c r="G1718" s="21"/>
      <c r="H1718" s="159"/>
      <c r="I1718" s="33"/>
      <c r="J1718" s="33"/>
      <c r="K1718" s="70" t="s">
        <v>5338</v>
      </c>
      <c r="L1718" s="35"/>
      <c r="M1718" s="33"/>
      <c r="N1718" s="33"/>
      <c r="O1718" s="33"/>
      <c r="P1718" s="33"/>
      <c r="Q1718" s="33"/>
      <c r="R1718" s="33"/>
      <c r="S1718" s="33"/>
      <c r="T1718" s="33"/>
      <c r="U1718" s="33"/>
      <c r="V1718" s="33"/>
    </row>
    <row r="1719" spans="1:22" s="62" customFormat="1" ht="11.25" customHeight="1" x14ac:dyDescent="0.35">
      <c r="A1719" s="38" t="s">
        <v>5215</v>
      </c>
      <c r="B1719" s="39" t="s">
        <v>7412</v>
      </c>
      <c r="C1719" s="106" t="s">
        <v>1538</v>
      </c>
      <c r="D1719" s="82" t="s">
        <v>1539</v>
      </c>
      <c r="E1719" s="38">
        <v>2</v>
      </c>
      <c r="F1719" s="26">
        <v>45387</v>
      </c>
      <c r="G1719" s="25">
        <v>2</v>
      </c>
      <c r="H1719" s="160">
        <v>45456</v>
      </c>
      <c r="I1719" s="38" t="s">
        <v>7417</v>
      </c>
      <c r="J1719" s="38"/>
      <c r="K1719" s="70" t="s">
        <v>5365</v>
      </c>
      <c r="L1719" s="39"/>
      <c r="M1719" s="38"/>
      <c r="N1719" s="38"/>
      <c r="O1719" s="38"/>
      <c r="P1719" s="38"/>
      <c r="Q1719" s="38"/>
      <c r="R1719" s="38"/>
      <c r="S1719" s="38"/>
      <c r="T1719" s="38"/>
      <c r="U1719" s="38"/>
      <c r="V1719" s="38"/>
    </row>
    <row r="1720" spans="1:22" s="116" customFormat="1" ht="11.25" customHeight="1" x14ac:dyDescent="0.35">
      <c r="A1720" s="83" t="s">
        <v>5215</v>
      </c>
      <c r="B1720" s="86" t="s">
        <v>7412</v>
      </c>
      <c r="C1720" s="295" t="s">
        <v>1492</v>
      </c>
      <c r="D1720" s="84" t="s">
        <v>5071</v>
      </c>
      <c r="E1720" s="83">
        <v>16</v>
      </c>
      <c r="F1720" s="24">
        <v>45387</v>
      </c>
      <c r="G1720" s="23" t="s">
        <v>7418</v>
      </c>
      <c r="H1720" s="180">
        <v>45456</v>
      </c>
      <c r="I1720" s="83" t="s">
        <v>7419</v>
      </c>
      <c r="J1720" s="83"/>
      <c r="K1720" s="85" t="s">
        <v>5511</v>
      </c>
      <c r="L1720" s="86"/>
      <c r="M1720" s="83"/>
      <c r="N1720" s="83"/>
      <c r="O1720" s="83"/>
      <c r="P1720" s="83"/>
      <c r="Q1720" s="83"/>
      <c r="R1720" s="83"/>
      <c r="S1720" s="83"/>
      <c r="T1720" s="83"/>
      <c r="U1720" s="83"/>
      <c r="V1720" s="83"/>
    </row>
    <row r="1721" spans="1:22" s="62" customFormat="1" ht="11.25" customHeight="1" x14ac:dyDescent="0.35">
      <c r="A1721" s="87" t="s">
        <v>4832</v>
      </c>
      <c r="B1721" s="62" t="s">
        <v>4340</v>
      </c>
      <c r="C1721" s="279" t="s">
        <v>7420</v>
      </c>
      <c r="D1721" s="88" t="s">
        <v>6224</v>
      </c>
      <c r="E1721" s="87">
        <v>1</v>
      </c>
      <c r="F1721" s="28">
        <v>45397</v>
      </c>
      <c r="G1721" s="87">
        <v>1</v>
      </c>
      <c r="H1721" s="164">
        <v>45427</v>
      </c>
      <c r="I1721" s="87" t="s">
        <v>6040</v>
      </c>
      <c r="J1721" s="87"/>
      <c r="K1721" s="70" t="s">
        <v>5365</v>
      </c>
    </row>
    <row r="1722" spans="1:22" s="62" customFormat="1" ht="11.25" customHeight="1" x14ac:dyDescent="0.35">
      <c r="A1722" s="87" t="s">
        <v>4832</v>
      </c>
      <c r="B1722" s="62" t="s">
        <v>4340</v>
      </c>
      <c r="C1722" s="279" t="s">
        <v>7421</v>
      </c>
      <c r="D1722" s="88" t="s">
        <v>7422</v>
      </c>
      <c r="E1722" s="87">
        <v>1</v>
      </c>
      <c r="F1722" s="28">
        <v>45397</v>
      </c>
      <c r="G1722" s="87">
        <v>1</v>
      </c>
      <c r="H1722" s="164">
        <v>45427</v>
      </c>
      <c r="I1722" s="87" t="s">
        <v>6040</v>
      </c>
      <c r="J1722" s="87"/>
      <c r="K1722" s="70" t="s">
        <v>5365</v>
      </c>
    </row>
    <row r="1723" spans="1:22" s="62" customFormat="1" ht="11.25" customHeight="1" x14ac:dyDescent="0.35">
      <c r="A1723" s="87" t="s">
        <v>4832</v>
      </c>
      <c r="B1723" s="62" t="s">
        <v>4340</v>
      </c>
      <c r="C1723" s="279" t="s">
        <v>7423</v>
      </c>
      <c r="D1723" s="88" t="s">
        <v>7424</v>
      </c>
      <c r="E1723" s="87">
        <v>6</v>
      </c>
      <c r="F1723" s="28">
        <v>45397</v>
      </c>
      <c r="G1723" s="87">
        <v>6</v>
      </c>
      <c r="H1723" s="164">
        <v>45427</v>
      </c>
      <c r="I1723" s="87" t="s">
        <v>6040</v>
      </c>
      <c r="J1723" s="87"/>
      <c r="K1723" s="70" t="s">
        <v>5365</v>
      </c>
    </row>
    <row r="1724" spans="1:22" s="62" customFormat="1" ht="11.25" customHeight="1" x14ac:dyDescent="0.35">
      <c r="A1724" s="87" t="s">
        <v>4832</v>
      </c>
      <c r="B1724" s="62" t="s">
        <v>4340</v>
      </c>
      <c r="C1724" s="279" t="s">
        <v>2157</v>
      </c>
      <c r="D1724" s="88" t="s">
        <v>7425</v>
      </c>
      <c r="E1724" s="87">
        <v>1</v>
      </c>
      <c r="F1724" s="28">
        <v>45397</v>
      </c>
      <c r="G1724" s="87">
        <v>1</v>
      </c>
      <c r="H1724" s="164">
        <v>45427</v>
      </c>
      <c r="I1724" s="87" t="s">
        <v>6040</v>
      </c>
      <c r="J1724" s="87"/>
      <c r="K1724" s="70" t="s">
        <v>5365</v>
      </c>
    </row>
    <row r="1725" spans="1:22" s="62" customFormat="1" ht="11.25" customHeight="1" x14ac:dyDescent="0.35">
      <c r="A1725" s="87" t="s">
        <v>4832</v>
      </c>
      <c r="B1725" s="62" t="s">
        <v>4340</v>
      </c>
      <c r="C1725" s="279" t="s">
        <v>7426</v>
      </c>
      <c r="D1725" s="88" t="s">
        <v>7427</v>
      </c>
      <c r="E1725" s="87">
        <v>1</v>
      </c>
      <c r="F1725" s="28">
        <v>45397</v>
      </c>
      <c r="G1725" s="87">
        <v>1</v>
      </c>
      <c r="H1725" s="164">
        <v>45427</v>
      </c>
      <c r="I1725" s="87" t="s">
        <v>6040</v>
      </c>
      <c r="J1725" s="87"/>
      <c r="K1725" s="70" t="s">
        <v>5365</v>
      </c>
    </row>
    <row r="1726" spans="1:22" s="62" customFormat="1" ht="11.25" customHeight="1" x14ac:dyDescent="0.35">
      <c r="A1726" s="87" t="s">
        <v>4832</v>
      </c>
      <c r="B1726" s="62" t="s">
        <v>4340</v>
      </c>
      <c r="C1726" s="279" t="s">
        <v>7375</v>
      </c>
      <c r="D1726" s="88" t="s">
        <v>7428</v>
      </c>
      <c r="E1726" s="87">
        <v>1</v>
      </c>
      <c r="F1726" s="28">
        <v>45397</v>
      </c>
      <c r="G1726" s="87">
        <v>1</v>
      </c>
      <c r="H1726" s="164">
        <v>45427</v>
      </c>
      <c r="I1726" s="87" t="s">
        <v>6040</v>
      </c>
      <c r="J1726" s="87"/>
      <c r="K1726" s="70" t="s">
        <v>5365</v>
      </c>
    </row>
    <row r="1727" spans="1:22" s="62" customFormat="1" ht="11.25" customHeight="1" x14ac:dyDescent="0.35">
      <c r="A1727" s="87" t="s">
        <v>4832</v>
      </c>
      <c r="B1727" s="62" t="s">
        <v>4340</v>
      </c>
      <c r="C1727" s="279" t="s">
        <v>2444</v>
      </c>
      <c r="D1727" s="88" t="s">
        <v>7429</v>
      </c>
      <c r="E1727" s="87">
        <v>1</v>
      </c>
      <c r="F1727" s="28">
        <v>45397</v>
      </c>
      <c r="G1727" s="87">
        <v>1</v>
      </c>
      <c r="H1727" s="164">
        <v>45427</v>
      </c>
      <c r="I1727" s="87" t="s">
        <v>6040</v>
      </c>
      <c r="J1727" s="87"/>
      <c r="K1727" s="70" t="s">
        <v>5365</v>
      </c>
    </row>
    <row r="1728" spans="1:22" s="62" customFormat="1" ht="11.25" customHeight="1" x14ac:dyDescent="0.35">
      <c r="A1728" s="87" t="s">
        <v>4832</v>
      </c>
      <c r="B1728" s="62" t="s">
        <v>4340</v>
      </c>
      <c r="C1728" s="279" t="s">
        <v>2161</v>
      </c>
      <c r="D1728" s="88" t="s">
        <v>5346</v>
      </c>
      <c r="E1728" s="87">
        <v>2</v>
      </c>
      <c r="F1728" s="28">
        <v>45397</v>
      </c>
      <c r="G1728" s="87">
        <v>2</v>
      </c>
      <c r="H1728" s="164">
        <v>45427</v>
      </c>
      <c r="I1728" s="87" t="s">
        <v>6040</v>
      </c>
      <c r="J1728" s="87"/>
      <c r="K1728" s="70" t="s">
        <v>5365</v>
      </c>
    </row>
    <row r="1729" spans="1:22" s="62" customFormat="1" ht="11.25" customHeight="1" x14ac:dyDescent="0.35">
      <c r="A1729" s="87" t="s">
        <v>4832</v>
      </c>
      <c r="B1729" s="62" t="s">
        <v>4340</v>
      </c>
      <c r="C1729" s="279" t="s">
        <v>2454</v>
      </c>
      <c r="D1729" s="88" t="s">
        <v>7430</v>
      </c>
      <c r="E1729" s="87">
        <v>8</v>
      </c>
      <c r="F1729" s="28">
        <v>45397</v>
      </c>
      <c r="G1729" s="87">
        <v>8</v>
      </c>
      <c r="H1729" s="164">
        <v>45427</v>
      </c>
      <c r="I1729" s="87" t="s">
        <v>6040</v>
      </c>
      <c r="J1729" s="87"/>
      <c r="K1729" s="70" t="s">
        <v>5365</v>
      </c>
    </row>
    <row r="1730" spans="1:22" s="62" customFormat="1" ht="11.25" customHeight="1" x14ac:dyDescent="0.35">
      <c r="A1730" s="87" t="s">
        <v>4832</v>
      </c>
      <c r="B1730" s="62" t="s">
        <v>4340</v>
      </c>
      <c r="C1730" s="279" t="s">
        <v>7431</v>
      </c>
      <c r="D1730" s="88" t="s">
        <v>1785</v>
      </c>
      <c r="E1730" s="87">
        <v>1</v>
      </c>
      <c r="F1730" s="28">
        <v>45397</v>
      </c>
      <c r="G1730" s="87">
        <v>1</v>
      </c>
      <c r="H1730" s="164">
        <v>45427</v>
      </c>
      <c r="I1730" s="87" t="s">
        <v>6040</v>
      </c>
      <c r="J1730" s="87"/>
      <c r="K1730" s="70" t="s">
        <v>5365</v>
      </c>
    </row>
    <row r="1731" spans="1:22" s="39" customFormat="1" ht="11.25" customHeight="1" x14ac:dyDescent="0.35">
      <c r="A1731" s="87" t="s">
        <v>4832</v>
      </c>
      <c r="B1731" s="62" t="s">
        <v>4340</v>
      </c>
      <c r="C1731" s="279" t="s">
        <v>7432</v>
      </c>
      <c r="D1731" s="88" t="s">
        <v>6234</v>
      </c>
      <c r="E1731" s="87">
        <v>6</v>
      </c>
      <c r="F1731" s="28">
        <v>45397</v>
      </c>
      <c r="G1731" s="87">
        <v>6</v>
      </c>
      <c r="H1731" s="164">
        <v>45427</v>
      </c>
      <c r="I1731" s="87" t="s">
        <v>6040</v>
      </c>
      <c r="J1731" s="87"/>
      <c r="K1731" s="70" t="s">
        <v>5365</v>
      </c>
      <c r="L1731" s="62"/>
      <c r="M1731" s="62"/>
      <c r="N1731" s="62"/>
      <c r="O1731" s="62"/>
      <c r="P1731" s="62"/>
      <c r="Q1731" s="62"/>
      <c r="R1731" s="62"/>
      <c r="S1731" s="62"/>
      <c r="T1731" s="62"/>
      <c r="U1731" s="62"/>
      <c r="V1731" s="62"/>
    </row>
    <row r="1732" spans="1:22" s="39" customFormat="1" ht="11.25" customHeight="1" x14ac:dyDescent="0.35">
      <c r="A1732" s="87" t="s">
        <v>4832</v>
      </c>
      <c r="B1732" s="62" t="s">
        <v>4340</v>
      </c>
      <c r="C1732" s="279" t="s">
        <v>7433</v>
      </c>
      <c r="D1732" s="88" t="s">
        <v>2422</v>
      </c>
      <c r="E1732" s="87">
        <v>4</v>
      </c>
      <c r="F1732" s="28">
        <v>45397</v>
      </c>
      <c r="G1732" s="87">
        <v>4</v>
      </c>
      <c r="H1732" s="164">
        <v>45427</v>
      </c>
      <c r="I1732" s="87" t="s">
        <v>6040</v>
      </c>
      <c r="J1732" s="87"/>
      <c r="K1732" s="70" t="s">
        <v>5365</v>
      </c>
      <c r="L1732" s="62"/>
      <c r="M1732" s="62"/>
      <c r="N1732" s="62"/>
      <c r="O1732" s="62"/>
      <c r="P1732" s="62"/>
      <c r="Q1732" s="62"/>
      <c r="R1732" s="62"/>
      <c r="S1732" s="62"/>
      <c r="T1732" s="62"/>
      <c r="U1732" s="62"/>
      <c r="V1732" s="62"/>
    </row>
    <row r="1733" spans="1:22" s="35" customFormat="1" ht="11.25" customHeight="1" x14ac:dyDescent="0.35">
      <c r="A1733" s="87" t="s">
        <v>4832</v>
      </c>
      <c r="B1733" s="62" t="s">
        <v>4340</v>
      </c>
      <c r="C1733" s="279" t="s">
        <v>7434</v>
      </c>
      <c r="D1733" s="88" t="s">
        <v>1613</v>
      </c>
      <c r="E1733" s="87">
        <v>4</v>
      </c>
      <c r="F1733" s="28">
        <v>45397</v>
      </c>
      <c r="G1733" s="87">
        <v>4</v>
      </c>
      <c r="H1733" s="164">
        <v>45427</v>
      </c>
      <c r="I1733" s="87" t="s">
        <v>6040</v>
      </c>
      <c r="J1733" s="87"/>
      <c r="K1733" s="70" t="s">
        <v>5365</v>
      </c>
      <c r="L1733" s="62"/>
      <c r="M1733" s="62"/>
      <c r="N1733" s="62"/>
      <c r="O1733" s="62"/>
      <c r="P1733" s="62"/>
      <c r="Q1733" s="62"/>
      <c r="R1733" s="62"/>
      <c r="S1733" s="62"/>
      <c r="T1733" s="62"/>
      <c r="U1733" s="62"/>
      <c r="V1733" s="62"/>
    </row>
    <row r="1734" spans="1:22" s="39" customFormat="1" ht="11.25" customHeight="1" x14ac:dyDescent="0.35">
      <c r="A1734" s="87" t="s">
        <v>4832</v>
      </c>
      <c r="B1734" s="62" t="s">
        <v>4340</v>
      </c>
      <c r="C1734" s="279" t="s">
        <v>2608</v>
      </c>
      <c r="D1734" s="88" t="s">
        <v>161</v>
      </c>
      <c r="E1734" s="87">
        <v>1</v>
      </c>
      <c r="F1734" s="28">
        <v>45397</v>
      </c>
      <c r="G1734" s="87">
        <v>1</v>
      </c>
      <c r="H1734" s="164">
        <v>45427</v>
      </c>
      <c r="I1734" s="87" t="s">
        <v>6040</v>
      </c>
      <c r="J1734" s="87"/>
      <c r="K1734" s="70" t="s">
        <v>5365</v>
      </c>
      <c r="L1734" s="62"/>
      <c r="M1734" s="62"/>
      <c r="N1734" s="62"/>
      <c r="O1734" s="62"/>
      <c r="P1734" s="62"/>
      <c r="Q1734" s="62"/>
      <c r="R1734" s="62"/>
      <c r="S1734" s="62"/>
      <c r="T1734" s="62"/>
      <c r="U1734" s="62"/>
      <c r="V1734" s="62"/>
    </row>
    <row r="1735" spans="1:22" s="39" customFormat="1" ht="11.25" customHeight="1" x14ac:dyDescent="0.35">
      <c r="A1735" s="87" t="s">
        <v>4832</v>
      </c>
      <c r="B1735" s="62" t="s">
        <v>4340</v>
      </c>
      <c r="C1735" s="279" t="s">
        <v>2604</v>
      </c>
      <c r="D1735" s="88" t="s">
        <v>7435</v>
      </c>
      <c r="E1735" s="87">
        <v>10</v>
      </c>
      <c r="F1735" s="28">
        <v>45397</v>
      </c>
      <c r="G1735" s="87">
        <v>10</v>
      </c>
      <c r="H1735" s="164">
        <v>45427</v>
      </c>
      <c r="I1735" s="87" t="s">
        <v>6040</v>
      </c>
      <c r="J1735" s="87"/>
      <c r="K1735" s="70" t="s">
        <v>5365</v>
      </c>
      <c r="L1735" s="62"/>
      <c r="M1735" s="62"/>
      <c r="N1735" s="62"/>
      <c r="O1735" s="62"/>
      <c r="P1735" s="62"/>
      <c r="Q1735" s="62"/>
      <c r="R1735" s="62"/>
      <c r="S1735" s="62"/>
      <c r="T1735" s="62"/>
      <c r="U1735" s="62"/>
      <c r="V1735" s="62"/>
    </row>
    <row r="1736" spans="1:22" s="62" customFormat="1" ht="11.25" customHeight="1" x14ac:dyDescent="0.35">
      <c r="A1736" s="87" t="s">
        <v>4832</v>
      </c>
      <c r="B1736" s="62" t="s">
        <v>4340</v>
      </c>
      <c r="C1736" s="279" t="s">
        <v>7436</v>
      </c>
      <c r="D1736" s="88" t="s">
        <v>1613</v>
      </c>
      <c r="E1736" s="87">
        <v>2</v>
      </c>
      <c r="F1736" s="28">
        <v>45397</v>
      </c>
      <c r="G1736" s="87">
        <v>2</v>
      </c>
      <c r="H1736" s="164">
        <v>45427</v>
      </c>
      <c r="I1736" s="87" t="s">
        <v>6040</v>
      </c>
      <c r="J1736" s="87"/>
      <c r="K1736" s="70" t="s">
        <v>5365</v>
      </c>
    </row>
    <row r="1737" spans="1:22" s="35" customFormat="1" ht="11.25" customHeight="1" x14ac:dyDescent="0.35">
      <c r="A1737" s="87" t="s">
        <v>4832</v>
      </c>
      <c r="B1737" s="62" t="s">
        <v>4340</v>
      </c>
      <c r="C1737" s="279" t="s">
        <v>7437</v>
      </c>
      <c r="D1737" s="88" t="s">
        <v>7438</v>
      </c>
      <c r="E1737" s="87">
        <v>1</v>
      </c>
      <c r="F1737" s="28">
        <v>45397</v>
      </c>
      <c r="G1737" s="87">
        <v>1</v>
      </c>
      <c r="H1737" s="164">
        <v>45427</v>
      </c>
      <c r="I1737" s="87" t="s">
        <v>6040</v>
      </c>
      <c r="J1737" s="87"/>
      <c r="K1737" s="70" t="s">
        <v>5365</v>
      </c>
      <c r="L1737" s="62"/>
      <c r="M1737" s="62"/>
      <c r="N1737" s="62"/>
      <c r="O1737" s="62"/>
      <c r="P1737" s="62"/>
      <c r="Q1737" s="62"/>
      <c r="R1737" s="62"/>
      <c r="S1737" s="62"/>
      <c r="T1737" s="62"/>
      <c r="U1737" s="62"/>
      <c r="V1737" s="62"/>
    </row>
    <row r="1738" spans="1:22" s="39" customFormat="1" ht="11.25" customHeight="1" x14ac:dyDescent="0.35">
      <c r="A1738" s="38" t="s">
        <v>4832</v>
      </c>
      <c r="B1738" s="39" t="s">
        <v>71</v>
      </c>
      <c r="C1738" s="106" t="s">
        <v>7439</v>
      </c>
      <c r="D1738" s="82" t="s">
        <v>7440</v>
      </c>
      <c r="E1738" s="38">
        <v>20</v>
      </c>
      <c r="F1738" s="26">
        <v>45397</v>
      </c>
      <c r="G1738" s="25">
        <v>10</v>
      </c>
      <c r="H1738" s="160">
        <v>45398</v>
      </c>
      <c r="I1738" s="38" t="s">
        <v>6040</v>
      </c>
      <c r="J1738" s="38"/>
      <c r="K1738" s="70" t="s">
        <v>5365</v>
      </c>
    </row>
    <row r="1739" spans="1:22" s="39" customFormat="1" ht="11.25" customHeight="1" x14ac:dyDescent="0.35">
      <c r="A1739" s="38" t="s">
        <v>4832</v>
      </c>
      <c r="B1739" s="39" t="s">
        <v>71</v>
      </c>
      <c r="C1739" s="106" t="s">
        <v>7441</v>
      </c>
      <c r="D1739" s="82" t="s">
        <v>7442</v>
      </c>
      <c r="E1739" s="38">
        <v>20</v>
      </c>
      <c r="F1739" s="26">
        <v>45397</v>
      </c>
      <c r="G1739" s="25">
        <v>10</v>
      </c>
      <c r="H1739" s="160">
        <v>45398</v>
      </c>
      <c r="I1739" s="38" t="s">
        <v>6040</v>
      </c>
      <c r="J1739" s="38"/>
      <c r="K1739" s="70" t="s">
        <v>5365</v>
      </c>
    </row>
    <row r="1740" spans="1:22" s="39" customFormat="1" ht="11.25" customHeight="1" x14ac:dyDescent="0.35">
      <c r="A1740" s="38" t="s">
        <v>4832</v>
      </c>
      <c r="B1740" s="39" t="s">
        <v>71</v>
      </c>
      <c r="C1740" s="106" t="s">
        <v>2142</v>
      </c>
      <c r="D1740" s="82" t="s">
        <v>6034</v>
      </c>
      <c r="E1740" s="38">
        <v>2</v>
      </c>
      <c r="F1740" s="26">
        <v>45397</v>
      </c>
      <c r="G1740" s="25">
        <v>2</v>
      </c>
      <c r="H1740" s="160"/>
      <c r="I1740" s="38" t="s">
        <v>7443</v>
      </c>
      <c r="J1740" s="38"/>
      <c r="K1740" s="70" t="s">
        <v>5365</v>
      </c>
      <c r="L1740" s="35"/>
    </row>
    <row r="1741" spans="1:22" s="39" customFormat="1" ht="11.25" customHeight="1" x14ac:dyDescent="0.35">
      <c r="A1741" s="38" t="s">
        <v>4832</v>
      </c>
      <c r="B1741" s="39" t="s">
        <v>71</v>
      </c>
      <c r="C1741" s="106" t="s">
        <v>7444</v>
      </c>
      <c r="D1741" s="82" t="s">
        <v>7445</v>
      </c>
      <c r="E1741" s="38">
        <v>5</v>
      </c>
      <c r="F1741" s="26">
        <v>45397</v>
      </c>
      <c r="G1741" s="25">
        <v>5</v>
      </c>
      <c r="H1741" s="160">
        <v>45398</v>
      </c>
      <c r="I1741" s="38" t="s">
        <v>6040</v>
      </c>
      <c r="J1741" s="38"/>
      <c r="K1741" s="70" t="s">
        <v>5365</v>
      </c>
    </row>
    <row r="1742" spans="1:22" s="39" customFormat="1" ht="11.25" customHeight="1" x14ac:dyDescent="0.35">
      <c r="A1742" s="38" t="s">
        <v>4832</v>
      </c>
      <c r="B1742" s="39" t="s">
        <v>71</v>
      </c>
      <c r="C1742" s="106" t="s">
        <v>6646</v>
      </c>
      <c r="D1742" s="82" t="s">
        <v>7446</v>
      </c>
      <c r="E1742" s="38">
        <v>5</v>
      </c>
      <c r="F1742" s="26">
        <v>45397</v>
      </c>
      <c r="G1742" s="25">
        <v>5</v>
      </c>
      <c r="H1742" s="160">
        <v>45398</v>
      </c>
      <c r="I1742" s="38" t="s">
        <v>6040</v>
      </c>
      <c r="J1742" s="38"/>
      <c r="K1742" s="70" t="s">
        <v>5365</v>
      </c>
    </row>
    <row r="1743" spans="1:22" s="35" customFormat="1" ht="11.25" customHeight="1" x14ac:dyDescent="0.35">
      <c r="A1743" s="87" t="s">
        <v>4832</v>
      </c>
      <c r="B1743" s="62" t="s">
        <v>71</v>
      </c>
      <c r="C1743" s="279" t="s">
        <v>7447</v>
      </c>
      <c r="D1743" s="88" t="s">
        <v>2063</v>
      </c>
      <c r="E1743" s="87">
        <v>1</v>
      </c>
      <c r="F1743" s="28">
        <v>45397</v>
      </c>
      <c r="G1743" s="27">
        <v>1</v>
      </c>
      <c r="H1743" s="164">
        <v>45399</v>
      </c>
      <c r="I1743" s="38" t="s">
        <v>6040</v>
      </c>
      <c r="J1743" s="87"/>
      <c r="K1743" s="70" t="s">
        <v>5365</v>
      </c>
      <c r="L1743" s="62"/>
      <c r="M1743" s="62"/>
      <c r="N1743" s="62"/>
      <c r="O1743" s="62"/>
      <c r="P1743" s="62"/>
      <c r="Q1743" s="62"/>
      <c r="R1743" s="62"/>
      <c r="S1743" s="62"/>
      <c r="T1743" s="62"/>
      <c r="U1743" s="62"/>
      <c r="V1743" s="62"/>
    </row>
    <row r="1744" spans="1:22" s="39" customFormat="1" ht="11.25" customHeight="1" x14ac:dyDescent="0.35">
      <c r="A1744" s="47" t="s">
        <v>4832</v>
      </c>
      <c r="B1744" s="35" t="s">
        <v>71</v>
      </c>
      <c r="C1744" s="272" t="s">
        <v>7448</v>
      </c>
      <c r="D1744" s="31" t="s">
        <v>7449</v>
      </c>
      <c r="E1744" s="33">
        <v>1</v>
      </c>
      <c r="F1744" s="48">
        <v>45397</v>
      </c>
      <c r="G1744" s="21"/>
      <c r="H1744" s="159"/>
      <c r="I1744" s="33"/>
      <c r="J1744" s="33"/>
      <c r="K1744" s="70" t="s">
        <v>5338</v>
      </c>
      <c r="L1744" s="35"/>
      <c r="M1744" s="35"/>
      <c r="N1744" s="35"/>
      <c r="O1744" s="35"/>
      <c r="P1744" s="35"/>
      <c r="Q1744" s="35"/>
      <c r="R1744" s="35"/>
      <c r="S1744" s="35"/>
      <c r="T1744" s="35"/>
      <c r="U1744" s="35"/>
      <c r="V1744" s="35"/>
    </row>
    <row r="1745" spans="1:22" s="35" customFormat="1" ht="11.25" customHeight="1" x14ac:dyDescent="0.35">
      <c r="A1745" s="38" t="s">
        <v>4832</v>
      </c>
      <c r="B1745" s="39" t="s">
        <v>71</v>
      </c>
      <c r="C1745" s="106" t="s">
        <v>2069</v>
      </c>
      <c r="D1745" s="82" t="s">
        <v>7450</v>
      </c>
      <c r="E1745" s="38">
        <v>4</v>
      </c>
      <c r="F1745" s="26">
        <v>45397</v>
      </c>
      <c r="G1745" s="25">
        <v>1</v>
      </c>
      <c r="H1745" s="160">
        <v>45404</v>
      </c>
      <c r="I1745" s="38" t="s">
        <v>6331</v>
      </c>
      <c r="J1745" s="38"/>
      <c r="K1745" s="70" t="s">
        <v>5365</v>
      </c>
      <c r="L1745" s="39"/>
      <c r="M1745" s="39"/>
      <c r="N1745" s="39"/>
      <c r="O1745" s="39"/>
      <c r="P1745" s="39"/>
      <c r="Q1745" s="39"/>
      <c r="R1745" s="39"/>
      <c r="S1745" s="39"/>
      <c r="T1745" s="39"/>
      <c r="U1745" s="39"/>
      <c r="V1745" s="39"/>
    </row>
    <row r="1746" spans="1:22" s="39" customFormat="1" ht="11.25" customHeight="1" x14ac:dyDescent="0.35">
      <c r="A1746" s="38" t="s">
        <v>4832</v>
      </c>
      <c r="B1746" s="39" t="s">
        <v>71</v>
      </c>
      <c r="C1746" s="106" t="s">
        <v>663</v>
      </c>
      <c r="D1746" s="82" t="s">
        <v>7451</v>
      </c>
      <c r="E1746" s="38">
        <v>7</v>
      </c>
      <c r="F1746" s="26">
        <v>45397</v>
      </c>
      <c r="G1746" s="25">
        <v>7</v>
      </c>
      <c r="H1746" s="160"/>
      <c r="I1746" s="38"/>
      <c r="J1746" s="38"/>
      <c r="K1746" s="70" t="s">
        <v>5365</v>
      </c>
    </row>
    <row r="1747" spans="1:22" s="39" customFormat="1" ht="11.25" customHeight="1" x14ac:dyDescent="0.35">
      <c r="A1747" s="38" t="s">
        <v>4832</v>
      </c>
      <c r="B1747" s="39" t="s">
        <v>71</v>
      </c>
      <c r="C1747" s="106" t="s">
        <v>7452</v>
      </c>
      <c r="D1747" s="82" t="s">
        <v>7453</v>
      </c>
      <c r="E1747" s="38">
        <v>1</v>
      </c>
      <c r="F1747" s="26">
        <v>45397</v>
      </c>
      <c r="G1747" s="25">
        <v>1</v>
      </c>
      <c r="H1747" s="160">
        <v>45559</v>
      </c>
      <c r="I1747" s="38" t="s">
        <v>7311</v>
      </c>
      <c r="J1747" s="38"/>
      <c r="K1747" s="70" t="s">
        <v>5365</v>
      </c>
      <c r="L1747" s="35"/>
    </row>
    <row r="1748" spans="1:22" s="57" customFormat="1" ht="11.25" customHeight="1" x14ac:dyDescent="0.35">
      <c r="A1748" s="38" t="s">
        <v>4832</v>
      </c>
      <c r="B1748" s="39" t="s">
        <v>71</v>
      </c>
      <c r="C1748" s="106" t="s">
        <v>2235</v>
      </c>
      <c r="D1748" s="82" t="s">
        <v>3512</v>
      </c>
      <c r="E1748" s="38">
        <v>1</v>
      </c>
      <c r="F1748" s="26">
        <v>45397</v>
      </c>
      <c r="G1748" s="25">
        <v>1</v>
      </c>
      <c r="H1748" s="160">
        <v>45399</v>
      </c>
      <c r="I1748" s="38" t="s">
        <v>5980</v>
      </c>
      <c r="J1748" s="38"/>
      <c r="K1748" s="70" t="s">
        <v>5365</v>
      </c>
      <c r="L1748" s="39"/>
      <c r="M1748" s="39"/>
      <c r="N1748" s="39"/>
      <c r="O1748" s="39"/>
      <c r="P1748" s="39"/>
      <c r="Q1748" s="39"/>
      <c r="R1748" s="39"/>
      <c r="S1748" s="39"/>
      <c r="T1748" s="39"/>
      <c r="U1748" s="39"/>
      <c r="V1748" s="39"/>
    </row>
    <row r="1749" spans="1:22" s="39" customFormat="1" ht="11.25" customHeight="1" x14ac:dyDescent="0.35">
      <c r="A1749" s="38" t="s">
        <v>4832</v>
      </c>
      <c r="B1749" s="39" t="s">
        <v>71</v>
      </c>
      <c r="C1749" s="106" t="s">
        <v>667</v>
      </c>
      <c r="D1749" s="82" t="s">
        <v>7454</v>
      </c>
      <c r="E1749" s="38">
        <v>1</v>
      </c>
      <c r="F1749" s="26">
        <v>45397</v>
      </c>
      <c r="G1749" s="25">
        <v>1</v>
      </c>
      <c r="H1749" s="160">
        <v>45401</v>
      </c>
      <c r="I1749" s="38" t="s">
        <v>6096</v>
      </c>
      <c r="J1749" s="38"/>
      <c r="K1749" s="70" t="s">
        <v>5365</v>
      </c>
    </row>
    <row r="1750" spans="1:22" s="62" customFormat="1" ht="11.25" customHeight="1" x14ac:dyDescent="0.35">
      <c r="A1750" s="47" t="s">
        <v>4832</v>
      </c>
      <c r="B1750" s="35" t="s">
        <v>71</v>
      </c>
      <c r="C1750" s="272" t="s">
        <v>7455</v>
      </c>
      <c r="D1750" s="31" t="s">
        <v>7456</v>
      </c>
      <c r="E1750" s="33">
        <v>1</v>
      </c>
      <c r="F1750" s="48">
        <v>45397</v>
      </c>
      <c r="G1750" s="21"/>
      <c r="H1750" s="159"/>
      <c r="I1750" s="33"/>
      <c r="J1750" s="33"/>
      <c r="K1750" s="70" t="s">
        <v>5338</v>
      </c>
      <c r="L1750" s="35"/>
      <c r="M1750" s="35"/>
      <c r="N1750" s="35"/>
      <c r="O1750" s="35"/>
      <c r="P1750" s="35"/>
      <c r="Q1750" s="35"/>
      <c r="R1750" s="35"/>
      <c r="S1750" s="35"/>
      <c r="T1750" s="35"/>
      <c r="U1750" s="35"/>
      <c r="V1750" s="35"/>
    </row>
    <row r="1751" spans="1:22" s="62" customFormat="1" ht="11.25" customHeight="1" x14ac:dyDescent="0.35">
      <c r="A1751" s="38" t="s">
        <v>4832</v>
      </c>
      <c r="B1751" s="39" t="s">
        <v>71</v>
      </c>
      <c r="C1751" s="106" t="s">
        <v>912</v>
      </c>
      <c r="D1751" s="82" t="s">
        <v>913</v>
      </c>
      <c r="E1751" s="38">
        <v>1</v>
      </c>
      <c r="F1751" s="26">
        <v>45397</v>
      </c>
      <c r="G1751" s="25">
        <v>1</v>
      </c>
      <c r="H1751" s="160">
        <v>45400</v>
      </c>
      <c r="I1751" s="38" t="s">
        <v>6040</v>
      </c>
      <c r="J1751" s="38"/>
      <c r="K1751" s="70" t="s">
        <v>5365</v>
      </c>
      <c r="L1751" s="39"/>
      <c r="M1751" s="39"/>
      <c r="N1751" s="39"/>
      <c r="O1751" s="39"/>
      <c r="P1751" s="39"/>
      <c r="Q1751" s="39"/>
      <c r="R1751" s="39"/>
      <c r="S1751" s="39"/>
      <c r="T1751" s="39"/>
      <c r="U1751" s="39"/>
      <c r="V1751" s="39"/>
    </row>
    <row r="1752" spans="1:22" s="39" customFormat="1" ht="11.25" customHeight="1" x14ac:dyDescent="0.35">
      <c r="A1752" s="38" t="s">
        <v>4832</v>
      </c>
      <c r="B1752" s="39" t="s">
        <v>71</v>
      </c>
      <c r="C1752" s="106" t="s">
        <v>7457</v>
      </c>
      <c r="D1752" s="82" t="s">
        <v>7458</v>
      </c>
      <c r="E1752" s="38">
        <v>1</v>
      </c>
      <c r="F1752" s="26">
        <v>45397</v>
      </c>
      <c r="G1752" s="25">
        <v>2</v>
      </c>
      <c r="H1752" s="160">
        <v>45520</v>
      </c>
      <c r="I1752" s="38" t="s">
        <v>7311</v>
      </c>
      <c r="J1752" s="38"/>
      <c r="K1752" s="70" t="s">
        <v>5365</v>
      </c>
    </row>
    <row r="1753" spans="1:22" s="62" customFormat="1" ht="11.25" customHeight="1" x14ac:dyDescent="0.35">
      <c r="A1753" s="38" t="s">
        <v>4832</v>
      </c>
      <c r="B1753" s="39" t="s">
        <v>71</v>
      </c>
      <c r="C1753" s="106" t="s">
        <v>7459</v>
      </c>
      <c r="D1753" s="82" t="s">
        <v>7460</v>
      </c>
      <c r="E1753" s="38">
        <v>1</v>
      </c>
      <c r="F1753" s="26">
        <v>45397</v>
      </c>
      <c r="G1753" s="25">
        <v>1</v>
      </c>
      <c r="H1753" s="160">
        <v>45398</v>
      </c>
      <c r="I1753" s="38" t="s">
        <v>6040</v>
      </c>
      <c r="J1753" s="38"/>
      <c r="K1753" s="70" t="s">
        <v>5365</v>
      </c>
      <c r="L1753" s="39"/>
      <c r="M1753" s="39"/>
      <c r="N1753" s="39"/>
      <c r="O1753" s="39"/>
      <c r="P1753" s="39"/>
      <c r="Q1753" s="39"/>
      <c r="R1753" s="39"/>
      <c r="S1753" s="39"/>
      <c r="T1753" s="39"/>
      <c r="U1753" s="39"/>
      <c r="V1753" s="39"/>
    </row>
    <row r="1754" spans="1:22" s="62" customFormat="1" ht="11.25" customHeight="1" x14ac:dyDescent="0.35">
      <c r="A1754" s="38" t="s">
        <v>4832</v>
      </c>
      <c r="B1754" s="39" t="s">
        <v>71</v>
      </c>
      <c r="C1754" s="106" t="s">
        <v>7461</v>
      </c>
      <c r="D1754" s="82" t="s">
        <v>7462</v>
      </c>
      <c r="E1754" s="38">
        <v>1</v>
      </c>
      <c r="F1754" s="26">
        <v>45397</v>
      </c>
      <c r="G1754" s="25">
        <v>1</v>
      </c>
      <c r="H1754" s="160">
        <v>45520</v>
      </c>
      <c r="I1754" s="38" t="s">
        <v>7311</v>
      </c>
      <c r="J1754" s="38"/>
      <c r="K1754" s="70" t="s">
        <v>5365</v>
      </c>
      <c r="L1754" s="35"/>
      <c r="M1754" s="39"/>
      <c r="N1754" s="39"/>
      <c r="O1754" s="39"/>
      <c r="P1754" s="39"/>
      <c r="Q1754" s="39"/>
      <c r="R1754" s="39"/>
      <c r="S1754" s="39"/>
      <c r="T1754" s="39"/>
      <c r="U1754" s="39"/>
      <c r="V1754" s="39"/>
    </row>
    <row r="1755" spans="1:22" s="62" customFormat="1" ht="11.25" customHeight="1" x14ac:dyDescent="0.35">
      <c r="A1755" s="102" t="s">
        <v>4832</v>
      </c>
      <c r="B1755" s="57" t="s">
        <v>71</v>
      </c>
      <c r="C1755" s="296" t="s">
        <v>2881</v>
      </c>
      <c r="D1755" s="104" t="s">
        <v>4907</v>
      </c>
      <c r="E1755" s="102">
        <v>10</v>
      </c>
      <c r="F1755" s="105">
        <v>45397</v>
      </c>
      <c r="G1755" s="103" t="s">
        <v>7463</v>
      </c>
      <c r="H1755" s="181" t="s">
        <v>7464</v>
      </c>
      <c r="I1755" s="102" t="s">
        <v>7465</v>
      </c>
      <c r="J1755" s="102"/>
      <c r="K1755" s="60" t="s">
        <v>5365</v>
      </c>
      <c r="L1755" s="59"/>
      <c r="M1755" s="57"/>
      <c r="N1755" s="57"/>
      <c r="O1755" s="57"/>
      <c r="P1755" s="57"/>
      <c r="Q1755" s="57"/>
      <c r="R1755" s="57"/>
      <c r="S1755" s="57"/>
      <c r="T1755" s="57"/>
      <c r="U1755" s="57"/>
      <c r="V1755" s="57"/>
    </row>
    <row r="1756" spans="1:22" s="69" customFormat="1" ht="11.25" customHeight="1" x14ac:dyDescent="0.35">
      <c r="A1756" s="47" t="s">
        <v>4832</v>
      </c>
      <c r="B1756" s="34" t="s">
        <v>71</v>
      </c>
      <c r="C1756" s="274" t="s">
        <v>7466</v>
      </c>
      <c r="D1756" s="81" t="s">
        <v>7467</v>
      </c>
      <c r="E1756" s="47">
        <v>2</v>
      </c>
      <c r="F1756" s="48">
        <v>45397</v>
      </c>
      <c r="G1756" s="108">
        <v>2</v>
      </c>
      <c r="H1756" s="162">
        <v>45398</v>
      </c>
      <c r="I1756" s="47" t="s">
        <v>6040</v>
      </c>
      <c r="J1756" s="47"/>
      <c r="K1756" s="11" t="s">
        <v>5365</v>
      </c>
      <c r="L1756" s="34"/>
      <c r="M1756" s="34"/>
      <c r="N1756" s="34"/>
      <c r="O1756" s="34"/>
      <c r="P1756" s="34"/>
      <c r="Q1756" s="34"/>
      <c r="R1756" s="34"/>
      <c r="S1756" s="34"/>
      <c r="T1756" s="34"/>
      <c r="U1756" s="34"/>
      <c r="V1756" s="34"/>
    </row>
    <row r="1757" spans="1:22" ht="11.25" customHeight="1" x14ac:dyDescent="0.35">
      <c r="A1757" s="87" t="s">
        <v>4832</v>
      </c>
      <c r="B1757" s="62" t="s">
        <v>5904</v>
      </c>
      <c r="C1757" s="279" t="s">
        <v>1990</v>
      </c>
      <c r="D1757" s="88" t="s">
        <v>7149</v>
      </c>
      <c r="E1757" s="87">
        <v>2</v>
      </c>
      <c r="F1757" s="28">
        <v>45405</v>
      </c>
      <c r="G1757" s="27">
        <v>1</v>
      </c>
      <c r="H1757" s="164">
        <v>45407</v>
      </c>
      <c r="I1757" s="87" t="s">
        <v>7157</v>
      </c>
      <c r="J1757" s="87" t="s">
        <v>7158</v>
      </c>
      <c r="K1757" s="70" t="s">
        <v>5365</v>
      </c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</row>
    <row r="1758" spans="1:22" s="62" customFormat="1" ht="11.25" customHeight="1" x14ac:dyDescent="0.35">
      <c r="A1758" s="87" t="s">
        <v>4832</v>
      </c>
      <c r="B1758" s="62" t="s">
        <v>5904</v>
      </c>
      <c r="C1758" s="279" t="s">
        <v>1036</v>
      </c>
      <c r="D1758" s="88" t="s">
        <v>7152</v>
      </c>
      <c r="E1758" s="87">
        <v>2</v>
      </c>
      <c r="F1758" s="28">
        <v>45405</v>
      </c>
      <c r="G1758" s="27">
        <v>1</v>
      </c>
      <c r="H1758" s="164">
        <v>45407</v>
      </c>
      <c r="I1758" s="87" t="s">
        <v>7157</v>
      </c>
      <c r="J1758" s="87" t="s">
        <v>7158</v>
      </c>
      <c r="K1758" s="70" t="s">
        <v>5365</v>
      </c>
      <c r="L1758" s="35"/>
    </row>
    <row r="1759" spans="1:22" ht="11.25" customHeight="1" x14ac:dyDescent="0.35">
      <c r="A1759" s="38" t="s">
        <v>4832</v>
      </c>
      <c r="B1759" s="39" t="s">
        <v>5904</v>
      </c>
      <c r="C1759" s="106" t="s">
        <v>7468</v>
      </c>
      <c r="D1759" s="82" t="s">
        <v>7469</v>
      </c>
      <c r="E1759" s="38">
        <v>1</v>
      </c>
      <c r="F1759" s="26">
        <v>45405</v>
      </c>
      <c r="G1759" s="25">
        <v>1</v>
      </c>
      <c r="H1759" s="160">
        <v>45407</v>
      </c>
      <c r="I1759" s="38" t="s">
        <v>7157</v>
      </c>
      <c r="J1759" s="38" t="s">
        <v>7158</v>
      </c>
      <c r="K1759" s="70" t="s">
        <v>5365</v>
      </c>
      <c r="M1759" s="39"/>
      <c r="N1759" s="39"/>
      <c r="O1759" s="39"/>
      <c r="P1759" s="39"/>
      <c r="Q1759" s="39"/>
      <c r="R1759" s="39"/>
      <c r="S1759" s="39"/>
      <c r="T1759" s="39"/>
      <c r="U1759" s="39"/>
      <c r="V1759" s="39"/>
    </row>
    <row r="1760" spans="1:22" s="39" customFormat="1" ht="11.25" customHeight="1" x14ac:dyDescent="0.35">
      <c r="A1760" s="87" t="s">
        <v>4832</v>
      </c>
      <c r="B1760" s="62" t="s">
        <v>5904</v>
      </c>
      <c r="C1760" s="279" t="s">
        <v>7470</v>
      </c>
      <c r="D1760" s="88" t="s">
        <v>7471</v>
      </c>
      <c r="E1760" s="87">
        <v>1</v>
      </c>
      <c r="F1760" s="28">
        <v>45405</v>
      </c>
      <c r="G1760" s="27">
        <v>1</v>
      </c>
      <c r="H1760" s="164">
        <v>45407</v>
      </c>
      <c r="I1760" s="87" t="s">
        <v>7157</v>
      </c>
      <c r="J1760" s="87" t="s">
        <v>7158</v>
      </c>
      <c r="K1760" s="70" t="s">
        <v>5365</v>
      </c>
      <c r="L1760" s="35"/>
      <c r="M1760" s="62"/>
      <c r="N1760" s="62"/>
      <c r="O1760" s="62"/>
      <c r="P1760" s="62"/>
      <c r="Q1760" s="62"/>
      <c r="R1760" s="62"/>
      <c r="S1760" s="62"/>
      <c r="T1760" s="62"/>
      <c r="U1760" s="62"/>
      <c r="V1760" s="62"/>
    </row>
    <row r="1761" spans="1:22" s="57" customFormat="1" ht="11.25" customHeight="1" x14ac:dyDescent="0.35">
      <c r="A1761" s="102" t="s">
        <v>4832</v>
      </c>
      <c r="B1761" s="57" t="s">
        <v>5904</v>
      </c>
      <c r="C1761" s="296" t="s">
        <v>4118</v>
      </c>
      <c r="D1761" s="104" t="s">
        <v>7472</v>
      </c>
      <c r="E1761" s="102">
        <v>1</v>
      </c>
      <c r="F1761" s="105">
        <v>45405</v>
      </c>
      <c r="G1761" s="103">
        <v>1</v>
      </c>
      <c r="H1761" s="181">
        <v>45407</v>
      </c>
      <c r="I1761" s="102" t="s">
        <v>7157</v>
      </c>
      <c r="J1761" s="102" t="s">
        <v>7158</v>
      </c>
      <c r="K1761" s="60" t="s">
        <v>5365</v>
      </c>
      <c r="L1761" s="35"/>
    </row>
    <row r="1762" spans="1:22" s="102" customFormat="1" ht="11.25" customHeight="1" x14ac:dyDescent="0.35">
      <c r="A1762" s="102" t="s">
        <v>4832</v>
      </c>
      <c r="B1762" s="57" t="s">
        <v>5904</v>
      </c>
      <c r="C1762" s="296" t="s">
        <v>7473</v>
      </c>
      <c r="D1762" s="104" t="s">
        <v>7474</v>
      </c>
      <c r="E1762" s="102">
        <v>1</v>
      </c>
      <c r="F1762" s="105">
        <v>45405</v>
      </c>
      <c r="G1762" s="103">
        <v>1</v>
      </c>
      <c r="H1762" s="181">
        <v>45407</v>
      </c>
      <c r="I1762" s="102" t="s">
        <v>7157</v>
      </c>
      <c r="J1762" s="102" t="s">
        <v>7158</v>
      </c>
      <c r="K1762" s="60" t="s">
        <v>5365</v>
      </c>
      <c r="L1762" s="35"/>
      <c r="M1762" s="57"/>
      <c r="N1762" s="57"/>
      <c r="O1762" s="57"/>
      <c r="P1762" s="57"/>
      <c r="Q1762" s="57"/>
      <c r="R1762" s="57"/>
      <c r="S1762" s="57"/>
      <c r="T1762" s="57"/>
      <c r="U1762" s="57"/>
      <c r="V1762" s="57"/>
    </row>
    <row r="1763" spans="1:22" s="102" customFormat="1" ht="11.25" customHeight="1" x14ac:dyDescent="0.35">
      <c r="A1763" s="102" t="s">
        <v>4832</v>
      </c>
      <c r="B1763" s="57" t="s">
        <v>5904</v>
      </c>
      <c r="C1763" s="296" t="s">
        <v>7475</v>
      </c>
      <c r="D1763" s="104" t="s">
        <v>7476</v>
      </c>
      <c r="E1763" s="102">
        <v>1</v>
      </c>
      <c r="F1763" s="105">
        <v>45405</v>
      </c>
      <c r="G1763" s="103">
        <v>1</v>
      </c>
      <c r="H1763" s="181">
        <v>45407</v>
      </c>
      <c r="I1763" s="102" t="s">
        <v>7157</v>
      </c>
      <c r="J1763" s="102" t="s">
        <v>7158</v>
      </c>
      <c r="K1763" s="60" t="s">
        <v>5365</v>
      </c>
      <c r="L1763" s="35"/>
      <c r="M1763" s="57"/>
      <c r="N1763" s="57"/>
      <c r="O1763" s="57"/>
      <c r="P1763" s="57"/>
      <c r="Q1763" s="57"/>
      <c r="R1763" s="57"/>
      <c r="S1763" s="57"/>
      <c r="T1763" s="57"/>
      <c r="U1763" s="57"/>
      <c r="V1763" s="57"/>
    </row>
    <row r="1764" spans="1:22" s="38" customFormat="1" ht="11.25" customHeight="1" x14ac:dyDescent="0.35">
      <c r="A1764" s="33" t="s">
        <v>4832</v>
      </c>
      <c r="B1764" s="35" t="s">
        <v>5904</v>
      </c>
      <c r="C1764" s="272" t="s">
        <v>5923</v>
      </c>
      <c r="D1764" s="31" t="s">
        <v>7477</v>
      </c>
      <c r="E1764" s="33">
        <v>2</v>
      </c>
      <c r="F1764" s="22">
        <v>45405</v>
      </c>
      <c r="G1764" s="21"/>
      <c r="H1764" s="159"/>
      <c r="I1764" s="33"/>
      <c r="J1764" s="33"/>
      <c r="K1764" s="70" t="s">
        <v>5338</v>
      </c>
      <c r="L1764" s="35"/>
      <c r="M1764" s="33"/>
      <c r="N1764" s="33"/>
      <c r="O1764" s="33"/>
      <c r="P1764" s="33"/>
      <c r="Q1764" s="33"/>
      <c r="R1764" s="33"/>
      <c r="S1764" s="33"/>
      <c r="T1764" s="33"/>
      <c r="U1764" s="33"/>
      <c r="V1764" s="33"/>
    </row>
    <row r="1765" spans="1:22" ht="11.25" customHeight="1" x14ac:dyDescent="0.35">
      <c r="A1765" s="87" t="s">
        <v>4832</v>
      </c>
      <c r="B1765" s="62" t="s">
        <v>5904</v>
      </c>
      <c r="C1765" s="279" t="s">
        <v>4650</v>
      </c>
      <c r="D1765" s="88" t="s">
        <v>7478</v>
      </c>
      <c r="E1765" s="87">
        <v>1</v>
      </c>
      <c r="F1765" s="28">
        <v>45405</v>
      </c>
      <c r="G1765" s="27">
        <v>1</v>
      </c>
      <c r="H1765" s="164">
        <v>45407</v>
      </c>
      <c r="I1765" s="87" t="s">
        <v>7157</v>
      </c>
      <c r="J1765" s="87" t="s">
        <v>7158</v>
      </c>
      <c r="K1765" s="70" t="s">
        <v>5365</v>
      </c>
      <c r="M1765" s="62"/>
      <c r="N1765" s="62"/>
      <c r="O1765" s="62"/>
      <c r="P1765" s="62"/>
      <c r="Q1765" s="62"/>
      <c r="R1765" s="62"/>
      <c r="S1765" s="62"/>
      <c r="T1765" s="62"/>
      <c r="U1765" s="62"/>
      <c r="V1765" s="62"/>
    </row>
    <row r="1766" spans="1:22" s="44" customFormat="1" ht="11.25" customHeight="1" x14ac:dyDescent="0.35">
      <c r="A1766" s="33" t="s">
        <v>4832</v>
      </c>
      <c r="B1766" s="35" t="s">
        <v>5904</v>
      </c>
      <c r="C1766" s="272" t="s">
        <v>7479</v>
      </c>
      <c r="D1766" s="31" t="s">
        <v>7480</v>
      </c>
      <c r="E1766" s="33">
        <v>1</v>
      </c>
      <c r="F1766" s="22">
        <v>45405</v>
      </c>
      <c r="G1766" s="21"/>
      <c r="H1766" s="159"/>
      <c r="I1766" s="33"/>
      <c r="J1766" s="33"/>
      <c r="K1766" s="70" t="s">
        <v>5338</v>
      </c>
      <c r="L1766" s="35"/>
      <c r="M1766" s="33"/>
      <c r="N1766" s="33"/>
      <c r="O1766" s="33"/>
      <c r="P1766" s="33"/>
      <c r="Q1766" s="33"/>
      <c r="R1766" s="33"/>
      <c r="S1766" s="33"/>
      <c r="T1766" s="33"/>
      <c r="U1766" s="33"/>
      <c r="V1766" s="33"/>
    </row>
    <row r="1767" spans="1:22" s="39" customFormat="1" ht="11.25" customHeight="1" x14ac:dyDescent="0.35">
      <c r="A1767" s="38" t="s">
        <v>4832</v>
      </c>
      <c r="B1767" s="39" t="s">
        <v>5904</v>
      </c>
      <c r="C1767" s="106" t="s">
        <v>7481</v>
      </c>
      <c r="D1767" s="82" t="s">
        <v>7482</v>
      </c>
      <c r="E1767" s="38">
        <v>1</v>
      </c>
      <c r="F1767" s="26">
        <v>45405</v>
      </c>
      <c r="G1767" s="25">
        <v>1</v>
      </c>
      <c r="H1767" s="160">
        <v>45406</v>
      </c>
      <c r="I1767" s="38" t="s">
        <v>6217</v>
      </c>
      <c r="J1767" s="38"/>
      <c r="K1767" s="70" t="s">
        <v>5365</v>
      </c>
    </row>
    <row r="1768" spans="1:22" s="43" customFormat="1" ht="11.25" customHeight="1" x14ac:dyDescent="0.35">
      <c r="A1768" s="102" t="s">
        <v>4832</v>
      </c>
      <c r="B1768" s="57" t="s">
        <v>5904</v>
      </c>
      <c r="C1768" s="296" t="s">
        <v>2228</v>
      </c>
      <c r="D1768" s="104" t="s">
        <v>7483</v>
      </c>
      <c r="E1768" s="102">
        <v>1</v>
      </c>
      <c r="F1768" s="105">
        <v>45405</v>
      </c>
      <c r="G1768" s="103">
        <v>1</v>
      </c>
      <c r="H1768" s="181">
        <v>45407</v>
      </c>
      <c r="I1768" s="102" t="s">
        <v>7157</v>
      </c>
      <c r="J1768" s="102" t="s">
        <v>7158</v>
      </c>
      <c r="K1768" s="60" t="s">
        <v>5365</v>
      </c>
      <c r="L1768" s="101"/>
      <c r="M1768" s="57"/>
      <c r="N1768" s="57"/>
      <c r="O1768" s="57"/>
      <c r="P1768" s="57"/>
      <c r="Q1768" s="57"/>
      <c r="R1768" s="57"/>
      <c r="S1768" s="57"/>
      <c r="T1768" s="57"/>
      <c r="U1768" s="57"/>
      <c r="V1768" s="57"/>
    </row>
    <row r="1769" spans="1:22" s="38" customFormat="1" ht="11.25" customHeight="1" x14ac:dyDescent="0.35">
      <c r="A1769" s="38" t="s">
        <v>4832</v>
      </c>
      <c r="B1769" s="39" t="s">
        <v>5904</v>
      </c>
      <c r="C1769" s="106" t="s">
        <v>7484</v>
      </c>
      <c r="D1769" s="82" t="s">
        <v>5198</v>
      </c>
      <c r="E1769" s="38">
        <v>1</v>
      </c>
      <c r="F1769" s="26">
        <v>45405</v>
      </c>
      <c r="G1769" s="25">
        <v>1</v>
      </c>
      <c r="H1769" s="160"/>
      <c r="I1769" s="38" t="s">
        <v>7160</v>
      </c>
      <c r="K1769" s="70" t="s">
        <v>5365</v>
      </c>
      <c r="L1769" s="39"/>
    </row>
    <row r="1770" spans="1:22" s="38" customFormat="1" ht="11.25" customHeight="1" x14ac:dyDescent="0.35">
      <c r="A1770" s="38" t="s">
        <v>4832</v>
      </c>
      <c r="B1770" s="39" t="s">
        <v>5904</v>
      </c>
      <c r="C1770" s="106" t="s">
        <v>2027</v>
      </c>
      <c r="D1770" s="82" t="s">
        <v>7161</v>
      </c>
      <c r="E1770" s="38">
        <v>1</v>
      </c>
      <c r="F1770" s="26">
        <v>45405</v>
      </c>
      <c r="G1770" s="25">
        <v>1</v>
      </c>
      <c r="H1770" s="160"/>
      <c r="I1770" s="38" t="s">
        <v>7160</v>
      </c>
      <c r="K1770" s="70" t="s">
        <v>5365</v>
      </c>
      <c r="L1770" s="39"/>
    </row>
    <row r="1771" spans="1:22" ht="11.25" customHeight="1" x14ac:dyDescent="0.35">
      <c r="A1771" s="38" t="s">
        <v>4832</v>
      </c>
      <c r="B1771" s="39" t="s">
        <v>5904</v>
      </c>
      <c r="C1771" s="106" t="s">
        <v>6031</v>
      </c>
      <c r="D1771" s="82" t="s">
        <v>7485</v>
      </c>
      <c r="E1771" s="38">
        <v>1</v>
      </c>
      <c r="F1771" s="26">
        <v>45405</v>
      </c>
      <c r="G1771" s="25">
        <v>1</v>
      </c>
      <c r="H1771" s="160"/>
      <c r="I1771" s="38" t="s">
        <v>7160</v>
      </c>
      <c r="J1771" s="38"/>
      <c r="K1771" s="70" t="s">
        <v>5365</v>
      </c>
      <c r="L1771" s="39"/>
      <c r="M1771" s="38"/>
      <c r="N1771" s="38"/>
      <c r="O1771" s="38"/>
      <c r="P1771" s="38"/>
      <c r="Q1771" s="38"/>
      <c r="R1771" s="38"/>
      <c r="S1771" s="38"/>
      <c r="T1771" s="38"/>
      <c r="U1771" s="38"/>
      <c r="V1771" s="38"/>
    </row>
    <row r="1772" spans="1:22" ht="11.25" customHeight="1" x14ac:dyDescent="0.35">
      <c r="A1772" s="33" t="s">
        <v>4832</v>
      </c>
      <c r="B1772" s="35" t="s">
        <v>5904</v>
      </c>
      <c r="C1772" s="272" t="s">
        <v>7486</v>
      </c>
      <c r="D1772" s="31" t="s">
        <v>7487</v>
      </c>
      <c r="E1772" s="33">
        <v>1</v>
      </c>
      <c r="F1772" s="22">
        <v>45405</v>
      </c>
      <c r="K1772" s="70" t="s">
        <v>5338</v>
      </c>
    </row>
    <row r="1773" spans="1:22" ht="11.25" customHeight="1" x14ac:dyDescent="0.35">
      <c r="A1773" s="43" t="s">
        <v>4832</v>
      </c>
      <c r="B1773" s="44" t="s">
        <v>5904</v>
      </c>
      <c r="C1773" s="275" t="s">
        <v>7488</v>
      </c>
      <c r="D1773" s="89" t="s">
        <v>2003</v>
      </c>
      <c r="E1773" s="43">
        <v>1</v>
      </c>
      <c r="F1773" s="30">
        <v>45405</v>
      </c>
      <c r="G1773" s="29" t="s">
        <v>7489</v>
      </c>
      <c r="H1773" s="163">
        <v>45406</v>
      </c>
      <c r="I1773" s="43" t="s">
        <v>5766</v>
      </c>
      <c r="J1773" s="43" t="s">
        <v>7490</v>
      </c>
      <c r="K1773" s="74" t="s">
        <v>5365</v>
      </c>
      <c r="M1773" s="44"/>
      <c r="N1773" s="44"/>
      <c r="O1773" s="44"/>
      <c r="P1773" s="44"/>
      <c r="Q1773" s="44"/>
      <c r="R1773" s="44"/>
      <c r="S1773" s="44"/>
      <c r="T1773" s="44"/>
      <c r="U1773" s="44"/>
      <c r="V1773" s="44"/>
    </row>
    <row r="1774" spans="1:22" s="47" customFormat="1" ht="11.25" customHeight="1" x14ac:dyDescent="0.35">
      <c r="A1774" s="38" t="s">
        <v>4832</v>
      </c>
      <c r="B1774" s="39" t="s">
        <v>5904</v>
      </c>
      <c r="C1774" s="106" t="s">
        <v>7491</v>
      </c>
      <c r="D1774" s="82" t="s">
        <v>7492</v>
      </c>
      <c r="E1774" s="38">
        <v>1</v>
      </c>
      <c r="F1774" s="26">
        <v>45405</v>
      </c>
      <c r="G1774" s="25">
        <v>1</v>
      </c>
      <c r="H1774" s="160">
        <v>45406</v>
      </c>
      <c r="I1774" s="38" t="s">
        <v>5766</v>
      </c>
      <c r="J1774" s="38" t="s">
        <v>7154</v>
      </c>
      <c r="K1774" s="70" t="s">
        <v>5365</v>
      </c>
      <c r="L1774" s="35"/>
      <c r="M1774" s="39"/>
      <c r="N1774" s="39"/>
      <c r="O1774" s="39"/>
      <c r="P1774" s="39"/>
      <c r="Q1774" s="39"/>
      <c r="R1774" s="39"/>
      <c r="S1774" s="39"/>
      <c r="T1774" s="39"/>
      <c r="U1774" s="39"/>
      <c r="V1774" s="39"/>
    </row>
    <row r="1775" spans="1:22" s="47" customFormat="1" ht="11.25" customHeight="1" x14ac:dyDescent="0.35">
      <c r="A1775" s="43" t="s">
        <v>4832</v>
      </c>
      <c r="B1775" s="44" t="s">
        <v>5904</v>
      </c>
      <c r="C1775" s="275" t="s">
        <v>7190</v>
      </c>
      <c r="D1775" s="89" t="s">
        <v>1977</v>
      </c>
      <c r="E1775" s="43">
        <v>1</v>
      </c>
      <c r="F1775" s="30">
        <v>45405</v>
      </c>
      <c r="G1775" s="29" t="s">
        <v>7489</v>
      </c>
      <c r="H1775" s="163"/>
      <c r="I1775" s="43" t="s">
        <v>7493</v>
      </c>
      <c r="J1775" s="43"/>
      <c r="K1775" s="74" t="s">
        <v>5511</v>
      </c>
      <c r="L1775" s="35"/>
      <c r="M1775" s="43"/>
      <c r="N1775" s="43"/>
      <c r="O1775" s="43"/>
      <c r="P1775" s="43"/>
      <c r="Q1775" s="43"/>
      <c r="R1775" s="43"/>
      <c r="S1775" s="43"/>
      <c r="T1775" s="43"/>
      <c r="U1775" s="43"/>
      <c r="V1775" s="43"/>
    </row>
    <row r="1776" spans="1:22" s="47" customFormat="1" ht="11.25" customHeight="1" x14ac:dyDescent="0.35">
      <c r="A1776" s="38" t="s">
        <v>4832</v>
      </c>
      <c r="B1776" s="39" t="s">
        <v>5904</v>
      </c>
      <c r="C1776" s="106" t="s">
        <v>7494</v>
      </c>
      <c r="D1776" s="82" t="s">
        <v>7495</v>
      </c>
      <c r="E1776" s="38">
        <v>1</v>
      </c>
      <c r="F1776" s="26">
        <v>45405</v>
      </c>
      <c r="G1776" s="25">
        <v>1</v>
      </c>
      <c r="H1776" s="160">
        <v>45405</v>
      </c>
      <c r="I1776" s="38" t="s">
        <v>7496</v>
      </c>
      <c r="J1776" s="38"/>
      <c r="K1776" s="70" t="s">
        <v>5365</v>
      </c>
      <c r="L1776" s="35"/>
      <c r="M1776" s="38"/>
      <c r="N1776" s="38"/>
      <c r="O1776" s="38"/>
      <c r="P1776" s="38"/>
      <c r="Q1776" s="38"/>
      <c r="R1776" s="38"/>
      <c r="S1776" s="38"/>
      <c r="T1776" s="38"/>
      <c r="U1776" s="38"/>
      <c r="V1776" s="38"/>
    </row>
    <row r="1777" spans="1:22" s="43" customFormat="1" ht="11.25" customHeight="1" x14ac:dyDescent="0.35">
      <c r="A1777" s="38" t="s">
        <v>5215</v>
      </c>
      <c r="B1777" s="39" t="s">
        <v>5644</v>
      </c>
      <c r="C1777" s="106"/>
      <c r="D1777" s="121" t="s">
        <v>7497</v>
      </c>
      <c r="E1777" s="38">
        <v>6</v>
      </c>
      <c r="F1777" s="26">
        <v>45412</v>
      </c>
      <c r="G1777" s="25">
        <v>5</v>
      </c>
      <c r="H1777" s="160">
        <v>45414</v>
      </c>
      <c r="I1777" s="38" t="s">
        <v>5433</v>
      </c>
      <c r="J1777" s="38"/>
      <c r="K1777" s="70" t="s">
        <v>5365</v>
      </c>
      <c r="L1777" s="35"/>
      <c r="M1777" s="38"/>
      <c r="N1777" s="38"/>
      <c r="O1777" s="38"/>
      <c r="P1777" s="38"/>
      <c r="Q1777" s="38"/>
      <c r="R1777" s="38"/>
      <c r="S1777" s="38"/>
      <c r="T1777" s="38"/>
      <c r="U1777" s="38"/>
      <c r="V1777" s="38"/>
    </row>
    <row r="1778" spans="1:22" s="43" customFormat="1" ht="11.25" customHeight="1" x14ac:dyDescent="0.35">
      <c r="A1778" s="38" t="s">
        <v>5215</v>
      </c>
      <c r="B1778" s="39" t="s">
        <v>5038</v>
      </c>
      <c r="C1778" s="106" t="s">
        <v>7498</v>
      </c>
      <c r="D1778" s="82" t="s">
        <v>7499</v>
      </c>
      <c r="E1778" s="38">
        <v>1</v>
      </c>
      <c r="F1778" s="26">
        <v>45415</v>
      </c>
      <c r="G1778" s="25">
        <v>1</v>
      </c>
      <c r="H1778" s="160">
        <v>45418</v>
      </c>
      <c r="I1778" s="38" t="s">
        <v>7500</v>
      </c>
      <c r="J1778" s="38"/>
      <c r="K1778" s="70" t="s">
        <v>5365</v>
      </c>
      <c r="L1778" s="35"/>
      <c r="M1778" s="33"/>
      <c r="N1778" s="33"/>
      <c r="O1778" s="33"/>
      <c r="P1778" s="33"/>
      <c r="Q1778" s="33"/>
      <c r="R1778" s="33"/>
      <c r="S1778" s="33"/>
      <c r="T1778" s="33"/>
      <c r="U1778" s="33"/>
      <c r="V1778" s="33"/>
    </row>
    <row r="1779" spans="1:22" ht="11.25" customHeight="1" x14ac:dyDescent="0.35">
      <c r="A1779" s="38" t="s">
        <v>4917</v>
      </c>
      <c r="B1779" s="39" t="s">
        <v>1589</v>
      </c>
      <c r="C1779" s="106">
        <v>550754449916</v>
      </c>
      <c r="D1779" s="82" t="s">
        <v>7501</v>
      </c>
      <c r="E1779" s="38">
        <v>1</v>
      </c>
      <c r="F1779" s="26"/>
      <c r="G1779" s="25">
        <v>1</v>
      </c>
      <c r="H1779" s="160">
        <v>45421</v>
      </c>
      <c r="I1779" s="38" t="s">
        <v>6810</v>
      </c>
      <c r="J1779" s="38" t="s">
        <v>7493</v>
      </c>
      <c r="K1779" s="70" t="s">
        <v>5365</v>
      </c>
    </row>
    <row r="1780" spans="1:22" ht="11.25" customHeight="1" x14ac:dyDescent="0.35">
      <c r="A1780" s="38" t="s">
        <v>4917</v>
      </c>
      <c r="B1780" s="39" t="s">
        <v>1589</v>
      </c>
      <c r="C1780" s="106">
        <v>550732106708</v>
      </c>
      <c r="D1780" s="82" t="s">
        <v>7502</v>
      </c>
      <c r="E1780" s="38">
        <v>40</v>
      </c>
      <c r="F1780" s="26"/>
      <c r="G1780" s="25">
        <v>40</v>
      </c>
      <c r="H1780" s="160">
        <v>45421</v>
      </c>
      <c r="I1780" s="38" t="s">
        <v>6810</v>
      </c>
      <c r="J1780" s="38" t="s">
        <v>7493</v>
      </c>
      <c r="K1780" s="70" t="s">
        <v>5365</v>
      </c>
    </row>
    <row r="1781" spans="1:22" s="38" customFormat="1" ht="11.25" customHeight="1" x14ac:dyDescent="0.35">
      <c r="A1781" s="38" t="s">
        <v>4832</v>
      </c>
      <c r="B1781" s="39" t="s">
        <v>5904</v>
      </c>
      <c r="C1781" s="106" t="s">
        <v>7503</v>
      </c>
      <c r="D1781" s="82" t="s">
        <v>7504</v>
      </c>
      <c r="E1781" s="38">
        <v>70</v>
      </c>
      <c r="F1781" s="26">
        <v>45419</v>
      </c>
      <c r="G1781" s="25">
        <v>35</v>
      </c>
      <c r="H1781" s="160">
        <v>45463</v>
      </c>
      <c r="I1781" s="38" t="s">
        <v>7505</v>
      </c>
      <c r="K1781" s="70" t="s">
        <v>5365</v>
      </c>
      <c r="L1781" s="34"/>
    </row>
    <row r="1782" spans="1:22" s="133" customFormat="1" ht="11.25" customHeight="1" x14ac:dyDescent="0.35">
      <c r="A1782" s="133" t="s">
        <v>4832</v>
      </c>
      <c r="B1782" s="116" t="s">
        <v>5904</v>
      </c>
      <c r="C1782" s="297" t="s">
        <v>7506</v>
      </c>
      <c r="D1782" s="134" t="s">
        <v>7507</v>
      </c>
      <c r="E1782" s="133">
        <v>15</v>
      </c>
      <c r="F1782" s="135">
        <v>45419</v>
      </c>
      <c r="G1782" s="136">
        <v>5</v>
      </c>
      <c r="H1782" s="182">
        <v>45474</v>
      </c>
      <c r="I1782" s="133" t="s">
        <v>6040</v>
      </c>
      <c r="K1782" s="85" t="s">
        <v>5511</v>
      </c>
      <c r="L1782" s="34"/>
    </row>
    <row r="1783" spans="1:22" s="43" customFormat="1" ht="11.25" customHeight="1" x14ac:dyDescent="0.35">
      <c r="A1783" s="47" t="s">
        <v>4832</v>
      </c>
      <c r="B1783" s="34" t="s">
        <v>5904</v>
      </c>
      <c r="C1783" s="274" t="s">
        <v>7508</v>
      </c>
      <c r="D1783" s="109" t="s">
        <v>7509</v>
      </c>
      <c r="E1783" s="47">
        <v>25</v>
      </c>
      <c r="F1783" s="48">
        <v>45419</v>
      </c>
      <c r="G1783" s="108"/>
      <c r="H1783" s="162"/>
      <c r="I1783" s="47"/>
      <c r="J1783" s="47"/>
      <c r="K1783" s="70" t="s">
        <v>5338</v>
      </c>
      <c r="L1783" s="34"/>
      <c r="M1783" s="47"/>
      <c r="N1783" s="47"/>
      <c r="O1783" s="47"/>
      <c r="P1783" s="47"/>
      <c r="Q1783" s="47"/>
      <c r="R1783" s="47"/>
      <c r="S1783" s="47"/>
      <c r="T1783" s="47"/>
      <c r="U1783" s="47"/>
      <c r="V1783" s="47"/>
    </row>
    <row r="1784" spans="1:22" s="43" customFormat="1" ht="11.25" customHeight="1" x14ac:dyDescent="0.35">
      <c r="A1784" s="43" t="s">
        <v>4832</v>
      </c>
      <c r="B1784" s="44" t="s">
        <v>5904</v>
      </c>
      <c r="C1784" s="275" t="s">
        <v>3672</v>
      </c>
      <c r="D1784" s="107" t="s">
        <v>7510</v>
      </c>
      <c r="E1784" s="43">
        <v>25</v>
      </c>
      <c r="F1784" s="48">
        <v>45419</v>
      </c>
      <c r="G1784" s="29">
        <v>20</v>
      </c>
      <c r="H1784" s="163">
        <v>45426</v>
      </c>
      <c r="I1784" s="43" t="s">
        <v>6044</v>
      </c>
      <c r="K1784" s="70" t="s">
        <v>5511</v>
      </c>
      <c r="L1784" s="44"/>
    </row>
    <row r="1785" spans="1:22" s="38" customFormat="1" ht="11.25" customHeight="1" x14ac:dyDescent="0.35">
      <c r="A1785" s="38" t="s">
        <v>4832</v>
      </c>
      <c r="B1785" s="39" t="s">
        <v>5904</v>
      </c>
      <c r="C1785" s="106" t="s">
        <v>7511</v>
      </c>
      <c r="D1785" s="82" t="s">
        <v>1971</v>
      </c>
      <c r="E1785" s="38">
        <v>20</v>
      </c>
      <c r="F1785" s="26">
        <v>45419</v>
      </c>
      <c r="G1785" s="25">
        <v>20</v>
      </c>
      <c r="H1785" s="160">
        <v>45428</v>
      </c>
      <c r="I1785" s="38" t="s">
        <v>6044</v>
      </c>
      <c r="K1785" s="70" t="s">
        <v>5365</v>
      </c>
      <c r="L1785" s="44"/>
    </row>
    <row r="1786" spans="1:22" ht="11.25" customHeight="1" x14ac:dyDescent="0.35">
      <c r="A1786" s="33" t="s">
        <v>4832</v>
      </c>
      <c r="B1786" s="35" t="s">
        <v>5904</v>
      </c>
      <c r="C1786" s="272" t="s">
        <v>7512</v>
      </c>
      <c r="D1786" s="31" t="s">
        <v>3389</v>
      </c>
      <c r="E1786" s="33">
        <v>45</v>
      </c>
      <c r="F1786" s="22">
        <v>45426</v>
      </c>
      <c r="K1786" s="70" t="s">
        <v>5338</v>
      </c>
    </row>
    <row r="1787" spans="1:22" ht="11.25" customHeight="1" x14ac:dyDescent="0.35">
      <c r="A1787" s="33" t="s">
        <v>4832</v>
      </c>
      <c r="B1787" s="35" t="s">
        <v>5904</v>
      </c>
      <c r="C1787" s="272" t="s">
        <v>7513</v>
      </c>
      <c r="D1787" s="31" t="s">
        <v>2400</v>
      </c>
      <c r="E1787" s="33">
        <v>30</v>
      </c>
      <c r="F1787" s="22">
        <v>45426</v>
      </c>
      <c r="K1787" s="70" t="s">
        <v>5338</v>
      </c>
    </row>
    <row r="1788" spans="1:22" s="83" customFormat="1" ht="11.25" customHeight="1" x14ac:dyDescent="0.35">
      <c r="A1788" s="83" t="s">
        <v>4832</v>
      </c>
      <c r="B1788" s="86" t="s">
        <v>5904</v>
      </c>
      <c r="C1788" s="295" t="s">
        <v>3679</v>
      </c>
      <c r="D1788" s="84" t="s">
        <v>1785</v>
      </c>
      <c r="E1788" s="83">
        <v>60</v>
      </c>
      <c r="F1788" s="24">
        <v>45426</v>
      </c>
      <c r="G1788" s="23">
        <v>10</v>
      </c>
      <c r="H1788" s="180">
        <v>45502</v>
      </c>
      <c r="I1788" s="83" t="s">
        <v>6040</v>
      </c>
      <c r="J1788" s="83" t="s">
        <v>7514</v>
      </c>
      <c r="K1788" s="85" t="s">
        <v>5511</v>
      </c>
      <c r="L1788" s="35"/>
    </row>
    <row r="1789" spans="1:22" ht="11.25" customHeight="1" x14ac:dyDescent="0.35">
      <c r="A1789" s="33" t="s">
        <v>4832</v>
      </c>
      <c r="B1789" s="35" t="s">
        <v>5904</v>
      </c>
      <c r="C1789" s="272" t="s">
        <v>4872</v>
      </c>
      <c r="D1789" s="31" t="s">
        <v>7515</v>
      </c>
      <c r="E1789" s="33">
        <v>15</v>
      </c>
      <c r="F1789" s="22">
        <v>45426</v>
      </c>
      <c r="K1789" s="70" t="s">
        <v>5338</v>
      </c>
    </row>
    <row r="1790" spans="1:22" s="38" customFormat="1" ht="11.25" customHeight="1" x14ac:dyDescent="0.35">
      <c r="A1790" s="38" t="s">
        <v>4832</v>
      </c>
      <c r="B1790" s="39" t="s">
        <v>5904</v>
      </c>
      <c r="C1790" s="106" t="s">
        <v>3684</v>
      </c>
      <c r="D1790" s="82" t="s">
        <v>1785</v>
      </c>
      <c r="E1790" s="38">
        <v>200</v>
      </c>
      <c r="F1790" s="26">
        <v>45426</v>
      </c>
      <c r="G1790" s="25">
        <v>200</v>
      </c>
      <c r="H1790" s="160">
        <v>45428</v>
      </c>
      <c r="I1790" s="38" t="s">
        <v>7516</v>
      </c>
      <c r="K1790" s="70" t="s">
        <v>5511</v>
      </c>
      <c r="L1790" s="44"/>
    </row>
    <row r="1791" spans="1:22" s="38" customFormat="1" ht="11.25" customHeight="1" x14ac:dyDescent="0.35">
      <c r="A1791" s="43" t="s">
        <v>4832</v>
      </c>
      <c r="B1791" s="44" t="s">
        <v>5904</v>
      </c>
      <c r="C1791" s="275" t="s">
        <v>7517</v>
      </c>
      <c r="D1791" s="89" t="s">
        <v>7518</v>
      </c>
      <c r="E1791" s="43">
        <v>50</v>
      </c>
      <c r="F1791" s="30">
        <v>45426</v>
      </c>
      <c r="G1791" s="29">
        <v>30</v>
      </c>
      <c r="H1791" s="163">
        <v>45428</v>
      </c>
      <c r="I1791" s="43" t="s">
        <v>7519</v>
      </c>
      <c r="J1791" s="43"/>
      <c r="K1791" s="70" t="s">
        <v>5511</v>
      </c>
      <c r="L1791" s="44"/>
      <c r="M1791" s="43"/>
      <c r="N1791" s="43"/>
      <c r="O1791" s="43"/>
      <c r="P1791" s="43"/>
      <c r="Q1791" s="43"/>
      <c r="R1791" s="43"/>
      <c r="S1791" s="43"/>
      <c r="T1791" s="43"/>
      <c r="U1791" s="43"/>
      <c r="V1791" s="43"/>
    </row>
    <row r="1792" spans="1:22" s="38" customFormat="1" ht="11.25" customHeight="1" x14ac:dyDescent="0.35">
      <c r="A1792" s="33" t="s">
        <v>4832</v>
      </c>
      <c r="B1792" s="35" t="s">
        <v>5904</v>
      </c>
      <c r="C1792" s="272" t="s">
        <v>53</v>
      </c>
      <c r="D1792" s="31" t="s">
        <v>1227</v>
      </c>
      <c r="E1792" s="33">
        <v>30</v>
      </c>
      <c r="F1792" s="22">
        <v>45426</v>
      </c>
      <c r="G1792" s="21"/>
      <c r="H1792" s="159"/>
      <c r="I1792" s="33"/>
      <c r="J1792" s="33"/>
      <c r="K1792" s="70" t="s">
        <v>5338</v>
      </c>
      <c r="L1792" s="35"/>
      <c r="M1792" s="33"/>
      <c r="N1792" s="33"/>
      <c r="O1792" s="33"/>
      <c r="P1792" s="33"/>
      <c r="Q1792" s="33"/>
      <c r="R1792" s="33"/>
      <c r="S1792" s="33"/>
      <c r="T1792" s="33"/>
      <c r="U1792" s="33"/>
      <c r="V1792" s="33"/>
    </row>
    <row r="1793" spans="1:22" s="38" customFormat="1" ht="11.25" customHeight="1" x14ac:dyDescent="0.35">
      <c r="A1793" s="33" t="s">
        <v>4832</v>
      </c>
      <c r="B1793" s="35" t="s">
        <v>5904</v>
      </c>
      <c r="C1793" s="272" t="s">
        <v>3676</v>
      </c>
      <c r="D1793" s="31" t="s">
        <v>7520</v>
      </c>
      <c r="E1793" s="33">
        <v>15</v>
      </c>
      <c r="F1793" s="22">
        <v>45426</v>
      </c>
      <c r="G1793" s="21"/>
      <c r="H1793" s="159"/>
      <c r="I1793" s="33"/>
      <c r="J1793" s="33"/>
      <c r="K1793" s="70" t="s">
        <v>5338</v>
      </c>
      <c r="L1793" s="35"/>
      <c r="M1793" s="33"/>
      <c r="N1793" s="33"/>
      <c r="O1793" s="33"/>
      <c r="P1793" s="33"/>
      <c r="Q1793" s="33"/>
      <c r="R1793" s="33"/>
      <c r="S1793" s="33"/>
      <c r="T1793" s="33"/>
      <c r="U1793" s="33"/>
      <c r="V1793" s="33"/>
    </row>
    <row r="1794" spans="1:22" ht="11.25" customHeight="1" x14ac:dyDescent="0.35">
      <c r="A1794" s="33" t="s">
        <v>4832</v>
      </c>
      <c r="B1794" s="35" t="s">
        <v>5904</v>
      </c>
      <c r="C1794" s="272" t="s">
        <v>3679</v>
      </c>
      <c r="D1794" s="31" t="s">
        <v>1785</v>
      </c>
      <c r="E1794" s="33">
        <v>15</v>
      </c>
      <c r="F1794" s="22">
        <v>45426</v>
      </c>
      <c r="K1794" s="70" t="s">
        <v>5338</v>
      </c>
    </row>
    <row r="1795" spans="1:22" ht="11.25" customHeight="1" x14ac:dyDescent="0.35">
      <c r="A1795" s="33" t="s">
        <v>4832</v>
      </c>
      <c r="B1795" s="35" t="s">
        <v>5904</v>
      </c>
      <c r="C1795" s="272" t="s">
        <v>3686</v>
      </c>
      <c r="D1795" s="31" t="s">
        <v>1785</v>
      </c>
      <c r="E1795" s="33">
        <v>70</v>
      </c>
      <c r="F1795" s="22">
        <v>45426</v>
      </c>
      <c r="K1795" s="70" t="s">
        <v>5338</v>
      </c>
    </row>
    <row r="1796" spans="1:22" ht="11.25" customHeight="1" x14ac:dyDescent="0.35">
      <c r="A1796" s="33" t="s">
        <v>4832</v>
      </c>
      <c r="B1796" s="35" t="s">
        <v>5904</v>
      </c>
      <c r="C1796" s="272" t="s">
        <v>7521</v>
      </c>
      <c r="D1796" s="31" t="s">
        <v>7522</v>
      </c>
      <c r="E1796" s="33">
        <v>10</v>
      </c>
      <c r="F1796" s="22">
        <v>45426</v>
      </c>
      <c r="K1796" s="70" t="s">
        <v>5338</v>
      </c>
    </row>
    <row r="1797" spans="1:22" ht="11.25" customHeight="1" x14ac:dyDescent="0.35">
      <c r="A1797" s="38" t="s">
        <v>4832</v>
      </c>
      <c r="B1797" s="39" t="s">
        <v>6225</v>
      </c>
      <c r="C1797" s="106">
        <v>8.1510000000000005E+95</v>
      </c>
      <c r="D1797" s="82" t="s">
        <v>7523</v>
      </c>
      <c r="E1797" s="38">
        <v>1</v>
      </c>
      <c r="F1797" s="26">
        <v>45427</v>
      </c>
      <c r="G1797" s="25">
        <v>1</v>
      </c>
      <c r="H1797" s="160"/>
      <c r="I1797" s="38" t="s">
        <v>7524</v>
      </c>
      <c r="J1797" s="38"/>
      <c r="K1797" s="70" t="s">
        <v>5365</v>
      </c>
      <c r="L1797" s="39"/>
      <c r="M1797" s="38"/>
      <c r="N1797" s="38"/>
      <c r="O1797" s="38"/>
      <c r="P1797" s="38"/>
      <c r="Q1797" s="38"/>
      <c r="R1797" s="38"/>
      <c r="S1797" s="38"/>
      <c r="T1797" s="38"/>
      <c r="U1797" s="38"/>
      <c r="V1797" s="38"/>
    </row>
    <row r="1798" spans="1:22" ht="11.25" customHeight="1" x14ac:dyDescent="0.35">
      <c r="A1798" s="38" t="s">
        <v>4832</v>
      </c>
      <c r="B1798" s="39" t="s">
        <v>6225</v>
      </c>
      <c r="C1798" s="106" t="s">
        <v>7525</v>
      </c>
      <c r="D1798" s="82" t="s">
        <v>3522</v>
      </c>
      <c r="E1798" s="38">
        <v>1</v>
      </c>
      <c r="F1798" s="26">
        <v>45428</v>
      </c>
      <c r="G1798" s="25">
        <v>1</v>
      </c>
      <c r="H1798" s="160"/>
      <c r="I1798" s="38" t="s">
        <v>7524</v>
      </c>
      <c r="J1798" s="38"/>
      <c r="K1798" s="70" t="s">
        <v>5365</v>
      </c>
      <c r="L1798" s="39"/>
      <c r="M1798" s="38"/>
      <c r="N1798" s="38"/>
      <c r="O1798" s="38"/>
      <c r="P1798" s="38"/>
      <c r="Q1798" s="38"/>
      <c r="R1798" s="38"/>
      <c r="S1798" s="38"/>
      <c r="T1798" s="38"/>
      <c r="U1798" s="38"/>
      <c r="V1798" s="38"/>
    </row>
    <row r="1799" spans="1:22" ht="11.25" customHeight="1" x14ac:dyDescent="0.35">
      <c r="A1799" s="38" t="s">
        <v>4832</v>
      </c>
      <c r="B1799" s="39" t="s">
        <v>6225</v>
      </c>
      <c r="C1799" s="106" t="s">
        <v>7526</v>
      </c>
      <c r="D1799" s="82" t="s">
        <v>3522</v>
      </c>
      <c r="E1799" s="38">
        <v>1</v>
      </c>
      <c r="F1799" s="26">
        <v>45429</v>
      </c>
      <c r="G1799" s="25">
        <v>1</v>
      </c>
      <c r="H1799" s="160"/>
      <c r="I1799" s="38" t="s">
        <v>7524</v>
      </c>
      <c r="J1799" s="38"/>
      <c r="K1799" s="70" t="s">
        <v>5365</v>
      </c>
      <c r="L1799" s="39"/>
      <c r="M1799" s="38"/>
      <c r="N1799" s="38"/>
      <c r="O1799" s="38"/>
      <c r="P1799" s="38"/>
      <c r="Q1799" s="38"/>
      <c r="R1799" s="38"/>
      <c r="S1799" s="38"/>
      <c r="T1799" s="38"/>
      <c r="U1799" s="38"/>
      <c r="V1799" s="38"/>
    </row>
    <row r="1800" spans="1:22" ht="11.25" customHeight="1" x14ac:dyDescent="0.35">
      <c r="A1800" s="38" t="s">
        <v>4832</v>
      </c>
      <c r="B1800" s="39" t="s">
        <v>6225</v>
      </c>
      <c r="C1800" s="106">
        <v>8.531E+94</v>
      </c>
      <c r="D1800" s="82" t="s">
        <v>7527</v>
      </c>
      <c r="E1800" s="38">
        <v>1</v>
      </c>
      <c r="F1800" s="26">
        <v>45430</v>
      </c>
      <c r="G1800" s="25">
        <v>1</v>
      </c>
      <c r="H1800" s="160"/>
      <c r="I1800" s="38" t="s">
        <v>7524</v>
      </c>
      <c r="J1800" s="38"/>
      <c r="K1800" s="70" t="s">
        <v>5365</v>
      </c>
      <c r="L1800" s="39"/>
      <c r="M1800" s="38"/>
      <c r="N1800" s="38"/>
      <c r="O1800" s="38"/>
      <c r="P1800" s="38"/>
      <c r="Q1800" s="38"/>
      <c r="R1800" s="38"/>
      <c r="S1800" s="38"/>
      <c r="T1800" s="38"/>
      <c r="U1800" s="38"/>
      <c r="V1800" s="38"/>
    </row>
    <row r="1801" spans="1:22" s="83" customFormat="1" ht="11.25" customHeight="1" x14ac:dyDescent="0.35">
      <c r="A1801" s="83" t="s">
        <v>4832</v>
      </c>
      <c r="B1801" s="86" t="s">
        <v>5904</v>
      </c>
      <c r="C1801" s="295" t="s">
        <v>3672</v>
      </c>
      <c r="D1801" s="187" t="s">
        <v>7510</v>
      </c>
      <c r="E1801" s="83">
        <v>15</v>
      </c>
      <c r="F1801" s="24">
        <v>45433</v>
      </c>
      <c r="G1801" s="23">
        <v>10</v>
      </c>
      <c r="H1801" s="180">
        <v>45502</v>
      </c>
      <c r="I1801" s="83" t="s">
        <v>7528</v>
      </c>
      <c r="K1801" s="85" t="s">
        <v>5511</v>
      </c>
      <c r="L1801" s="35"/>
    </row>
    <row r="1802" spans="1:22" s="38" customFormat="1" ht="11.25" customHeight="1" x14ac:dyDescent="0.35">
      <c r="A1802" s="38" t="s">
        <v>4832</v>
      </c>
      <c r="B1802" s="39" t="s">
        <v>5904</v>
      </c>
      <c r="C1802" s="106" t="s">
        <v>7511</v>
      </c>
      <c r="D1802" s="82" t="s">
        <v>7529</v>
      </c>
      <c r="E1802" s="38">
        <v>35</v>
      </c>
      <c r="F1802" s="26">
        <v>45433</v>
      </c>
      <c r="G1802" s="25">
        <v>35</v>
      </c>
      <c r="H1802" s="160">
        <v>45457</v>
      </c>
      <c r="I1802" s="38" t="s">
        <v>6044</v>
      </c>
      <c r="K1802" s="70" t="s">
        <v>5365</v>
      </c>
      <c r="L1802" s="35"/>
    </row>
    <row r="1803" spans="1:22" s="38" customFormat="1" ht="11.25" customHeight="1" x14ac:dyDescent="0.35">
      <c r="A1803" s="38" t="s">
        <v>4832</v>
      </c>
      <c r="B1803" s="39" t="s">
        <v>5904</v>
      </c>
      <c r="C1803" s="279" t="s">
        <v>3684</v>
      </c>
      <c r="D1803" s="82" t="s">
        <v>1785</v>
      </c>
      <c r="E1803" s="38">
        <v>45</v>
      </c>
      <c r="F1803" s="26">
        <v>45433</v>
      </c>
      <c r="G1803" s="25"/>
      <c r="H1803" s="160">
        <v>45457</v>
      </c>
      <c r="I1803" s="38" t="s">
        <v>6040</v>
      </c>
      <c r="K1803" s="70" t="s">
        <v>5365</v>
      </c>
      <c r="L1803" s="35"/>
    </row>
    <row r="1804" spans="1:22" s="38" customFormat="1" ht="11.25" customHeight="1" x14ac:dyDescent="0.35">
      <c r="A1804" s="47" t="s">
        <v>4832</v>
      </c>
      <c r="B1804" s="35" t="s">
        <v>5904</v>
      </c>
      <c r="C1804" s="272" t="s">
        <v>7530</v>
      </c>
      <c r="D1804" s="31" t="s">
        <v>7531</v>
      </c>
      <c r="E1804" s="33">
        <v>40</v>
      </c>
      <c r="F1804" s="22">
        <v>45433</v>
      </c>
      <c r="G1804" s="21" t="s">
        <v>7532</v>
      </c>
      <c r="H1804" s="159" t="s">
        <v>7533</v>
      </c>
      <c r="I1804" s="33" t="s">
        <v>7534</v>
      </c>
      <c r="J1804" s="33"/>
      <c r="K1804" s="70" t="s">
        <v>5338</v>
      </c>
      <c r="L1804" s="35"/>
      <c r="M1804" s="33"/>
      <c r="N1804" s="33"/>
      <c r="O1804" s="33"/>
      <c r="P1804" s="33"/>
      <c r="Q1804" s="33"/>
      <c r="R1804" s="33"/>
      <c r="S1804" s="33"/>
      <c r="T1804" s="33"/>
      <c r="U1804" s="33"/>
      <c r="V1804" s="33"/>
    </row>
    <row r="1805" spans="1:22" s="47" customFormat="1" ht="11.25" customHeight="1" x14ac:dyDescent="0.35">
      <c r="A1805" s="47" t="s">
        <v>4832</v>
      </c>
      <c r="B1805" s="35" t="s">
        <v>5904</v>
      </c>
      <c r="C1805" s="272" t="s">
        <v>7535</v>
      </c>
      <c r="D1805" s="31" t="s">
        <v>7536</v>
      </c>
      <c r="E1805" s="33">
        <v>4</v>
      </c>
      <c r="F1805" s="22">
        <v>45433</v>
      </c>
      <c r="G1805" s="21"/>
      <c r="H1805" s="159"/>
      <c r="I1805" s="33"/>
      <c r="J1805" s="33"/>
      <c r="K1805" s="70" t="s">
        <v>5338</v>
      </c>
      <c r="L1805" s="35"/>
      <c r="M1805" s="33"/>
      <c r="N1805" s="33"/>
      <c r="O1805" s="33"/>
      <c r="P1805" s="33"/>
      <c r="Q1805" s="33"/>
      <c r="R1805" s="33"/>
      <c r="S1805" s="33"/>
      <c r="T1805" s="33"/>
      <c r="U1805" s="33"/>
      <c r="V1805" s="33"/>
    </row>
    <row r="1806" spans="1:22" s="38" customFormat="1" ht="11.25" customHeight="1" x14ac:dyDescent="0.35">
      <c r="A1806" s="33" t="s">
        <v>6471</v>
      </c>
      <c r="B1806" s="35" t="s">
        <v>5763</v>
      </c>
      <c r="C1806" s="272" t="s">
        <v>7537</v>
      </c>
      <c r="D1806" s="31" t="s">
        <v>7538</v>
      </c>
      <c r="E1806" s="33">
        <v>12</v>
      </c>
      <c r="F1806" s="22">
        <v>45432</v>
      </c>
      <c r="G1806" s="21"/>
      <c r="H1806" s="159"/>
      <c r="I1806" s="33"/>
      <c r="J1806" s="33"/>
      <c r="K1806" s="70" t="s">
        <v>5338</v>
      </c>
      <c r="L1806" s="35"/>
      <c r="M1806" s="33"/>
      <c r="N1806" s="33"/>
      <c r="O1806" s="33"/>
      <c r="P1806" s="33"/>
      <c r="Q1806" s="33"/>
      <c r="R1806" s="33"/>
      <c r="S1806" s="33"/>
      <c r="T1806" s="33"/>
      <c r="U1806" s="33"/>
      <c r="V1806" s="33"/>
    </row>
    <row r="1807" spans="1:22" s="38" customFormat="1" ht="11.25" customHeight="1" x14ac:dyDescent="0.35">
      <c r="A1807" s="33" t="s">
        <v>6471</v>
      </c>
      <c r="B1807" s="35" t="s">
        <v>5763</v>
      </c>
      <c r="C1807" s="272" t="s">
        <v>7539</v>
      </c>
      <c r="D1807" s="31" t="s">
        <v>7540</v>
      </c>
      <c r="E1807" s="33">
        <v>1</v>
      </c>
      <c r="F1807" s="22">
        <v>45432</v>
      </c>
      <c r="G1807" s="21" t="s">
        <v>7541</v>
      </c>
      <c r="H1807" s="159"/>
      <c r="I1807" s="33"/>
      <c r="J1807" s="33"/>
      <c r="K1807" s="70" t="s">
        <v>5338</v>
      </c>
      <c r="L1807" s="35"/>
      <c r="M1807" s="33"/>
      <c r="N1807" s="33"/>
      <c r="O1807" s="33"/>
      <c r="P1807" s="33"/>
      <c r="Q1807" s="33"/>
      <c r="R1807" s="33"/>
      <c r="S1807" s="33"/>
      <c r="T1807" s="33"/>
      <c r="U1807" s="33"/>
      <c r="V1807" s="33"/>
    </row>
    <row r="1808" spans="1:22" s="38" customFormat="1" ht="11.25" customHeight="1" x14ac:dyDescent="0.35">
      <c r="A1808" s="33" t="s">
        <v>6471</v>
      </c>
      <c r="B1808" s="35" t="s">
        <v>5763</v>
      </c>
      <c r="C1808" s="272" t="s">
        <v>7542</v>
      </c>
      <c r="D1808" s="31" t="s">
        <v>7543</v>
      </c>
      <c r="E1808" s="33">
        <v>2</v>
      </c>
      <c r="F1808" s="22">
        <v>45432</v>
      </c>
      <c r="G1808" s="21" t="s">
        <v>7541</v>
      </c>
      <c r="H1808" s="159"/>
      <c r="I1808" s="33"/>
      <c r="J1808" s="33"/>
      <c r="K1808" s="70" t="s">
        <v>5338</v>
      </c>
      <c r="L1808" s="35"/>
      <c r="M1808" s="33"/>
      <c r="N1808" s="33"/>
      <c r="O1808" s="33"/>
      <c r="P1808" s="33"/>
      <c r="Q1808" s="33"/>
      <c r="R1808" s="33"/>
      <c r="S1808" s="33"/>
      <c r="T1808" s="33"/>
      <c r="U1808" s="33"/>
      <c r="V1808" s="33"/>
    </row>
    <row r="1809" spans="1:22" s="38" customFormat="1" ht="11.25" customHeight="1" x14ac:dyDescent="0.35">
      <c r="A1809" s="33" t="s">
        <v>6471</v>
      </c>
      <c r="B1809" s="35" t="s">
        <v>5763</v>
      </c>
      <c r="C1809" s="272" t="s">
        <v>7544</v>
      </c>
      <c r="D1809" s="31" t="s">
        <v>7545</v>
      </c>
      <c r="E1809" s="33">
        <v>1</v>
      </c>
      <c r="F1809" s="22">
        <v>45432</v>
      </c>
      <c r="G1809" s="21"/>
      <c r="H1809" s="159"/>
      <c r="I1809" s="33"/>
      <c r="J1809" s="33"/>
      <c r="K1809" s="70" t="s">
        <v>5338</v>
      </c>
      <c r="L1809" s="35"/>
      <c r="M1809" s="33"/>
      <c r="N1809" s="33"/>
      <c r="O1809" s="33"/>
      <c r="P1809" s="33"/>
      <c r="Q1809" s="33"/>
      <c r="R1809" s="33"/>
      <c r="S1809" s="33"/>
      <c r="T1809" s="33"/>
      <c r="U1809" s="33"/>
      <c r="V1809" s="33"/>
    </row>
    <row r="1810" spans="1:22" ht="11.25" customHeight="1" x14ac:dyDescent="0.35">
      <c r="A1810" s="33" t="s">
        <v>6471</v>
      </c>
      <c r="B1810" s="35" t="s">
        <v>5763</v>
      </c>
      <c r="C1810" s="272" t="s">
        <v>7546</v>
      </c>
      <c r="D1810" s="31" t="s">
        <v>7547</v>
      </c>
      <c r="E1810" s="33">
        <v>3</v>
      </c>
      <c r="F1810" s="22">
        <v>45432</v>
      </c>
      <c r="G1810" s="21" t="s">
        <v>7541</v>
      </c>
      <c r="K1810" s="70" t="s">
        <v>5338</v>
      </c>
    </row>
    <row r="1811" spans="1:22" s="38" customFormat="1" ht="11.25" customHeight="1" x14ac:dyDescent="0.35">
      <c r="A1811" s="38" t="s">
        <v>6142</v>
      </c>
      <c r="B1811" s="39" t="s">
        <v>5554</v>
      </c>
      <c r="C1811" s="106" t="s">
        <v>7548</v>
      </c>
      <c r="D1811" s="82" t="s">
        <v>6754</v>
      </c>
      <c r="E1811" s="38">
        <v>2</v>
      </c>
      <c r="F1811" s="26">
        <v>45433</v>
      </c>
      <c r="G1811" s="38">
        <v>2</v>
      </c>
      <c r="H1811" s="160">
        <v>45433</v>
      </c>
      <c r="I1811" s="38" t="s">
        <v>7493</v>
      </c>
      <c r="K1811" s="70" t="s">
        <v>5365</v>
      </c>
      <c r="L1811" s="39"/>
    </row>
    <row r="1812" spans="1:22" s="38" customFormat="1" ht="11.25" customHeight="1" x14ac:dyDescent="0.35">
      <c r="A1812" s="47" t="s">
        <v>6142</v>
      </c>
      <c r="B1812" s="34" t="s">
        <v>5554</v>
      </c>
      <c r="C1812" s="274" t="s">
        <v>5594</v>
      </c>
      <c r="D1812" s="81" t="s">
        <v>5595</v>
      </c>
      <c r="E1812" s="47">
        <v>1</v>
      </c>
      <c r="F1812" s="48">
        <v>45433</v>
      </c>
      <c r="G1812" s="47"/>
      <c r="H1812" s="160"/>
      <c r="J1812" s="47"/>
      <c r="K1812" s="70" t="s">
        <v>5338</v>
      </c>
      <c r="L1812" s="34"/>
      <c r="M1812" s="47"/>
      <c r="N1812" s="47"/>
      <c r="O1812" s="47"/>
      <c r="P1812" s="47"/>
      <c r="Q1812" s="47"/>
      <c r="R1812" s="47"/>
      <c r="S1812" s="47"/>
      <c r="T1812" s="47"/>
      <c r="U1812" s="47"/>
      <c r="V1812" s="47"/>
    </row>
    <row r="1813" spans="1:22" s="38" customFormat="1" ht="11.25" customHeight="1" x14ac:dyDescent="0.35">
      <c r="A1813" s="38" t="s">
        <v>6142</v>
      </c>
      <c r="B1813" s="39" t="s">
        <v>5554</v>
      </c>
      <c r="C1813" s="106" t="s">
        <v>7549</v>
      </c>
      <c r="D1813" s="82" t="s">
        <v>7550</v>
      </c>
      <c r="E1813" s="38">
        <v>1</v>
      </c>
      <c r="F1813" s="26">
        <v>45433</v>
      </c>
      <c r="G1813" s="38">
        <v>1</v>
      </c>
      <c r="H1813" s="160">
        <v>45433</v>
      </c>
      <c r="I1813" s="38" t="s">
        <v>7493</v>
      </c>
      <c r="K1813" s="70" t="s">
        <v>5365</v>
      </c>
      <c r="L1813" s="39"/>
    </row>
    <row r="1814" spans="1:22" s="38" customFormat="1" ht="11.25" customHeight="1" x14ac:dyDescent="0.35">
      <c r="A1814" s="38" t="s">
        <v>6142</v>
      </c>
      <c r="B1814" s="39" t="s">
        <v>5554</v>
      </c>
      <c r="C1814" s="106" t="s">
        <v>5596</v>
      </c>
      <c r="D1814" s="82" t="s">
        <v>7551</v>
      </c>
      <c r="E1814" s="38">
        <v>1</v>
      </c>
      <c r="F1814" s="26">
        <v>45433</v>
      </c>
      <c r="G1814" s="38">
        <v>1</v>
      </c>
      <c r="H1814" s="160">
        <v>45433</v>
      </c>
      <c r="I1814" s="38" t="s">
        <v>7493</v>
      </c>
      <c r="K1814" s="70" t="s">
        <v>5365</v>
      </c>
      <c r="L1814" s="39"/>
    </row>
    <row r="1815" spans="1:22" s="38" customFormat="1" ht="11.25" customHeight="1" x14ac:dyDescent="0.35">
      <c r="A1815" s="38" t="s">
        <v>6142</v>
      </c>
      <c r="B1815" s="39" t="s">
        <v>5554</v>
      </c>
      <c r="C1815" s="106" t="s">
        <v>6155</v>
      </c>
      <c r="D1815" s="82" t="s">
        <v>6156</v>
      </c>
      <c r="E1815" s="38">
        <v>1</v>
      </c>
      <c r="F1815" s="26">
        <v>45433</v>
      </c>
      <c r="G1815" s="38">
        <v>1</v>
      </c>
      <c r="H1815" s="160">
        <v>45433</v>
      </c>
      <c r="I1815" s="38" t="s">
        <v>7493</v>
      </c>
      <c r="K1815" s="70" t="s">
        <v>5365</v>
      </c>
      <c r="L1815" s="39"/>
    </row>
    <row r="1816" spans="1:22" s="38" customFormat="1" ht="11.25" customHeight="1" x14ac:dyDescent="0.35">
      <c r="A1816" s="38" t="s">
        <v>6142</v>
      </c>
      <c r="B1816" s="39" t="s">
        <v>5554</v>
      </c>
      <c r="C1816" s="106"/>
      <c r="D1816" s="82" t="s">
        <v>1594</v>
      </c>
      <c r="E1816" s="38">
        <v>1</v>
      </c>
      <c r="F1816" s="26">
        <v>45433</v>
      </c>
      <c r="G1816" s="38">
        <v>1</v>
      </c>
      <c r="H1816" s="160">
        <v>45433</v>
      </c>
      <c r="I1816" s="38" t="s">
        <v>7493</v>
      </c>
      <c r="K1816" s="70" t="s">
        <v>5365</v>
      </c>
      <c r="L1816" s="39"/>
    </row>
    <row r="1817" spans="1:22" s="38" customFormat="1" ht="11.25" customHeight="1" x14ac:dyDescent="0.35">
      <c r="A1817" s="33" t="s">
        <v>4917</v>
      </c>
      <c r="B1817" s="35" t="s">
        <v>4917</v>
      </c>
      <c r="C1817" s="272"/>
      <c r="D1817" s="31"/>
      <c r="E1817" s="33">
        <v>4</v>
      </c>
      <c r="F1817" s="22">
        <v>45433</v>
      </c>
      <c r="G1817" s="21"/>
      <c r="H1817" s="159"/>
      <c r="I1817" s="33"/>
      <c r="J1817" s="33"/>
      <c r="K1817" s="70" t="s">
        <v>5365</v>
      </c>
      <c r="L1817" s="35"/>
      <c r="M1817" s="33"/>
      <c r="N1817" s="33"/>
      <c r="O1817" s="33"/>
      <c r="P1817" s="33"/>
      <c r="Q1817" s="33"/>
      <c r="R1817" s="33"/>
      <c r="S1817" s="33"/>
      <c r="T1817" s="33"/>
      <c r="U1817" s="33"/>
      <c r="V1817" s="33"/>
    </row>
    <row r="1818" spans="1:22" s="38" customFormat="1" ht="11.25" customHeight="1" x14ac:dyDescent="0.35">
      <c r="A1818" s="38" t="s">
        <v>7192</v>
      </c>
      <c r="B1818" s="39" t="s">
        <v>575</v>
      </c>
      <c r="C1818" s="106" t="s">
        <v>6467</v>
      </c>
      <c r="D1818" s="82" t="s">
        <v>7552</v>
      </c>
      <c r="E1818" s="38">
        <v>2</v>
      </c>
      <c r="F1818" s="26">
        <v>45440</v>
      </c>
      <c r="G1818" s="38">
        <v>2</v>
      </c>
      <c r="H1818" s="160">
        <v>45443</v>
      </c>
      <c r="I1818" s="38" t="s">
        <v>7553</v>
      </c>
      <c r="K1818" s="70" t="s">
        <v>5365</v>
      </c>
      <c r="L1818" s="39"/>
    </row>
    <row r="1819" spans="1:22" s="38" customFormat="1" ht="11.25" customHeight="1" x14ac:dyDescent="0.35">
      <c r="A1819" s="38" t="s">
        <v>7192</v>
      </c>
      <c r="B1819" s="39" t="s">
        <v>575</v>
      </c>
      <c r="C1819" s="106" t="s">
        <v>7554</v>
      </c>
      <c r="D1819" s="82" t="s">
        <v>7555</v>
      </c>
      <c r="E1819" s="38">
        <v>2</v>
      </c>
      <c r="F1819" s="26">
        <v>45440</v>
      </c>
      <c r="G1819" s="38">
        <v>2</v>
      </c>
      <c r="H1819" s="160">
        <v>45443</v>
      </c>
      <c r="I1819" s="38" t="s">
        <v>7553</v>
      </c>
      <c r="K1819" s="70" t="s">
        <v>5365</v>
      </c>
      <c r="L1819" s="39"/>
    </row>
    <row r="1820" spans="1:22" s="38" customFormat="1" ht="11.25" customHeight="1" x14ac:dyDescent="0.35">
      <c r="A1820" s="38" t="s">
        <v>7192</v>
      </c>
      <c r="B1820" s="39" t="s">
        <v>575</v>
      </c>
      <c r="C1820" s="106" t="s">
        <v>7556</v>
      </c>
      <c r="D1820" s="82" t="s">
        <v>7555</v>
      </c>
      <c r="E1820" s="38">
        <v>8</v>
      </c>
      <c r="F1820" s="26">
        <v>45440</v>
      </c>
      <c r="G1820" s="38">
        <v>8</v>
      </c>
      <c r="H1820" s="160">
        <v>45443</v>
      </c>
      <c r="I1820" s="38" t="s">
        <v>7553</v>
      </c>
      <c r="K1820" s="70" t="s">
        <v>5365</v>
      </c>
      <c r="L1820" s="39"/>
    </row>
    <row r="1821" spans="1:22" s="38" customFormat="1" ht="11.25" customHeight="1" x14ac:dyDescent="0.35">
      <c r="A1821" s="38" t="s">
        <v>7192</v>
      </c>
      <c r="B1821" s="39" t="s">
        <v>575</v>
      </c>
      <c r="C1821" s="106" t="s">
        <v>7557</v>
      </c>
      <c r="D1821" s="82" t="s">
        <v>7555</v>
      </c>
      <c r="E1821" s="38">
        <v>8</v>
      </c>
      <c r="F1821" s="26">
        <v>45440</v>
      </c>
      <c r="G1821" s="38">
        <v>8</v>
      </c>
      <c r="H1821" s="160">
        <v>45443</v>
      </c>
      <c r="I1821" s="38" t="s">
        <v>7553</v>
      </c>
      <c r="K1821" s="70" t="s">
        <v>5365</v>
      </c>
      <c r="L1821" s="39"/>
    </row>
    <row r="1822" spans="1:22" s="38" customFormat="1" ht="11.25" customHeight="1" x14ac:dyDescent="0.35">
      <c r="A1822" s="38" t="s">
        <v>7192</v>
      </c>
      <c r="B1822" s="39" t="s">
        <v>575</v>
      </c>
      <c r="C1822" s="106" t="s">
        <v>7558</v>
      </c>
      <c r="D1822" s="82" t="s">
        <v>7559</v>
      </c>
      <c r="E1822" s="38">
        <v>2</v>
      </c>
      <c r="F1822" s="26">
        <v>45440</v>
      </c>
      <c r="G1822" s="38">
        <v>2</v>
      </c>
      <c r="H1822" s="160">
        <v>45443</v>
      </c>
      <c r="I1822" s="38" t="s">
        <v>7553</v>
      </c>
      <c r="K1822" s="70" t="s">
        <v>5365</v>
      </c>
      <c r="L1822" s="39"/>
    </row>
    <row r="1823" spans="1:22" s="38" customFormat="1" ht="11.25" customHeight="1" x14ac:dyDescent="0.35">
      <c r="A1823" s="38" t="s">
        <v>7192</v>
      </c>
      <c r="B1823" s="39" t="s">
        <v>575</v>
      </c>
      <c r="C1823" s="106" t="s">
        <v>6419</v>
      </c>
      <c r="D1823" s="82" t="s">
        <v>7560</v>
      </c>
      <c r="E1823" s="38">
        <v>2</v>
      </c>
      <c r="F1823" s="26">
        <v>45440</v>
      </c>
      <c r="G1823" s="38">
        <v>2</v>
      </c>
      <c r="H1823" s="160">
        <v>45443</v>
      </c>
      <c r="I1823" s="38" t="s">
        <v>7553</v>
      </c>
      <c r="K1823" s="70" t="s">
        <v>5365</v>
      </c>
      <c r="L1823" s="39"/>
    </row>
    <row r="1824" spans="1:22" s="38" customFormat="1" ht="11.25" customHeight="1" x14ac:dyDescent="0.35">
      <c r="A1824" s="38" t="s">
        <v>7192</v>
      </c>
      <c r="B1824" s="39" t="s">
        <v>575</v>
      </c>
      <c r="C1824" s="106" t="s">
        <v>6451</v>
      </c>
      <c r="D1824" s="82" t="s">
        <v>7561</v>
      </c>
      <c r="E1824" s="38">
        <v>8</v>
      </c>
      <c r="F1824" s="26">
        <v>45440</v>
      </c>
      <c r="G1824" s="38">
        <v>8</v>
      </c>
      <c r="H1824" s="160">
        <v>45443</v>
      </c>
      <c r="I1824" s="38" t="s">
        <v>7553</v>
      </c>
      <c r="K1824" s="70" t="s">
        <v>5365</v>
      </c>
      <c r="L1824" s="39"/>
    </row>
    <row r="1825" spans="1:12" s="38" customFormat="1" ht="11.25" customHeight="1" x14ac:dyDescent="0.35">
      <c r="A1825" s="38" t="s">
        <v>7192</v>
      </c>
      <c r="B1825" s="39" t="s">
        <v>575</v>
      </c>
      <c r="C1825" s="106" t="s">
        <v>7562</v>
      </c>
      <c r="D1825" s="82" t="s">
        <v>7563</v>
      </c>
      <c r="E1825" s="38">
        <v>2</v>
      </c>
      <c r="F1825" s="26">
        <v>45440</v>
      </c>
      <c r="G1825" s="38">
        <v>2</v>
      </c>
      <c r="H1825" s="160">
        <v>45443</v>
      </c>
      <c r="I1825" s="38" t="s">
        <v>7553</v>
      </c>
      <c r="K1825" s="70" t="s">
        <v>5365</v>
      </c>
      <c r="L1825" s="39"/>
    </row>
    <row r="1826" spans="1:12" s="38" customFormat="1" ht="11.25" customHeight="1" x14ac:dyDescent="0.35">
      <c r="A1826" s="38" t="s">
        <v>7192</v>
      </c>
      <c r="B1826" s="39" t="s">
        <v>575</v>
      </c>
      <c r="C1826" s="106" t="s">
        <v>7564</v>
      </c>
      <c r="D1826" s="82" t="s">
        <v>7565</v>
      </c>
      <c r="E1826" s="38">
        <v>2</v>
      </c>
      <c r="F1826" s="26">
        <v>45440</v>
      </c>
      <c r="G1826" s="38">
        <v>2</v>
      </c>
      <c r="H1826" s="160">
        <v>45443</v>
      </c>
      <c r="I1826" s="38" t="s">
        <v>7553</v>
      </c>
      <c r="K1826" s="70" t="s">
        <v>5365</v>
      </c>
      <c r="L1826" s="39"/>
    </row>
    <row r="1827" spans="1:12" s="38" customFormat="1" ht="11.25" customHeight="1" x14ac:dyDescent="0.35">
      <c r="A1827" s="38" t="s">
        <v>7192</v>
      </c>
      <c r="B1827" s="39" t="s">
        <v>575</v>
      </c>
      <c r="C1827" s="106" t="s">
        <v>7566</v>
      </c>
      <c r="D1827" s="82" t="s">
        <v>7565</v>
      </c>
      <c r="E1827" s="38">
        <v>2</v>
      </c>
      <c r="F1827" s="26">
        <v>45440</v>
      </c>
      <c r="G1827" s="38">
        <v>2</v>
      </c>
      <c r="H1827" s="160">
        <v>45443</v>
      </c>
      <c r="I1827" s="38" t="s">
        <v>7553</v>
      </c>
      <c r="K1827" s="70" t="s">
        <v>5365</v>
      </c>
      <c r="L1827" s="39"/>
    </row>
    <row r="1828" spans="1:12" s="38" customFormat="1" ht="11.25" customHeight="1" x14ac:dyDescent="0.35">
      <c r="A1828" s="38" t="s">
        <v>7192</v>
      </c>
      <c r="B1828" s="39" t="s">
        <v>575</v>
      </c>
      <c r="C1828" s="106" t="s">
        <v>7567</v>
      </c>
      <c r="D1828" s="82" t="s">
        <v>7568</v>
      </c>
      <c r="E1828" s="38">
        <v>2</v>
      </c>
      <c r="F1828" s="26">
        <v>45440</v>
      </c>
      <c r="G1828" s="38">
        <v>2</v>
      </c>
      <c r="H1828" s="160">
        <v>45443</v>
      </c>
      <c r="I1828" s="38" t="s">
        <v>7553</v>
      </c>
      <c r="K1828" s="70" t="s">
        <v>5365</v>
      </c>
      <c r="L1828" s="39"/>
    </row>
    <row r="1829" spans="1:12" s="38" customFormat="1" ht="11.25" customHeight="1" x14ac:dyDescent="0.35">
      <c r="A1829" s="38" t="s">
        <v>7192</v>
      </c>
      <c r="B1829" s="39" t="s">
        <v>575</v>
      </c>
      <c r="C1829" s="106" t="s">
        <v>6452</v>
      </c>
      <c r="D1829" s="82" t="s">
        <v>7569</v>
      </c>
      <c r="E1829" s="38">
        <v>8</v>
      </c>
      <c r="F1829" s="26">
        <v>45440</v>
      </c>
      <c r="G1829" s="38">
        <v>8</v>
      </c>
      <c r="H1829" s="160">
        <v>45443</v>
      </c>
      <c r="I1829" s="38" t="s">
        <v>7553</v>
      </c>
      <c r="K1829" s="70" t="s">
        <v>5365</v>
      </c>
      <c r="L1829" s="39"/>
    </row>
    <row r="1830" spans="1:12" s="38" customFormat="1" ht="11.25" customHeight="1" x14ac:dyDescent="0.35">
      <c r="A1830" s="38" t="s">
        <v>7192</v>
      </c>
      <c r="B1830" s="39" t="s">
        <v>575</v>
      </c>
      <c r="C1830" s="106" t="s">
        <v>7570</v>
      </c>
      <c r="D1830" s="82" t="s">
        <v>7571</v>
      </c>
      <c r="E1830" s="38">
        <v>12</v>
      </c>
      <c r="F1830" s="26">
        <v>45440</v>
      </c>
      <c r="G1830" s="38">
        <v>12</v>
      </c>
      <c r="H1830" s="160">
        <v>45443</v>
      </c>
      <c r="I1830" s="38" t="s">
        <v>7553</v>
      </c>
      <c r="K1830" s="70" t="s">
        <v>5365</v>
      </c>
      <c r="L1830" s="39"/>
    </row>
    <row r="1831" spans="1:12" s="38" customFormat="1" ht="11.25" customHeight="1" x14ac:dyDescent="0.35">
      <c r="A1831" s="38" t="s">
        <v>7192</v>
      </c>
      <c r="B1831" s="39" t="s">
        <v>575</v>
      </c>
      <c r="C1831" s="106" t="s">
        <v>7572</v>
      </c>
      <c r="D1831" s="82"/>
      <c r="E1831" s="38">
        <v>2</v>
      </c>
      <c r="F1831" s="26">
        <v>45440</v>
      </c>
      <c r="G1831" s="38">
        <v>2</v>
      </c>
      <c r="H1831" s="160">
        <v>45443</v>
      </c>
      <c r="I1831" s="38" t="s">
        <v>7553</v>
      </c>
      <c r="K1831" s="70" t="s">
        <v>5365</v>
      </c>
      <c r="L1831" s="39"/>
    </row>
    <row r="1832" spans="1:12" s="38" customFormat="1" ht="11.25" customHeight="1" x14ac:dyDescent="0.35">
      <c r="A1832" s="38" t="s">
        <v>7192</v>
      </c>
      <c r="B1832" s="39" t="s">
        <v>575</v>
      </c>
      <c r="C1832" s="106" t="s">
        <v>7573</v>
      </c>
      <c r="D1832" s="82"/>
      <c r="E1832" s="38">
        <v>2</v>
      </c>
      <c r="F1832" s="26">
        <v>45440</v>
      </c>
      <c r="G1832" s="38">
        <v>2</v>
      </c>
      <c r="H1832" s="160">
        <v>45443</v>
      </c>
      <c r="I1832" s="38" t="s">
        <v>7553</v>
      </c>
      <c r="K1832" s="70" t="s">
        <v>5365</v>
      </c>
      <c r="L1832" s="39"/>
    </row>
    <row r="1833" spans="1:12" s="38" customFormat="1" ht="11.25" customHeight="1" x14ac:dyDescent="0.35">
      <c r="A1833" s="38" t="s">
        <v>7192</v>
      </c>
      <c r="B1833" s="39" t="s">
        <v>575</v>
      </c>
      <c r="C1833" s="106" t="s">
        <v>7574</v>
      </c>
      <c r="D1833" s="82"/>
      <c r="E1833" s="38">
        <v>8</v>
      </c>
      <c r="F1833" s="26">
        <v>45440</v>
      </c>
      <c r="G1833" s="38">
        <v>8</v>
      </c>
      <c r="H1833" s="160">
        <v>45443</v>
      </c>
      <c r="I1833" s="38" t="s">
        <v>7553</v>
      </c>
      <c r="K1833" s="70" t="s">
        <v>5365</v>
      </c>
      <c r="L1833" s="39"/>
    </row>
    <row r="1834" spans="1:12" s="38" customFormat="1" ht="11.25" customHeight="1" x14ac:dyDescent="0.35">
      <c r="A1834" s="38" t="s">
        <v>7192</v>
      </c>
      <c r="B1834" s="39" t="s">
        <v>575</v>
      </c>
      <c r="C1834" s="106" t="s">
        <v>7575</v>
      </c>
      <c r="D1834" s="82"/>
      <c r="E1834" s="38">
        <v>2</v>
      </c>
      <c r="F1834" s="26">
        <v>45440</v>
      </c>
      <c r="G1834" s="38">
        <v>2</v>
      </c>
      <c r="H1834" s="160">
        <v>45443</v>
      </c>
      <c r="I1834" s="38" t="s">
        <v>7553</v>
      </c>
      <c r="K1834" s="70" t="s">
        <v>5365</v>
      </c>
      <c r="L1834" s="39"/>
    </row>
    <row r="1835" spans="1:12" s="38" customFormat="1" ht="11.25" customHeight="1" x14ac:dyDescent="0.35">
      <c r="A1835" s="38" t="s">
        <v>7192</v>
      </c>
      <c r="B1835" s="39" t="s">
        <v>575</v>
      </c>
      <c r="C1835" s="106" t="s">
        <v>7576</v>
      </c>
      <c r="D1835" s="82"/>
      <c r="E1835" s="38">
        <v>2</v>
      </c>
      <c r="F1835" s="26">
        <v>45440</v>
      </c>
      <c r="G1835" s="38">
        <v>2</v>
      </c>
      <c r="H1835" s="160">
        <v>45443</v>
      </c>
      <c r="I1835" s="38" t="s">
        <v>7553</v>
      </c>
      <c r="K1835" s="70" t="s">
        <v>5365</v>
      </c>
      <c r="L1835" s="39"/>
    </row>
    <row r="1836" spans="1:12" s="38" customFormat="1" ht="11.25" customHeight="1" x14ac:dyDescent="0.35">
      <c r="A1836" s="38" t="s">
        <v>7192</v>
      </c>
      <c r="B1836" s="39" t="s">
        <v>575</v>
      </c>
      <c r="C1836" s="106" t="s">
        <v>7577</v>
      </c>
      <c r="D1836" s="82"/>
      <c r="E1836" s="38">
        <v>2</v>
      </c>
      <c r="F1836" s="26">
        <v>45440</v>
      </c>
      <c r="G1836" s="38">
        <v>2</v>
      </c>
      <c r="H1836" s="160">
        <v>45443</v>
      </c>
      <c r="I1836" s="38" t="s">
        <v>7553</v>
      </c>
      <c r="K1836" s="70" t="s">
        <v>5365</v>
      </c>
      <c r="L1836" s="39"/>
    </row>
    <row r="1837" spans="1:12" s="38" customFormat="1" ht="11.25" customHeight="1" x14ac:dyDescent="0.35">
      <c r="A1837" s="38" t="s">
        <v>7192</v>
      </c>
      <c r="B1837" s="39" t="s">
        <v>575</v>
      </c>
      <c r="C1837" s="106" t="s">
        <v>7578</v>
      </c>
      <c r="D1837" s="82"/>
      <c r="E1837" s="38">
        <v>2</v>
      </c>
      <c r="F1837" s="26">
        <v>45440</v>
      </c>
      <c r="G1837" s="38">
        <v>2</v>
      </c>
      <c r="H1837" s="160">
        <v>45443</v>
      </c>
      <c r="I1837" s="38" t="s">
        <v>7553</v>
      </c>
      <c r="K1837" s="70" t="s">
        <v>5365</v>
      </c>
      <c r="L1837" s="39"/>
    </row>
    <row r="1838" spans="1:12" s="38" customFormat="1" ht="11.25" customHeight="1" x14ac:dyDescent="0.35">
      <c r="A1838" s="38" t="s">
        <v>7192</v>
      </c>
      <c r="B1838" s="39" t="s">
        <v>575</v>
      </c>
      <c r="C1838" s="106" t="s">
        <v>7579</v>
      </c>
      <c r="D1838" s="82"/>
      <c r="E1838" s="38">
        <v>1</v>
      </c>
      <c r="F1838" s="26">
        <v>45440</v>
      </c>
      <c r="G1838" s="38">
        <v>1</v>
      </c>
      <c r="H1838" s="160">
        <v>45443</v>
      </c>
      <c r="I1838" s="38" t="s">
        <v>7553</v>
      </c>
      <c r="K1838" s="70" t="s">
        <v>5365</v>
      </c>
      <c r="L1838" s="39"/>
    </row>
    <row r="1839" spans="1:12" s="38" customFormat="1" ht="11.25" customHeight="1" x14ac:dyDescent="0.35">
      <c r="A1839" s="38" t="s">
        <v>7192</v>
      </c>
      <c r="B1839" s="39" t="s">
        <v>575</v>
      </c>
      <c r="C1839" s="106" t="s">
        <v>3146</v>
      </c>
      <c r="D1839" s="82"/>
      <c r="E1839" s="38">
        <v>2</v>
      </c>
      <c r="F1839" s="26">
        <v>45440</v>
      </c>
      <c r="G1839" s="38">
        <v>2</v>
      </c>
      <c r="H1839" s="160">
        <v>45443</v>
      </c>
      <c r="I1839" s="38" t="s">
        <v>7553</v>
      </c>
      <c r="K1839" s="70" t="s">
        <v>5365</v>
      </c>
      <c r="L1839" s="39"/>
    </row>
    <row r="1840" spans="1:12" s="38" customFormat="1" ht="11.25" customHeight="1" x14ac:dyDescent="0.35">
      <c r="A1840" s="38" t="s">
        <v>7192</v>
      </c>
      <c r="B1840" s="39" t="s">
        <v>575</v>
      </c>
      <c r="C1840" s="106" t="s">
        <v>7580</v>
      </c>
      <c r="D1840" s="82"/>
      <c r="E1840" s="38">
        <v>2</v>
      </c>
      <c r="F1840" s="26">
        <v>45440</v>
      </c>
      <c r="G1840" s="38">
        <v>2</v>
      </c>
      <c r="H1840" s="160">
        <v>45443</v>
      </c>
      <c r="I1840" s="38" t="s">
        <v>7553</v>
      </c>
      <c r="K1840" s="70" t="s">
        <v>5365</v>
      </c>
      <c r="L1840" s="39"/>
    </row>
    <row r="1841" spans="1:22" s="38" customFormat="1" ht="11.25" customHeight="1" x14ac:dyDescent="0.35">
      <c r="A1841" s="38" t="s">
        <v>7192</v>
      </c>
      <c r="B1841" s="39" t="s">
        <v>575</v>
      </c>
      <c r="C1841" s="106" t="s">
        <v>7581</v>
      </c>
      <c r="D1841" s="82"/>
      <c r="E1841" s="38">
        <v>2</v>
      </c>
      <c r="F1841" s="26">
        <v>45440</v>
      </c>
      <c r="G1841" s="38">
        <v>2</v>
      </c>
      <c r="H1841" s="160">
        <v>45443</v>
      </c>
      <c r="I1841" s="38" t="s">
        <v>7553</v>
      </c>
      <c r="K1841" s="70" t="s">
        <v>5365</v>
      </c>
      <c r="L1841" s="39"/>
    </row>
    <row r="1842" spans="1:22" s="38" customFormat="1" ht="11.25" customHeight="1" x14ac:dyDescent="0.35">
      <c r="A1842" s="38" t="s">
        <v>7192</v>
      </c>
      <c r="B1842" s="39" t="s">
        <v>575</v>
      </c>
      <c r="C1842" s="106" t="s">
        <v>7582</v>
      </c>
      <c r="D1842" s="82"/>
      <c r="E1842" s="38">
        <v>2</v>
      </c>
      <c r="F1842" s="26">
        <v>45440</v>
      </c>
      <c r="G1842" s="38">
        <v>2</v>
      </c>
      <c r="H1842" s="160">
        <v>45443</v>
      </c>
      <c r="I1842" s="38" t="s">
        <v>7553</v>
      </c>
      <c r="K1842" s="70" t="s">
        <v>5365</v>
      </c>
      <c r="L1842" s="39"/>
    </row>
    <row r="1843" spans="1:22" s="38" customFormat="1" ht="11.25" customHeight="1" x14ac:dyDescent="0.35">
      <c r="A1843" s="38" t="s">
        <v>7192</v>
      </c>
      <c r="B1843" s="39" t="s">
        <v>575</v>
      </c>
      <c r="C1843" s="106" t="s">
        <v>7583</v>
      </c>
      <c r="D1843" s="82"/>
      <c r="E1843" s="38">
        <v>2</v>
      </c>
      <c r="F1843" s="26">
        <v>45440</v>
      </c>
      <c r="G1843" s="38">
        <v>2</v>
      </c>
      <c r="H1843" s="160">
        <v>45443</v>
      </c>
      <c r="I1843" s="38" t="s">
        <v>7553</v>
      </c>
      <c r="K1843" s="70" t="s">
        <v>5365</v>
      </c>
      <c r="L1843" s="39"/>
    </row>
    <row r="1844" spans="1:22" ht="11.25" customHeight="1" x14ac:dyDescent="0.35">
      <c r="A1844" s="38" t="s">
        <v>7192</v>
      </c>
      <c r="B1844" s="39" t="s">
        <v>575</v>
      </c>
      <c r="C1844" s="106" t="s">
        <v>7584</v>
      </c>
      <c r="D1844" s="82"/>
      <c r="E1844" s="38">
        <v>2</v>
      </c>
      <c r="F1844" s="26">
        <v>45440</v>
      </c>
      <c r="G1844" s="38">
        <v>2</v>
      </c>
      <c r="H1844" s="160">
        <v>45443</v>
      </c>
      <c r="I1844" s="38" t="s">
        <v>7553</v>
      </c>
      <c r="J1844" s="38"/>
      <c r="K1844" s="70" t="s">
        <v>5365</v>
      </c>
      <c r="L1844" s="39"/>
      <c r="M1844" s="38"/>
      <c r="N1844" s="38"/>
      <c r="O1844" s="38"/>
      <c r="P1844" s="38"/>
      <c r="Q1844" s="38"/>
      <c r="R1844" s="38"/>
      <c r="S1844" s="38"/>
      <c r="T1844" s="38"/>
      <c r="U1844" s="38"/>
      <c r="V1844" s="38"/>
    </row>
    <row r="1845" spans="1:22" ht="11.25" customHeight="1" x14ac:dyDescent="0.35">
      <c r="A1845" s="38" t="s">
        <v>7192</v>
      </c>
      <c r="B1845" s="39" t="s">
        <v>575</v>
      </c>
      <c r="C1845" s="106" t="s">
        <v>7585</v>
      </c>
      <c r="D1845" s="82"/>
      <c r="E1845" s="38">
        <v>2</v>
      </c>
      <c r="F1845" s="26">
        <v>45440</v>
      </c>
      <c r="G1845" s="38">
        <v>2</v>
      </c>
      <c r="H1845" s="160">
        <v>45443</v>
      </c>
      <c r="I1845" s="38" t="s">
        <v>7553</v>
      </c>
      <c r="J1845" s="38"/>
      <c r="K1845" s="70" t="s">
        <v>5365</v>
      </c>
      <c r="L1845" s="39"/>
      <c r="M1845" s="38"/>
      <c r="N1845" s="38"/>
      <c r="O1845" s="38"/>
      <c r="P1845" s="38"/>
      <c r="Q1845" s="38"/>
      <c r="R1845" s="38"/>
      <c r="S1845" s="38"/>
      <c r="T1845" s="38"/>
      <c r="U1845" s="38"/>
      <c r="V1845" s="38"/>
    </row>
    <row r="1846" spans="1:22" s="38" customFormat="1" ht="11.25" customHeight="1" x14ac:dyDescent="0.35">
      <c r="A1846" s="38" t="s">
        <v>7192</v>
      </c>
      <c r="B1846" s="39" t="s">
        <v>575</v>
      </c>
      <c r="C1846" s="106" t="s">
        <v>7586</v>
      </c>
      <c r="D1846" s="82"/>
      <c r="E1846" s="38">
        <v>2</v>
      </c>
      <c r="F1846" s="26">
        <v>45440</v>
      </c>
      <c r="G1846" s="38">
        <v>2</v>
      </c>
      <c r="H1846" s="160">
        <v>45443</v>
      </c>
      <c r="I1846" s="38" t="s">
        <v>7553</v>
      </c>
      <c r="K1846" s="70" t="s">
        <v>5365</v>
      </c>
      <c r="L1846" s="39"/>
    </row>
    <row r="1847" spans="1:22" s="38" customFormat="1" ht="11.25" customHeight="1" x14ac:dyDescent="0.35">
      <c r="A1847" s="38" t="s">
        <v>7192</v>
      </c>
      <c r="B1847" s="39" t="s">
        <v>575</v>
      </c>
      <c r="C1847" s="106" t="s">
        <v>7587</v>
      </c>
      <c r="D1847" s="82"/>
      <c r="E1847" s="38">
        <v>2</v>
      </c>
      <c r="F1847" s="26">
        <v>45440</v>
      </c>
      <c r="G1847" s="38">
        <v>2</v>
      </c>
      <c r="H1847" s="160">
        <v>45443</v>
      </c>
      <c r="I1847" s="38" t="s">
        <v>7553</v>
      </c>
      <c r="K1847" s="70" t="s">
        <v>5365</v>
      </c>
      <c r="L1847" s="39"/>
    </row>
    <row r="1848" spans="1:22" ht="11.25" customHeight="1" x14ac:dyDescent="0.35">
      <c r="A1848" s="38" t="s">
        <v>7192</v>
      </c>
      <c r="B1848" s="39" t="s">
        <v>575</v>
      </c>
      <c r="C1848" s="106" t="s">
        <v>7588</v>
      </c>
      <c r="D1848" s="82"/>
      <c r="E1848" s="38">
        <v>1</v>
      </c>
      <c r="F1848" s="26">
        <v>45440</v>
      </c>
      <c r="G1848" s="38">
        <v>1</v>
      </c>
      <c r="H1848" s="160">
        <v>45443</v>
      </c>
      <c r="I1848" s="38" t="s">
        <v>7553</v>
      </c>
      <c r="J1848" s="38"/>
      <c r="K1848" s="70" t="s">
        <v>5365</v>
      </c>
      <c r="L1848" s="39"/>
      <c r="M1848" s="38"/>
      <c r="N1848" s="38"/>
      <c r="O1848" s="38"/>
      <c r="P1848" s="38"/>
      <c r="Q1848" s="38"/>
      <c r="R1848" s="38"/>
      <c r="S1848" s="38"/>
      <c r="T1848" s="38"/>
      <c r="U1848" s="38"/>
      <c r="V1848" s="38"/>
    </row>
    <row r="1849" spans="1:22" ht="11.25" customHeight="1" x14ac:dyDescent="0.35">
      <c r="A1849" s="38" t="s">
        <v>7192</v>
      </c>
      <c r="B1849" s="39" t="s">
        <v>575</v>
      </c>
      <c r="C1849" s="106" t="s">
        <v>7589</v>
      </c>
      <c r="D1849" s="82"/>
      <c r="E1849" s="38">
        <v>8</v>
      </c>
      <c r="F1849" s="26">
        <v>45440</v>
      </c>
      <c r="G1849" s="38">
        <v>8</v>
      </c>
      <c r="H1849" s="160">
        <v>45443</v>
      </c>
      <c r="I1849" s="38" t="s">
        <v>7553</v>
      </c>
      <c r="J1849" s="38"/>
      <c r="K1849" s="70" t="s">
        <v>5365</v>
      </c>
      <c r="L1849" s="39"/>
      <c r="M1849" s="38"/>
      <c r="N1849" s="38"/>
      <c r="O1849" s="38"/>
      <c r="P1849" s="38"/>
      <c r="Q1849" s="38"/>
      <c r="R1849" s="38"/>
      <c r="S1849" s="38"/>
      <c r="T1849" s="38"/>
      <c r="U1849" s="38"/>
      <c r="V1849" s="38"/>
    </row>
    <row r="1850" spans="1:22" ht="11.25" customHeight="1" x14ac:dyDescent="0.35">
      <c r="A1850" s="38" t="s">
        <v>6471</v>
      </c>
      <c r="B1850" s="39" t="s">
        <v>5763</v>
      </c>
      <c r="C1850" s="106" t="s">
        <v>7590</v>
      </c>
      <c r="D1850" s="82" t="s">
        <v>7591</v>
      </c>
      <c r="E1850" s="38">
        <v>1</v>
      </c>
      <c r="F1850" s="26">
        <v>45440</v>
      </c>
      <c r="G1850" s="25">
        <v>1</v>
      </c>
      <c r="H1850" s="160">
        <v>45440</v>
      </c>
      <c r="I1850" s="38" t="s">
        <v>5865</v>
      </c>
      <c r="J1850" s="38"/>
      <c r="K1850" s="70" t="s">
        <v>5365</v>
      </c>
      <c r="L1850" s="39"/>
      <c r="M1850" s="38"/>
      <c r="N1850" s="38"/>
      <c r="O1850" s="38"/>
      <c r="P1850" s="38"/>
      <c r="Q1850" s="38"/>
      <c r="R1850" s="38"/>
      <c r="S1850" s="38"/>
      <c r="T1850" s="38"/>
      <c r="U1850" s="38"/>
      <c r="V1850" s="38"/>
    </row>
    <row r="1851" spans="1:22" s="38" customFormat="1" ht="11.25" customHeight="1" x14ac:dyDescent="0.35">
      <c r="A1851" s="38" t="s">
        <v>6471</v>
      </c>
      <c r="B1851" s="39" t="s">
        <v>5763</v>
      </c>
      <c r="C1851" s="106" t="s">
        <v>7592</v>
      </c>
      <c r="D1851" s="82" t="s">
        <v>7593</v>
      </c>
      <c r="E1851" s="38">
        <v>1</v>
      </c>
      <c r="F1851" s="26">
        <v>45440</v>
      </c>
      <c r="G1851" s="25">
        <v>1</v>
      </c>
      <c r="H1851" s="160"/>
      <c r="I1851" s="38" t="s">
        <v>5865</v>
      </c>
      <c r="K1851" s="70" t="s">
        <v>5338</v>
      </c>
      <c r="L1851" s="35"/>
    </row>
    <row r="1852" spans="1:22" s="38" customFormat="1" ht="11.25" customHeight="1" x14ac:dyDescent="0.35">
      <c r="A1852" s="38" t="s">
        <v>6471</v>
      </c>
      <c r="B1852" s="39" t="s">
        <v>5763</v>
      </c>
      <c r="C1852" s="106" t="s">
        <v>7594</v>
      </c>
      <c r="D1852" s="82" t="s">
        <v>7595</v>
      </c>
      <c r="E1852" s="38">
        <v>1</v>
      </c>
      <c r="F1852" s="26">
        <v>45440</v>
      </c>
      <c r="G1852" s="25">
        <v>1</v>
      </c>
      <c r="H1852" s="160"/>
      <c r="I1852" s="38" t="s">
        <v>5865</v>
      </c>
      <c r="K1852" s="70" t="s">
        <v>5338</v>
      </c>
      <c r="L1852" s="35"/>
    </row>
    <row r="1853" spans="1:22" ht="11.25" customHeight="1" x14ac:dyDescent="0.35">
      <c r="A1853" s="38" t="s">
        <v>6471</v>
      </c>
      <c r="B1853" s="39" t="s">
        <v>5763</v>
      </c>
      <c r="C1853" s="106" t="s">
        <v>7596</v>
      </c>
      <c r="D1853" s="82" t="s">
        <v>7597</v>
      </c>
      <c r="E1853" s="38">
        <v>2</v>
      </c>
      <c r="F1853" s="26">
        <v>45440</v>
      </c>
      <c r="G1853" s="25">
        <v>2</v>
      </c>
      <c r="H1853" s="160">
        <v>45441</v>
      </c>
      <c r="I1853" s="38" t="s">
        <v>5903</v>
      </c>
      <c r="J1853" s="38"/>
      <c r="K1853" s="70" t="s">
        <v>5365</v>
      </c>
      <c r="L1853" s="39"/>
      <c r="M1853" s="38"/>
      <c r="N1853" s="38"/>
      <c r="O1853" s="38"/>
      <c r="P1853" s="38"/>
      <c r="Q1853" s="38"/>
      <c r="R1853" s="38"/>
      <c r="S1853" s="38"/>
      <c r="T1853" s="38"/>
      <c r="U1853" s="38"/>
      <c r="V1853" s="38"/>
    </row>
    <row r="1854" spans="1:22" ht="11.25" customHeight="1" x14ac:dyDescent="0.35">
      <c r="A1854" s="38" t="s">
        <v>6471</v>
      </c>
      <c r="B1854" s="39" t="s">
        <v>5763</v>
      </c>
      <c r="C1854" s="106" t="s">
        <v>7598</v>
      </c>
      <c r="D1854" s="82" t="s">
        <v>7599</v>
      </c>
      <c r="E1854" s="38">
        <v>2</v>
      </c>
      <c r="F1854" s="26">
        <v>45440</v>
      </c>
      <c r="G1854" s="25">
        <v>2</v>
      </c>
      <c r="H1854" s="160">
        <v>45441</v>
      </c>
      <c r="I1854" s="38" t="s">
        <v>5903</v>
      </c>
      <c r="J1854" s="38"/>
      <c r="K1854" s="70" t="s">
        <v>5365</v>
      </c>
      <c r="L1854" s="39"/>
      <c r="M1854" s="38"/>
      <c r="N1854" s="38"/>
      <c r="O1854" s="38"/>
      <c r="P1854" s="38"/>
      <c r="Q1854" s="38"/>
      <c r="R1854" s="38"/>
      <c r="S1854" s="38"/>
      <c r="T1854" s="38"/>
      <c r="U1854" s="38"/>
      <c r="V1854" s="38"/>
    </row>
    <row r="1855" spans="1:22" ht="11.25" customHeight="1" x14ac:dyDescent="0.35">
      <c r="A1855" s="33" t="s">
        <v>6471</v>
      </c>
      <c r="B1855" s="35" t="s">
        <v>5763</v>
      </c>
      <c r="C1855" s="272" t="s">
        <v>7600</v>
      </c>
      <c r="D1855" s="31" t="s">
        <v>7601</v>
      </c>
      <c r="E1855" s="33">
        <v>1</v>
      </c>
      <c r="F1855" s="22">
        <v>45440</v>
      </c>
      <c r="K1855" s="70" t="s">
        <v>5338</v>
      </c>
    </row>
    <row r="1856" spans="1:22" ht="11.25" customHeight="1" x14ac:dyDescent="0.35">
      <c r="A1856" s="33" t="s">
        <v>5215</v>
      </c>
      <c r="B1856" s="35" t="s">
        <v>7602</v>
      </c>
      <c r="C1856" s="272" t="s">
        <v>7603</v>
      </c>
      <c r="D1856" s="31" t="s">
        <v>2354</v>
      </c>
      <c r="E1856" s="33">
        <v>6</v>
      </c>
      <c r="F1856" s="22">
        <v>45443</v>
      </c>
      <c r="K1856" s="70" t="s">
        <v>5338</v>
      </c>
    </row>
    <row r="1857" spans="1:22" ht="11.25" customHeight="1" x14ac:dyDescent="0.35">
      <c r="A1857" s="33" t="s">
        <v>5215</v>
      </c>
      <c r="B1857" s="35" t="s">
        <v>7602</v>
      </c>
      <c r="C1857" s="272" t="s">
        <v>7604</v>
      </c>
      <c r="D1857" s="31" t="s">
        <v>1181</v>
      </c>
      <c r="E1857" s="33">
        <v>3</v>
      </c>
      <c r="F1857" s="22">
        <v>45443</v>
      </c>
      <c r="K1857" s="70" t="s">
        <v>5338</v>
      </c>
    </row>
    <row r="1858" spans="1:22" ht="11.25" customHeight="1" x14ac:dyDescent="0.35">
      <c r="A1858" s="38" t="s">
        <v>5215</v>
      </c>
      <c r="B1858" s="39" t="s">
        <v>7602</v>
      </c>
      <c r="C1858" s="106" t="s">
        <v>7605</v>
      </c>
      <c r="D1858" s="82" t="s">
        <v>239</v>
      </c>
      <c r="E1858" s="38">
        <v>72</v>
      </c>
      <c r="F1858" s="26">
        <v>45443</v>
      </c>
      <c r="G1858" s="25">
        <v>72</v>
      </c>
      <c r="H1858" s="160">
        <v>45447</v>
      </c>
      <c r="I1858" s="38" t="s">
        <v>7606</v>
      </c>
      <c r="J1858" s="38"/>
      <c r="K1858" s="70" t="s">
        <v>5365</v>
      </c>
      <c r="M1858" s="38"/>
      <c r="N1858" s="38"/>
      <c r="O1858" s="38"/>
      <c r="P1858" s="38"/>
      <c r="Q1858" s="38"/>
      <c r="R1858" s="38"/>
      <c r="S1858" s="38"/>
      <c r="T1858" s="38"/>
      <c r="U1858" s="38"/>
      <c r="V1858" s="38"/>
    </row>
    <row r="1859" spans="1:22" s="38" customFormat="1" ht="11.25" customHeight="1" x14ac:dyDescent="0.35">
      <c r="A1859" s="33" t="s">
        <v>5215</v>
      </c>
      <c r="B1859" s="35" t="s">
        <v>7602</v>
      </c>
      <c r="C1859" s="272" t="s">
        <v>3364</v>
      </c>
      <c r="D1859" s="31" t="s">
        <v>7607</v>
      </c>
      <c r="E1859" s="33">
        <v>1</v>
      </c>
      <c r="F1859" s="22">
        <v>45443</v>
      </c>
      <c r="G1859" s="21"/>
      <c r="H1859" s="159"/>
      <c r="I1859" s="33"/>
      <c r="J1859" s="33"/>
      <c r="K1859" s="70" t="s">
        <v>5338</v>
      </c>
      <c r="L1859" s="35"/>
      <c r="M1859" s="33"/>
      <c r="N1859" s="33"/>
      <c r="O1859" s="33"/>
      <c r="P1859" s="33"/>
      <c r="Q1859" s="33"/>
      <c r="R1859" s="33"/>
      <c r="S1859" s="33"/>
      <c r="T1859" s="33"/>
      <c r="U1859" s="33"/>
      <c r="V1859" s="33"/>
    </row>
    <row r="1860" spans="1:22" s="38" customFormat="1" ht="11.25" customHeight="1" x14ac:dyDescent="0.35">
      <c r="A1860" s="33" t="s">
        <v>5215</v>
      </c>
      <c r="B1860" s="35" t="s">
        <v>7602</v>
      </c>
      <c r="C1860" s="272" t="s">
        <v>1065</v>
      </c>
      <c r="D1860" s="31" t="s">
        <v>7608</v>
      </c>
      <c r="E1860" s="33">
        <v>2</v>
      </c>
      <c r="F1860" s="22">
        <v>45443</v>
      </c>
      <c r="G1860" s="21"/>
      <c r="H1860" s="159"/>
      <c r="I1860" s="33"/>
      <c r="J1860" s="33"/>
      <c r="K1860" s="70" t="s">
        <v>5338</v>
      </c>
      <c r="L1860" s="35"/>
      <c r="M1860" s="33"/>
      <c r="N1860" s="33"/>
      <c r="O1860" s="33"/>
      <c r="P1860" s="33"/>
      <c r="Q1860" s="33"/>
      <c r="R1860" s="33"/>
      <c r="S1860" s="33"/>
      <c r="T1860" s="33"/>
      <c r="U1860" s="33"/>
      <c r="V1860" s="33"/>
    </row>
    <row r="1861" spans="1:22" s="38" customFormat="1" ht="11.25" customHeight="1" x14ac:dyDescent="0.35">
      <c r="A1861" s="33" t="s">
        <v>5215</v>
      </c>
      <c r="B1861" s="35" t="s">
        <v>7602</v>
      </c>
      <c r="C1861" s="272" t="s">
        <v>7609</v>
      </c>
      <c r="D1861" s="31" t="s">
        <v>7610</v>
      </c>
      <c r="E1861" s="33">
        <v>12</v>
      </c>
      <c r="F1861" s="22">
        <v>45443</v>
      </c>
      <c r="G1861" s="21"/>
      <c r="H1861" s="159"/>
      <c r="I1861" s="33"/>
      <c r="J1861" s="33"/>
      <c r="K1861" s="70" t="s">
        <v>5338</v>
      </c>
      <c r="L1861" s="35"/>
      <c r="M1861" s="33"/>
      <c r="N1861" s="33"/>
      <c r="O1861" s="33"/>
      <c r="P1861" s="33"/>
      <c r="Q1861" s="33"/>
      <c r="R1861" s="33"/>
      <c r="S1861" s="33"/>
      <c r="T1861" s="33"/>
      <c r="U1861" s="33"/>
      <c r="V1861" s="33"/>
    </row>
    <row r="1862" spans="1:22" s="38" customFormat="1" ht="11.25" customHeight="1" x14ac:dyDescent="0.35">
      <c r="A1862" s="33" t="s">
        <v>5215</v>
      </c>
      <c r="B1862" s="35" t="s">
        <v>7602</v>
      </c>
      <c r="C1862" s="272" t="s">
        <v>3446</v>
      </c>
      <c r="D1862" s="31" t="s">
        <v>7611</v>
      </c>
      <c r="E1862" s="33">
        <v>1</v>
      </c>
      <c r="F1862" s="22">
        <v>45443</v>
      </c>
      <c r="G1862" s="21"/>
      <c r="H1862" s="159"/>
      <c r="I1862" s="33"/>
      <c r="J1862" s="33"/>
      <c r="K1862" s="70" t="s">
        <v>5338</v>
      </c>
      <c r="L1862" s="35"/>
      <c r="M1862" s="33"/>
      <c r="N1862" s="33"/>
      <c r="O1862" s="33"/>
      <c r="P1862" s="33"/>
      <c r="Q1862" s="33"/>
      <c r="R1862" s="33"/>
      <c r="S1862" s="33"/>
      <c r="T1862" s="33"/>
      <c r="U1862" s="33"/>
      <c r="V1862" s="33"/>
    </row>
    <row r="1863" spans="1:22" s="38" customFormat="1" ht="11.25" customHeight="1" x14ac:dyDescent="0.35">
      <c r="A1863" s="33" t="s">
        <v>5215</v>
      </c>
      <c r="B1863" s="35" t="s">
        <v>7602</v>
      </c>
      <c r="C1863" s="272" t="s">
        <v>7612</v>
      </c>
      <c r="D1863" s="31" t="s">
        <v>7613</v>
      </c>
      <c r="E1863" s="33">
        <v>12</v>
      </c>
      <c r="F1863" s="22">
        <v>45443</v>
      </c>
      <c r="G1863" s="21"/>
      <c r="H1863" s="159"/>
      <c r="I1863" s="33"/>
      <c r="J1863" s="33"/>
      <c r="K1863" s="70" t="s">
        <v>5338</v>
      </c>
      <c r="L1863" s="35"/>
      <c r="M1863" s="33"/>
      <c r="N1863" s="33"/>
      <c r="O1863" s="33"/>
      <c r="P1863" s="33"/>
      <c r="Q1863" s="33"/>
      <c r="R1863" s="33"/>
      <c r="S1863" s="33"/>
      <c r="T1863" s="33"/>
      <c r="U1863" s="33"/>
      <c r="V1863" s="33"/>
    </row>
    <row r="1864" spans="1:22" s="38" customFormat="1" ht="11.25" customHeight="1" x14ac:dyDescent="0.35">
      <c r="A1864" s="33" t="s">
        <v>5215</v>
      </c>
      <c r="B1864" s="35" t="s">
        <v>7412</v>
      </c>
      <c r="C1864" s="272" t="s">
        <v>7614</v>
      </c>
      <c r="D1864" s="31" t="s">
        <v>7615</v>
      </c>
      <c r="E1864" s="33">
        <v>12</v>
      </c>
      <c r="F1864" s="22">
        <v>45443</v>
      </c>
      <c r="G1864" s="21"/>
      <c r="H1864" s="159"/>
      <c r="I1864" s="33"/>
      <c r="J1864" s="33"/>
      <c r="K1864" s="70" t="s">
        <v>5338</v>
      </c>
      <c r="L1864" s="35"/>
      <c r="M1864" s="33"/>
      <c r="N1864" s="33"/>
      <c r="O1864" s="33"/>
      <c r="P1864" s="33"/>
      <c r="Q1864" s="33"/>
      <c r="R1864" s="33"/>
      <c r="S1864" s="33"/>
      <c r="T1864" s="33"/>
      <c r="U1864" s="33"/>
      <c r="V1864" s="33"/>
    </row>
    <row r="1865" spans="1:22" s="38" customFormat="1" ht="11.25" customHeight="1" x14ac:dyDescent="0.35">
      <c r="A1865" s="33" t="s">
        <v>5215</v>
      </c>
      <c r="B1865" s="35" t="s">
        <v>7412</v>
      </c>
      <c r="C1865" s="272" t="s">
        <v>7616</v>
      </c>
      <c r="D1865" s="31" t="s">
        <v>7617</v>
      </c>
      <c r="E1865" s="33">
        <v>12</v>
      </c>
      <c r="F1865" s="22">
        <v>45443</v>
      </c>
      <c r="G1865" s="21"/>
      <c r="H1865" s="159"/>
      <c r="I1865" s="33"/>
      <c r="J1865" s="33"/>
      <c r="K1865" s="70" t="s">
        <v>5338</v>
      </c>
      <c r="L1865" s="35"/>
      <c r="M1865" s="33"/>
      <c r="N1865" s="33"/>
      <c r="O1865" s="33"/>
      <c r="P1865" s="33"/>
      <c r="Q1865" s="33"/>
      <c r="R1865" s="33"/>
      <c r="S1865" s="33"/>
      <c r="T1865" s="33"/>
      <c r="U1865" s="33"/>
      <c r="V1865" s="33"/>
    </row>
    <row r="1866" spans="1:22" s="38" customFormat="1" ht="11.25" customHeight="1" x14ac:dyDescent="0.35">
      <c r="A1866" s="38" t="s">
        <v>4917</v>
      </c>
      <c r="B1866" s="39">
        <v>1918</v>
      </c>
      <c r="C1866" s="106" t="s">
        <v>7618</v>
      </c>
      <c r="D1866" s="82" t="s">
        <v>7619</v>
      </c>
      <c r="E1866" s="38">
        <v>20</v>
      </c>
      <c r="F1866" s="26">
        <v>45446</v>
      </c>
      <c r="G1866" s="38">
        <v>20</v>
      </c>
      <c r="H1866" s="160">
        <v>45447</v>
      </c>
      <c r="I1866" s="38" t="s">
        <v>5842</v>
      </c>
      <c r="K1866" s="70" t="s">
        <v>5365</v>
      </c>
      <c r="L1866" s="35"/>
    </row>
    <row r="1867" spans="1:22" s="38" customFormat="1" ht="11.25" customHeight="1" x14ac:dyDescent="0.35">
      <c r="A1867" s="38" t="s">
        <v>4917</v>
      </c>
      <c r="B1867" s="39">
        <v>1918</v>
      </c>
      <c r="C1867" s="106" t="s">
        <v>7620</v>
      </c>
      <c r="D1867" s="82" t="s">
        <v>7621</v>
      </c>
      <c r="E1867" s="38">
        <v>30</v>
      </c>
      <c r="F1867" s="26">
        <v>45446</v>
      </c>
      <c r="G1867" s="38">
        <v>30</v>
      </c>
      <c r="H1867" s="160">
        <v>45447</v>
      </c>
      <c r="I1867" s="38" t="s">
        <v>5842</v>
      </c>
      <c r="K1867" s="70" t="s">
        <v>5365</v>
      </c>
      <c r="L1867" s="35"/>
    </row>
    <row r="1868" spans="1:22" s="38" customFormat="1" ht="11.25" customHeight="1" x14ac:dyDescent="0.35">
      <c r="A1868" s="38" t="s">
        <v>4917</v>
      </c>
      <c r="B1868" s="39">
        <v>1918</v>
      </c>
      <c r="C1868" s="106">
        <v>254750104220</v>
      </c>
      <c r="D1868" s="82" t="s">
        <v>1426</v>
      </c>
      <c r="E1868" s="38">
        <v>2</v>
      </c>
      <c r="F1868" s="26">
        <v>45446</v>
      </c>
      <c r="G1868" s="38">
        <v>2</v>
      </c>
      <c r="H1868" s="160">
        <v>45447</v>
      </c>
      <c r="I1868" s="38" t="s">
        <v>5842</v>
      </c>
      <c r="K1868" s="70" t="s">
        <v>5365</v>
      </c>
      <c r="L1868" s="35"/>
    </row>
    <row r="1869" spans="1:22" s="38" customFormat="1" ht="11.25" customHeight="1" x14ac:dyDescent="0.35">
      <c r="A1869" s="38" t="s">
        <v>4917</v>
      </c>
      <c r="B1869" s="39">
        <v>1918</v>
      </c>
      <c r="C1869" s="106">
        <v>570950108228</v>
      </c>
      <c r="D1869" s="82" t="s">
        <v>1237</v>
      </c>
      <c r="E1869" s="38">
        <v>2</v>
      </c>
      <c r="F1869" s="26">
        <v>45446</v>
      </c>
      <c r="G1869" s="38">
        <v>2</v>
      </c>
      <c r="H1869" s="160">
        <v>45447</v>
      </c>
      <c r="I1869" s="38" t="s">
        <v>5842</v>
      </c>
      <c r="K1869" s="70" t="s">
        <v>5365</v>
      </c>
      <c r="L1869" s="35"/>
    </row>
    <row r="1870" spans="1:22" s="38" customFormat="1" ht="11.25" customHeight="1" x14ac:dyDescent="0.35">
      <c r="A1870" s="38" t="s">
        <v>4917</v>
      </c>
      <c r="B1870" s="39">
        <v>1918</v>
      </c>
      <c r="C1870" s="106">
        <v>254714604215</v>
      </c>
      <c r="D1870" s="82" t="s">
        <v>7622</v>
      </c>
      <c r="E1870" s="38">
        <v>2</v>
      </c>
      <c r="F1870" s="26">
        <v>45446</v>
      </c>
      <c r="G1870" s="38">
        <v>2</v>
      </c>
      <c r="H1870" s="160">
        <v>45447</v>
      </c>
      <c r="I1870" s="38" t="s">
        <v>5842</v>
      </c>
      <c r="K1870" s="70" t="s">
        <v>5365</v>
      </c>
      <c r="L1870" s="35"/>
    </row>
    <row r="1871" spans="1:22" s="38" customFormat="1" ht="11.25" customHeight="1" x14ac:dyDescent="0.35">
      <c r="A1871" s="38" t="s">
        <v>4917</v>
      </c>
      <c r="B1871" s="39">
        <v>1918</v>
      </c>
      <c r="C1871" s="106">
        <v>254709134215</v>
      </c>
      <c r="D1871" s="82" t="s">
        <v>1426</v>
      </c>
      <c r="E1871" s="38">
        <v>6</v>
      </c>
      <c r="F1871" s="26">
        <v>45446</v>
      </c>
      <c r="G1871" s="38">
        <v>6</v>
      </c>
      <c r="H1871" s="160">
        <v>45447</v>
      </c>
      <c r="I1871" s="38" t="s">
        <v>5842</v>
      </c>
      <c r="K1871" s="70" t="s">
        <v>5365</v>
      </c>
      <c r="L1871" s="35"/>
    </row>
    <row r="1872" spans="1:22" s="38" customFormat="1" ht="11.25" customHeight="1" x14ac:dyDescent="0.35">
      <c r="A1872" s="38" t="s">
        <v>4917</v>
      </c>
      <c r="B1872" s="39">
        <v>1918</v>
      </c>
      <c r="C1872" s="106">
        <v>570950100210</v>
      </c>
      <c r="D1872" s="82" t="s">
        <v>7623</v>
      </c>
      <c r="E1872" s="38">
        <v>2</v>
      </c>
      <c r="F1872" s="26">
        <v>45446</v>
      </c>
      <c r="G1872" s="38">
        <v>2</v>
      </c>
      <c r="H1872" s="160">
        <v>45447</v>
      </c>
      <c r="I1872" s="38" t="s">
        <v>5842</v>
      </c>
      <c r="K1872" s="70" t="s">
        <v>5365</v>
      </c>
      <c r="L1872" s="35"/>
    </row>
    <row r="1873" spans="1:12" s="38" customFormat="1" ht="11.25" customHeight="1" x14ac:dyDescent="0.35">
      <c r="A1873" s="38" t="s">
        <v>4917</v>
      </c>
      <c r="B1873" s="39">
        <v>1918</v>
      </c>
      <c r="C1873" s="106">
        <v>14280500454</v>
      </c>
      <c r="D1873" s="82" t="s">
        <v>1426</v>
      </c>
      <c r="E1873" s="38">
        <v>2</v>
      </c>
      <c r="F1873" s="26">
        <v>45446</v>
      </c>
      <c r="G1873" s="38">
        <v>2</v>
      </c>
      <c r="H1873" s="160">
        <v>45447</v>
      </c>
      <c r="I1873" s="38" t="s">
        <v>5842</v>
      </c>
      <c r="K1873" s="70" t="s">
        <v>5365</v>
      </c>
      <c r="L1873" s="35"/>
    </row>
    <row r="1874" spans="1:12" s="38" customFormat="1" ht="11.25" customHeight="1" x14ac:dyDescent="0.35">
      <c r="A1874" s="38" t="s">
        <v>4917</v>
      </c>
      <c r="B1874" s="39">
        <v>1918</v>
      </c>
      <c r="C1874" s="106" t="s">
        <v>7624</v>
      </c>
      <c r="D1874" s="82" t="s">
        <v>7625</v>
      </c>
      <c r="E1874" s="38">
        <v>1</v>
      </c>
      <c r="F1874" s="26">
        <v>45446</v>
      </c>
      <c r="G1874" s="38">
        <v>1</v>
      </c>
      <c r="H1874" s="160">
        <v>45447</v>
      </c>
      <c r="I1874" s="38" t="s">
        <v>5842</v>
      </c>
      <c r="K1874" s="70" t="s">
        <v>5365</v>
      </c>
      <c r="L1874" s="35"/>
    </row>
    <row r="1875" spans="1:12" s="38" customFormat="1" ht="11.25" customHeight="1" x14ac:dyDescent="0.25">
      <c r="A1875" s="38" t="s">
        <v>4917</v>
      </c>
      <c r="B1875" s="39">
        <v>1918</v>
      </c>
      <c r="C1875" s="298">
        <v>14300512250</v>
      </c>
      <c r="D1875" s="82" t="s">
        <v>7626</v>
      </c>
      <c r="E1875" s="38">
        <v>2</v>
      </c>
      <c r="F1875" s="26">
        <v>45446</v>
      </c>
      <c r="G1875" s="38">
        <v>2</v>
      </c>
      <c r="H1875" s="160">
        <v>45447</v>
      </c>
      <c r="I1875" s="38" t="s">
        <v>5842</v>
      </c>
      <c r="K1875" s="70" t="s">
        <v>5365</v>
      </c>
      <c r="L1875" s="35"/>
    </row>
    <row r="1876" spans="1:12" s="38" customFormat="1" ht="11.25" customHeight="1" x14ac:dyDescent="0.35">
      <c r="A1876" s="38" t="s">
        <v>4917</v>
      </c>
      <c r="B1876" s="39">
        <v>1918</v>
      </c>
      <c r="C1876" s="106" t="s">
        <v>7627</v>
      </c>
      <c r="D1876" s="82" t="s">
        <v>7628</v>
      </c>
      <c r="E1876" s="38">
        <v>2</v>
      </c>
      <c r="F1876" s="26">
        <v>45446</v>
      </c>
      <c r="G1876" s="38">
        <v>2</v>
      </c>
      <c r="H1876" s="160">
        <v>45447</v>
      </c>
      <c r="I1876" s="38" t="s">
        <v>5842</v>
      </c>
      <c r="K1876" s="70" t="s">
        <v>5365</v>
      </c>
      <c r="L1876" s="35"/>
    </row>
    <row r="1877" spans="1:12" s="38" customFormat="1" ht="11.25" customHeight="1" x14ac:dyDescent="0.35">
      <c r="A1877" s="38" t="s">
        <v>4917</v>
      </c>
      <c r="B1877" s="39">
        <v>1918</v>
      </c>
      <c r="C1877" s="106" t="s">
        <v>7629</v>
      </c>
      <c r="D1877" s="82" t="s">
        <v>226</v>
      </c>
      <c r="E1877" s="38">
        <v>4</v>
      </c>
      <c r="F1877" s="26">
        <v>45446</v>
      </c>
      <c r="G1877" s="38">
        <v>4</v>
      </c>
      <c r="H1877" s="160">
        <v>45447</v>
      </c>
      <c r="I1877" s="38" t="s">
        <v>5842</v>
      </c>
      <c r="K1877" s="70" t="s">
        <v>5365</v>
      </c>
      <c r="L1877" s="35"/>
    </row>
    <row r="1878" spans="1:12" s="38" customFormat="1" ht="11.25" customHeight="1" x14ac:dyDescent="0.35">
      <c r="A1878" s="38" t="s">
        <v>4917</v>
      </c>
      <c r="B1878" s="39">
        <v>1918</v>
      </c>
      <c r="C1878" s="106" t="s">
        <v>7630</v>
      </c>
      <c r="D1878" s="82" t="s">
        <v>1426</v>
      </c>
      <c r="E1878" s="38">
        <v>8</v>
      </c>
      <c r="F1878" s="26">
        <v>45446</v>
      </c>
      <c r="G1878" s="38">
        <v>8</v>
      </c>
      <c r="H1878" s="160">
        <v>45447</v>
      </c>
      <c r="I1878" s="38" t="s">
        <v>5842</v>
      </c>
      <c r="K1878" s="70" t="s">
        <v>5365</v>
      </c>
      <c r="L1878" s="35"/>
    </row>
    <row r="1879" spans="1:12" s="38" customFormat="1" ht="11.25" customHeight="1" x14ac:dyDescent="0.35">
      <c r="A1879" s="38" t="s">
        <v>4917</v>
      </c>
      <c r="B1879" s="39">
        <v>1918</v>
      </c>
      <c r="C1879" s="106" t="s">
        <v>7631</v>
      </c>
      <c r="D1879" s="82" t="s">
        <v>7632</v>
      </c>
      <c r="E1879" s="38">
        <v>2</v>
      </c>
      <c r="F1879" s="26">
        <v>45446</v>
      </c>
      <c r="G1879" s="38">
        <v>2</v>
      </c>
      <c r="H1879" s="160">
        <v>45447</v>
      </c>
      <c r="I1879" s="38" t="s">
        <v>5842</v>
      </c>
      <c r="K1879" s="70" t="s">
        <v>5365</v>
      </c>
      <c r="L1879" s="35"/>
    </row>
    <row r="1880" spans="1:12" s="38" customFormat="1" ht="11.25" customHeight="1" x14ac:dyDescent="0.35">
      <c r="A1880" s="38" t="s">
        <v>4917</v>
      </c>
      <c r="B1880" s="39">
        <v>1918</v>
      </c>
      <c r="C1880" s="106" t="s">
        <v>7633</v>
      </c>
      <c r="D1880" s="82" t="s">
        <v>7634</v>
      </c>
      <c r="E1880" s="38">
        <v>4</v>
      </c>
      <c r="F1880" s="26">
        <v>45446</v>
      </c>
      <c r="G1880" s="38">
        <v>4</v>
      </c>
      <c r="H1880" s="160">
        <v>45447</v>
      </c>
      <c r="I1880" s="38" t="s">
        <v>5842</v>
      </c>
      <c r="K1880" s="70" t="s">
        <v>5365</v>
      </c>
      <c r="L1880" s="35"/>
    </row>
    <row r="1881" spans="1:12" s="38" customFormat="1" ht="11.25" customHeight="1" x14ac:dyDescent="0.35">
      <c r="A1881" s="38" t="s">
        <v>4917</v>
      </c>
      <c r="B1881" s="39">
        <v>1918</v>
      </c>
      <c r="C1881" s="106" t="s">
        <v>7624</v>
      </c>
      <c r="D1881" s="82" t="s">
        <v>7635</v>
      </c>
      <c r="E1881" s="38">
        <v>1</v>
      </c>
      <c r="F1881" s="26">
        <v>45446</v>
      </c>
      <c r="G1881" s="38">
        <v>1</v>
      </c>
      <c r="H1881" s="160">
        <v>45447</v>
      </c>
      <c r="I1881" s="38" t="s">
        <v>5842</v>
      </c>
      <c r="K1881" s="70" t="s">
        <v>5365</v>
      </c>
      <c r="L1881" s="35"/>
    </row>
    <row r="1882" spans="1:12" s="38" customFormat="1" ht="11.25" customHeight="1" x14ac:dyDescent="0.35">
      <c r="A1882" s="38" t="s">
        <v>4917</v>
      </c>
      <c r="B1882" s="39">
        <v>1918</v>
      </c>
      <c r="C1882" s="106" t="s">
        <v>7633</v>
      </c>
      <c r="D1882" s="82" t="s">
        <v>2354</v>
      </c>
      <c r="E1882" s="38">
        <v>12</v>
      </c>
      <c r="F1882" s="26">
        <v>45446</v>
      </c>
      <c r="G1882" s="38">
        <v>12</v>
      </c>
      <c r="H1882" s="160">
        <v>45447</v>
      </c>
      <c r="I1882" s="38" t="s">
        <v>5842</v>
      </c>
      <c r="K1882" s="70" t="s">
        <v>5365</v>
      </c>
      <c r="L1882" s="35"/>
    </row>
    <row r="1883" spans="1:12" s="38" customFormat="1" ht="11.25" customHeight="1" x14ac:dyDescent="0.35">
      <c r="A1883" s="38" t="s">
        <v>4917</v>
      </c>
      <c r="B1883" s="39">
        <v>1918</v>
      </c>
      <c r="C1883" s="106" t="s">
        <v>7636</v>
      </c>
      <c r="D1883" s="82" t="s">
        <v>2354</v>
      </c>
      <c r="E1883" s="38">
        <v>12</v>
      </c>
      <c r="F1883" s="26">
        <v>45446</v>
      </c>
      <c r="G1883" s="38">
        <v>12</v>
      </c>
      <c r="H1883" s="160">
        <v>45447</v>
      </c>
      <c r="I1883" s="38" t="s">
        <v>5842</v>
      </c>
      <c r="K1883" s="70" t="s">
        <v>5365</v>
      </c>
      <c r="L1883" s="35"/>
    </row>
    <row r="1884" spans="1:12" s="38" customFormat="1" ht="11.25" customHeight="1" x14ac:dyDescent="0.35">
      <c r="A1884" s="38" t="s">
        <v>4917</v>
      </c>
      <c r="B1884" s="39" t="s">
        <v>7637</v>
      </c>
      <c r="C1884" s="106" t="s">
        <v>7638</v>
      </c>
      <c r="D1884" s="82" t="s">
        <v>7639</v>
      </c>
      <c r="E1884" s="38">
        <v>20</v>
      </c>
      <c r="F1884" s="26">
        <v>45446</v>
      </c>
      <c r="G1884" s="38">
        <v>20</v>
      </c>
      <c r="H1884" s="160">
        <v>45447</v>
      </c>
      <c r="I1884" s="38" t="s">
        <v>5842</v>
      </c>
      <c r="K1884" s="70" t="s">
        <v>5365</v>
      </c>
      <c r="L1884" s="35"/>
    </row>
    <row r="1885" spans="1:12" s="38" customFormat="1" ht="11.25" customHeight="1" x14ac:dyDescent="0.35">
      <c r="A1885" s="38" t="s">
        <v>4917</v>
      </c>
      <c r="B1885" s="39" t="s">
        <v>7637</v>
      </c>
      <c r="C1885" s="106" t="s">
        <v>7640</v>
      </c>
      <c r="D1885" s="82" t="s">
        <v>7641</v>
      </c>
      <c r="E1885" s="38">
        <v>50</v>
      </c>
      <c r="F1885" s="26">
        <v>45446</v>
      </c>
      <c r="G1885" s="38">
        <v>50</v>
      </c>
      <c r="H1885" s="160">
        <v>45447</v>
      </c>
      <c r="I1885" s="38" t="s">
        <v>5842</v>
      </c>
      <c r="K1885" s="70" t="s">
        <v>5365</v>
      </c>
      <c r="L1885" s="35"/>
    </row>
    <row r="1886" spans="1:12" s="38" customFormat="1" ht="11.25" customHeight="1" x14ac:dyDescent="0.35">
      <c r="A1886" s="38" t="s">
        <v>4917</v>
      </c>
      <c r="B1886" s="39" t="s">
        <v>7637</v>
      </c>
      <c r="C1886" s="106" t="s">
        <v>7642</v>
      </c>
      <c r="D1886" s="82" t="s">
        <v>7643</v>
      </c>
      <c r="E1886" s="38">
        <v>1</v>
      </c>
      <c r="F1886" s="26">
        <v>45446</v>
      </c>
      <c r="G1886" s="38">
        <v>1</v>
      </c>
      <c r="H1886" s="160">
        <v>45447</v>
      </c>
      <c r="I1886" s="38" t="s">
        <v>5842</v>
      </c>
      <c r="K1886" s="70" t="s">
        <v>5365</v>
      </c>
      <c r="L1886" s="35"/>
    </row>
    <row r="1887" spans="1:12" s="38" customFormat="1" ht="11.25" customHeight="1" x14ac:dyDescent="0.35">
      <c r="A1887" s="38" t="s">
        <v>4917</v>
      </c>
      <c r="B1887" s="39" t="s">
        <v>7637</v>
      </c>
      <c r="C1887" s="106" t="s">
        <v>7644</v>
      </c>
      <c r="D1887" s="82" t="s">
        <v>6471</v>
      </c>
      <c r="E1887" s="38">
        <v>2</v>
      </c>
      <c r="F1887" s="26">
        <v>45446</v>
      </c>
      <c r="G1887" s="38">
        <v>2</v>
      </c>
      <c r="H1887" s="160">
        <v>45447</v>
      </c>
      <c r="I1887" s="38" t="s">
        <v>5842</v>
      </c>
      <c r="K1887" s="70" t="s">
        <v>5365</v>
      </c>
      <c r="L1887" s="35"/>
    </row>
    <row r="1888" spans="1:12" s="38" customFormat="1" ht="11.25" customHeight="1" x14ac:dyDescent="0.35">
      <c r="A1888" s="38" t="s">
        <v>4917</v>
      </c>
      <c r="B1888" s="39" t="s">
        <v>7637</v>
      </c>
      <c r="C1888" s="106" t="s">
        <v>7645</v>
      </c>
      <c r="D1888" s="82" t="s">
        <v>7646</v>
      </c>
      <c r="E1888" s="38">
        <v>2</v>
      </c>
      <c r="F1888" s="26">
        <v>45446</v>
      </c>
      <c r="G1888" s="38">
        <v>2</v>
      </c>
      <c r="H1888" s="160">
        <v>45447</v>
      </c>
      <c r="I1888" s="38" t="s">
        <v>5842</v>
      </c>
      <c r="K1888" s="70" t="s">
        <v>5365</v>
      </c>
      <c r="L1888" s="35"/>
    </row>
    <row r="1889" spans="1:22" s="202" customFormat="1" ht="11.25" customHeight="1" x14ac:dyDescent="0.35">
      <c r="A1889" s="87" t="s">
        <v>4917</v>
      </c>
      <c r="B1889" s="62" t="s">
        <v>7637</v>
      </c>
      <c r="C1889" s="279" t="s">
        <v>7647</v>
      </c>
      <c r="D1889" s="88" t="s">
        <v>7648</v>
      </c>
      <c r="E1889" s="87">
        <v>2</v>
      </c>
      <c r="F1889" s="28">
        <v>45446</v>
      </c>
      <c r="G1889" s="87">
        <v>2</v>
      </c>
      <c r="H1889" s="164">
        <v>45447</v>
      </c>
      <c r="I1889" s="87" t="s">
        <v>5842</v>
      </c>
      <c r="J1889" s="87"/>
      <c r="K1889" s="70" t="s">
        <v>5365</v>
      </c>
      <c r="L1889" s="35"/>
      <c r="M1889" s="87"/>
      <c r="N1889" s="87"/>
      <c r="O1889" s="87"/>
      <c r="P1889" s="87"/>
      <c r="Q1889" s="87"/>
      <c r="R1889" s="87"/>
      <c r="S1889" s="87"/>
      <c r="T1889" s="87"/>
      <c r="U1889" s="87"/>
      <c r="V1889" s="87"/>
    </row>
    <row r="1890" spans="1:22" ht="11.25" customHeight="1" x14ac:dyDescent="0.35">
      <c r="A1890" s="38" t="s">
        <v>4917</v>
      </c>
      <c r="B1890" s="39" t="s">
        <v>7637</v>
      </c>
      <c r="C1890" s="106" t="s">
        <v>7649</v>
      </c>
      <c r="D1890" s="82" t="s">
        <v>7650</v>
      </c>
      <c r="E1890" s="38">
        <v>4</v>
      </c>
      <c r="F1890" s="26">
        <v>45446</v>
      </c>
      <c r="G1890" s="38">
        <v>4</v>
      </c>
      <c r="H1890" s="160">
        <v>45447</v>
      </c>
      <c r="I1890" s="38" t="s">
        <v>5842</v>
      </c>
      <c r="J1890" s="38"/>
      <c r="K1890" s="70" t="s">
        <v>5365</v>
      </c>
      <c r="M1890" s="38"/>
      <c r="N1890" s="38"/>
      <c r="O1890" s="38"/>
      <c r="P1890" s="38"/>
      <c r="Q1890" s="38"/>
      <c r="R1890" s="38"/>
      <c r="S1890" s="38"/>
      <c r="T1890" s="38"/>
      <c r="U1890" s="38"/>
      <c r="V1890" s="38"/>
    </row>
    <row r="1891" spans="1:22" ht="11.25" customHeight="1" x14ac:dyDescent="0.35">
      <c r="A1891" s="38" t="s">
        <v>4917</v>
      </c>
      <c r="B1891" s="39" t="s">
        <v>7637</v>
      </c>
      <c r="C1891" s="106" t="s">
        <v>7631</v>
      </c>
      <c r="D1891" s="82" t="s">
        <v>2354</v>
      </c>
      <c r="E1891" s="38">
        <v>2</v>
      </c>
      <c r="F1891" s="26">
        <v>45446</v>
      </c>
      <c r="G1891" s="38">
        <v>2</v>
      </c>
      <c r="H1891" s="160">
        <v>45447</v>
      </c>
      <c r="I1891" s="38" t="s">
        <v>5842</v>
      </c>
      <c r="J1891" s="38"/>
      <c r="K1891" s="70" t="s">
        <v>5365</v>
      </c>
      <c r="M1891" s="38"/>
      <c r="N1891" s="38"/>
      <c r="O1891" s="38"/>
      <c r="P1891" s="38"/>
      <c r="Q1891" s="38"/>
      <c r="R1891" s="38"/>
      <c r="S1891" s="38"/>
      <c r="T1891" s="38"/>
      <c r="U1891" s="38"/>
      <c r="V1891" s="38"/>
    </row>
    <row r="1892" spans="1:22" ht="11.25" customHeight="1" x14ac:dyDescent="0.35">
      <c r="A1892" s="38" t="s">
        <v>4917</v>
      </c>
      <c r="B1892" s="39" t="s">
        <v>7637</v>
      </c>
      <c r="C1892" s="106" t="s">
        <v>7651</v>
      </c>
      <c r="D1892" s="82" t="s">
        <v>1237</v>
      </c>
      <c r="E1892" s="38">
        <v>4</v>
      </c>
      <c r="F1892" s="26">
        <v>45446</v>
      </c>
      <c r="G1892" s="38">
        <v>4</v>
      </c>
      <c r="H1892" s="160">
        <v>45447</v>
      </c>
      <c r="I1892" s="38" t="s">
        <v>5842</v>
      </c>
      <c r="J1892" s="38"/>
      <c r="K1892" s="70" t="s">
        <v>5365</v>
      </c>
      <c r="M1892" s="38"/>
      <c r="N1892" s="38"/>
      <c r="O1892" s="38"/>
      <c r="P1892" s="38"/>
      <c r="Q1892" s="38"/>
      <c r="R1892" s="38"/>
      <c r="S1892" s="38"/>
      <c r="T1892" s="38"/>
      <c r="U1892" s="38"/>
      <c r="V1892" s="38"/>
    </row>
    <row r="1893" spans="1:22" ht="11.25" customHeight="1" x14ac:dyDescent="0.35">
      <c r="A1893" s="38" t="s">
        <v>4917</v>
      </c>
      <c r="B1893" s="39" t="s">
        <v>7637</v>
      </c>
      <c r="C1893" s="106" t="s">
        <v>7652</v>
      </c>
      <c r="D1893" s="82" t="s">
        <v>5713</v>
      </c>
      <c r="E1893" s="38">
        <v>10</v>
      </c>
      <c r="F1893" s="26">
        <v>45446</v>
      </c>
      <c r="G1893" s="38">
        <v>10</v>
      </c>
      <c r="H1893" s="160">
        <v>45447</v>
      </c>
      <c r="I1893" s="38" t="s">
        <v>5842</v>
      </c>
      <c r="J1893" s="38"/>
      <c r="K1893" s="70" t="s">
        <v>5365</v>
      </c>
      <c r="M1893" s="38"/>
      <c r="N1893" s="38"/>
      <c r="O1893" s="38"/>
      <c r="P1893" s="38"/>
      <c r="Q1893" s="38"/>
      <c r="R1893" s="38"/>
      <c r="S1893" s="38"/>
      <c r="T1893" s="38"/>
      <c r="U1893" s="38"/>
      <c r="V1893" s="38"/>
    </row>
    <row r="1894" spans="1:22" ht="11.25" customHeight="1" x14ac:dyDescent="0.35">
      <c r="A1894" s="38" t="s">
        <v>4917</v>
      </c>
      <c r="B1894" s="39" t="s">
        <v>7637</v>
      </c>
      <c r="C1894" s="106" t="s">
        <v>7620</v>
      </c>
      <c r="D1894" s="82" t="s">
        <v>7653</v>
      </c>
      <c r="E1894" s="38">
        <v>2</v>
      </c>
      <c r="F1894" s="26">
        <v>45446</v>
      </c>
      <c r="G1894" s="38">
        <v>2</v>
      </c>
      <c r="H1894" s="160">
        <v>45447</v>
      </c>
      <c r="I1894" s="38" t="s">
        <v>5842</v>
      </c>
      <c r="J1894" s="38"/>
      <c r="K1894" s="70" t="s">
        <v>5365</v>
      </c>
      <c r="M1894" s="38"/>
      <c r="N1894" s="38"/>
      <c r="O1894" s="38"/>
      <c r="P1894" s="38"/>
      <c r="Q1894" s="38"/>
      <c r="R1894" s="38"/>
      <c r="S1894" s="38"/>
      <c r="T1894" s="38"/>
      <c r="U1894" s="38"/>
      <c r="V1894" s="38"/>
    </row>
    <row r="1895" spans="1:22" ht="11.25" customHeight="1" x14ac:dyDescent="0.35">
      <c r="A1895" s="38" t="s">
        <v>4917</v>
      </c>
      <c r="B1895" s="39" t="s">
        <v>7637</v>
      </c>
      <c r="C1895" s="106" t="s">
        <v>7654</v>
      </c>
      <c r="D1895" s="82" t="s">
        <v>7655</v>
      </c>
      <c r="E1895" s="38">
        <v>8</v>
      </c>
      <c r="F1895" s="26">
        <v>45446</v>
      </c>
      <c r="G1895" s="38">
        <v>8</v>
      </c>
      <c r="H1895" s="160">
        <v>45447</v>
      </c>
      <c r="I1895" s="38" t="s">
        <v>5842</v>
      </c>
      <c r="J1895" s="38"/>
      <c r="K1895" s="70" t="s">
        <v>5365</v>
      </c>
      <c r="M1895" s="38"/>
      <c r="N1895" s="38"/>
      <c r="O1895" s="38"/>
      <c r="P1895" s="38"/>
      <c r="Q1895" s="38"/>
      <c r="R1895" s="38"/>
      <c r="S1895" s="38"/>
      <c r="T1895" s="38"/>
      <c r="U1895" s="38"/>
      <c r="V1895" s="38"/>
    </row>
    <row r="1896" spans="1:22" s="38" customFormat="1" ht="11.25" customHeight="1" x14ac:dyDescent="0.35">
      <c r="A1896" s="38" t="s">
        <v>7192</v>
      </c>
      <c r="B1896" s="39" t="s">
        <v>575</v>
      </c>
      <c r="C1896" s="106" t="s">
        <v>3118</v>
      </c>
      <c r="D1896" s="82" t="s">
        <v>7656</v>
      </c>
      <c r="E1896" s="38">
        <v>2</v>
      </c>
      <c r="F1896" s="26">
        <v>45450</v>
      </c>
      <c r="G1896" s="25">
        <v>2</v>
      </c>
      <c r="H1896" s="160">
        <v>45451</v>
      </c>
      <c r="I1896" s="38" t="s">
        <v>5842</v>
      </c>
      <c r="K1896" s="70" t="s">
        <v>5365</v>
      </c>
      <c r="L1896" s="39"/>
    </row>
    <row r="1897" spans="1:22" s="38" customFormat="1" ht="11.25" customHeight="1" x14ac:dyDescent="0.35">
      <c r="A1897" s="38" t="s">
        <v>7192</v>
      </c>
      <c r="B1897" s="39" t="s">
        <v>575</v>
      </c>
      <c r="C1897" s="106" t="s">
        <v>3287</v>
      </c>
      <c r="D1897" s="82" t="s">
        <v>7657</v>
      </c>
      <c r="E1897" s="38">
        <v>10</v>
      </c>
      <c r="F1897" s="26">
        <v>45450</v>
      </c>
      <c r="G1897" s="38">
        <v>10</v>
      </c>
      <c r="H1897" s="160"/>
      <c r="I1897" s="38" t="s">
        <v>5842</v>
      </c>
      <c r="K1897" s="70" t="s">
        <v>5365</v>
      </c>
      <c r="L1897" s="39"/>
    </row>
    <row r="1898" spans="1:22" s="38" customFormat="1" ht="11.25" customHeight="1" x14ac:dyDescent="0.35">
      <c r="A1898" s="38" t="s">
        <v>7192</v>
      </c>
      <c r="B1898" s="39" t="s">
        <v>575</v>
      </c>
      <c r="C1898" s="106" t="s">
        <v>7658</v>
      </c>
      <c r="D1898" s="82" t="s">
        <v>7659</v>
      </c>
      <c r="E1898" s="38">
        <v>2</v>
      </c>
      <c r="F1898" s="26">
        <v>45450</v>
      </c>
      <c r="G1898" s="38">
        <v>2</v>
      </c>
      <c r="H1898" s="160"/>
      <c r="I1898" s="38" t="s">
        <v>5842</v>
      </c>
      <c r="K1898" s="70" t="s">
        <v>5365</v>
      </c>
      <c r="L1898" s="39"/>
    </row>
    <row r="1899" spans="1:22" s="38" customFormat="1" ht="11.25" customHeight="1" x14ac:dyDescent="0.35">
      <c r="A1899" s="38" t="s">
        <v>7192</v>
      </c>
      <c r="B1899" s="39" t="s">
        <v>575</v>
      </c>
      <c r="C1899" s="106" t="s">
        <v>7660</v>
      </c>
      <c r="D1899" s="82" t="s">
        <v>7661</v>
      </c>
      <c r="E1899" s="38">
        <v>2</v>
      </c>
      <c r="F1899" s="26">
        <v>45450</v>
      </c>
      <c r="G1899" s="38">
        <v>2</v>
      </c>
      <c r="H1899" s="160"/>
      <c r="I1899" s="38" t="s">
        <v>5842</v>
      </c>
      <c r="K1899" s="70" t="s">
        <v>5365</v>
      </c>
      <c r="L1899" s="39"/>
    </row>
    <row r="1900" spans="1:22" s="38" customFormat="1" ht="11.25" customHeight="1" x14ac:dyDescent="0.35">
      <c r="A1900" s="38" t="s">
        <v>7192</v>
      </c>
      <c r="B1900" s="39" t="s">
        <v>575</v>
      </c>
      <c r="C1900" s="106" t="s">
        <v>7662</v>
      </c>
      <c r="D1900" s="82" t="s">
        <v>7663</v>
      </c>
      <c r="E1900" s="38">
        <v>20</v>
      </c>
      <c r="F1900" s="26">
        <v>45450</v>
      </c>
      <c r="G1900" s="38">
        <v>20</v>
      </c>
      <c r="H1900" s="160"/>
      <c r="I1900" s="38" t="s">
        <v>5842</v>
      </c>
      <c r="K1900" s="70" t="s">
        <v>5365</v>
      </c>
      <c r="L1900" s="39"/>
    </row>
    <row r="1901" spans="1:22" s="83" customFormat="1" ht="11.25" customHeight="1" x14ac:dyDescent="0.35">
      <c r="A1901" s="83" t="s">
        <v>7192</v>
      </c>
      <c r="B1901" s="86" t="s">
        <v>575</v>
      </c>
      <c r="C1901" s="297" t="s">
        <v>7664</v>
      </c>
      <c r="D1901" s="84" t="s">
        <v>7665</v>
      </c>
      <c r="E1901" s="83">
        <v>20</v>
      </c>
      <c r="F1901" s="24">
        <v>45450</v>
      </c>
      <c r="G1901" s="23">
        <v>6</v>
      </c>
      <c r="H1901" s="180"/>
      <c r="I1901" s="83" t="s">
        <v>5842</v>
      </c>
      <c r="K1901" s="70" t="s">
        <v>5511</v>
      </c>
      <c r="L1901" s="86"/>
    </row>
    <row r="1902" spans="1:22" s="38" customFormat="1" ht="11.25" customHeight="1" x14ac:dyDescent="0.35">
      <c r="A1902" s="38" t="s">
        <v>7192</v>
      </c>
      <c r="B1902" s="39" t="s">
        <v>575</v>
      </c>
      <c r="C1902" s="106" t="s">
        <v>7666</v>
      </c>
      <c r="D1902" s="82" t="s">
        <v>7667</v>
      </c>
      <c r="E1902" s="38">
        <v>10</v>
      </c>
      <c r="F1902" s="26">
        <v>45450</v>
      </c>
      <c r="G1902" s="38">
        <v>10</v>
      </c>
      <c r="H1902" s="160"/>
      <c r="I1902" s="38" t="s">
        <v>5842</v>
      </c>
      <c r="K1902" s="70" t="s">
        <v>5365</v>
      </c>
      <c r="L1902" s="39"/>
    </row>
    <row r="1903" spans="1:22" s="38" customFormat="1" ht="11.25" customHeight="1" x14ac:dyDescent="0.35">
      <c r="A1903" s="38" t="s">
        <v>7192</v>
      </c>
      <c r="B1903" s="39" t="s">
        <v>575</v>
      </c>
      <c r="C1903" s="106" t="s">
        <v>3264</v>
      </c>
      <c r="D1903" s="82" t="s">
        <v>3265</v>
      </c>
      <c r="E1903" s="38">
        <v>20</v>
      </c>
      <c r="F1903" s="26">
        <v>45450</v>
      </c>
      <c r="G1903" s="38">
        <v>20</v>
      </c>
      <c r="H1903" s="160"/>
      <c r="I1903" s="38" t="s">
        <v>5842</v>
      </c>
      <c r="K1903" s="70" t="s">
        <v>5365</v>
      </c>
      <c r="L1903" s="39"/>
    </row>
    <row r="1904" spans="1:22" s="43" customFormat="1" ht="11.25" customHeight="1" x14ac:dyDescent="0.35">
      <c r="A1904" s="43" t="s">
        <v>7192</v>
      </c>
      <c r="B1904" s="44" t="s">
        <v>575</v>
      </c>
      <c r="C1904" s="275" t="s">
        <v>3326</v>
      </c>
      <c r="D1904" s="89" t="s">
        <v>7668</v>
      </c>
      <c r="E1904" s="43">
        <v>8</v>
      </c>
      <c r="F1904" s="30">
        <v>45450</v>
      </c>
      <c r="G1904" s="43">
        <v>3</v>
      </c>
      <c r="H1904" s="163"/>
      <c r="I1904" s="43" t="s">
        <v>5842</v>
      </c>
      <c r="K1904" s="74" t="s">
        <v>5511</v>
      </c>
      <c r="L1904" s="44"/>
    </row>
    <row r="1905" spans="1:12" s="38" customFormat="1" ht="11.25" customHeight="1" x14ac:dyDescent="0.35">
      <c r="A1905" s="38" t="s">
        <v>7192</v>
      </c>
      <c r="B1905" s="39" t="s">
        <v>575</v>
      </c>
      <c r="C1905" s="106" t="s">
        <v>3133</v>
      </c>
      <c r="D1905" s="82" t="s">
        <v>3324</v>
      </c>
      <c r="E1905" s="38">
        <v>5</v>
      </c>
      <c r="F1905" s="26">
        <v>45450</v>
      </c>
      <c r="G1905" s="38">
        <v>5</v>
      </c>
      <c r="H1905" s="160"/>
      <c r="I1905" s="38" t="s">
        <v>5842</v>
      </c>
      <c r="K1905" s="70" t="s">
        <v>5365</v>
      </c>
      <c r="L1905" s="39"/>
    </row>
    <row r="1906" spans="1:12" s="38" customFormat="1" ht="11.25" customHeight="1" x14ac:dyDescent="0.35">
      <c r="A1906" s="38" t="s">
        <v>7192</v>
      </c>
      <c r="B1906" s="39" t="s">
        <v>575</v>
      </c>
      <c r="C1906" s="106" t="s">
        <v>3098</v>
      </c>
      <c r="D1906" s="82" t="s">
        <v>7669</v>
      </c>
      <c r="E1906" s="38">
        <v>2</v>
      </c>
      <c r="F1906" s="26">
        <v>45450</v>
      </c>
      <c r="G1906" s="38">
        <v>2</v>
      </c>
      <c r="H1906" s="160"/>
      <c r="I1906" s="38" t="s">
        <v>5842</v>
      </c>
      <c r="K1906" s="70" t="s">
        <v>5365</v>
      </c>
      <c r="L1906" s="39"/>
    </row>
    <row r="1907" spans="1:12" s="38" customFormat="1" ht="11.25" customHeight="1" x14ac:dyDescent="0.35">
      <c r="A1907" s="38" t="s">
        <v>7192</v>
      </c>
      <c r="B1907" s="39" t="s">
        <v>575</v>
      </c>
      <c r="C1907" s="106" t="s">
        <v>3281</v>
      </c>
      <c r="D1907" s="82" t="s">
        <v>3282</v>
      </c>
      <c r="E1907" s="38">
        <v>40</v>
      </c>
      <c r="F1907" s="26">
        <v>45450</v>
      </c>
      <c r="G1907" s="38">
        <v>40</v>
      </c>
      <c r="H1907" s="160"/>
      <c r="I1907" s="38" t="s">
        <v>5842</v>
      </c>
      <c r="K1907" s="70" t="s">
        <v>5365</v>
      </c>
      <c r="L1907" s="39"/>
    </row>
    <row r="1908" spans="1:12" s="38" customFormat="1" ht="11.25" customHeight="1" x14ac:dyDescent="0.35">
      <c r="A1908" s="38" t="s">
        <v>7192</v>
      </c>
      <c r="B1908" s="39" t="s">
        <v>575</v>
      </c>
      <c r="C1908" s="106" t="s">
        <v>3089</v>
      </c>
      <c r="D1908" s="82" t="s">
        <v>7670</v>
      </c>
      <c r="E1908" s="38">
        <v>2</v>
      </c>
      <c r="F1908" s="26">
        <v>45450</v>
      </c>
      <c r="G1908" s="38">
        <v>2</v>
      </c>
      <c r="H1908" s="160"/>
      <c r="I1908" s="38" t="s">
        <v>5842</v>
      </c>
      <c r="K1908" s="70" t="s">
        <v>5365</v>
      </c>
      <c r="L1908" s="39"/>
    </row>
    <row r="1909" spans="1:12" s="43" customFormat="1" ht="11.25" customHeight="1" x14ac:dyDescent="0.35">
      <c r="A1909" s="43" t="s">
        <v>7192</v>
      </c>
      <c r="B1909" s="44" t="s">
        <v>575</v>
      </c>
      <c r="C1909" s="299" t="s">
        <v>3104</v>
      </c>
      <c r="D1909" s="89" t="s">
        <v>7671</v>
      </c>
      <c r="E1909" s="43">
        <v>12</v>
      </c>
      <c r="F1909" s="30">
        <v>45450</v>
      </c>
      <c r="G1909" s="29">
        <v>7</v>
      </c>
      <c r="H1909" s="163"/>
      <c r="I1909" s="83" t="s">
        <v>5842</v>
      </c>
      <c r="K1909" s="70" t="s">
        <v>5511</v>
      </c>
      <c r="L1909" s="44"/>
    </row>
    <row r="1910" spans="1:12" s="87" customFormat="1" ht="11.25" customHeight="1" x14ac:dyDescent="0.35">
      <c r="A1910" s="87" t="s">
        <v>7192</v>
      </c>
      <c r="B1910" s="62" t="s">
        <v>575</v>
      </c>
      <c r="C1910" s="279" t="s">
        <v>3101</v>
      </c>
      <c r="D1910" s="88" t="s">
        <v>7672</v>
      </c>
      <c r="E1910" s="87">
        <v>22</v>
      </c>
      <c r="F1910" s="28">
        <v>45450</v>
      </c>
      <c r="G1910" s="87">
        <v>22</v>
      </c>
      <c r="H1910" s="164"/>
      <c r="I1910" s="38" t="s">
        <v>5842</v>
      </c>
      <c r="K1910" s="70" t="s">
        <v>5365</v>
      </c>
      <c r="L1910" s="62"/>
    </row>
    <row r="1911" spans="1:12" s="87" customFormat="1" ht="11.25" customHeight="1" x14ac:dyDescent="0.35">
      <c r="A1911" s="87" t="s">
        <v>7192</v>
      </c>
      <c r="B1911" s="62" t="s">
        <v>575</v>
      </c>
      <c r="C1911" s="279" t="s">
        <v>3278</v>
      </c>
      <c r="D1911" s="88" t="s">
        <v>3279</v>
      </c>
      <c r="E1911" s="87">
        <v>20</v>
      </c>
      <c r="F1911" s="28">
        <v>45450</v>
      </c>
      <c r="G1911" s="87">
        <v>20</v>
      </c>
      <c r="H1911" s="164"/>
      <c r="I1911" s="38" t="s">
        <v>5842</v>
      </c>
      <c r="K1911" s="70" t="s">
        <v>5365</v>
      </c>
      <c r="L1911" s="62"/>
    </row>
    <row r="1912" spans="1:12" s="38" customFormat="1" ht="11.25" customHeight="1" x14ac:dyDescent="0.35">
      <c r="A1912" s="38" t="s">
        <v>7192</v>
      </c>
      <c r="B1912" s="39" t="s">
        <v>575</v>
      </c>
      <c r="C1912" s="106" t="s">
        <v>3299</v>
      </c>
      <c r="D1912" s="82" t="s">
        <v>3300</v>
      </c>
      <c r="E1912" s="38">
        <v>10</v>
      </c>
      <c r="F1912" s="26">
        <v>45450</v>
      </c>
      <c r="G1912" s="38">
        <v>10</v>
      </c>
      <c r="H1912" s="160"/>
      <c r="I1912" s="38" t="s">
        <v>5842</v>
      </c>
      <c r="K1912" s="70" t="s">
        <v>5365</v>
      </c>
      <c r="L1912" s="39"/>
    </row>
    <row r="1913" spans="1:12" ht="11.25" customHeight="1" x14ac:dyDescent="0.35">
      <c r="A1913" s="33" t="s">
        <v>7192</v>
      </c>
      <c r="B1913" s="35" t="s">
        <v>575</v>
      </c>
      <c r="C1913" s="300" t="s">
        <v>3329</v>
      </c>
      <c r="D1913" s="31" t="s">
        <v>7673</v>
      </c>
      <c r="E1913" s="33">
        <v>1</v>
      </c>
      <c r="F1913" s="22">
        <v>45450</v>
      </c>
      <c r="I1913" s="38"/>
      <c r="K1913" s="70" t="s">
        <v>5338</v>
      </c>
    </row>
    <row r="1914" spans="1:12" ht="11.25" customHeight="1" x14ac:dyDescent="0.25">
      <c r="A1914" s="33" t="s">
        <v>7192</v>
      </c>
      <c r="B1914" s="35" t="s">
        <v>575</v>
      </c>
      <c r="C1914" s="301" t="s">
        <v>3140</v>
      </c>
      <c r="D1914" s="31" t="s">
        <v>7674</v>
      </c>
      <c r="E1914" s="33">
        <v>1</v>
      </c>
      <c r="F1914" s="22">
        <v>45450</v>
      </c>
      <c r="I1914" s="38"/>
      <c r="K1914" s="70" t="s">
        <v>5338</v>
      </c>
    </row>
    <row r="1915" spans="1:12" ht="11.25" customHeight="1" x14ac:dyDescent="0.35">
      <c r="A1915" s="33" t="s">
        <v>7192</v>
      </c>
      <c r="B1915" s="35" t="s">
        <v>575</v>
      </c>
      <c r="C1915" s="300" t="s">
        <v>3143</v>
      </c>
      <c r="D1915" s="31" t="s">
        <v>7675</v>
      </c>
      <c r="E1915" s="33">
        <v>4</v>
      </c>
      <c r="F1915" s="22">
        <v>45450</v>
      </c>
      <c r="I1915" s="38"/>
      <c r="K1915" s="70" t="s">
        <v>5338</v>
      </c>
    </row>
    <row r="1916" spans="1:12" s="38" customFormat="1" ht="11.25" customHeight="1" x14ac:dyDescent="0.35">
      <c r="A1916" s="38" t="s">
        <v>7192</v>
      </c>
      <c r="B1916" s="39" t="s">
        <v>575</v>
      </c>
      <c r="C1916" s="106" t="s">
        <v>7676</v>
      </c>
      <c r="D1916" s="82" t="s">
        <v>7677</v>
      </c>
      <c r="E1916" s="38">
        <v>40</v>
      </c>
      <c r="F1916" s="26">
        <v>45450</v>
      </c>
      <c r="G1916" s="38">
        <v>40</v>
      </c>
      <c r="H1916" s="160"/>
      <c r="I1916" s="38" t="s">
        <v>5842</v>
      </c>
      <c r="K1916" s="70" t="s">
        <v>5365</v>
      </c>
      <c r="L1916" s="39"/>
    </row>
    <row r="1917" spans="1:12" s="83" customFormat="1" ht="11.25" customHeight="1" x14ac:dyDescent="0.35">
      <c r="A1917" s="83" t="s">
        <v>7192</v>
      </c>
      <c r="B1917" s="86" t="s">
        <v>575</v>
      </c>
      <c r="C1917" s="297" t="s">
        <v>3146</v>
      </c>
      <c r="D1917" s="84" t="s">
        <v>7678</v>
      </c>
      <c r="E1917" s="83">
        <v>22</v>
      </c>
      <c r="F1917" s="24">
        <v>45450</v>
      </c>
      <c r="G1917" s="23">
        <v>10</v>
      </c>
      <c r="H1917" s="180"/>
      <c r="I1917" s="83" t="s">
        <v>5842</v>
      </c>
      <c r="K1917" s="70" t="s">
        <v>5511</v>
      </c>
      <c r="L1917" s="86"/>
    </row>
    <row r="1918" spans="1:12" s="38" customFormat="1" ht="11.25" customHeight="1" x14ac:dyDescent="0.35">
      <c r="A1918" s="38" t="s">
        <v>7192</v>
      </c>
      <c r="B1918" s="39" t="s">
        <v>575</v>
      </c>
      <c r="C1918" s="106" t="s">
        <v>3074</v>
      </c>
      <c r="D1918" s="82" t="s">
        <v>7679</v>
      </c>
      <c r="E1918" s="38">
        <v>2</v>
      </c>
      <c r="F1918" s="26">
        <v>45450</v>
      </c>
      <c r="G1918" s="38">
        <v>2</v>
      </c>
      <c r="H1918" s="160"/>
      <c r="I1918" s="38" t="s">
        <v>5842</v>
      </c>
      <c r="K1918" s="70" t="s">
        <v>5365</v>
      </c>
      <c r="L1918" s="39"/>
    </row>
    <row r="1919" spans="1:12" s="38" customFormat="1" ht="11.25" customHeight="1" x14ac:dyDescent="0.35">
      <c r="A1919" s="38" t="s">
        <v>7192</v>
      </c>
      <c r="B1919" s="39" t="s">
        <v>575</v>
      </c>
      <c r="C1919" s="106" t="s">
        <v>3130</v>
      </c>
      <c r="D1919" s="82" t="s">
        <v>3308</v>
      </c>
      <c r="E1919" s="38">
        <v>12</v>
      </c>
      <c r="F1919" s="26">
        <v>45450</v>
      </c>
      <c r="G1919" s="38">
        <v>12</v>
      </c>
      <c r="H1919" s="160"/>
      <c r="I1919" s="38" t="s">
        <v>5842</v>
      </c>
      <c r="K1919" s="70" t="s">
        <v>5365</v>
      </c>
      <c r="L1919" s="39"/>
    </row>
    <row r="1920" spans="1:12" s="38" customFormat="1" ht="11.25" customHeight="1" x14ac:dyDescent="0.35">
      <c r="A1920" s="38" t="s">
        <v>7192</v>
      </c>
      <c r="B1920" s="39" t="s">
        <v>575</v>
      </c>
      <c r="C1920" s="106" t="s">
        <v>3121</v>
      </c>
      <c r="D1920" s="82" t="s">
        <v>7680</v>
      </c>
      <c r="E1920" s="38">
        <v>2</v>
      </c>
      <c r="F1920" s="26">
        <v>45450</v>
      </c>
      <c r="G1920" s="38">
        <v>2</v>
      </c>
      <c r="H1920" s="160"/>
      <c r="I1920" s="38" t="s">
        <v>5842</v>
      </c>
      <c r="K1920" s="70" t="s">
        <v>5365</v>
      </c>
      <c r="L1920" s="39"/>
    </row>
    <row r="1921" spans="1:12" s="38" customFormat="1" ht="11.25" customHeight="1" x14ac:dyDescent="0.35">
      <c r="A1921" s="38" t="s">
        <v>7192</v>
      </c>
      <c r="B1921" s="39" t="s">
        <v>575</v>
      </c>
      <c r="C1921" s="106" t="s">
        <v>3269</v>
      </c>
      <c r="D1921" s="82" t="s">
        <v>7681</v>
      </c>
      <c r="E1921" s="38">
        <v>3</v>
      </c>
      <c r="F1921" s="26">
        <v>45450</v>
      </c>
      <c r="G1921" s="38">
        <v>3</v>
      </c>
      <c r="H1921" s="160"/>
      <c r="I1921" s="38" t="s">
        <v>5842</v>
      </c>
      <c r="K1921" s="70" t="s">
        <v>5365</v>
      </c>
      <c r="L1921" s="39"/>
    </row>
    <row r="1922" spans="1:12" s="38" customFormat="1" ht="11.25" customHeight="1" x14ac:dyDescent="0.35">
      <c r="A1922" s="38" t="s">
        <v>7192</v>
      </c>
      <c r="B1922" s="39" t="s">
        <v>575</v>
      </c>
      <c r="C1922" s="106" t="s">
        <v>3310</v>
      </c>
      <c r="D1922" s="82" t="s">
        <v>3311</v>
      </c>
      <c r="E1922" s="38">
        <v>10</v>
      </c>
      <c r="F1922" s="26">
        <v>45450</v>
      </c>
      <c r="G1922" s="38">
        <v>10</v>
      </c>
      <c r="H1922" s="160"/>
      <c r="I1922" s="38" t="s">
        <v>5842</v>
      </c>
      <c r="K1922" s="70" t="s">
        <v>5365</v>
      </c>
      <c r="L1922" s="39"/>
    </row>
    <row r="1923" spans="1:12" s="38" customFormat="1" ht="11.25" customHeight="1" x14ac:dyDescent="0.35">
      <c r="A1923" s="38" t="s">
        <v>7192</v>
      </c>
      <c r="B1923" s="39" t="s">
        <v>575</v>
      </c>
      <c r="C1923" s="106" t="s">
        <v>3254</v>
      </c>
      <c r="D1923" s="82" t="s">
        <v>7682</v>
      </c>
      <c r="E1923" s="38">
        <v>5</v>
      </c>
      <c r="F1923" s="26">
        <v>45450</v>
      </c>
      <c r="G1923" s="38">
        <v>5</v>
      </c>
      <c r="H1923" s="160"/>
      <c r="I1923" s="38" t="s">
        <v>5842</v>
      </c>
      <c r="K1923" s="70" t="s">
        <v>5365</v>
      </c>
      <c r="L1923" s="39"/>
    </row>
    <row r="1924" spans="1:12" s="38" customFormat="1" ht="11.25" customHeight="1" x14ac:dyDescent="0.35">
      <c r="A1924" s="38" t="s">
        <v>7192</v>
      </c>
      <c r="B1924" s="39" t="s">
        <v>575</v>
      </c>
      <c r="C1924" s="106" t="s">
        <v>3257</v>
      </c>
      <c r="D1924" s="82" t="s">
        <v>7683</v>
      </c>
      <c r="E1924" s="38">
        <v>5</v>
      </c>
      <c r="F1924" s="26">
        <v>45450</v>
      </c>
      <c r="G1924" s="38">
        <v>5</v>
      </c>
      <c r="H1924" s="160"/>
      <c r="I1924" s="38" t="s">
        <v>5842</v>
      </c>
      <c r="K1924" s="70" t="s">
        <v>5365</v>
      </c>
      <c r="L1924" s="39"/>
    </row>
    <row r="1925" spans="1:12" s="38" customFormat="1" ht="11.25" customHeight="1" x14ac:dyDescent="0.35">
      <c r="A1925" s="38" t="s">
        <v>7192</v>
      </c>
      <c r="B1925" s="39" t="s">
        <v>575</v>
      </c>
      <c r="C1925" s="106" t="s">
        <v>3313</v>
      </c>
      <c r="D1925" s="82" t="s">
        <v>3314</v>
      </c>
      <c r="E1925" s="38">
        <v>2</v>
      </c>
      <c r="F1925" s="26">
        <v>45450</v>
      </c>
      <c r="G1925" s="38">
        <v>2</v>
      </c>
      <c r="H1925" s="160"/>
      <c r="I1925" s="38" t="s">
        <v>5842</v>
      </c>
      <c r="K1925" s="70" t="s">
        <v>5365</v>
      </c>
      <c r="L1925" s="39"/>
    </row>
    <row r="1926" spans="1:12" s="38" customFormat="1" ht="11.25" customHeight="1" x14ac:dyDescent="0.35">
      <c r="A1926" s="38" t="s">
        <v>7192</v>
      </c>
      <c r="B1926" s="39" t="s">
        <v>575</v>
      </c>
      <c r="C1926" s="106" t="s">
        <v>3092</v>
      </c>
      <c r="D1926" s="82" t="s">
        <v>7684</v>
      </c>
      <c r="E1926" s="38">
        <v>2</v>
      </c>
      <c r="F1926" s="26">
        <v>45450</v>
      </c>
      <c r="G1926" s="38">
        <v>2</v>
      </c>
      <c r="H1926" s="160"/>
      <c r="I1926" s="38" t="s">
        <v>5842</v>
      </c>
      <c r="K1926" s="70" t="s">
        <v>5365</v>
      </c>
      <c r="L1926" s="39"/>
    </row>
    <row r="1927" spans="1:12" s="83" customFormat="1" ht="11.25" customHeight="1" x14ac:dyDescent="0.35">
      <c r="A1927" s="83" t="s">
        <v>7192</v>
      </c>
      <c r="B1927" s="86" t="s">
        <v>575</v>
      </c>
      <c r="C1927" s="297" t="s">
        <v>3340</v>
      </c>
      <c r="D1927" s="84" t="s">
        <v>7685</v>
      </c>
      <c r="E1927" s="83">
        <v>20</v>
      </c>
      <c r="F1927" s="24">
        <v>45450</v>
      </c>
      <c r="G1927" s="23">
        <v>15</v>
      </c>
      <c r="H1927" s="180"/>
      <c r="I1927" s="83" t="s">
        <v>5842</v>
      </c>
      <c r="K1927" s="70" t="s">
        <v>5511</v>
      </c>
      <c r="L1927" s="86"/>
    </row>
    <row r="1928" spans="1:12" s="38" customFormat="1" ht="11.25" customHeight="1" x14ac:dyDescent="0.35">
      <c r="A1928" s="38" t="s">
        <v>7192</v>
      </c>
      <c r="B1928" s="39" t="s">
        <v>575</v>
      </c>
      <c r="C1928" s="106" t="s">
        <v>3112</v>
      </c>
      <c r="D1928" s="82" t="s">
        <v>7686</v>
      </c>
      <c r="E1928" s="38">
        <v>2</v>
      </c>
      <c r="F1928" s="26">
        <v>45450</v>
      </c>
      <c r="G1928" s="38">
        <v>2</v>
      </c>
      <c r="H1928" s="160"/>
      <c r="I1928" s="38" t="s">
        <v>5842</v>
      </c>
      <c r="K1928" s="70" t="s">
        <v>5365</v>
      </c>
      <c r="L1928" s="39"/>
    </row>
    <row r="1929" spans="1:12" s="38" customFormat="1" ht="11.25" customHeight="1" x14ac:dyDescent="0.35">
      <c r="A1929" s="38" t="s">
        <v>7192</v>
      </c>
      <c r="B1929" s="39" t="s">
        <v>575</v>
      </c>
      <c r="C1929" s="106" t="s">
        <v>3109</v>
      </c>
      <c r="D1929" s="82" t="s">
        <v>7687</v>
      </c>
      <c r="E1929" s="38">
        <v>2</v>
      </c>
      <c r="F1929" s="26">
        <v>45450</v>
      </c>
      <c r="G1929" s="38">
        <v>2</v>
      </c>
      <c r="H1929" s="160"/>
      <c r="I1929" s="38" t="s">
        <v>5842</v>
      </c>
      <c r="K1929" s="70" t="s">
        <v>5365</v>
      </c>
      <c r="L1929" s="39"/>
    </row>
    <row r="1930" spans="1:12" s="38" customFormat="1" ht="11.25" customHeight="1" x14ac:dyDescent="0.35">
      <c r="A1930" s="38" t="s">
        <v>7192</v>
      </c>
      <c r="B1930" s="39" t="s">
        <v>575</v>
      </c>
      <c r="C1930" s="106" t="s">
        <v>3095</v>
      </c>
      <c r="D1930" s="82" t="s">
        <v>7688</v>
      </c>
      <c r="E1930" s="38">
        <v>10</v>
      </c>
      <c r="F1930" s="26">
        <v>45450</v>
      </c>
      <c r="G1930" s="38">
        <v>10</v>
      </c>
      <c r="H1930" s="160"/>
      <c r="I1930" s="38" t="s">
        <v>5842</v>
      </c>
      <c r="K1930" s="70" t="s">
        <v>5365</v>
      </c>
      <c r="L1930" s="39"/>
    </row>
    <row r="1931" spans="1:12" s="38" customFormat="1" ht="11.25" customHeight="1" x14ac:dyDescent="0.35">
      <c r="A1931" s="38" t="s">
        <v>7192</v>
      </c>
      <c r="B1931" s="39" t="s">
        <v>575</v>
      </c>
      <c r="C1931" s="106" t="s">
        <v>3343</v>
      </c>
      <c r="D1931" s="82" t="s">
        <v>3276</v>
      </c>
      <c r="E1931" s="38">
        <v>20</v>
      </c>
      <c r="F1931" s="26">
        <v>45450</v>
      </c>
      <c r="G1931" s="38">
        <v>20</v>
      </c>
      <c r="H1931" s="160"/>
      <c r="I1931" s="38" t="s">
        <v>5842</v>
      </c>
      <c r="K1931" s="70" t="s">
        <v>5365</v>
      </c>
      <c r="L1931" s="39"/>
    </row>
    <row r="1932" spans="1:12" s="38" customFormat="1" ht="11.25" customHeight="1" x14ac:dyDescent="0.35">
      <c r="A1932" s="38" t="s">
        <v>7192</v>
      </c>
      <c r="B1932" s="39" t="s">
        <v>575</v>
      </c>
      <c r="C1932" s="106" t="s">
        <v>3272</v>
      </c>
      <c r="D1932" s="82" t="s">
        <v>3276</v>
      </c>
      <c r="E1932" s="38">
        <v>10</v>
      </c>
      <c r="F1932" s="26">
        <v>45450</v>
      </c>
      <c r="G1932" s="38">
        <v>10</v>
      </c>
      <c r="H1932" s="160"/>
      <c r="I1932" s="38" t="s">
        <v>5842</v>
      </c>
      <c r="K1932" s="70" t="s">
        <v>5365</v>
      </c>
      <c r="L1932" s="39"/>
    </row>
    <row r="1933" spans="1:12" s="38" customFormat="1" ht="11.25" customHeight="1" x14ac:dyDescent="0.35">
      <c r="A1933" s="38" t="s">
        <v>7192</v>
      </c>
      <c r="B1933" s="39" t="s">
        <v>575</v>
      </c>
      <c r="C1933" s="106" t="s">
        <v>3275</v>
      </c>
      <c r="D1933" s="82" t="s">
        <v>3276</v>
      </c>
      <c r="E1933" s="38">
        <v>10</v>
      </c>
      <c r="F1933" s="26">
        <v>45450</v>
      </c>
      <c r="G1933" s="38">
        <v>10</v>
      </c>
      <c r="H1933" s="160"/>
      <c r="I1933" s="38" t="s">
        <v>5842</v>
      </c>
      <c r="K1933" s="70" t="s">
        <v>5365</v>
      </c>
      <c r="L1933" s="39"/>
    </row>
    <row r="1934" spans="1:12" s="38" customFormat="1" ht="11.25" customHeight="1" x14ac:dyDescent="0.35">
      <c r="A1934" s="38" t="s">
        <v>7192</v>
      </c>
      <c r="B1934" s="39" t="s">
        <v>575</v>
      </c>
      <c r="C1934" s="106" t="s">
        <v>3336</v>
      </c>
      <c r="D1934" s="82" t="s">
        <v>7689</v>
      </c>
      <c r="E1934" s="38">
        <v>20</v>
      </c>
      <c r="F1934" s="26">
        <v>45450</v>
      </c>
      <c r="G1934" s="38">
        <v>20</v>
      </c>
      <c r="H1934" s="160"/>
      <c r="I1934" s="38" t="s">
        <v>5842</v>
      </c>
      <c r="K1934" s="70" t="s">
        <v>5365</v>
      </c>
      <c r="L1934" s="39"/>
    </row>
    <row r="1935" spans="1:12" s="38" customFormat="1" ht="11.25" customHeight="1" x14ac:dyDescent="0.35">
      <c r="A1935" s="38" t="s">
        <v>7192</v>
      </c>
      <c r="B1935" s="39" t="s">
        <v>575</v>
      </c>
      <c r="C1935" s="106" t="s">
        <v>3115</v>
      </c>
      <c r="D1935" s="82" t="s">
        <v>7690</v>
      </c>
      <c r="E1935" s="38">
        <v>2</v>
      </c>
      <c r="F1935" s="26">
        <v>45450</v>
      </c>
      <c r="G1935" s="38">
        <v>2</v>
      </c>
      <c r="H1935" s="160"/>
      <c r="I1935" s="38" t="s">
        <v>5842</v>
      </c>
      <c r="K1935" s="70" t="s">
        <v>5365</v>
      </c>
      <c r="L1935" s="39"/>
    </row>
    <row r="1936" spans="1:12" s="38" customFormat="1" ht="11.25" customHeight="1" x14ac:dyDescent="0.35">
      <c r="A1936" s="38" t="s">
        <v>7192</v>
      </c>
      <c r="B1936" s="39" t="s">
        <v>575</v>
      </c>
      <c r="C1936" s="106" t="s">
        <v>7691</v>
      </c>
      <c r="D1936" s="82" t="s">
        <v>7692</v>
      </c>
      <c r="E1936" s="38">
        <v>2</v>
      </c>
      <c r="F1936" s="26">
        <v>45450</v>
      </c>
      <c r="G1936" s="38">
        <v>2</v>
      </c>
      <c r="H1936" s="160"/>
      <c r="I1936" s="38" t="s">
        <v>5842</v>
      </c>
      <c r="K1936" s="70" t="s">
        <v>5365</v>
      </c>
      <c r="L1936" s="39"/>
    </row>
    <row r="1937" spans="1:12" s="38" customFormat="1" ht="11.25" customHeight="1" x14ac:dyDescent="0.35">
      <c r="A1937" s="38" t="s">
        <v>7192</v>
      </c>
      <c r="B1937" s="39" t="s">
        <v>575</v>
      </c>
      <c r="C1937" s="106" t="s">
        <v>7693</v>
      </c>
      <c r="D1937" s="82" t="s">
        <v>7694</v>
      </c>
      <c r="E1937" s="38">
        <v>2</v>
      </c>
      <c r="F1937" s="26">
        <v>45450</v>
      </c>
      <c r="G1937" s="38">
        <v>2</v>
      </c>
      <c r="H1937" s="160"/>
      <c r="I1937" s="38" t="s">
        <v>5842</v>
      </c>
      <c r="K1937" s="70" t="s">
        <v>5365</v>
      </c>
      <c r="L1937" s="39"/>
    </row>
    <row r="1938" spans="1:12" s="38" customFormat="1" ht="11.25" customHeight="1" x14ac:dyDescent="0.35">
      <c r="A1938" s="38" t="s">
        <v>7192</v>
      </c>
      <c r="B1938" s="39" t="s">
        <v>575</v>
      </c>
      <c r="C1938" s="106" t="s">
        <v>3284</v>
      </c>
      <c r="D1938" s="82" t="s">
        <v>1785</v>
      </c>
      <c r="E1938" s="38">
        <v>70</v>
      </c>
      <c r="F1938" s="26">
        <v>45450</v>
      </c>
      <c r="G1938" s="38">
        <v>70</v>
      </c>
      <c r="H1938" s="160"/>
      <c r="I1938" s="38" t="s">
        <v>5842</v>
      </c>
      <c r="K1938" s="70" t="s">
        <v>5365</v>
      </c>
      <c r="L1938" s="39"/>
    </row>
    <row r="1939" spans="1:12" s="38" customFormat="1" ht="11.25" customHeight="1" x14ac:dyDescent="0.35">
      <c r="A1939" s="38" t="s">
        <v>7192</v>
      </c>
      <c r="B1939" s="39" t="s">
        <v>575</v>
      </c>
      <c r="C1939" s="106" t="s">
        <v>7695</v>
      </c>
      <c r="D1939" s="82" t="s">
        <v>7696</v>
      </c>
      <c r="E1939" s="38">
        <v>20</v>
      </c>
      <c r="F1939" s="26">
        <v>45450</v>
      </c>
      <c r="G1939" s="38">
        <v>20</v>
      </c>
      <c r="H1939" s="160"/>
      <c r="I1939" s="38" t="s">
        <v>5842</v>
      </c>
      <c r="K1939" s="70" t="s">
        <v>5365</v>
      </c>
      <c r="L1939" s="39"/>
    </row>
    <row r="1940" spans="1:12" s="38" customFormat="1" ht="11.25" customHeight="1" x14ac:dyDescent="0.35">
      <c r="A1940" s="38" t="s">
        <v>7192</v>
      </c>
      <c r="B1940" s="39" t="s">
        <v>575</v>
      </c>
      <c r="C1940" s="106" t="s">
        <v>3124</v>
      </c>
      <c r="D1940" s="82" t="s">
        <v>7697</v>
      </c>
      <c r="E1940" s="38">
        <v>2</v>
      </c>
      <c r="F1940" s="26">
        <v>45450</v>
      </c>
      <c r="G1940" s="38">
        <v>2</v>
      </c>
      <c r="H1940" s="160"/>
      <c r="I1940" s="38" t="s">
        <v>5842</v>
      </c>
      <c r="K1940" s="70" t="s">
        <v>5365</v>
      </c>
      <c r="L1940" s="39"/>
    </row>
    <row r="1941" spans="1:12" s="38" customFormat="1" ht="11.25" customHeight="1" x14ac:dyDescent="0.35">
      <c r="A1941" s="38" t="s">
        <v>7192</v>
      </c>
      <c r="B1941" s="39" t="s">
        <v>575</v>
      </c>
      <c r="C1941" s="106" t="s">
        <v>3316</v>
      </c>
      <c r="D1941" s="82" t="s">
        <v>3317</v>
      </c>
      <c r="E1941" s="38">
        <v>10</v>
      </c>
      <c r="F1941" s="26">
        <v>45450</v>
      </c>
      <c r="G1941" s="38">
        <v>10</v>
      </c>
      <c r="H1941" s="160"/>
      <c r="I1941" s="38" t="s">
        <v>5842</v>
      </c>
      <c r="K1941" s="70" t="s">
        <v>5365</v>
      </c>
      <c r="L1941" s="39"/>
    </row>
    <row r="1942" spans="1:12" s="38" customFormat="1" ht="11.25" customHeight="1" x14ac:dyDescent="0.35">
      <c r="A1942" s="38" t="s">
        <v>7192</v>
      </c>
      <c r="B1942" s="39" t="s">
        <v>575</v>
      </c>
      <c r="C1942" s="106" t="s">
        <v>3127</v>
      </c>
      <c r="D1942" s="82" t="s">
        <v>7698</v>
      </c>
      <c r="E1942" s="38">
        <v>2</v>
      </c>
      <c r="F1942" s="26">
        <v>45450</v>
      </c>
      <c r="G1942" s="38">
        <v>2</v>
      </c>
      <c r="H1942" s="160"/>
      <c r="I1942" s="38" t="s">
        <v>5842</v>
      </c>
      <c r="K1942" s="70" t="s">
        <v>5365</v>
      </c>
      <c r="L1942" s="39"/>
    </row>
    <row r="1943" spans="1:12" s="38" customFormat="1" ht="11.25" customHeight="1" x14ac:dyDescent="0.35">
      <c r="A1943" s="38" t="s">
        <v>7192</v>
      </c>
      <c r="B1943" s="39" t="s">
        <v>575</v>
      </c>
      <c r="C1943" s="106" t="s">
        <v>3321</v>
      </c>
      <c r="D1943" s="82" t="s">
        <v>3322</v>
      </c>
      <c r="E1943" s="38">
        <v>1</v>
      </c>
      <c r="F1943" s="26">
        <v>45450</v>
      </c>
      <c r="G1943" s="38">
        <v>1</v>
      </c>
      <c r="H1943" s="160"/>
      <c r="I1943" s="38" t="s">
        <v>5842</v>
      </c>
      <c r="K1943" s="70" t="s">
        <v>5365</v>
      </c>
      <c r="L1943" s="39"/>
    </row>
    <row r="1944" spans="1:12" s="38" customFormat="1" ht="11.25" customHeight="1" x14ac:dyDescent="0.35">
      <c r="A1944" s="38" t="s">
        <v>7192</v>
      </c>
      <c r="B1944" s="39" t="s">
        <v>575</v>
      </c>
      <c r="C1944" s="106" t="s">
        <v>7699</v>
      </c>
      <c r="D1944" s="82"/>
      <c r="E1944" s="38">
        <v>4</v>
      </c>
      <c r="F1944" s="26">
        <v>45450</v>
      </c>
      <c r="G1944" s="38">
        <v>4</v>
      </c>
      <c r="H1944" s="160"/>
      <c r="I1944" s="38" t="s">
        <v>5842</v>
      </c>
      <c r="K1944" s="70" t="s">
        <v>5365</v>
      </c>
      <c r="L1944" s="39"/>
    </row>
    <row r="1945" spans="1:12" s="38" customFormat="1" ht="11.25" customHeight="1" x14ac:dyDescent="0.35">
      <c r="A1945" s="38" t="s">
        <v>7192</v>
      </c>
      <c r="B1945" s="39" t="s">
        <v>575</v>
      </c>
      <c r="C1945" s="106" t="s">
        <v>3801</v>
      </c>
      <c r="D1945" s="82"/>
      <c r="E1945" s="38">
        <v>16</v>
      </c>
      <c r="F1945" s="26">
        <v>45450</v>
      </c>
      <c r="G1945" s="38">
        <v>16</v>
      </c>
      <c r="H1945" s="160"/>
      <c r="I1945" s="38" t="s">
        <v>5842</v>
      </c>
      <c r="K1945" s="70" t="s">
        <v>5365</v>
      </c>
      <c r="L1945" s="39"/>
    </row>
    <row r="1946" spans="1:12" s="133" customFormat="1" ht="11.25" customHeight="1" x14ac:dyDescent="0.35">
      <c r="A1946" s="133" t="s">
        <v>7192</v>
      </c>
      <c r="B1946" s="116" t="s">
        <v>575</v>
      </c>
      <c r="C1946" s="297" t="s">
        <v>3135</v>
      </c>
      <c r="D1946" s="134"/>
      <c r="E1946" s="133">
        <v>8</v>
      </c>
      <c r="F1946" s="135">
        <v>45450</v>
      </c>
      <c r="G1946" s="136">
        <v>4</v>
      </c>
      <c r="H1946" s="182"/>
      <c r="I1946" s="83" t="s">
        <v>5842</v>
      </c>
      <c r="K1946" s="70" t="s">
        <v>5511</v>
      </c>
      <c r="L1946" s="116"/>
    </row>
    <row r="1947" spans="1:12" s="38" customFormat="1" ht="11.25" customHeight="1" x14ac:dyDescent="0.35">
      <c r="A1947" s="38" t="s">
        <v>7192</v>
      </c>
      <c r="B1947" s="39" t="s">
        <v>575</v>
      </c>
      <c r="C1947" s="106" t="s">
        <v>3068</v>
      </c>
      <c r="D1947" s="82"/>
      <c r="E1947" s="38">
        <v>1</v>
      </c>
      <c r="F1947" s="26">
        <v>45450</v>
      </c>
      <c r="G1947" s="38">
        <v>1</v>
      </c>
      <c r="H1947" s="160"/>
      <c r="I1947" s="38" t="s">
        <v>5842</v>
      </c>
      <c r="K1947" s="70" t="s">
        <v>5365</v>
      </c>
      <c r="L1947" s="39"/>
    </row>
    <row r="1948" spans="1:12" s="38" customFormat="1" ht="11.25" customHeight="1" x14ac:dyDescent="0.35">
      <c r="A1948" s="38" t="s">
        <v>7192</v>
      </c>
      <c r="B1948" s="39" t="s">
        <v>575</v>
      </c>
      <c r="C1948" s="106" t="s">
        <v>3261</v>
      </c>
      <c r="D1948" s="82"/>
      <c r="E1948" s="38">
        <v>1</v>
      </c>
      <c r="F1948" s="26">
        <v>45450</v>
      </c>
      <c r="G1948" s="38">
        <v>1</v>
      </c>
      <c r="H1948" s="160"/>
      <c r="I1948" s="38" t="s">
        <v>5842</v>
      </c>
      <c r="K1948" s="70" t="s">
        <v>5365</v>
      </c>
      <c r="L1948" s="39"/>
    </row>
    <row r="1949" spans="1:12" s="38" customFormat="1" ht="11.25" customHeight="1" x14ac:dyDescent="0.35">
      <c r="A1949" s="38" t="s">
        <v>7192</v>
      </c>
      <c r="B1949" s="39" t="s">
        <v>575</v>
      </c>
      <c r="C1949" s="106" t="s">
        <v>3064</v>
      </c>
      <c r="D1949" s="82"/>
      <c r="E1949" s="38">
        <v>2</v>
      </c>
      <c r="F1949" s="26">
        <v>45450</v>
      </c>
      <c r="G1949" s="38">
        <v>2</v>
      </c>
      <c r="H1949" s="160"/>
      <c r="I1949" s="38" t="s">
        <v>5842</v>
      </c>
      <c r="K1949" s="70" t="s">
        <v>5365</v>
      </c>
      <c r="L1949" s="39"/>
    </row>
    <row r="1950" spans="1:12" s="38" customFormat="1" ht="11.25" customHeight="1" x14ac:dyDescent="0.35">
      <c r="A1950" s="38" t="s">
        <v>7192</v>
      </c>
      <c r="B1950" s="39" t="s">
        <v>575</v>
      </c>
      <c r="C1950" s="106" t="s">
        <v>3071</v>
      </c>
      <c r="D1950" s="82"/>
      <c r="E1950" s="38">
        <v>2</v>
      </c>
      <c r="F1950" s="26">
        <v>45450</v>
      </c>
      <c r="G1950" s="38">
        <v>2</v>
      </c>
      <c r="H1950" s="160"/>
      <c r="I1950" s="38" t="s">
        <v>5842</v>
      </c>
      <c r="K1950" s="70" t="s">
        <v>5365</v>
      </c>
      <c r="L1950" s="39"/>
    </row>
    <row r="1951" spans="1:12" ht="11.25" customHeight="1" x14ac:dyDescent="0.35">
      <c r="A1951" s="33" t="s">
        <v>6471</v>
      </c>
      <c r="B1951" s="35" t="s">
        <v>5763</v>
      </c>
      <c r="C1951" s="272" t="s">
        <v>7700</v>
      </c>
      <c r="D1951" s="31" t="s">
        <v>7701</v>
      </c>
      <c r="E1951" s="33">
        <v>4</v>
      </c>
      <c r="F1951" s="22">
        <v>45450</v>
      </c>
      <c r="K1951" s="70" t="s">
        <v>5338</v>
      </c>
    </row>
    <row r="1952" spans="1:12" ht="11.25" customHeight="1" x14ac:dyDescent="0.35">
      <c r="A1952" s="33" t="s">
        <v>6471</v>
      </c>
      <c r="B1952" s="35" t="s">
        <v>5763</v>
      </c>
      <c r="C1952" s="272" t="s">
        <v>7702</v>
      </c>
      <c r="D1952" s="31" t="s">
        <v>7701</v>
      </c>
      <c r="E1952" s="33">
        <v>4</v>
      </c>
      <c r="F1952" s="22">
        <v>45450</v>
      </c>
      <c r="K1952" s="70" t="s">
        <v>5338</v>
      </c>
    </row>
    <row r="1953" spans="1:12" ht="11.25" customHeight="1" x14ac:dyDescent="0.35">
      <c r="A1953" s="33" t="s">
        <v>4832</v>
      </c>
      <c r="B1953" s="35" t="s">
        <v>5904</v>
      </c>
      <c r="C1953" s="272" t="s">
        <v>2030</v>
      </c>
      <c r="D1953" s="31" t="s">
        <v>2031</v>
      </c>
      <c r="E1953" s="33">
        <v>1</v>
      </c>
      <c r="F1953" s="33"/>
      <c r="G1953" s="33"/>
      <c r="H1953" s="183"/>
      <c r="J1953" s="33" t="s">
        <v>6664</v>
      </c>
      <c r="K1953" s="70" t="s">
        <v>5338</v>
      </c>
      <c r="L1953" s="33"/>
    </row>
    <row r="1954" spans="1:12" s="38" customFormat="1" ht="11.25" customHeight="1" x14ac:dyDescent="0.35">
      <c r="A1954" s="38" t="s">
        <v>4832</v>
      </c>
      <c r="B1954" s="39" t="s">
        <v>5904</v>
      </c>
      <c r="C1954" s="106" t="s">
        <v>325</v>
      </c>
      <c r="D1954" s="82" t="s">
        <v>7703</v>
      </c>
      <c r="E1954" s="38">
        <v>1</v>
      </c>
      <c r="G1954" s="38">
        <v>1</v>
      </c>
      <c r="H1954" s="184" t="s">
        <v>7704</v>
      </c>
      <c r="I1954" s="38" t="s">
        <v>7705</v>
      </c>
      <c r="J1954" s="38" t="s">
        <v>6664</v>
      </c>
      <c r="K1954" s="70" t="s">
        <v>5365</v>
      </c>
    </row>
    <row r="1955" spans="1:12" ht="11.25" customHeight="1" x14ac:dyDescent="0.35">
      <c r="A1955" s="33" t="s">
        <v>4832</v>
      </c>
      <c r="B1955" s="35" t="s">
        <v>5904</v>
      </c>
      <c r="C1955" s="272" t="s">
        <v>329</v>
      </c>
      <c r="D1955" s="31" t="s">
        <v>7706</v>
      </c>
      <c r="E1955" s="33">
        <v>1</v>
      </c>
      <c r="F1955" s="33"/>
      <c r="G1955" s="33"/>
      <c r="H1955" s="183"/>
      <c r="J1955" s="33" t="s">
        <v>6664</v>
      </c>
      <c r="K1955" s="70" t="s">
        <v>5338</v>
      </c>
      <c r="L1955" s="33"/>
    </row>
    <row r="1956" spans="1:12" s="188" customFormat="1" ht="11.25" customHeight="1" x14ac:dyDescent="0.35">
      <c r="A1956" s="188" t="s">
        <v>6471</v>
      </c>
      <c r="B1956" s="651" t="s">
        <v>5763</v>
      </c>
      <c r="C1956" s="302">
        <v>813000</v>
      </c>
      <c r="D1956" s="189" t="s">
        <v>7707</v>
      </c>
      <c r="E1956" s="188">
        <v>24</v>
      </c>
      <c r="F1956" s="190">
        <v>45462</v>
      </c>
      <c r="G1956" s="188">
        <v>24</v>
      </c>
      <c r="H1956" s="191"/>
      <c r="I1956" s="188" t="s">
        <v>7541</v>
      </c>
      <c r="K1956" s="192" t="s">
        <v>5365</v>
      </c>
      <c r="L1956" s="33"/>
    </row>
    <row r="1957" spans="1:12" s="188" customFormat="1" ht="11.25" customHeight="1" x14ac:dyDescent="0.35">
      <c r="A1957" s="188" t="s">
        <v>6471</v>
      </c>
      <c r="B1957" s="651" t="s">
        <v>5763</v>
      </c>
      <c r="C1957" s="302">
        <v>815149</v>
      </c>
      <c r="D1957" s="189" t="s">
        <v>7708</v>
      </c>
      <c r="E1957" s="188">
        <v>504</v>
      </c>
      <c r="F1957" s="190">
        <v>45462</v>
      </c>
      <c r="G1957" s="188">
        <v>504</v>
      </c>
      <c r="H1957" s="191"/>
      <c r="I1957" s="188" t="s">
        <v>7541</v>
      </c>
      <c r="K1957" s="192" t="s">
        <v>5365</v>
      </c>
      <c r="L1957" s="33"/>
    </row>
    <row r="1958" spans="1:12" s="188" customFormat="1" ht="11.25" customHeight="1" x14ac:dyDescent="0.35">
      <c r="A1958" s="188" t="s">
        <v>6471</v>
      </c>
      <c r="B1958" s="651" t="s">
        <v>5763</v>
      </c>
      <c r="C1958" s="302">
        <v>815875</v>
      </c>
      <c r="D1958" s="189" t="s">
        <v>6683</v>
      </c>
      <c r="E1958" s="188">
        <v>6</v>
      </c>
      <c r="F1958" s="190">
        <v>45462</v>
      </c>
      <c r="G1958" s="188">
        <v>6</v>
      </c>
      <c r="H1958" s="191"/>
      <c r="I1958" s="188" t="s">
        <v>7541</v>
      </c>
      <c r="K1958" s="192" t="s">
        <v>5365</v>
      </c>
      <c r="L1958" s="33"/>
    </row>
    <row r="1959" spans="1:12" s="188" customFormat="1" ht="11.25" customHeight="1" x14ac:dyDescent="0.35">
      <c r="A1959" s="188" t="s">
        <v>6471</v>
      </c>
      <c r="B1959" s="651" t="s">
        <v>5763</v>
      </c>
      <c r="C1959" s="302">
        <v>815965</v>
      </c>
      <c r="D1959" s="189" t="s">
        <v>7709</v>
      </c>
      <c r="E1959" s="188">
        <v>10</v>
      </c>
      <c r="F1959" s="190">
        <v>45462</v>
      </c>
      <c r="G1959" s="188">
        <v>10</v>
      </c>
      <c r="H1959" s="191"/>
      <c r="I1959" s="188" t="s">
        <v>7541</v>
      </c>
      <c r="K1959" s="192" t="s">
        <v>5365</v>
      </c>
      <c r="L1959" s="33"/>
    </row>
    <row r="1960" spans="1:12" s="188" customFormat="1" ht="11.25" customHeight="1" x14ac:dyDescent="0.35">
      <c r="A1960" s="188" t="s">
        <v>6471</v>
      </c>
      <c r="B1960" s="651" t="s">
        <v>5763</v>
      </c>
      <c r="C1960" s="302" t="s">
        <v>7710</v>
      </c>
      <c r="D1960" s="189" t="s">
        <v>6841</v>
      </c>
      <c r="E1960" s="188">
        <v>3</v>
      </c>
      <c r="F1960" s="190">
        <v>45462</v>
      </c>
      <c r="G1960" s="188">
        <v>3</v>
      </c>
      <c r="H1960" s="193"/>
      <c r="I1960" s="188" t="s">
        <v>7541</v>
      </c>
      <c r="K1960" s="192" t="s">
        <v>5365</v>
      </c>
      <c r="L1960" s="35"/>
    </row>
    <row r="1961" spans="1:12" s="188" customFormat="1" ht="11.25" customHeight="1" x14ac:dyDescent="0.35">
      <c r="A1961" s="188" t="s">
        <v>6471</v>
      </c>
      <c r="B1961" s="651" t="s">
        <v>5763</v>
      </c>
      <c r="C1961" s="302" t="s">
        <v>7711</v>
      </c>
      <c r="D1961" s="189" t="s">
        <v>7709</v>
      </c>
      <c r="E1961" s="188">
        <v>6</v>
      </c>
      <c r="F1961" s="190">
        <v>45462</v>
      </c>
      <c r="G1961" s="188">
        <v>6</v>
      </c>
      <c r="H1961" s="193"/>
      <c r="I1961" s="188" t="s">
        <v>7541</v>
      </c>
      <c r="K1961" s="192" t="s">
        <v>5365</v>
      </c>
      <c r="L1961" s="35"/>
    </row>
    <row r="1962" spans="1:12" s="188" customFormat="1" ht="11.25" customHeight="1" x14ac:dyDescent="0.35">
      <c r="A1962" s="188" t="s">
        <v>6471</v>
      </c>
      <c r="B1962" s="651" t="s">
        <v>5763</v>
      </c>
      <c r="C1962" s="302" t="s">
        <v>7712</v>
      </c>
      <c r="D1962" s="189" t="s">
        <v>1264</v>
      </c>
      <c r="E1962" s="188">
        <v>8</v>
      </c>
      <c r="F1962" s="190">
        <v>45462</v>
      </c>
      <c r="G1962" s="188">
        <v>8</v>
      </c>
      <c r="H1962" s="193"/>
      <c r="I1962" s="188" t="s">
        <v>7541</v>
      </c>
      <c r="K1962" s="192" t="s">
        <v>5365</v>
      </c>
      <c r="L1962" s="35"/>
    </row>
    <row r="1963" spans="1:12" s="188" customFormat="1" ht="11.25" customHeight="1" x14ac:dyDescent="0.35">
      <c r="A1963" s="188" t="s">
        <v>6471</v>
      </c>
      <c r="B1963" s="651" t="s">
        <v>5763</v>
      </c>
      <c r="C1963" s="302" t="s">
        <v>7713</v>
      </c>
      <c r="D1963" s="189" t="s">
        <v>1751</v>
      </c>
      <c r="E1963" s="188">
        <v>3</v>
      </c>
      <c r="F1963" s="190">
        <v>45462</v>
      </c>
      <c r="G1963" s="188">
        <v>3</v>
      </c>
      <c r="H1963" s="193"/>
      <c r="I1963" s="188" t="s">
        <v>7541</v>
      </c>
      <c r="K1963" s="192" t="s">
        <v>5365</v>
      </c>
      <c r="L1963" s="35"/>
    </row>
    <row r="1964" spans="1:12" s="188" customFormat="1" ht="11.25" customHeight="1" x14ac:dyDescent="0.35">
      <c r="A1964" s="188" t="s">
        <v>6471</v>
      </c>
      <c r="B1964" s="651" t="s">
        <v>5763</v>
      </c>
      <c r="C1964" s="302" t="s">
        <v>7714</v>
      </c>
      <c r="D1964" s="189" t="s">
        <v>6471</v>
      </c>
      <c r="E1964" s="188">
        <v>10</v>
      </c>
      <c r="F1964" s="190">
        <v>45462</v>
      </c>
      <c r="G1964" s="188">
        <v>10</v>
      </c>
      <c r="H1964" s="193"/>
      <c r="I1964" s="188" t="s">
        <v>7541</v>
      </c>
      <c r="K1964" s="192" t="s">
        <v>5365</v>
      </c>
      <c r="L1964" s="35"/>
    </row>
    <row r="1965" spans="1:12" s="188" customFormat="1" ht="11.25" customHeight="1" x14ac:dyDescent="0.35">
      <c r="A1965" s="188" t="s">
        <v>6471</v>
      </c>
      <c r="B1965" s="651" t="s">
        <v>5763</v>
      </c>
      <c r="C1965" s="302" t="s">
        <v>7715</v>
      </c>
      <c r="D1965" s="189" t="s">
        <v>7716</v>
      </c>
      <c r="E1965" s="188">
        <v>32</v>
      </c>
      <c r="F1965" s="190">
        <v>45462</v>
      </c>
      <c r="G1965" s="188">
        <v>32</v>
      </c>
      <c r="H1965" s="193"/>
      <c r="I1965" s="188" t="s">
        <v>7541</v>
      </c>
      <c r="K1965" s="192" t="s">
        <v>5365</v>
      </c>
      <c r="L1965" s="35"/>
    </row>
    <row r="1966" spans="1:12" s="188" customFormat="1" ht="11.25" customHeight="1" x14ac:dyDescent="0.35">
      <c r="A1966" s="188" t="s">
        <v>6471</v>
      </c>
      <c r="B1966" s="651" t="s">
        <v>5763</v>
      </c>
      <c r="C1966" s="302" t="s">
        <v>7717</v>
      </c>
      <c r="D1966" s="189" t="s">
        <v>7718</v>
      </c>
      <c r="E1966" s="188">
        <v>1</v>
      </c>
      <c r="F1966" s="190">
        <v>45462</v>
      </c>
      <c r="G1966" s="188">
        <v>1</v>
      </c>
      <c r="H1966" s="193"/>
      <c r="I1966" s="188" t="s">
        <v>7541</v>
      </c>
      <c r="K1966" s="192" t="s">
        <v>5365</v>
      </c>
      <c r="L1966" s="35"/>
    </row>
    <row r="1967" spans="1:12" s="188" customFormat="1" ht="11.25" customHeight="1" x14ac:dyDescent="0.35">
      <c r="A1967" s="188" t="s">
        <v>6471</v>
      </c>
      <c r="B1967" s="651" t="s">
        <v>5763</v>
      </c>
      <c r="C1967" s="302" t="s">
        <v>7719</v>
      </c>
      <c r="D1967" s="189" t="s">
        <v>7720</v>
      </c>
      <c r="E1967" s="188">
        <v>5</v>
      </c>
      <c r="F1967" s="190">
        <v>45462</v>
      </c>
      <c r="G1967" s="188">
        <v>5</v>
      </c>
      <c r="H1967" s="193"/>
      <c r="I1967" s="188" t="s">
        <v>7541</v>
      </c>
      <c r="K1967" s="192" t="s">
        <v>5365</v>
      </c>
      <c r="L1967" s="35"/>
    </row>
    <row r="1968" spans="1:12" s="188" customFormat="1" ht="11.25" customHeight="1" x14ac:dyDescent="0.35">
      <c r="A1968" s="188" t="s">
        <v>6471</v>
      </c>
      <c r="B1968" s="651" t="s">
        <v>5763</v>
      </c>
      <c r="C1968" s="302" t="s">
        <v>7721</v>
      </c>
      <c r="D1968" s="189" t="s">
        <v>5422</v>
      </c>
      <c r="E1968" s="188">
        <v>2</v>
      </c>
      <c r="F1968" s="190">
        <v>45462</v>
      </c>
      <c r="G1968" s="188">
        <v>2</v>
      </c>
      <c r="H1968" s="193"/>
      <c r="I1968" s="188" t="s">
        <v>7541</v>
      </c>
      <c r="K1968" s="192" t="s">
        <v>5365</v>
      </c>
      <c r="L1968" s="35"/>
    </row>
    <row r="1969" spans="1:12" s="188" customFormat="1" ht="11.25" customHeight="1" x14ac:dyDescent="0.35">
      <c r="A1969" s="188" t="s">
        <v>6471</v>
      </c>
      <c r="B1969" s="651" t="s">
        <v>5763</v>
      </c>
      <c r="C1969" s="302" t="s">
        <v>7592</v>
      </c>
      <c r="D1969" s="189" t="s">
        <v>1403</v>
      </c>
      <c r="E1969" s="188">
        <v>3</v>
      </c>
      <c r="F1969" s="190">
        <v>45462</v>
      </c>
      <c r="G1969" s="188">
        <v>3</v>
      </c>
      <c r="H1969" s="193"/>
      <c r="I1969" s="188" t="s">
        <v>7541</v>
      </c>
      <c r="K1969" s="192" t="s">
        <v>5365</v>
      </c>
      <c r="L1969" s="35"/>
    </row>
    <row r="1970" spans="1:12" s="188" customFormat="1" ht="11.25" customHeight="1" x14ac:dyDescent="0.35">
      <c r="A1970" s="188" t="s">
        <v>6471</v>
      </c>
      <c r="B1970" s="651" t="s">
        <v>5763</v>
      </c>
      <c r="C1970" s="302" t="s">
        <v>7722</v>
      </c>
      <c r="D1970" s="189" t="s">
        <v>7723</v>
      </c>
      <c r="E1970" s="188">
        <v>3</v>
      </c>
      <c r="F1970" s="190">
        <v>45462</v>
      </c>
      <c r="G1970" s="188">
        <v>3</v>
      </c>
      <c r="H1970" s="193"/>
      <c r="I1970" s="188" t="s">
        <v>7541</v>
      </c>
      <c r="K1970" s="192" t="s">
        <v>5365</v>
      </c>
      <c r="L1970" s="35"/>
    </row>
    <row r="1971" spans="1:12" s="188" customFormat="1" ht="11.25" customHeight="1" x14ac:dyDescent="0.35">
      <c r="A1971" s="188" t="s">
        <v>6471</v>
      </c>
      <c r="B1971" s="651" t="s">
        <v>5763</v>
      </c>
      <c r="C1971" s="302" t="s">
        <v>7724</v>
      </c>
      <c r="D1971" s="189" t="s">
        <v>5795</v>
      </c>
      <c r="E1971" s="188">
        <v>36</v>
      </c>
      <c r="F1971" s="190">
        <v>45462</v>
      </c>
      <c r="G1971" s="188">
        <v>36</v>
      </c>
      <c r="H1971" s="193"/>
      <c r="I1971" s="188" t="s">
        <v>7541</v>
      </c>
      <c r="K1971" s="192" t="s">
        <v>5365</v>
      </c>
      <c r="L1971" s="35"/>
    </row>
    <row r="1972" spans="1:12" s="188" customFormat="1" ht="11.25" customHeight="1" x14ac:dyDescent="0.35">
      <c r="A1972" s="188" t="s">
        <v>6471</v>
      </c>
      <c r="B1972" s="651" t="s">
        <v>5763</v>
      </c>
      <c r="C1972" s="302" t="s">
        <v>7594</v>
      </c>
      <c r="D1972" s="189" t="s">
        <v>1382</v>
      </c>
      <c r="E1972" s="188">
        <v>3</v>
      </c>
      <c r="F1972" s="190">
        <v>45462</v>
      </c>
      <c r="G1972" s="188">
        <v>3</v>
      </c>
      <c r="H1972" s="193"/>
      <c r="I1972" s="188" t="s">
        <v>7541</v>
      </c>
      <c r="K1972" s="192" t="s">
        <v>5365</v>
      </c>
      <c r="L1972" s="35"/>
    </row>
    <row r="1973" spans="1:12" s="188" customFormat="1" ht="11.25" customHeight="1" x14ac:dyDescent="0.35">
      <c r="A1973" s="188" t="s">
        <v>6471</v>
      </c>
      <c r="B1973" s="651" t="s">
        <v>5763</v>
      </c>
      <c r="C1973" s="302" t="s">
        <v>7725</v>
      </c>
      <c r="D1973" s="189" t="s">
        <v>1264</v>
      </c>
      <c r="E1973" s="188">
        <v>6</v>
      </c>
      <c r="F1973" s="190">
        <v>45462</v>
      </c>
      <c r="G1973" s="188">
        <v>6</v>
      </c>
      <c r="H1973" s="193"/>
      <c r="I1973" s="188" t="s">
        <v>7541</v>
      </c>
      <c r="K1973" s="192" t="s">
        <v>5365</v>
      </c>
      <c r="L1973" s="35"/>
    </row>
    <row r="1974" spans="1:12" s="188" customFormat="1" ht="11.25" customHeight="1" x14ac:dyDescent="0.35">
      <c r="A1974" s="188" t="s">
        <v>6471</v>
      </c>
      <c r="B1974" s="651" t="s">
        <v>5763</v>
      </c>
      <c r="C1974" s="302" t="s">
        <v>7726</v>
      </c>
      <c r="D1974" s="189" t="s">
        <v>7727</v>
      </c>
      <c r="E1974" s="188">
        <v>3</v>
      </c>
      <c r="F1974" s="190">
        <v>45462</v>
      </c>
      <c r="G1974" s="188">
        <v>3</v>
      </c>
      <c r="H1974" s="193"/>
      <c r="I1974" s="188" t="s">
        <v>7541</v>
      </c>
      <c r="K1974" s="192" t="s">
        <v>5365</v>
      </c>
      <c r="L1974" s="35"/>
    </row>
    <row r="1975" spans="1:12" s="188" customFormat="1" ht="11.25" customHeight="1" x14ac:dyDescent="0.35">
      <c r="A1975" s="188" t="s">
        <v>6471</v>
      </c>
      <c r="B1975" s="651" t="s">
        <v>5763</v>
      </c>
      <c r="C1975" s="302" t="s">
        <v>7728</v>
      </c>
      <c r="D1975" s="189" t="s">
        <v>7729</v>
      </c>
      <c r="E1975" s="188">
        <v>3</v>
      </c>
      <c r="F1975" s="190">
        <v>45462</v>
      </c>
      <c r="G1975" s="188">
        <v>3</v>
      </c>
      <c r="H1975" s="193"/>
      <c r="I1975" s="188" t="s">
        <v>7541</v>
      </c>
      <c r="K1975" s="192" t="s">
        <v>5365</v>
      </c>
      <c r="L1975" s="35"/>
    </row>
    <row r="1976" spans="1:12" s="188" customFormat="1" ht="11.25" customHeight="1" x14ac:dyDescent="0.35">
      <c r="A1976" s="188" t="s">
        <v>6471</v>
      </c>
      <c r="B1976" s="651" t="s">
        <v>5763</v>
      </c>
      <c r="C1976" s="302" t="s">
        <v>7546</v>
      </c>
      <c r="D1976" s="189" t="s">
        <v>7730</v>
      </c>
      <c r="E1976" s="188">
        <v>3</v>
      </c>
      <c r="F1976" s="190">
        <v>45462</v>
      </c>
      <c r="G1976" s="188">
        <v>3</v>
      </c>
      <c r="H1976" s="193"/>
      <c r="I1976" s="188" t="s">
        <v>7541</v>
      </c>
      <c r="K1976" s="192" t="s">
        <v>5365</v>
      </c>
      <c r="L1976" s="35"/>
    </row>
    <row r="1977" spans="1:12" s="188" customFormat="1" ht="11.25" customHeight="1" x14ac:dyDescent="0.35">
      <c r="A1977" s="188" t="s">
        <v>6471</v>
      </c>
      <c r="B1977" s="651" t="s">
        <v>5763</v>
      </c>
      <c r="C1977" s="302" t="s">
        <v>7731</v>
      </c>
      <c r="D1977" s="189" t="s">
        <v>1297</v>
      </c>
      <c r="E1977" s="188">
        <v>1</v>
      </c>
      <c r="F1977" s="190">
        <v>45462</v>
      </c>
      <c r="G1977" s="188">
        <v>1</v>
      </c>
      <c r="H1977" s="193"/>
      <c r="I1977" s="188" t="s">
        <v>7541</v>
      </c>
      <c r="K1977" s="192" t="s">
        <v>5365</v>
      </c>
      <c r="L1977" s="35"/>
    </row>
    <row r="1978" spans="1:12" s="188" customFormat="1" ht="11.25" customHeight="1" x14ac:dyDescent="0.35">
      <c r="A1978" s="188" t="s">
        <v>6471</v>
      </c>
      <c r="B1978" s="651" t="s">
        <v>5763</v>
      </c>
      <c r="C1978" s="302" t="s">
        <v>7732</v>
      </c>
      <c r="D1978" s="189" t="s">
        <v>7733</v>
      </c>
      <c r="E1978" s="188">
        <v>5</v>
      </c>
      <c r="F1978" s="190">
        <v>45462</v>
      </c>
      <c r="G1978" s="188">
        <v>5</v>
      </c>
      <c r="H1978" s="193"/>
      <c r="I1978" s="188" t="s">
        <v>7541</v>
      </c>
      <c r="K1978" s="192" t="s">
        <v>5365</v>
      </c>
      <c r="L1978" s="35"/>
    </row>
    <row r="1979" spans="1:12" s="188" customFormat="1" ht="11.25" customHeight="1" x14ac:dyDescent="0.35">
      <c r="A1979" s="188" t="s">
        <v>6471</v>
      </c>
      <c r="B1979" s="651" t="s">
        <v>5763</v>
      </c>
      <c r="C1979" s="302" t="s">
        <v>7734</v>
      </c>
      <c r="D1979" s="189" t="s">
        <v>7729</v>
      </c>
      <c r="E1979" s="188">
        <v>9</v>
      </c>
      <c r="F1979" s="190">
        <v>45462</v>
      </c>
      <c r="G1979" s="188">
        <v>9</v>
      </c>
      <c r="H1979" s="193"/>
      <c r="I1979" s="188" t="s">
        <v>7541</v>
      </c>
      <c r="K1979" s="192" t="s">
        <v>5365</v>
      </c>
      <c r="L1979" s="35"/>
    </row>
    <row r="1980" spans="1:12" s="188" customFormat="1" ht="11.25" customHeight="1" x14ac:dyDescent="0.35">
      <c r="A1980" s="188" t="s">
        <v>6471</v>
      </c>
      <c r="B1980" s="651" t="s">
        <v>5763</v>
      </c>
      <c r="C1980" s="302" t="s">
        <v>7735</v>
      </c>
      <c r="D1980" s="189" t="s">
        <v>7736</v>
      </c>
      <c r="E1980" s="188">
        <v>1</v>
      </c>
      <c r="F1980" s="190">
        <v>45462</v>
      </c>
      <c r="G1980" s="188">
        <v>1</v>
      </c>
      <c r="H1980" s="193"/>
      <c r="I1980" s="188" t="s">
        <v>7541</v>
      </c>
      <c r="K1980" s="192" t="s">
        <v>5365</v>
      </c>
      <c r="L1980" s="35"/>
    </row>
    <row r="1981" spans="1:12" s="188" customFormat="1" ht="11.25" customHeight="1" x14ac:dyDescent="0.35">
      <c r="A1981" s="188" t="s">
        <v>6471</v>
      </c>
      <c r="B1981" s="651" t="s">
        <v>5763</v>
      </c>
      <c r="C1981" s="302" t="s">
        <v>7737</v>
      </c>
      <c r="D1981" s="189" t="s">
        <v>7738</v>
      </c>
      <c r="E1981" s="188">
        <v>1</v>
      </c>
      <c r="F1981" s="190">
        <v>45462</v>
      </c>
      <c r="G1981" s="188">
        <v>1</v>
      </c>
      <c r="H1981" s="193"/>
      <c r="I1981" s="188" t="s">
        <v>7541</v>
      </c>
      <c r="K1981" s="192" t="s">
        <v>5365</v>
      </c>
      <c r="L1981" s="35"/>
    </row>
    <row r="1982" spans="1:12" s="188" customFormat="1" ht="11.25" customHeight="1" x14ac:dyDescent="0.35">
      <c r="A1982" s="188" t="s">
        <v>6471</v>
      </c>
      <c r="B1982" s="651" t="s">
        <v>5763</v>
      </c>
      <c r="C1982" s="302" t="s">
        <v>7739</v>
      </c>
      <c r="D1982" s="189" t="s">
        <v>7740</v>
      </c>
      <c r="E1982" s="188">
        <v>12</v>
      </c>
      <c r="F1982" s="190">
        <v>45462</v>
      </c>
      <c r="G1982" s="188">
        <v>12</v>
      </c>
      <c r="H1982" s="193"/>
      <c r="I1982" s="188" t="s">
        <v>7541</v>
      </c>
      <c r="K1982" s="192" t="s">
        <v>5365</v>
      </c>
      <c r="L1982" s="35"/>
    </row>
    <row r="1983" spans="1:12" s="188" customFormat="1" ht="11.25" customHeight="1" x14ac:dyDescent="0.35">
      <c r="A1983" s="188" t="s">
        <v>6471</v>
      </c>
      <c r="B1983" s="651" t="s">
        <v>5763</v>
      </c>
      <c r="C1983" s="302" t="s">
        <v>7741</v>
      </c>
      <c r="D1983" s="189" t="s">
        <v>7742</v>
      </c>
      <c r="E1983" s="188">
        <v>4</v>
      </c>
      <c r="F1983" s="190">
        <v>45462</v>
      </c>
      <c r="G1983" s="188">
        <v>4</v>
      </c>
      <c r="H1983" s="193"/>
      <c r="I1983" s="188" t="s">
        <v>7541</v>
      </c>
      <c r="K1983" s="192" t="s">
        <v>5365</v>
      </c>
      <c r="L1983" s="35"/>
    </row>
    <row r="1984" spans="1:12" s="188" customFormat="1" ht="11.25" customHeight="1" x14ac:dyDescent="0.35">
      <c r="A1984" s="188" t="s">
        <v>6471</v>
      </c>
      <c r="B1984" s="651" t="s">
        <v>5763</v>
      </c>
      <c r="C1984" s="302" t="s">
        <v>7743</v>
      </c>
      <c r="D1984" s="189" t="s">
        <v>7744</v>
      </c>
      <c r="E1984" s="188">
        <v>4</v>
      </c>
      <c r="F1984" s="190">
        <v>45462</v>
      </c>
      <c r="G1984" s="188">
        <v>4</v>
      </c>
      <c r="H1984" s="193"/>
      <c r="I1984" s="188" t="s">
        <v>7541</v>
      </c>
      <c r="K1984" s="192" t="s">
        <v>5365</v>
      </c>
      <c r="L1984" s="35"/>
    </row>
    <row r="1985" spans="1:12" s="188" customFormat="1" ht="11.25" customHeight="1" x14ac:dyDescent="0.35">
      <c r="A1985" s="188" t="s">
        <v>6471</v>
      </c>
      <c r="B1985" s="651" t="s">
        <v>5763</v>
      </c>
      <c r="C1985" s="302" t="s">
        <v>7745</v>
      </c>
      <c r="D1985" s="189" t="s">
        <v>5828</v>
      </c>
      <c r="E1985" s="188">
        <v>4</v>
      </c>
      <c r="F1985" s="190">
        <v>45462</v>
      </c>
      <c r="G1985" s="188">
        <v>4</v>
      </c>
      <c r="H1985" s="193"/>
      <c r="I1985" s="188" t="s">
        <v>7541</v>
      </c>
      <c r="K1985" s="192" t="s">
        <v>5365</v>
      </c>
      <c r="L1985" s="35"/>
    </row>
    <row r="1986" spans="1:12" s="188" customFormat="1" ht="11.25" customHeight="1" x14ac:dyDescent="0.35">
      <c r="A1986" s="188" t="s">
        <v>6471</v>
      </c>
      <c r="B1986" s="651" t="s">
        <v>5763</v>
      </c>
      <c r="C1986" s="302" t="s">
        <v>7746</v>
      </c>
      <c r="D1986" s="189" t="s">
        <v>7729</v>
      </c>
      <c r="E1986" s="188">
        <v>6</v>
      </c>
      <c r="F1986" s="190">
        <v>45462</v>
      </c>
      <c r="G1986" s="188">
        <v>6</v>
      </c>
      <c r="H1986" s="193"/>
      <c r="I1986" s="188" t="s">
        <v>7541</v>
      </c>
      <c r="K1986" s="192" t="s">
        <v>5365</v>
      </c>
      <c r="L1986" s="35"/>
    </row>
    <row r="1987" spans="1:12" s="188" customFormat="1" ht="11.25" customHeight="1" x14ac:dyDescent="0.35">
      <c r="A1987" s="188" t="s">
        <v>6471</v>
      </c>
      <c r="B1987" s="651" t="s">
        <v>5763</v>
      </c>
      <c r="C1987" s="302" t="s">
        <v>7747</v>
      </c>
      <c r="D1987" s="189" t="s">
        <v>7748</v>
      </c>
      <c r="E1987" s="188">
        <v>6</v>
      </c>
      <c r="F1987" s="190">
        <v>45462</v>
      </c>
      <c r="G1987" s="188">
        <v>6</v>
      </c>
      <c r="H1987" s="193"/>
      <c r="I1987" s="188" t="s">
        <v>7541</v>
      </c>
      <c r="K1987" s="192" t="s">
        <v>5365</v>
      </c>
      <c r="L1987" s="35"/>
    </row>
    <row r="1988" spans="1:12" s="188" customFormat="1" ht="11.25" customHeight="1" x14ac:dyDescent="0.35">
      <c r="A1988" s="188" t="s">
        <v>6471</v>
      </c>
      <c r="B1988" s="651" t="s">
        <v>5763</v>
      </c>
      <c r="C1988" s="302" t="s">
        <v>7749</v>
      </c>
      <c r="D1988" s="189" t="s">
        <v>5828</v>
      </c>
      <c r="E1988" s="188">
        <v>4</v>
      </c>
      <c r="F1988" s="190">
        <v>45462</v>
      </c>
      <c r="G1988" s="188">
        <v>4</v>
      </c>
      <c r="H1988" s="193"/>
      <c r="I1988" s="188" t="s">
        <v>7541</v>
      </c>
      <c r="K1988" s="192" t="s">
        <v>5365</v>
      </c>
      <c r="L1988" s="35"/>
    </row>
    <row r="1989" spans="1:12" s="188" customFormat="1" ht="11.25" customHeight="1" x14ac:dyDescent="0.35">
      <c r="A1989" s="188" t="s">
        <v>6471</v>
      </c>
      <c r="B1989" s="651" t="s">
        <v>5763</v>
      </c>
      <c r="C1989" s="302" t="s">
        <v>7750</v>
      </c>
      <c r="D1989" s="189" t="s">
        <v>7751</v>
      </c>
      <c r="E1989" s="188">
        <v>4</v>
      </c>
      <c r="F1989" s="190">
        <v>45462</v>
      </c>
      <c r="G1989" s="188">
        <v>4</v>
      </c>
      <c r="H1989" s="193"/>
      <c r="I1989" s="188" t="s">
        <v>7541</v>
      </c>
      <c r="K1989" s="192" t="s">
        <v>5365</v>
      </c>
      <c r="L1989" s="35"/>
    </row>
    <row r="1990" spans="1:12" s="188" customFormat="1" ht="11.25" customHeight="1" x14ac:dyDescent="0.35">
      <c r="A1990" s="188" t="s">
        <v>6471</v>
      </c>
      <c r="B1990" s="651" t="s">
        <v>5763</v>
      </c>
      <c r="C1990" s="302" t="s">
        <v>7752</v>
      </c>
      <c r="D1990" s="189" t="s">
        <v>7753</v>
      </c>
      <c r="E1990" s="188">
        <v>4</v>
      </c>
      <c r="F1990" s="190">
        <v>45462</v>
      </c>
      <c r="G1990" s="188">
        <v>4</v>
      </c>
      <c r="H1990" s="193"/>
      <c r="I1990" s="188" t="s">
        <v>7541</v>
      </c>
      <c r="K1990" s="192" t="s">
        <v>5365</v>
      </c>
      <c r="L1990" s="35"/>
    </row>
    <row r="1991" spans="1:12" s="188" customFormat="1" ht="11.25" customHeight="1" x14ac:dyDescent="0.35">
      <c r="A1991" s="188" t="s">
        <v>6471</v>
      </c>
      <c r="B1991" s="651" t="s">
        <v>5763</v>
      </c>
      <c r="C1991" s="302" t="s">
        <v>7754</v>
      </c>
      <c r="D1991" s="189" t="s">
        <v>7755</v>
      </c>
      <c r="E1991" s="188">
        <v>4</v>
      </c>
      <c r="F1991" s="190">
        <v>45462</v>
      </c>
      <c r="G1991" s="188">
        <v>4</v>
      </c>
      <c r="H1991" s="193"/>
      <c r="I1991" s="188" t="s">
        <v>7541</v>
      </c>
      <c r="K1991" s="192" t="s">
        <v>5365</v>
      </c>
      <c r="L1991" s="35"/>
    </row>
    <row r="1992" spans="1:12" s="188" customFormat="1" ht="11.25" customHeight="1" x14ac:dyDescent="0.35">
      <c r="A1992" s="188" t="s">
        <v>6471</v>
      </c>
      <c r="B1992" s="651" t="s">
        <v>5763</v>
      </c>
      <c r="C1992" s="302" t="s">
        <v>7756</v>
      </c>
      <c r="D1992" s="189" t="s">
        <v>7757</v>
      </c>
      <c r="E1992" s="188">
        <v>1</v>
      </c>
      <c r="F1992" s="190">
        <v>45462</v>
      </c>
      <c r="G1992" s="188">
        <v>1</v>
      </c>
      <c r="H1992" s="193"/>
      <c r="I1992" s="188" t="s">
        <v>7541</v>
      </c>
      <c r="K1992" s="192" t="s">
        <v>5365</v>
      </c>
      <c r="L1992" s="35"/>
    </row>
    <row r="1993" spans="1:12" s="188" customFormat="1" ht="11.25" customHeight="1" x14ac:dyDescent="0.35">
      <c r="A1993" s="188" t="s">
        <v>6471</v>
      </c>
      <c r="B1993" s="651" t="s">
        <v>5763</v>
      </c>
      <c r="C1993" s="302" t="s">
        <v>7758</v>
      </c>
      <c r="D1993" s="189" t="s">
        <v>7759</v>
      </c>
      <c r="E1993" s="188">
        <v>1</v>
      </c>
      <c r="F1993" s="190">
        <v>45462</v>
      </c>
      <c r="G1993" s="188">
        <v>1</v>
      </c>
      <c r="H1993" s="193"/>
      <c r="I1993" s="188" t="s">
        <v>7541</v>
      </c>
      <c r="K1993" s="192" t="s">
        <v>5365</v>
      </c>
      <c r="L1993" s="35"/>
    </row>
    <row r="1994" spans="1:12" s="188" customFormat="1" ht="11.25" customHeight="1" x14ac:dyDescent="0.35">
      <c r="A1994" s="188" t="s">
        <v>6471</v>
      </c>
      <c r="B1994" s="651" t="s">
        <v>5763</v>
      </c>
      <c r="C1994" s="302" t="s">
        <v>7760</v>
      </c>
      <c r="D1994" s="189" t="s">
        <v>7761</v>
      </c>
      <c r="E1994" s="188">
        <v>1</v>
      </c>
      <c r="F1994" s="190">
        <v>45462</v>
      </c>
      <c r="G1994" s="188">
        <v>1</v>
      </c>
      <c r="H1994" s="193"/>
      <c r="I1994" s="188" t="s">
        <v>7541</v>
      </c>
      <c r="K1994" s="192" t="s">
        <v>5365</v>
      </c>
      <c r="L1994" s="35"/>
    </row>
    <row r="1995" spans="1:12" s="188" customFormat="1" ht="11.25" customHeight="1" x14ac:dyDescent="0.35">
      <c r="A1995" s="188" t="s">
        <v>6471</v>
      </c>
      <c r="B1995" s="651" t="s">
        <v>5763</v>
      </c>
      <c r="C1995" s="302" t="s">
        <v>7762</v>
      </c>
      <c r="D1995" s="189" t="s">
        <v>5415</v>
      </c>
      <c r="E1995" s="188">
        <v>1</v>
      </c>
      <c r="F1995" s="190">
        <v>45462</v>
      </c>
      <c r="G1995" s="188">
        <v>1</v>
      </c>
      <c r="H1995" s="193"/>
      <c r="I1995" s="188" t="s">
        <v>7541</v>
      </c>
      <c r="K1995" s="192" t="s">
        <v>5365</v>
      </c>
      <c r="L1995" s="35"/>
    </row>
    <row r="1996" spans="1:12" s="188" customFormat="1" ht="11.25" customHeight="1" x14ac:dyDescent="0.35">
      <c r="A1996" s="188" t="s">
        <v>6471</v>
      </c>
      <c r="B1996" s="651" t="s">
        <v>5763</v>
      </c>
      <c r="C1996" s="302" t="s">
        <v>7763</v>
      </c>
      <c r="D1996" s="189" t="s">
        <v>7764</v>
      </c>
      <c r="E1996" s="188">
        <v>3</v>
      </c>
      <c r="F1996" s="190">
        <v>45462</v>
      </c>
      <c r="G1996" s="188">
        <v>3</v>
      </c>
      <c r="H1996" s="193"/>
      <c r="I1996" s="188" t="s">
        <v>7541</v>
      </c>
      <c r="K1996" s="192" t="s">
        <v>5365</v>
      </c>
      <c r="L1996" s="35"/>
    </row>
    <row r="1997" spans="1:12" s="188" customFormat="1" ht="11.25" customHeight="1" x14ac:dyDescent="0.35">
      <c r="A1997" s="188" t="s">
        <v>6471</v>
      </c>
      <c r="B1997" s="651" t="s">
        <v>5763</v>
      </c>
      <c r="C1997" s="302" t="s">
        <v>7765</v>
      </c>
      <c r="D1997" s="189" t="s">
        <v>5793</v>
      </c>
      <c r="E1997" s="188">
        <v>1</v>
      </c>
      <c r="F1997" s="190">
        <v>45462</v>
      </c>
      <c r="G1997" s="188">
        <v>1</v>
      </c>
      <c r="H1997" s="193"/>
      <c r="I1997" s="188" t="s">
        <v>7541</v>
      </c>
      <c r="K1997" s="192" t="s">
        <v>5365</v>
      </c>
      <c r="L1997" s="35"/>
    </row>
    <row r="1998" spans="1:12" s="188" customFormat="1" ht="11.25" customHeight="1" x14ac:dyDescent="0.35">
      <c r="A1998" s="188" t="s">
        <v>6471</v>
      </c>
      <c r="B1998" s="651" t="s">
        <v>5763</v>
      </c>
      <c r="C1998" s="302" t="s">
        <v>7766</v>
      </c>
      <c r="D1998" s="189" t="s">
        <v>6685</v>
      </c>
      <c r="E1998" s="188">
        <v>1</v>
      </c>
      <c r="F1998" s="190">
        <v>45462</v>
      </c>
      <c r="G1998" s="188">
        <v>1</v>
      </c>
      <c r="H1998" s="193"/>
      <c r="I1998" s="188" t="s">
        <v>7541</v>
      </c>
      <c r="K1998" s="192" t="s">
        <v>5365</v>
      </c>
      <c r="L1998" s="35"/>
    </row>
    <row r="1999" spans="1:12" s="188" customFormat="1" ht="11.25" customHeight="1" x14ac:dyDescent="0.35">
      <c r="A1999" s="188" t="s">
        <v>6471</v>
      </c>
      <c r="B1999" s="651" t="s">
        <v>5763</v>
      </c>
      <c r="C1999" s="302" t="s">
        <v>7767</v>
      </c>
      <c r="D1999" s="189" t="s">
        <v>5396</v>
      </c>
      <c r="E1999" s="188">
        <v>2</v>
      </c>
      <c r="F1999" s="190">
        <v>45462</v>
      </c>
      <c r="G1999" s="188">
        <v>2</v>
      </c>
      <c r="H1999" s="193"/>
      <c r="I1999" s="188" t="s">
        <v>7541</v>
      </c>
      <c r="K1999" s="192" t="s">
        <v>5365</v>
      </c>
      <c r="L1999" s="35"/>
    </row>
    <row r="2000" spans="1:12" s="188" customFormat="1" ht="11.25" customHeight="1" x14ac:dyDescent="0.35">
      <c r="A2000" s="188" t="s">
        <v>6471</v>
      </c>
      <c r="B2000" s="651" t="s">
        <v>5763</v>
      </c>
      <c r="C2000" s="302" t="s">
        <v>7768</v>
      </c>
      <c r="D2000" s="189" t="s">
        <v>7769</v>
      </c>
      <c r="E2000" s="188">
        <v>2</v>
      </c>
      <c r="F2000" s="190">
        <v>45462</v>
      </c>
      <c r="G2000" s="188">
        <v>2</v>
      </c>
      <c r="H2000" s="193"/>
      <c r="I2000" s="188" t="s">
        <v>7541</v>
      </c>
      <c r="K2000" s="192" t="s">
        <v>5365</v>
      </c>
      <c r="L2000" s="35"/>
    </row>
    <row r="2001" spans="1:12" s="188" customFormat="1" ht="11.25" customHeight="1" x14ac:dyDescent="0.35">
      <c r="A2001" s="188" t="s">
        <v>6471</v>
      </c>
      <c r="B2001" s="651" t="s">
        <v>5763</v>
      </c>
      <c r="C2001" s="302" t="s">
        <v>7770</v>
      </c>
      <c r="D2001" s="189" t="s">
        <v>7771</v>
      </c>
      <c r="E2001" s="188">
        <v>2</v>
      </c>
      <c r="F2001" s="190">
        <v>45462</v>
      </c>
      <c r="G2001" s="188">
        <v>2</v>
      </c>
      <c r="H2001" s="193"/>
      <c r="I2001" s="188" t="s">
        <v>7541</v>
      </c>
      <c r="K2001" s="192" t="s">
        <v>5365</v>
      </c>
      <c r="L2001" s="35"/>
    </row>
    <row r="2002" spans="1:12" s="188" customFormat="1" ht="11.25" customHeight="1" x14ac:dyDescent="0.35">
      <c r="A2002" s="188" t="s">
        <v>6471</v>
      </c>
      <c r="B2002" s="651" t="s">
        <v>5763</v>
      </c>
      <c r="C2002" s="302" t="s">
        <v>7772</v>
      </c>
      <c r="D2002" s="189" t="s">
        <v>7773</v>
      </c>
      <c r="E2002" s="188">
        <v>2</v>
      </c>
      <c r="F2002" s="190">
        <v>45462</v>
      </c>
      <c r="G2002" s="188">
        <v>2</v>
      </c>
      <c r="H2002" s="193"/>
      <c r="I2002" s="188" t="s">
        <v>7541</v>
      </c>
      <c r="K2002" s="192" t="s">
        <v>5365</v>
      </c>
      <c r="L2002" s="35"/>
    </row>
    <row r="2003" spans="1:12" s="188" customFormat="1" ht="11.25" customHeight="1" x14ac:dyDescent="0.35">
      <c r="A2003" s="188" t="s">
        <v>6471</v>
      </c>
      <c r="B2003" s="651" t="s">
        <v>5763</v>
      </c>
      <c r="C2003" s="302" t="s">
        <v>7774</v>
      </c>
      <c r="D2003" s="189" t="s">
        <v>7775</v>
      </c>
      <c r="E2003" s="188">
        <v>1</v>
      </c>
      <c r="F2003" s="190">
        <v>45462</v>
      </c>
      <c r="G2003" s="188">
        <v>1</v>
      </c>
      <c r="H2003" s="193"/>
      <c r="I2003" s="188" t="s">
        <v>7541</v>
      </c>
      <c r="K2003" s="192" t="s">
        <v>5365</v>
      </c>
      <c r="L2003" s="35"/>
    </row>
    <row r="2004" spans="1:12" s="188" customFormat="1" ht="11.25" customHeight="1" x14ac:dyDescent="0.35">
      <c r="A2004" s="188" t="s">
        <v>6471</v>
      </c>
      <c r="B2004" s="651" t="s">
        <v>5763</v>
      </c>
      <c r="C2004" s="302" t="s">
        <v>7776</v>
      </c>
      <c r="D2004" s="189" t="s">
        <v>7777</v>
      </c>
      <c r="E2004" s="188">
        <v>1</v>
      </c>
      <c r="F2004" s="190">
        <v>45462</v>
      </c>
      <c r="G2004" s="188">
        <v>1</v>
      </c>
      <c r="H2004" s="193"/>
      <c r="I2004" s="188" t="s">
        <v>7541</v>
      </c>
      <c r="K2004" s="192" t="s">
        <v>5365</v>
      </c>
      <c r="L2004" s="35"/>
    </row>
    <row r="2005" spans="1:12" s="188" customFormat="1" ht="11.25" customHeight="1" x14ac:dyDescent="0.35">
      <c r="A2005" s="188" t="s">
        <v>6471</v>
      </c>
      <c r="B2005" s="651" t="s">
        <v>5763</v>
      </c>
      <c r="C2005" s="302" t="s">
        <v>7778</v>
      </c>
      <c r="D2005" s="189" t="s">
        <v>7779</v>
      </c>
      <c r="E2005" s="188">
        <v>1</v>
      </c>
      <c r="F2005" s="190">
        <v>45462</v>
      </c>
      <c r="G2005" s="188">
        <v>1</v>
      </c>
      <c r="H2005" s="193"/>
      <c r="I2005" s="188" t="s">
        <v>7541</v>
      </c>
      <c r="K2005" s="192" t="s">
        <v>5365</v>
      </c>
      <c r="L2005" s="35"/>
    </row>
    <row r="2006" spans="1:12" s="188" customFormat="1" ht="11.25" customHeight="1" x14ac:dyDescent="0.35">
      <c r="A2006" s="188" t="s">
        <v>6471</v>
      </c>
      <c r="B2006" s="651" t="s">
        <v>5763</v>
      </c>
      <c r="C2006" s="302" t="s">
        <v>7780</v>
      </c>
      <c r="D2006" s="189" t="s">
        <v>5396</v>
      </c>
      <c r="E2006" s="188">
        <v>2</v>
      </c>
      <c r="F2006" s="190">
        <v>45462</v>
      </c>
      <c r="G2006" s="188">
        <v>2</v>
      </c>
      <c r="H2006" s="193"/>
      <c r="I2006" s="188" t="s">
        <v>7541</v>
      </c>
      <c r="K2006" s="192" t="s">
        <v>5365</v>
      </c>
      <c r="L2006" s="35"/>
    </row>
    <row r="2007" spans="1:12" s="188" customFormat="1" ht="11.25" customHeight="1" x14ac:dyDescent="0.35">
      <c r="A2007" s="188" t="s">
        <v>6471</v>
      </c>
      <c r="B2007" s="651" t="s">
        <v>5763</v>
      </c>
      <c r="C2007" s="302" t="s">
        <v>7781</v>
      </c>
      <c r="D2007" s="189" t="s">
        <v>7782</v>
      </c>
      <c r="E2007" s="188">
        <v>2</v>
      </c>
      <c r="F2007" s="190">
        <v>45462</v>
      </c>
      <c r="G2007" s="188">
        <v>2</v>
      </c>
      <c r="H2007" s="193"/>
      <c r="I2007" s="188" t="s">
        <v>7541</v>
      </c>
      <c r="K2007" s="192" t="s">
        <v>5365</v>
      </c>
      <c r="L2007" s="35"/>
    </row>
    <row r="2008" spans="1:12" s="188" customFormat="1" ht="11.25" customHeight="1" x14ac:dyDescent="0.35">
      <c r="A2008" s="188" t="s">
        <v>6471</v>
      </c>
      <c r="B2008" s="651" t="s">
        <v>5763</v>
      </c>
      <c r="C2008" s="302" t="s">
        <v>7783</v>
      </c>
      <c r="D2008" s="189" t="s">
        <v>7784</v>
      </c>
      <c r="E2008" s="188">
        <v>1</v>
      </c>
      <c r="F2008" s="190">
        <v>45462</v>
      </c>
      <c r="G2008" s="188">
        <v>1</v>
      </c>
      <c r="H2008" s="193"/>
      <c r="I2008" s="188" t="s">
        <v>7541</v>
      </c>
      <c r="K2008" s="192" t="s">
        <v>5365</v>
      </c>
      <c r="L2008" s="35"/>
    </row>
    <row r="2009" spans="1:12" s="38" customFormat="1" ht="11.25" customHeight="1" x14ac:dyDescent="0.35">
      <c r="A2009" s="38" t="s">
        <v>4832</v>
      </c>
      <c r="B2009" s="39" t="s">
        <v>4340</v>
      </c>
      <c r="C2009" s="106" t="s">
        <v>1709</v>
      </c>
      <c r="D2009" s="82" t="s">
        <v>7785</v>
      </c>
      <c r="E2009" s="38">
        <v>1</v>
      </c>
      <c r="F2009" s="26">
        <v>45464</v>
      </c>
      <c r="G2009" s="25">
        <v>1</v>
      </c>
      <c r="H2009" s="160">
        <v>45469</v>
      </c>
      <c r="I2009" s="38" t="s">
        <v>6040</v>
      </c>
      <c r="K2009" s="70" t="s">
        <v>5365</v>
      </c>
      <c r="L2009" s="39"/>
    </row>
    <row r="2010" spans="1:12" ht="11.25" customHeight="1" x14ac:dyDescent="0.35">
      <c r="A2010" s="33" t="s">
        <v>4832</v>
      </c>
      <c r="B2010" s="35" t="s">
        <v>4340</v>
      </c>
      <c r="C2010" s="272" t="s">
        <v>2804</v>
      </c>
      <c r="D2010" s="31" t="s">
        <v>2393</v>
      </c>
      <c r="E2010" s="33">
        <v>5</v>
      </c>
      <c r="F2010" s="22">
        <v>45464</v>
      </c>
      <c r="K2010" s="70" t="s">
        <v>5338</v>
      </c>
    </row>
    <row r="2011" spans="1:12" s="38" customFormat="1" ht="11.25" customHeight="1" x14ac:dyDescent="0.35">
      <c r="A2011" s="38" t="s">
        <v>4832</v>
      </c>
      <c r="B2011" s="39" t="s">
        <v>4340</v>
      </c>
      <c r="C2011" s="106" t="s">
        <v>7786</v>
      </c>
      <c r="D2011" s="82" t="s">
        <v>7787</v>
      </c>
      <c r="E2011" s="38">
        <v>1</v>
      </c>
      <c r="F2011" s="26">
        <v>45464</v>
      </c>
      <c r="G2011" s="25">
        <v>1</v>
      </c>
      <c r="H2011" s="160">
        <v>45469</v>
      </c>
      <c r="I2011" s="38" t="s">
        <v>6040</v>
      </c>
      <c r="K2011" s="70" t="s">
        <v>5365</v>
      </c>
      <c r="L2011" s="39"/>
    </row>
    <row r="2012" spans="1:12" s="38" customFormat="1" ht="11.25" customHeight="1" x14ac:dyDescent="0.35">
      <c r="A2012" s="38" t="s">
        <v>4832</v>
      </c>
      <c r="B2012" s="39" t="s">
        <v>4340</v>
      </c>
      <c r="C2012" s="106" t="s">
        <v>7788</v>
      </c>
      <c r="D2012" s="82" t="s">
        <v>7789</v>
      </c>
      <c r="E2012" s="38">
        <v>1</v>
      </c>
      <c r="F2012" s="26">
        <v>45464</v>
      </c>
      <c r="G2012" s="25">
        <v>1</v>
      </c>
      <c r="H2012" s="160">
        <v>45469</v>
      </c>
      <c r="I2012" s="38" t="s">
        <v>6040</v>
      </c>
      <c r="K2012" s="70" t="s">
        <v>5365</v>
      </c>
      <c r="L2012" s="39"/>
    </row>
    <row r="2013" spans="1:12" ht="11.25" customHeight="1" x14ac:dyDescent="0.35">
      <c r="A2013" s="33" t="s">
        <v>4832</v>
      </c>
      <c r="B2013" s="35" t="s">
        <v>4340</v>
      </c>
      <c r="C2013" s="272" t="s">
        <v>7790</v>
      </c>
      <c r="D2013" s="31" t="s">
        <v>7791</v>
      </c>
      <c r="E2013" s="33">
        <v>1</v>
      </c>
      <c r="F2013" s="22">
        <v>45464</v>
      </c>
      <c r="K2013" s="70" t="s">
        <v>5338</v>
      </c>
    </row>
    <row r="2014" spans="1:12" ht="11.25" customHeight="1" x14ac:dyDescent="0.35">
      <c r="A2014" s="33" t="s">
        <v>4832</v>
      </c>
      <c r="B2014" s="35" t="s">
        <v>4340</v>
      </c>
      <c r="C2014" s="272" t="s">
        <v>7792</v>
      </c>
      <c r="D2014" s="31" t="s">
        <v>7793</v>
      </c>
      <c r="E2014" s="33">
        <v>1</v>
      </c>
      <c r="F2014" s="22">
        <v>45464</v>
      </c>
      <c r="K2014" s="70" t="s">
        <v>5338</v>
      </c>
    </row>
    <row r="2015" spans="1:12" ht="11.25" customHeight="1" x14ac:dyDescent="0.35">
      <c r="A2015" s="33" t="s">
        <v>4832</v>
      </c>
      <c r="B2015" s="35" t="s">
        <v>4340</v>
      </c>
      <c r="C2015" s="272" t="s">
        <v>7794</v>
      </c>
      <c r="D2015" s="31" t="s">
        <v>7795</v>
      </c>
      <c r="E2015" s="33">
        <v>1</v>
      </c>
      <c r="F2015" s="22">
        <v>45464</v>
      </c>
      <c r="K2015" s="70" t="s">
        <v>5338</v>
      </c>
    </row>
    <row r="2016" spans="1:12" ht="11.25" customHeight="1" x14ac:dyDescent="0.35">
      <c r="A2016" s="33" t="s">
        <v>4832</v>
      </c>
      <c r="B2016" s="35" t="s">
        <v>4340</v>
      </c>
      <c r="C2016" s="272" t="s">
        <v>7796</v>
      </c>
      <c r="D2016" s="31" t="s">
        <v>7797</v>
      </c>
      <c r="E2016" s="33">
        <v>1</v>
      </c>
      <c r="F2016" s="22">
        <v>45464</v>
      </c>
      <c r="K2016" s="70" t="s">
        <v>5338</v>
      </c>
    </row>
    <row r="2017" spans="1:12" ht="11.25" customHeight="1" x14ac:dyDescent="0.35">
      <c r="A2017" s="33" t="s">
        <v>4832</v>
      </c>
      <c r="B2017" s="35" t="s">
        <v>4340</v>
      </c>
      <c r="C2017" s="272" t="s">
        <v>7798</v>
      </c>
      <c r="D2017" s="31" t="s">
        <v>7799</v>
      </c>
      <c r="E2017" s="33">
        <v>4</v>
      </c>
      <c r="F2017" s="22">
        <v>45464</v>
      </c>
      <c r="K2017" s="70" t="s">
        <v>5338</v>
      </c>
    </row>
    <row r="2018" spans="1:12" s="83" customFormat="1" ht="11.25" customHeight="1" x14ac:dyDescent="0.35">
      <c r="A2018" s="83" t="s">
        <v>4832</v>
      </c>
      <c r="B2018" s="86" t="s">
        <v>4340</v>
      </c>
      <c r="C2018" s="295" t="s">
        <v>2240</v>
      </c>
      <c r="D2018" s="84" t="s">
        <v>7800</v>
      </c>
      <c r="E2018" s="83">
        <v>3</v>
      </c>
      <c r="F2018" s="24">
        <v>45464</v>
      </c>
      <c r="G2018" s="23">
        <v>2</v>
      </c>
      <c r="H2018" s="160">
        <v>45469</v>
      </c>
      <c r="I2018" s="38" t="s">
        <v>6040</v>
      </c>
      <c r="K2018" s="85" t="s">
        <v>5365</v>
      </c>
      <c r="L2018" s="86"/>
    </row>
    <row r="2019" spans="1:12" ht="11.25" customHeight="1" x14ac:dyDescent="0.35">
      <c r="A2019" s="33" t="s">
        <v>4832</v>
      </c>
      <c r="B2019" s="35" t="s">
        <v>4340</v>
      </c>
      <c r="C2019" s="272" t="s">
        <v>7801</v>
      </c>
      <c r="D2019" s="31" t="s">
        <v>7802</v>
      </c>
      <c r="E2019" s="33">
        <v>1</v>
      </c>
      <c r="F2019" s="22">
        <v>45464</v>
      </c>
      <c r="K2019" s="70" t="s">
        <v>5338</v>
      </c>
    </row>
    <row r="2020" spans="1:12" ht="11.25" customHeight="1" x14ac:dyDescent="0.35">
      <c r="A2020" s="33" t="s">
        <v>4832</v>
      </c>
      <c r="B2020" s="35" t="s">
        <v>4340</v>
      </c>
      <c r="C2020" s="272" t="s">
        <v>2165</v>
      </c>
      <c r="D2020" s="31" t="s">
        <v>7803</v>
      </c>
      <c r="E2020" s="33">
        <v>1</v>
      </c>
      <c r="F2020" s="22">
        <v>45464</v>
      </c>
      <c r="K2020" s="70" t="s">
        <v>5338</v>
      </c>
    </row>
    <row r="2021" spans="1:12" ht="11.25" customHeight="1" x14ac:dyDescent="0.35">
      <c r="A2021" s="33" t="s">
        <v>4832</v>
      </c>
      <c r="B2021" s="35" t="s">
        <v>4340</v>
      </c>
      <c r="C2021" s="272" t="s">
        <v>7804</v>
      </c>
      <c r="D2021" s="31" t="s">
        <v>7805</v>
      </c>
      <c r="E2021" s="33">
        <v>1</v>
      </c>
      <c r="F2021" s="22">
        <v>45464</v>
      </c>
      <c r="K2021" s="70" t="s">
        <v>5338</v>
      </c>
    </row>
    <row r="2022" spans="1:12" ht="11.25" customHeight="1" x14ac:dyDescent="0.35">
      <c r="A2022" s="33" t="s">
        <v>4832</v>
      </c>
      <c r="B2022" s="35" t="s">
        <v>4340</v>
      </c>
      <c r="C2022" s="272" t="s">
        <v>7421</v>
      </c>
      <c r="D2022" s="31" t="s">
        <v>7422</v>
      </c>
      <c r="E2022" s="33">
        <v>1</v>
      </c>
      <c r="F2022" s="22">
        <v>45464</v>
      </c>
      <c r="K2022" s="70" t="s">
        <v>5338</v>
      </c>
    </row>
    <row r="2023" spans="1:12" ht="11.25" customHeight="1" x14ac:dyDescent="0.35">
      <c r="A2023" s="33" t="s">
        <v>4832</v>
      </c>
      <c r="B2023" s="35" t="s">
        <v>4340</v>
      </c>
      <c r="C2023" s="272" t="s">
        <v>3884</v>
      </c>
      <c r="D2023" s="31" t="s">
        <v>7806</v>
      </c>
      <c r="E2023" s="33">
        <v>1</v>
      </c>
      <c r="F2023" s="22">
        <v>45464</v>
      </c>
      <c r="K2023" s="70" t="s">
        <v>5338</v>
      </c>
    </row>
    <row r="2024" spans="1:12" s="38" customFormat="1" ht="11.25" customHeight="1" x14ac:dyDescent="0.35">
      <c r="A2024" s="38" t="s">
        <v>4832</v>
      </c>
      <c r="B2024" s="39" t="s">
        <v>4340</v>
      </c>
      <c r="C2024" s="106" t="s">
        <v>3890</v>
      </c>
      <c r="D2024" s="82" t="s">
        <v>5137</v>
      </c>
      <c r="E2024" s="38">
        <v>1</v>
      </c>
      <c r="F2024" s="26">
        <v>45464</v>
      </c>
      <c r="G2024" s="25">
        <v>1</v>
      </c>
      <c r="H2024" s="160">
        <v>45469</v>
      </c>
      <c r="I2024" s="38" t="s">
        <v>6040</v>
      </c>
      <c r="K2024" s="70" t="s">
        <v>5365</v>
      </c>
      <c r="L2024" s="39"/>
    </row>
    <row r="2025" spans="1:12" s="38" customFormat="1" ht="11.25" customHeight="1" x14ac:dyDescent="0.35">
      <c r="A2025" s="38" t="s">
        <v>4832</v>
      </c>
      <c r="B2025" s="39" t="s">
        <v>4340</v>
      </c>
      <c r="C2025" s="106" t="s">
        <v>2612</v>
      </c>
      <c r="D2025" s="82" t="s">
        <v>7807</v>
      </c>
      <c r="E2025" s="38">
        <v>2</v>
      </c>
      <c r="F2025" s="26">
        <v>45464</v>
      </c>
      <c r="G2025" s="25" t="s">
        <v>7150</v>
      </c>
      <c r="H2025" s="160">
        <v>45469</v>
      </c>
      <c r="I2025" s="82" t="s">
        <v>7808</v>
      </c>
      <c r="K2025" s="70" t="s">
        <v>5365</v>
      </c>
      <c r="L2025" s="86"/>
    </row>
    <row r="2026" spans="1:12" ht="11.25" customHeight="1" x14ac:dyDescent="0.35">
      <c r="A2026" s="33" t="s">
        <v>4832</v>
      </c>
      <c r="B2026" s="35" t="s">
        <v>4340</v>
      </c>
      <c r="C2026" s="272" t="s">
        <v>7809</v>
      </c>
      <c r="D2026" s="31" t="s">
        <v>7810</v>
      </c>
      <c r="E2026" s="33">
        <v>1</v>
      </c>
      <c r="F2026" s="22">
        <v>45464</v>
      </c>
      <c r="K2026" s="70" t="s">
        <v>5338</v>
      </c>
    </row>
    <row r="2027" spans="1:12" ht="11.25" customHeight="1" x14ac:dyDescent="0.35">
      <c r="A2027" s="33" t="s">
        <v>4832</v>
      </c>
      <c r="B2027" s="35" t="s">
        <v>4340</v>
      </c>
      <c r="C2027" s="272" t="s">
        <v>7811</v>
      </c>
      <c r="D2027" s="31" t="s">
        <v>7812</v>
      </c>
      <c r="E2027" s="33">
        <v>2</v>
      </c>
      <c r="F2027" s="22">
        <v>45464</v>
      </c>
      <c r="K2027" s="70" t="s">
        <v>5338</v>
      </c>
    </row>
    <row r="2028" spans="1:12" s="38" customFormat="1" ht="11.25" customHeight="1" x14ac:dyDescent="0.35">
      <c r="A2028" s="38" t="s">
        <v>4832</v>
      </c>
      <c r="B2028" s="39" t="s">
        <v>4340</v>
      </c>
      <c r="C2028" s="106" t="s">
        <v>7813</v>
      </c>
      <c r="D2028" s="82" t="s">
        <v>7814</v>
      </c>
      <c r="E2028" s="38">
        <v>2</v>
      </c>
      <c r="F2028" s="26">
        <v>45464</v>
      </c>
      <c r="G2028" s="25">
        <v>1</v>
      </c>
      <c r="H2028" s="160">
        <v>45469</v>
      </c>
      <c r="I2028" s="38" t="s">
        <v>6040</v>
      </c>
      <c r="K2028" s="70" t="s">
        <v>5365</v>
      </c>
      <c r="L2028" s="39"/>
    </row>
    <row r="2029" spans="1:12" ht="11.25" customHeight="1" x14ac:dyDescent="0.35">
      <c r="A2029" s="33" t="s">
        <v>4832</v>
      </c>
      <c r="B2029" s="35" t="s">
        <v>4340</v>
      </c>
      <c r="C2029" s="272" t="s">
        <v>2730</v>
      </c>
      <c r="D2029" s="31" t="s">
        <v>4815</v>
      </c>
      <c r="E2029" s="33">
        <v>2</v>
      </c>
      <c r="F2029" s="22">
        <v>45464</v>
      </c>
      <c r="G2029" s="21">
        <v>1</v>
      </c>
      <c r="H2029" s="160">
        <v>45469</v>
      </c>
      <c r="I2029" s="38" t="s">
        <v>6040</v>
      </c>
      <c r="K2029" s="70" t="s">
        <v>5365</v>
      </c>
    </row>
    <row r="2030" spans="1:12" s="38" customFormat="1" ht="11.25" customHeight="1" x14ac:dyDescent="0.35">
      <c r="A2030" s="38" t="s">
        <v>4832</v>
      </c>
      <c r="B2030" s="39" t="s">
        <v>4340</v>
      </c>
      <c r="C2030" s="106" t="s">
        <v>4585</v>
      </c>
      <c r="D2030" s="82" t="s">
        <v>7815</v>
      </c>
      <c r="E2030" s="38">
        <v>1</v>
      </c>
      <c r="F2030" s="26">
        <v>45464</v>
      </c>
      <c r="G2030" s="25">
        <v>1</v>
      </c>
      <c r="H2030" s="160">
        <v>45469</v>
      </c>
      <c r="I2030" s="38" t="s">
        <v>6040</v>
      </c>
      <c r="K2030" s="70" t="s">
        <v>5365</v>
      </c>
      <c r="L2030" s="39"/>
    </row>
    <row r="2031" spans="1:12" ht="11.25" customHeight="1" x14ac:dyDescent="0.35">
      <c r="A2031" s="33" t="s">
        <v>4832</v>
      </c>
      <c r="B2031" s="35" t="s">
        <v>4340</v>
      </c>
      <c r="C2031" s="272" t="s">
        <v>1901</v>
      </c>
      <c r="D2031" s="31" t="s">
        <v>1751</v>
      </c>
      <c r="E2031" s="33">
        <v>1</v>
      </c>
      <c r="F2031" s="22">
        <v>45464</v>
      </c>
      <c r="K2031" s="70" t="s">
        <v>5338</v>
      </c>
    </row>
    <row r="2032" spans="1:12" s="83" customFormat="1" ht="11.25" customHeight="1" x14ac:dyDescent="0.35">
      <c r="A2032" s="83" t="s">
        <v>4832</v>
      </c>
      <c r="B2032" s="86" t="s">
        <v>4340</v>
      </c>
      <c r="C2032" s="295" t="s">
        <v>1959</v>
      </c>
      <c r="D2032" s="84" t="s">
        <v>7816</v>
      </c>
      <c r="E2032" s="83">
        <v>10</v>
      </c>
      <c r="F2032" s="24">
        <v>45464</v>
      </c>
      <c r="G2032" s="23" t="s">
        <v>7817</v>
      </c>
      <c r="H2032" s="180">
        <v>45469</v>
      </c>
      <c r="I2032" s="83" t="s">
        <v>6040</v>
      </c>
      <c r="K2032" s="85" t="s">
        <v>5511</v>
      </c>
      <c r="L2032" s="86"/>
    </row>
    <row r="2033" spans="1:12" ht="11.25" customHeight="1" x14ac:dyDescent="0.35">
      <c r="A2033" s="33" t="s">
        <v>4832</v>
      </c>
      <c r="B2033" s="35" t="s">
        <v>4340</v>
      </c>
      <c r="C2033" s="272" t="s">
        <v>3166</v>
      </c>
      <c r="D2033" s="31" t="s">
        <v>7818</v>
      </c>
      <c r="E2033" s="33">
        <v>2</v>
      </c>
      <c r="F2033" s="22">
        <v>45464</v>
      </c>
      <c r="K2033" s="70" t="s">
        <v>5338</v>
      </c>
    </row>
    <row r="2034" spans="1:12" s="38" customFormat="1" ht="11.25" customHeight="1" x14ac:dyDescent="0.35">
      <c r="A2034" s="38" t="s">
        <v>4832</v>
      </c>
      <c r="B2034" s="39" t="s">
        <v>4340</v>
      </c>
      <c r="C2034" s="106" t="s">
        <v>2157</v>
      </c>
      <c r="D2034" s="82" t="s">
        <v>7819</v>
      </c>
      <c r="E2034" s="38">
        <v>1</v>
      </c>
      <c r="F2034" s="26">
        <v>45464</v>
      </c>
      <c r="G2034" s="25">
        <v>1</v>
      </c>
      <c r="H2034" s="160">
        <v>45469</v>
      </c>
      <c r="I2034" s="38" t="s">
        <v>6040</v>
      </c>
      <c r="K2034" s="70" t="s">
        <v>5365</v>
      </c>
      <c r="L2034" s="39"/>
    </row>
    <row r="2035" spans="1:12" s="38" customFormat="1" ht="11.25" customHeight="1" x14ac:dyDescent="0.35">
      <c r="A2035" s="38" t="s">
        <v>4832</v>
      </c>
      <c r="B2035" s="39" t="s">
        <v>4340</v>
      </c>
      <c r="C2035" s="106" t="s">
        <v>1015</v>
      </c>
      <c r="D2035" s="82" t="s">
        <v>1865</v>
      </c>
      <c r="E2035" s="38">
        <v>2</v>
      </c>
      <c r="F2035" s="26">
        <v>45464</v>
      </c>
      <c r="G2035" s="25">
        <v>2</v>
      </c>
      <c r="H2035" s="160"/>
      <c r="K2035" s="70" t="s">
        <v>5338</v>
      </c>
      <c r="L2035" s="39"/>
    </row>
    <row r="2036" spans="1:12" ht="11.25" customHeight="1" x14ac:dyDescent="0.35">
      <c r="A2036" s="33" t="s">
        <v>4832</v>
      </c>
      <c r="B2036" s="35" t="s">
        <v>4340</v>
      </c>
      <c r="C2036" s="272" t="s">
        <v>7820</v>
      </c>
      <c r="D2036" s="31" t="s">
        <v>7821</v>
      </c>
      <c r="E2036" s="33">
        <v>1</v>
      </c>
      <c r="F2036" s="22">
        <v>45464</v>
      </c>
      <c r="H2036" s="160">
        <v>45469</v>
      </c>
      <c r="I2036" s="38" t="s">
        <v>6040</v>
      </c>
      <c r="K2036" s="70" t="s">
        <v>5365</v>
      </c>
    </row>
    <row r="2037" spans="1:12" ht="11.25" customHeight="1" x14ac:dyDescent="0.35">
      <c r="A2037" s="33" t="s">
        <v>4832</v>
      </c>
      <c r="B2037" s="35" t="s">
        <v>4340</v>
      </c>
      <c r="C2037" s="272" t="s">
        <v>7822</v>
      </c>
      <c r="D2037" s="149" t="s">
        <v>7823</v>
      </c>
      <c r="E2037" s="33">
        <v>1</v>
      </c>
      <c r="F2037" s="22">
        <v>45464</v>
      </c>
      <c r="K2037" s="70" t="s">
        <v>5338</v>
      </c>
    </row>
    <row r="2038" spans="1:12" s="38" customFormat="1" ht="11.25" customHeight="1" x14ac:dyDescent="0.35">
      <c r="A2038" s="38" t="s">
        <v>4832</v>
      </c>
      <c r="B2038" s="39" t="s">
        <v>4340</v>
      </c>
      <c r="C2038" s="106" t="s">
        <v>7824</v>
      </c>
      <c r="D2038" s="82" t="s">
        <v>7825</v>
      </c>
      <c r="E2038" s="38">
        <v>1</v>
      </c>
      <c r="F2038" s="26">
        <v>45464</v>
      </c>
      <c r="G2038" s="25"/>
      <c r="H2038" s="160">
        <v>45469</v>
      </c>
      <c r="I2038" s="38" t="s">
        <v>6040</v>
      </c>
      <c r="K2038" s="70" t="s">
        <v>5365</v>
      </c>
      <c r="L2038" s="39"/>
    </row>
    <row r="2039" spans="1:12" ht="11.25" customHeight="1" x14ac:dyDescent="0.35">
      <c r="A2039" s="33" t="s">
        <v>4832</v>
      </c>
      <c r="B2039" s="35" t="s">
        <v>4340</v>
      </c>
      <c r="C2039" s="272" t="s">
        <v>2874</v>
      </c>
      <c r="D2039" s="31" t="s">
        <v>7826</v>
      </c>
      <c r="E2039" s="33">
        <v>1</v>
      </c>
      <c r="F2039" s="22">
        <v>45464</v>
      </c>
      <c r="K2039" s="70" t="s">
        <v>5338</v>
      </c>
    </row>
    <row r="2040" spans="1:12" ht="11.25" customHeight="1" x14ac:dyDescent="0.35">
      <c r="A2040" s="33" t="s">
        <v>4832</v>
      </c>
      <c r="B2040" s="35" t="s">
        <v>4340</v>
      </c>
      <c r="C2040" s="272" t="s">
        <v>2444</v>
      </c>
      <c r="D2040" s="31" t="s">
        <v>7827</v>
      </c>
      <c r="E2040" s="33">
        <v>1</v>
      </c>
      <c r="F2040" s="22">
        <v>45464</v>
      </c>
      <c r="K2040" s="70" t="s">
        <v>5338</v>
      </c>
    </row>
    <row r="2041" spans="1:12" ht="11.25" customHeight="1" x14ac:dyDescent="0.35">
      <c r="A2041" s="33" t="s">
        <v>4832</v>
      </c>
      <c r="B2041" s="35" t="s">
        <v>4340</v>
      </c>
      <c r="C2041" s="272" t="s">
        <v>7375</v>
      </c>
      <c r="D2041" s="31" t="s">
        <v>7376</v>
      </c>
      <c r="E2041" s="33">
        <v>1</v>
      </c>
      <c r="F2041" s="22">
        <v>45464</v>
      </c>
      <c r="K2041" s="70" t="s">
        <v>5338</v>
      </c>
    </row>
    <row r="2042" spans="1:12" s="38" customFormat="1" ht="11.25" customHeight="1" x14ac:dyDescent="0.35">
      <c r="A2042" s="38" t="s">
        <v>4832</v>
      </c>
      <c r="B2042" s="39" t="s">
        <v>4340</v>
      </c>
      <c r="C2042" s="106" t="s">
        <v>3163</v>
      </c>
      <c r="D2042" s="82" t="s">
        <v>7828</v>
      </c>
      <c r="E2042" s="38">
        <v>1</v>
      </c>
      <c r="F2042" s="26">
        <v>45464</v>
      </c>
      <c r="G2042" s="25">
        <v>1</v>
      </c>
      <c r="H2042" s="160">
        <v>45469</v>
      </c>
      <c r="I2042" s="38" t="s">
        <v>6040</v>
      </c>
      <c r="K2042" s="70" t="s">
        <v>5365</v>
      </c>
      <c r="L2042" s="39"/>
    </row>
    <row r="2043" spans="1:12" s="38" customFormat="1" ht="11.25" customHeight="1" x14ac:dyDescent="0.35">
      <c r="A2043" s="38" t="s">
        <v>4832</v>
      </c>
      <c r="B2043" s="39" t="s">
        <v>4340</v>
      </c>
      <c r="C2043" s="106" t="s">
        <v>7829</v>
      </c>
      <c r="D2043" s="82" t="s">
        <v>6156</v>
      </c>
      <c r="E2043" s="38">
        <v>1</v>
      </c>
      <c r="F2043" s="26">
        <v>45464</v>
      </c>
      <c r="G2043" s="25">
        <v>1</v>
      </c>
      <c r="H2043" s="160">
        <v>45469</v>
      </c>
      <c r="I2043" s="38" t="s">
        <v>6040</v>
      </c>
      <c r="K2043" s="70" t="s">
        <v>5365</v>
      </c>
      <c r="L2043" s="39"/>
    </row>
    <row r="2044" spans="1:12" ht="11.25" customHeight="1" x14ac:dyDescent="0.35">
      <c r="A2044" s="33" t="s">
        <v>4832</v>
      </c>
      <c r="B2044" s="35" t="s">
        <v>4340</v>
      </c>
      <c r="C2044" s="272" t="s">
        <v>3381</v>
      </c>
      <c r="D2044" s="31" t="s">
        <v>7830</v>
      </c>
      <c r="E2044" s="33">
        <v>1</v>
      </c>
      <c r="F2044" s="22">
        <v>45464</v>
      </c>
      <c r="K2044" s="70" t="s">
        <v>5338</v>
      </c>
    </row>
    <row r="2045" spans="1:12" s="38" customFormat="1" ht="11.25" customHeight="1" x14ac:dyDescent="0.35">
      <c r="A2045" s="38" t="s">
        <v>4832</v>
      </c>
      <c r="B2045" s="39" t="s">
        <v>4340</v>
      </c>
      <c r="C2045" s="106" t="s">
        <v>3058</v>
      </c>
      <c r="D2045" s="82" t="s">
        <v>7831</v>
      </c>
      <c r="E2045" s="38">
        <v>2</v>
      </c>
      <c r="F2045" s="26">
        <v>45464</v>
      </c>
      <c r="G2045" s="25">
        <v>2</v>
      </c>
      <c r="H2045" s="160">
        <v>45469</v>
      </c>
      <c r="I2045" s="38" t="s">
        <v>6040</v>
      </c>
      <c r="K2045" s="70" t="s">
        <v>5365</v>
      </c>
      <c r="L2045" s="39"/>
    </row>
    <row r="2046" spans="1:12" ht="11.25" customHeight="1" x14ac:dyDescent="0.35">
      <c r="A2046" s="33" t="s">
        <v>4832</v>
      </c>
      <c r="B2046" s="35" t="s">
        <v>4340</v>
      </c>
      <c r="C2046" s="272" t="s">
        <v>3385</v>
      </c>
      <c r="D2046" s="31" t="s">
        <v>4158</v>
      </c>
      <c r="E2046" s="33">
        <v>1</v>
      </c>
      <c r="F2046" s="22">
        <v>45464</v>
      </c>
      <c r="K2046" s="70" t="s">
        <v>5338</v>
      </c>
    </row>
    <row r="2047" spans="1:12" ht="11.25" customHeight="1" x14ac:dyDescent="0.35">
      <c r="A2047" s="33" t="s">
        <v>4832</v>
      </c>
      <c r="B2047" s="35" t="s">
        <v>4340</v>
      </c>
      <c r="C2047" s="272" t="s">
        <v>725</v>
      </c>
      <c r="D2047" s="31" t="s">
        <v>7832</v>
      </c>
      <c r="E2047" s="33">
        <v>1</v>
      </c>
      <c r="F2047" s="22">
        <v>45464</v>
      </c>
      <c r="K2047" s="70" t="s">
        <v>5338</v>
      </c>
    </row>
    <row r="2048" spans="1:12" s="38" customFormat="1" ht="11.25" customHeight="1" x14ac:dyDescent="0.35">
      <c r="A2048" s="38" t="s">
        <v>4832</v>
      </c>
      <c r="B2048" s="39" t="s">
        <v>4340</v>
      </c>
      <c r="C2048" s="106" t="s">
        <v>3402</v>
      </c>
      <c r="D2048" s="82" t="s">
        <v>2393</v>
      </c>
      <c r="E2048" s="38">
        <v>10</v>
      </c>
      <c r="F2048" s="26">
        <v>45464</v>
      </c>
      <c r="G2048" s="38">
        <v>10</v>
      </c>
      <c r="H2048" s="160">
        <v>45469</v>
      </c>
      <c r="I2048" s="38" t="s">
        <v>6040</v>
      </c>
      <c r="K2048" s="70" t="s">
        <v>5365</v>
      </c>
      <c r="L2048" s="39"/>
    </row>
    <row r="2049" spans="1:12" s="243" customFormat="1" ht="11.25" customHeight="1" x14ac:dyDescent="0.35">
      <c r="A2049" s="243" t="s">
        <v>4832</v>
      </c>
      <c r="B2049" s="247" t="s">
        <v>4340</v>
      </c>
      <c r="C2049" s="303" t="s">
        <v>3388</v>
      </c>
      <c r="D2049" s="244" t="s">
        <v>3389</v>
      </c>
      <c r="E2049" s="243">
        <v>1</v>
      </c>
      <c r="F2049" s="245">
        <v>45464</v>
      </c>
      <c r="G2049" s="243">
        <v>1</v>
      </c>
      <c r="H2049" s="246"/>
      <c r="K2049" s="70" t="s">
        <v>5365</v>
      </c>
      <c r="L2049" s="247"/>
    </row>
    <row r="2050" spans="1:12" s="243" customFormat="1" ht="11.25" customHeight="1" x14ac:dyDescent="0.35">
      <c r="A2050" s="243" t="s">
        <v>4832</v>
      </c>
      <c r="B2050" s="247" t="s">
        <v>4340</v>
      </c>
      <c r="C2050" s="303" t="s">
        <v>3392</v>
      </c>
      <c r="D2050" s="244" t="s">
        <v>3393</v>
      </c>
      <c r="E2050" s="243">
        <v>4</v>
      </c>
      <c r="F2050" s="245">
        <v>45464</v>
      </c>
      <c r="G2050" s="243">
        <v>4</v>
      </c>
      <c r="H2050" s="246"/>
      <c r="K2050" s="70" t="s">
        <v>5365</v>
      </c>
      <c r="L2050" s="247"/>
    </row>
    <row r="2051" spans="1:12" s="243" customFormat="1" ht="11.25" customHeight="1" x14ac:dyDescent="0.35">
      <c r="A2051" s="243" t="s">
        <v>4832</v>
      </c>
      <c r="B2051" s="247" t="s">
        <v>4340</v>
      </c>
      <c r="C2051" s="303" t="s">
        <v>3395</v>
      </c>
      <c r="D2051" s="244" t="s">
        <v>3393</v>
      </c>
      <c r="E2051" s="243">
        <v>6</v>
      </c>
      <c r="F2051" s="245">
        <v>45464</v>
      </c>
      <c r="G2051" s="243">
        <v>6</v>
      </c>
      <c r="H2051" s="246"/>
      <c r="K2051" s="70" t="s">
        <v>5365</v>
      </c>
      <c r="L2051" s="247"/>
    </row>
    <row r="2052" spans="1:12" s="248" customFormat="1" ht="11.25" customHeight="1" x14ac:dyDescent="0.35">
      <c r="A2052" s="248" t="s">
        <v>4917</v>
      </c>
      <c r="B2052" s="252" t="s">
        <v>6752</v>
      </c>
      <c r="C2052" s="304" t="s">
        <v>7833</v>
      </c>
      <c r="D2052" s="249" t="s">
        <v>7834</v>
      </c>
      <c r="E2052" s="248">
        <v>12</v>
      </c>
      <c r="F2052" s="250">
        <v>45464</v>
      </c>
      <c r="H2052" s="251"/>
      <c r="K2052" s="70" t="s">
        <v>5338</v>
      </c>
      <c r="L2052" s="252"/>
    </row>
    <row r="2053" spans="1:12" s="202" customFormat="1" ht="11.25" customHeight="1" x14ac:dyDescent="0.35">
      <c r="A2053" s="202" t="s">
        <v>4917</v>
      </c>
      <c r="B2053" s="45" t="s">
        <v>6752</v>
      </c>
      <c r="C2053" s="300" t="s">
        <v>7835</v>
      </c>
      <c r="D2053" s="204" t="s">
        <v>7834</v>
      </c>
      <c r="E2053" s="202">
        <v>24</v>
      </c>
      <c r="F2053" s="253">
        <v>45464</v>
      </c>
      <c r="H2053" s="206"/>
      <c r="K2053" s="254" t="s">
        <v>5338</v>
      </c>
      <c r="L2053" s="252"/>
    </row>
    <row r="2054" spans="1:12" s="87" customFormat="1" ht="11.25" customHeight="1" x14ac:dyDescent="0.35">
      <c r="A2054" s="87" t="s">
        <v>4917</v>
      </c>
      <c r="B2054" s="62" t="s">
        <v>6752</v>
      </c>
      <c r="C2054" s="279" t="s">
        <v>7836</v>
      </c>
      <c r="D2054" s="88" t="s">
        <v>7834</v>
      </c>
      <c r="E2054" s="87">
        <v>1</v>
      </c>
      <c r="F2054" s="28">
        <v>45464</v>
      </c>
      <c r="G2054" s="87">
        <v>1</v>
      </c>
      <c r="H2054" s="164"/>
      <c r="K2054" s="70" t="s">
        <v>5365</v>
      </c>
      <c r="L2054" s="252"/>
    </row>
    <row r="2055" spans="1:12" s="87" customFormat="1" ht="11.25" customHeight="1" x14ac:dyDescent="0.35">
      <c r="A2055" s="87" t="s">
        <v>4917</v>
      </c>
      <c r="B2055" s="62" t="s">
        <v>6752</v>
      </c>
      <c r="C2055" s="279" t="s">
        <v>7837</v>
      </c>
      <c r="D2055" s="88" t="s">
        <v>7834</v>
      </c>
      <c r="E2055" s="87">
        <v>1</v>
      </c>
      <c r="F2055" s="28">
        <v>45464</v>
      </c>
      <c r="G2055" s="87">
        <v>1</v>
      </c>
      <c r="H2055" s="164"/>
      <c r="K2055" s="70" t="s">
        <v>5365</v>
      </c>
      <c r="L2055" s="252"/>
    </row>
    <row r="2056" spans="1:12" s="87" customFormat="1" ht="11.25" customHeight="1" x14ac:dyDescent="0.35">
      <c r="A2056" s="87" t="s">
        <v>4917</v>
      </c>
      <c r="B2056" s="62" t="s">
        <v>6752</v>
      </c>
      <c r="C2056" s="279" t="s">
        <v>7838</v>
      </c>
      <c r="D2056" s="88" t="s">
        <v>7839</v>
      </c>
      <c r="E2056" s="87">
        <v>1</v>
      </c>
      <c r="F2056" s="28">
        <v>45464</v>
      </c>
      <c r="H2056" s="164"/>
      <c r="K2056" s="70" t="s">
        <v>5365</v>
      </c>
      <c r="L2056" s="252"/>
    </row>
    <row r="2057" spans="1:12" s="202" customFormat="1" ht="11.25" customHeight="1" x14ac:dyDescent="0.35">
      <c r="A2057" s="202" t="s">
        <v>4917</v>
      </c>
      <c r="B2057" s="45" t="s">
        <v>6752</v>
      </c>
      <c r="C2057" s="300" t="s">
        <v>7840</v>
      </c>
      <c r="D2057" s="204" t="s">
        <v>7841</v>
      </c>
      <c r="E2057" s="202">
        <v>1</v>
      </c>
      <c r="F2057" s="253">
        <v>45464</v>
      </c>
      <c r="G2057" s="202">
        <v>1</v>
      </c>
      <c r="H2057" s="206"/>
      <c r="K2057" s="254" t="s">
        <v>5338</v>
      </c>
      <c r="L2057" s="252"/>
    </row>
    <row r="2058" spans="1:12" s="87" customFormat="1" ht="11.25" customHeight="1" x14ac:dyDescent="0.35">
      <c r="A2058" s="87" t="s">
        <v>4917</v>
      </c>
      <c r="B2058" s="62" t="s">
        <v>6752</v>
      </c>
      <c r="C2058" s="279" t="s">
        <v>7842</v>
      </c>
      <c r="D2058" s="88" t="s">
        <v>7843</v>
      </c>
      <c r="E2058" s="87">
        <v>1</v>
      </c>
      <c r="F2058" s="28">
        <v>45464</v>
      </c>
      <c r="G2058" s="87">
        <v>1</v>
      </c>
      <c r="H2058" s="164"/>
      <c r="K2058" s="70" t="s">
        <v>5365</v>
      </c>
      <c r="L2058" s="252"/>
    </row>
    <row r="2059" spans="1:12" s="202" customFormat="1" ht="11.25" customHeight="1" x14ac:dyDescent="0.35">
      <c r="A2059" s="202" t="s">
        <v>4917</v>
      </c>
      <c r="B2059" s="45" t="s">
        <v>6752</v>
      </c>
      <c r="C2059" s="300" t="s">
        <v>7844</v>
      </c>
      <c r="D2059" s="204" t="s">
        <v>7845</v>
      </c>
      <c r="E2059" s="202">
        <v>12</v>
      </c>
      <c r="F2059" s="253">
        <v>45464</v>
      </c>
      <c r="H2059" s="206"/>
      <c r="K2059" s="254" t="s">
        <v>5338</v>
      </c>
      <c r="L2059" s="252"/>
    </row>
    <row r="2060" spans="1:12" s="87" customFormat="1" ht="11.25" customHeight="1" x14ac:dyDescent="0.35">
      <c r="A2060" s="87" t="s">
        <v>4917</v>
      </c>
      <c r="B2060" s="62" t="s">
        <v>6752</v>
      </c>
      <c r="C2060" s="279" t="s">
        <v>7846</v>
      </c>
      <c r="D2060" s="88" t="s">
        <v>7847</v>
      </c>
      <c r="E2060" s="87">
        <v>10</v>
      </c>
      <c r="F2060" s="28">
        <v>45464</v>
      </c>
      <c r="G2060" s="87">
        <v>10</v>
      </c>
      <c r="H2060" s="164"/>
      <c r="K2060" s="70" t="s">
        <v>5365</v>
      </c>
      <c r="L2060" s="252"/>
    </row>
    <row r="2061" spans="1:12" s="87" customFormat="1" ht="11.25" customHeight="1" x14ac:dyDescent="0.35">
      <c r="A2061" s="87" t="s">
        <v>4917</v>
      </c>
      <c r="B2061" s="62" t="s">
        <v>6752</v>
      </c>
      <c r="C2061" s="279" t="s">
        <v>7848</v>
      </c>
      <c r="D2061" s="88" t="s">
        <v>7849</v>
      </c>
      <c r="E2061" s="87">
        <v>12</v>
      </c>
      <c r="F2061" s="28">
        <v>45464</v>
      </c>
      <c r="G2061" s="87">
        <v>12</v>
      </c>
      <c r="H2061" s="164"/>
      <c r="K2061" s="70" t="s">
        <v>5365</v>
      </c>
      <c r="L2061" s="252"/>
    </row>
    <row r="2062" spans="1:12" s="202" customFormat="1" ht="11.25" customHeight="1" x14ac:dyDescent="0.35">
      <c r="A2062" s="202" t="s">
        <v>4917</v>
      </c>
      <c r="B2062" s="45" t="s">
        <v>6752</v>
      </c>
      <c r="C2062" s="300" t="s">
        <v>7850</v>
      </c>
      <c r="D2062" s="204" t="s">
        <v>7851</v>
      </c>
      <c r="E2062" s="202">
        <v>2</v>
      </c>
      <c r="F2062" s="253">
        <v>45464</v>
      </c>
      <c r="H2062" s="206"/>
      <c r="K2062" s="254" t="s">
        <v>5338</v>
      </c>
      <c r="L2062" s="252"/>
    </row>
    <row r="2063" spans="1:12" s="87" customFormat="1" ht="11.25" customHeight="1" x14ac:dyDescent="0.35">
      <c r="A2063" s="87" t="s">
        <v>4917</v>
      </c>
      <c r="B2063" s="62" t="s">
        <v>6752</v>
      </c>
      <c r="C2063" s="279" t="s">
        <v>7852</v>
      </c>
      <c r="D2063" s="88" t="s">
        <v>7853</v>
      </c>
      <c r="E2063" s="87">
        <v>5</v>
      </c>
      <c r="F2063" s="28">
        <v>45464</v>
      </c>
      <c r="G2063" s="87">
        <v>5</v>
      </c>
      <c r="H2063" s="164"/>
      <c r="K2063" s="70" t="s">
        <v>5365</v>
      </c>
      <c r="L2063" s="252"/>
    </row>
    <row r="2064" spans="1:12" s="87" customFormat="1" ht="11.25" customHeight="1" x14ac:dyDescent="0.35">
      <c r="A2064" s="87" t="s">
        <v>4917</v>
      </c>
      <c r="B2064" s="62" t="s">
        <v>6752</v>
      </c>
      <c r="C2064" s="279" t="s">
        <v>7854</v>
      </c>
      <c r="D2064" s="88" t="s">
        <v>7855</v>
      </c>
      <c r="E2064" s="87">
        <v>1</v>
      </c>
      <c r="F2064" s="28">
        <v>45464</v>
      </c>
      <c r="G2064" s="87">
        <v>1</v>
      </c>
      <c r="H2064" s="164"/>
      <c r="K2064" s="70" t="s">
        <v>5365</v>
      </c>
      <c r="L2064" s="252"/>
    </row>
    <row r="2065" spans="1:12" s="202" customFormat="1" ht="11.25" customHeight="1" x14ac:dyDescent="0.35">
      <c r="A2065" s="202" t="s">
        <v>4917</v>
      </c>
      <c r="B2065" s="45" t="s">
        <v>6752</v>
      </c>
      <c r="C2065" s="300" t="s">
        <v>7856</v>
      </c>
      <c r="D2065" s="204" t="s">
        <v>7857</v>
      </c>
      <c r="E2065" s="202">
        <v>24</v>
      </c>
      <c r="F2065" s="253">
        <v>45464</v>
      </c>
      <c r="H2065" s="206"/>
      <c r="K2065" s="254" t="s">
        <v>5338</v>
      </c>
      <c r="L2065" s="252"/>
    </row>
    <row r="2066" spans="1:12" s="202" customFormat="1" ht="11.25" customHeight="1" x14ac:dyDescent="0.35">
      <c r="A2066" s="202" t="s">
        <v>4917</v>
      </c>
      <c r="B2066" s="45" t="s">
        <v>6752</v>
      </c>
      <c r="C2066" s="300" t="s">
        <v>7858</v>
      </c>
      <c r="D2066" s="204" t="s">
        <v>7857</v>
      </c>
      <c r="E2066" s="202">
        <v>24</v>
      </c>
      <c r="F2066" s="253">
        <v>45464</v>
      </c>
      <c r="H2066" s="206"/>
      <c r="K2066" s="254" t="s">
        <v>5338</v>
      </c>
      <c r="L2066" s="252"/>
    </row>
    <row r="2067" spans="1:12" s="202" customFormat="1" ht="11.25" customHeight="1" x14ac:dyDescent="0.35">
      <c r="A2067" s="202" t="s">
        <v>4917</v>
      </c>
      <c r="B2067" s="45" t="s">
        <v>6752</v>
      </c>
      <c r="C2067" s="300" t="s">
        <v>7859</v>
      </c>
      <c r="D2067" s="204" t="s">
        <v>7860</v>
      </c>
      <c r="E2067" s="202">
        <v>48</v>
      </c>
      <c r="F2067" s="253">
        <v>45464</v>
      </c>
      <c r="H2067" s="206"/>
      <c r="K2067" s="254" t="s">
        <v>5338</v>
      </c>
      <c r="L2067" s="252"/>
    </row>
    <row r="2068" spans="1:12" s="202" customFormat="1" ht="11.25" customHeight="1" x14ac:dyDescent="0.35">
      <c r="A2068" s="202" t="s">
        <v>4917</v>
      </c>
      <c r="B2068" s="45" t="s">
        <v>6752</v>
      </c>
      <c r="C2068" s="300" t="s">
        <v>7861</v>
      </c>
      <c r="D2068" s="204" t="s">
        <v>7862</v>
      </c>
      <c r="E2068" s="202">
        <v>96</v>
      </c>
      <c r="F2068" s="253">
        <v>45464</v>
      </c>
      <c r="H2068" s="206"/>
      <c r="K2068" s="254" t="s">
        <v>5338</v>
      </c>
      <c r="L2068" s="252"/>
    </row>
    <row r="2069" spans="1:12" s="87" customFormat="1" ht="11.25" customHeight="1" x14ac:dyDescent="0.35">
      <c r="A2069" s="87" t="s">
        <v>4917</v>
      </c>
      <c r="B2069" s="62" t="s">
        <v>6752</v>
      </c>
      <c r="C2069" s="279" t="s">
        <v>7863</v>
      </c>
      <c r="D2069" s="88" t="s">
        <v>7864</v>
      </c>
      <c r="E2069" s="87">
        <v>96</v>
      </c>
      <c r="F2069" s="28">
        <v>45464</v>
      </c>
      <c r="G2069" s="87">
        <v>96</v>
      </c>
      <c r="H2069" s="164"/>
      <c r="K2069" s="70" t="s">
        <v>5365</v>
      </c>
      <c r="L2069" s="252"/>
    </row>
    <row r="2070" spans="1:12" s="87" customFormat="1" ht="11.25" customHeight="1" x14ac:dyDescent="0.35">
      <c r="A2070" s="87" t="s">
        <v>4917</v>
      </c>
      <c r="B2070" s="62" t="s">
        <v>6752</v>
      </c>
      <c r="C2070" s="279" t="s">
        <v>7865</v>
      </c>
      <c r="D2070" s="88" t="s">
        <v>7866</v>
      </c>
      <c r="E2070" s="87">
        <v>48</v>
      </c>
      <c r="F2070" s="28">
        <v>45464</v>
      </c>
      <c r="G2070" s="87">
        <v>48</v>
      </c>
      <c r="H2070" s="164"/>
      <c r="K2070" s="70" t="s">
        <v>5365</v>
      </c>
      <c r="L2070" s="252"/>
    </row>
    <row r="2071" spans="1:12" s="202" customFormat="1" ht="11.25" customHeight="1" x14ac:dyDescent="0.35">
      <c r="A2071" s="202" t="s">
        <v>4917</v>
      </c>
      <c r="B2071" s="45" t="s">
        <v>6752</v>
      </c>
      <c r="C2071" s="300" t="s">
        <v>7867</v>
      </c>
      <c r="D2071" s="204" t="s">
        <v>7868</v>
      </c>
      <c r="E2071" s="202">
        <v>12</v>
      </c>
      <c r="F2071" s="253">
        <v>45464</v>
      </c>
      <c r="H2071" s="206"/>
      <c r="K2071" s="254" t="s">
        <v>5338</v>
      </c>
      <c r="L2071" s="252"/>
    </row>
    <row r="2072" spans="1:12" s="202" customFormat="1" ht="11.25" customHeight="1" x14ac:dyDescent="0.35">
      <c r="A2072" s="202" t="s">
        <v>4917</v>
      </c>
      <c r="B2072" s="45" t="s">
        <v>6752</v>
      </c>
      <c r="C2072" s="300" t="s">
        <v>7869</v>
      </c>
      <c r="D2072" s="204" t="s">
        <v>7870</v>
      </c>
      <c r="E2072" s="202">
        <v>24</v>
      </c>
      <c r="F2072" s="253">
        <v>45464</v>
      </c>
      <c r="H2072" s="206"/>
      <c r="K2072" s="254" t="s">
        <v>5338</v>
      </c>
      <c r="L2072" s="252"/>
    </row>
    <row r="2073" spans="1:12" s="87" customFormat="1" ht="11.25" customHeight="1" x14ac:dyDescent="0.35">
      <c r="A2073" s="87" t="s">
        <v>4917</v>
      </c>
      <c r="B2073" s="62" t="s">
        <v>6752</v>
      </c>
      <c r="C2073" s="279" t="s">
        <v>7871</v>
      </c>
      <c r="D2073" s="88" t="s">
        <v>7872</v>
      </c>
      <c r="E2073" s="87">
        <v>48</v>
      </c>
      <c r="F2073" s="28">
        <v>45464</v>
      </c>
      <c r="G2073" s="87">
        <v>48</v>
      </c>
      <c r="H2073" s="164"/>
      <c r="K2073" s="70" t="s">
        <v>5365</v>
      </c>
      <c r="L2073" s="252"/>
    </row>
    <row r="2074" spans="1:12" s="202" customFormat="1" ht="11.25" customHeight="1" x14ac:dyDescent="0.35">
      <c r="A2074" s="202" t="s">
        <v>4917</v>
      </c>
      <c r="B2074" s="45" t="s">
        <v>6752</v>
      </c>
      <c r="C2074" s="300" t="s">
        <v>7873</v>
      </c>
      <c r="D2074" s="204" t="s">
        <v>6403</v>
      </c>
      <c r="E2074" s="202">
        <v>48</v>
      </c>
      <c r="F2074" s="253">
        <v>45464</v>
      </c>
      <c r="H2074" s="206"/>
      <c r="K2074" s="254" t="s">
        <v>5338</v>
      </c>
      <c r="L2074" s="252"/>
    </row>
    <row r="2075" spans="1:12" s="202" customFormat="1" ht="11.25" customHeight="1" x14ac:dyDescent="0.35">
      <c r="A2075" s="202" t="s">
        <v>4917</v>
      </c>
      <c r="B2075" s="45" t="s">
        <v>6752</v>
      </c>
      <c r="C2075" s="300" t="s">
        <v>7874</v>
      </c>
      <c r="D2075" s="204" t="s">
        <v>7875</v>
      </c>
      <c r="E2075" s="202">
        <v>1020</v>
      </c>
      <c r="F2075" s="253">
        <v>45464</v>
      </c>
      <c r="H2075" s="206"/>
      <c r="K2075" s="254" t="s">
        <v>5338</v>
      </c>
      <c r="L2075" s="252"/>
    </row>
    <row r="2076" spans="1:12" s="202" customFormat="1" ht="11.25" customHeight="1" x14ac:dyDescent="0.35">
      <c r="A2076" s="202" t="s">
        <v>4917</v>
      </c>
      <c r="B2076" s="45" t="s">
        <v>6752</v>
      </c>
      <c r="C2076" s="300" t="s">
        <v>7876</v>
      </c>
      <c r="D2076" s="204" t="s">
        <v>7877</v>
      </c>
      <c r="E2076" s="202">
        <v>60</v>
      </c>
      <c r="F2076" s="253">
        <v>45464</v>
      </c>
      <c r="H2076" s="206"/>
      <c r="K2076" s="254" t="s">
        <v>5338</v>
      </c>
      <c r="L2076" s="252"/>
    </row>
    <row r="2077" spans="1:12" ht="11.25" customHeight="1" x14ac:dyDescent="0.35">
      <c r="A2077" s="33" t="s">
        <v>6142</v>
      </c>
      <c r="B2077" s="35" t="s">
        <v>7878</v>
      </c>
      <c r="C2077" s="272" t="s">
        <v>7879</v>
      </c>
      <c r="D2077" s="31" t="s">
        <v>7880</v>
      </c>
      <c r="E2077" s="33">
        <v>1</v>
      </c>
      <c r="F2077" s="22">
        <v>45464</v>
      </c>
      <c r="K2077" s="70" t="s">
        <v>5338</v>
      </c>
    </row>
    <row r="2078" spans="1:12" s="38" customFormat="1" ht="11.25" customHeight="1" x14ac:dyDescent="0.35">
      <c r="A2078" s="38" t="s">
        <v>6142</v>
      </c>
      <c r="B2078" s="39" t="s">
        <v>7878</v>
      </c>
      <c r="C2078" s="106" t="s">
        <v>3563</v>
      </c>
      <c r="D2078" s="82" t="s">
        <v>7881</v>
      </c>
      <c r="E2078" s="38">
        <v>4</v>
      </c>
      <c r="F2078" s="26">
        <v>45464</v>
      </c>
      <c r="G2078" s="25">
        <v>4</v>
      </c>
      <c r="H2078" s="160">
        <v>45559</v>
      </c>
      <c r="I2078" s="38" t="s">
        <v>5433</v>
      </c>
      <c r="K2078" s="70" t="s">
        <v>5365</v>
      </c>
      <c r="L2078" s="39"/>
    </row>
    <row r="2079" spans="1:12" s="43" customFormat="1" ht="11.25" customHeight="1" x14ac:dyDescent="0.35">
      <c r="A2079" s="43" t="s">
        <v>6142</v>
      </c>
      <c r="B2079" s="44" t="s">
        <v>7878</v>
      </c>
      <c r="C2079" s="275" t="s">
        <v>7882</v>
      </c>
      <c r="D2079" s="89" t="s">
        <v>7883</v>
      </c>
      <c r="E2079" s="43">
        <v>2</v>
      </c>
      <c r="F2079" s="30">
        <v>45464</v>
      </c>
      <c r="G2079" s="29">
        <v>1</v>
      </c>
      <c r="H2079" s="163">
        <v>45504</v>
      </c>
      <c r="I2079" s="43" t="s">
        <v>7884</v>
      </c>
      <c r="K2079" s="74" t="s">
        <v>5511</v>
      </c>
      <c r="L2079" s="44"/>
    </row>
    <row r="2080" spans="1:12" s="38" customFormat="1" ht="11.25" customHeight="1" x14ac:dyDescent="0.35">
      <c r="A2080" s="38" t="s">
        <v>6142</v>
      </c>
      <c r="B2080" s="39" t="s">
        <v>7878</v>
      </c>
      <c r="C2080" s="106" t="s">
        <v>5592</v>
      </c>
      <c r="D2080" s="82" t="s">
        <v>7885</v>
      </c>
      <c r="E2080" s="38">
        <v>1</v>
      </c>
      <c r="F2080" s="26">
        <v>45464</v>
      </c>
      <c r="G2080" s="25">
        <v>1</v>
      </c>
      <c r="H2080" s="160">
        <v>45559</v>
      </c>
      <c r="I2080" s="38" t="s">
        <v>5433</v>
      </c>
      <c r="K2080" s="70" t="s">
        <v>5365</v>
      </c>
      <c r="L2080" s="39"/>
    </row>
    <row r="2081" spans="1:12" ht="11.25" customHeight="1" x14ac:dyDescent="0.35">
      <c r="A2081" s="33" t="s">
        <v>6142</v>
      </c>
      <c r="B2081" s="35" t="s">
        <v>7878</v>
      </c>
      <c r="C2081" s="272" t="s">
        <v>7886</v>
      </c>
      <c r="E2081" s="33">
        <v>1</v>
      </c>
      <c r="F2081" s="22">
        <v>45464</v>
      </c>
      <c r="K2081" s="70" t="s">
        <v>5338</v>
      </c>
    </row>
    <row r="2082" spans="1:12" s="38" customFormat="1" ht="11.25" customHeight="1" x14ac:dyDescent="0.35">
      <c r="A2082" s="38" t="s">
        <v>6142</v>
      </c>
      <c r="B2082" s="39" t="s">
        <v>7878</v>
      </c>
      <c r="C2082" s="106" t="s">
        <v>7887</v>
      </c>
      <c r="D2082" s="82"/>
      <c r="E2082" s="38">
        <v>2</v>
      </c>
      <c r="F2082" s="26">
        <v>45464</v>
      </c>
      <c r="G2082" s="25">
        <v>2</v>
      </c>
      <c r="H2082" s="160">
        <v>45559</v>
      </c>
      <c r="I2082" s="38" t="s">
        <v>5433</v>
      </c>
      <c r="K2082" s="70" t="s">
        <v>5365</v>
      </c>
      <c r="L2082" s="39"/>
    </row>
    <row r="2083" spans="1:12" ht="11.25" customHeight="1" x14ac:dyDescent="0.35">
      <c r="A2083" s="33" t="s">
        <v>6142</v>
      </c>
      <c r="B2083" s="35" t="s">
        <v>7878</v>
      </c>
      <c r="C2083" s="272" t="s">
        <v>6162</v>
      </c>
      <c r="E2083" s="33">
        <v>1</v>
      </c>
      <c r="F2083" s="22">
        <v>45464</v>
      </c>
      <c r="K2083" s="70" t="s">
        <v>5338</v>
      </c>
    </row>
    <row r="2084" spans="1:12" ht="11.25" customHeight="1" x14ac:dyDescent="0.35">
      <c r="A2084" s="33" t="s">
        <v>6471</v>
      </c>
      <c r="B2084" s="35" t="s">
        <v>5763</v>
      </c>
      <c r="C2084" s="272" t="s">
        <v>7888</v>
      </c>
      <c r="E2084" s="33">
        <v>6</v>
      </c>
      <c r="F2084" s="22">
        <v>45464</v>
      </c>
      <c r="K2084" s="70" t="s">
        <v>5338</v>
      </c>
    </row>
    <row r="2085" spans="1:12" ht="11.25" customHeight="1" x14ac:dyDescent="0.35">
      <c r="A2085" s="33" t="s">
        <v>6471</v>
      </c>
      <c r="B2085" s="35" t="s">
        <v>5763</v>
      </c>
      <c r="C2085" s="272" t="s">
        <v>7889</v>
      </c>
      <c r="E2085" s="33">
        <v>11</v>
      </c>
      <c r="F2085" s="22">
        <v>45464</v>
      </c>
      <c r="K2085" s="70" t="s">
        <v>5338</v>
      </c>
    </row>
    <row r="2086" spans="1:12" ht="11.25" customHeight="1" x14ac:dyDescent="0.35">
      <c r="A2086" s="33" t="s">
        <v>6471</v>
      </c>
      <c r="B2086" s="35" t="s">
        <v>5763</v>
      </c>
      <c r="C2086" s="272" t="s">
        <v>7890</v>
      </c>
      <c r="E2086" s="33">
        <v>10</v>
      </c>
      <c r="F2086" s="22">
        <v>45464</v>
      </c>
      <c r="K2086" s="70" t="s">
        <v>5338</v>
      </c>
    </row>
    <row r="2087" spans="1:12" s="156" customFormat="1" ht="11.25" customHeight="1" x14ac:dyDescent="0.35">
      <c r="A2087" s="156" t="s">
        <v>6471</v>
      </c>
      <c r="B2087" s="101" t="s">
        <v>5763</v>
      </c>
      <c r="C2087" s="305" t="s">
        <v>7891</v>
      </c>
      <c r="D2087" s="149"/>
      <c r="E2087" s="156">
        <v>3</v>
      </c>
      <c r="F2087" s="157">
        <v>45464</v>
      </c>
      <c r="G2087" s="158"/>
      <c r="H2087" s="185"/>
      <c r="K2087" s="60" t="s">
        <v>5338</v>
      </c>
      <c r="L2087" s="101"/>
    </row>
    <row r="2088" spans="1:12" s="47" customFormat="1" ht="11.25" customHeight="1" x14ac:dyDescent="0.35">
      <c r="A2088" s="47" t="s">
        <v>4917</v>
      </c>
      <c r="B2088" s="34" t="s">
        <v>4917</v>
      </c>
      <c r="C2088" s="274">
        <v>205026159901</v>
      </c>
      <c r="D2088" s="47" t="s">
        <v>7892</v>
      </c>
      <c r="E2088" s="47">
        <v>2</v>
      </c>
      <c r="F2088" s="240">
        <v>45475</v>
      </c>
      <c r="K2088" s="60" t="s">
        <v>5338</v>
      </c>
    </row>
    <row r="2089" spans="1:12" s="47" customFormat="1" ht="11.25" customHeight="1" x14ac:dyDescent="0.35">
      <c r="A2089" s="47" t="s">
        <v>4917</v>
      </c>
      <c r="B2089" s="34" t="s">
        <v>4917</v>
      </c>
      <c r="C2089" s="274">
        <v>282955106303</v>
      </c>
      <c r="D2089" s="47" t="s">
        <v>7893</v>
      </c>
      <c r="E2089" s="47">
        <v>18</v>
      </c>
      <c r="F2089" s="240">
        <v>45475</v>
      </c>
      <c r="K2089" s="60" t="s">
        <v>5338</v>
      </c>
    </row>
    <row r="2090" spans="1:12" s="47" customFormat="1" ht="11.25" customHeight="1" x14ac:dyDescent="0.35">
      <c r="A2090" s="47" t="s">
        <v>4917</v>
      </c>
      <c r="B2090" s="34" t="s">
        <v>4917</v>
      </c>
      <c r="C2090" s="274">
        <v>264129109902</v>
      </c>
      <c r="D2090" s="47" t="s">
        <v>5884</v>
      </c>
      <c r="E2090" s="47">
        <v>45</v>
      </c>
      <c r="F2090" s="240">
        <v>45475</v>
      </c>
      <c r="K2090" s="60" t="s">
        <v>5338</v>
      </c>
    </row>
    <row r="2091" spans="1:12" s="47" customFormat="1" ht="11.25" customHeight="1" x14ac:dyDescent="0.35">
      <c r="A2091" s="47" t="s">
        <v>4917</v>
      </c>
      <c r="B2091" s="34" t="s">
        <v>4917</v>
      </c>
      <c r="C2091" s="274">
        <v>11324510500</v>
      </c>
      <c r="D2091" s="47" t="s">
        <v>239</v>
      </c>
      <c r="E2091" s="47">
        <v>45</v>
      </c>
      <c r="F2091" s="240">
        <v>45475</v>
      </c>
      <c r="K2091" s="60" t="s">
        <v>5338</v>
      </c>
    </row>
    <row r="2092" spans="1:12" s="241" customFormat="1" ht="11.25" customHeight="1" x14ac:dyDescent="0.35">
      <c r="A2092" s="47" t="s">
        <v>4917</v>
      </c>
      <c r="B2092" s="69" t="s">
        <v>4917</v>
      </c>
      <c r="C2092" s="306">
        <v>11341816400</v>
      </c>
      <c r="D2092" s="241" t="s">
        <v>7894</v>
      </c>
      <c r="E2092" s="241">
        <v>45</v>
      </c>
      <c r="F2092" s="242">
        <v>45475</v>
      </c>
      <c r="K2092" s="60" t="s">
        <v>5338</v>
      </c>
    </row>
    <row r="2093" spans="1:12" s="47" customFormat="1" ht="11.25" customHeight="1" x14ac:dyDescent="0.35">
      <c r="A2093" s="47" t="s">
        <v>4917</v>
      </c>
      <c r="B2093" s="34" t="s">
        <v>4917</v>
      </c>
      <c r="C2093" s="274">
        <v>289881106303</v>
      </c>
      <c r="D2093" s="47" t="s">
        <v>7895</v>
      </c>
      <c r="E2093" s="47">
        <v>18</v>
      </c>
      <c r="F2093" s="240">
        <v>45475</v>
      </c>
      <c r="K2093" s="60" t="s">
        <v>5338</v>
      </c>
    </row>
    <row r="2094" spans="1:12" s="47" customFormat="1" ht="11.25" customHeight="1" x14ac:dyDescent="0.35">
      <c r="A2094" s="47" t="s">
        <v>4917</v>
      </c>
      <c r="B2094" s="34" t="s">
        <v>4917</v>
      </c>
      <c r="C2094" s="274">
        <v>289881106304</v>
      </c>
      <c r="D2094" s="47" t="s">
        <v>7895</v>
      </c>
      <c r="E2094" s="47">
        <v>18</v>
      </c>
      <c r="F2094" s="240">
        <v>45475</v>
      </c>
      <c r="K2094" s="60" t="s">
        <v>5338</v>
      </c>
    </row>
    <row r="2095" spans="1:12" s="47" customFormat="1" ht="11.25" customHeight="1" x14ac:dyDescent="0.35">
      <c r="A2095" s="47" t="s">
        <v>4917</v>
      </c>
      <c r="B2095" s="34" t="s">
        <v>4917</v>
      </c>
      <c r="C2095" s="274">
        <v>269858408208</v>
      </c>
      <c r="D2095" s="47" t="s">
        <v>7896</v>
      </c>
      <c r="E2095" s="47">
        <v>2</v>
      </c>
      <c r="F2095" s="240">
        <v>45475</v>
      </c>
      <c r="K2095" s="60" t="s">
        <v>5338</v>
      </c>
    </row>
    <row r="2096" spans="1:12" s="47" customFormat="1" ht="11.25" customHeight="1" x14ac:dyDescent="0.35">
      <c r="A2096" s="47" t="s">
        <v>4917</v>
      </c>
      <c r="B2096" s="34" t="s">
        <v>4917</v>
      </c>
      <c r="C2096" s="274">
        <v>264172306313</v>
      </c>
      <c r="D2096" s="47" t="s">
        <v>7897</v>
      </c>
      <c r="E2096" s="47">
        <v>16</v>
      </c>
      <c r="F2096" s="240">
        <v>45475</v>
      </c>
      <c r="K2096" s="60" t="s">
        <v>5338</v>
      </c>
    </row>
    <row r="2097" spans="1:22" s="47" customFormat="1" ht="11.25" customHeight="1" x14ac:dyDescent="0.35">
      <c r="A2097" s="47" t="s">
        <v>4917</v>
      </c>
      <c r="B2097" s="34" t="s">
        <v>4917</v>
      </c>
      <c r="C2097" s="274">
        <v>278609139901</v>
      </c>
      <c r="D2097" s="47" t="s">
        <v>7898</v>
      </c>
      <c r="E2097" s="47">
        <v>16</v>
      </c>
      <c r="F2097" s="240">
        <v>45475</v>
      </c>
      <c r="K2097" s="60" t="s">
        <v>5338</v>
      </c>
    </row>
    <row r="2098" spans="1:22" s="47" customFormat="1" ht="11.25" customHeight="1" x14ac:dyDescent="0.35">
      <c r="A2098" s="47" t="s">
        <v>4917</v>
      </c>
      <c r="B2098" s="34" t="s">
        <v>4917</v>
      </c>
      <c r="C2098" s="274">
        <v>264172306301</v>
      </c>
      <c r="D2098" s="47" t="s">
        <v>1751</v>
      </c>
      <c r="E2098" s="47">
        <v>16</v>
      </c>
      <c r="F2098" s="240">
        <v>45475</v>
      </c>
      <c r="K2098" s="60" t="s">
        <v>5338</v>
      </c>
    </row>
    <row r="2099" spans="1:22" s="47" customFormat="1" ht="11.25" customHeight="1" x14ac:dyDescent="0.35">
      <c r="A2099" s="47" t="s">
        <v>4917</v>
      </c>
      <c r="B2099" s="34" t="s">
        <v>4917</v>
      </c>
      <c r="C2099" s="274">
        <v>267899706343</v>
      </c>
      <c r="D2099" s="47" t="s">
        <v>7899</v>
      </c>
      <c r="E2099" s="47">
        <v>150</v>
      </c>
      <c r="F2099" s="240">
        <v>45475</v>
      </c>
      <c r="K2099" s="60" t="s">
        <v>5338</v>
      </c>
    </row>
    <row r="2100" spans="1:22" s="47" customFormat="1" ht="11.25" customHeight="1" x14ac:dyDescent="0.35">
      <c r="A2100" s="47" t="s">
        <v>4917</v>
      </c>
      <c r="B2100" s="34" t="s">
        <v>4917</v>
      </c>
      <c r="C2100" s="274">
        <v>269881106346</v>
      </c>
      <c r="D2100" s="47" t="s">
        <v>7900</v>
      </c>
      <c r="E2100" s="47">
        <v>90</v>
      </c>
      <c r="F2100" s="240">
        <v>45475</v>
      </c>
      <c r="K2100" s="60" t="s">
        <v>5338</v>
      </c>
    </row>
    <row r="2101" spans="1:22" s="47" customFormat="1" ht="11.25" customHeight="1" x14ac:dyDescent="0.35">
      <c r="A2101" s="47" t="s">
        <v>4917</v>
      </c>
      <c r="B2101" s="34" t="s">
        <v>4917</v>
      </c>
      <c r="C2101" s="274">
        <v>585868916311</v>
      </c>
      <c r="D2101" s="47" t="s">
        <v>7901</v>
      </c>
      <c r="E2101" s="47">
        <v>12</v>
      </c>
      <c r="F2101" s="240">
        <v>45475</v>
      </c>
      <c r="K2101" s="60" t="s">
        <v>5338</v>
      </c>
    </row>
    <row r="2102" spans="1:22" s="47" customFormat="1" ht="11.25" customHeight="1" x14ac:dyDescent="0.35">
      <c r="A2102" s="47" t="s">
        <v>4917</v>
      </c>
      <c r="B2102" s="34" t="s">
        <v>4917</v>
      </c>
      <c r="C2102" s="274" t="s">
        <v>7902</v>
      </c>
      <c r="D2102" s="47" t="s">
        <v>7903</v>
      </c>
      <c r="E2102" s="47">
        <v>54</v>
      </c>
      <c r="F2102" s="240">
        <v>45475</v>
      </c>
      <c r="K2102" s="60" t="s">
        <v>5338</v>
      </c>
    </row>
    <row r="2103" spans="1:22" s="47" customFormat="1" ht="11.25" customHeight="1" x14ac:dyDescent="0.35">
      <c r="A2103" s="38" t="s">
        <v>6471</v>
      </c>
      <c r="B2103" s="39" t="s">
        <v>5763</v>
      </c>
      <c r="C2103" s="106" t="s">
        <v>7904</v>
      </c>
      <c r="D2103" s="82"/>
      <c r="E2103" s="38">
        <v>1</v>
      </c>
      <c r="F2103" s="26">
        <v>45476</v>
      </c>
      <c r="G2103" s="25">
        <v>1</v>
      </c>
      <c r="H2103" s="160">
        <v>45478</v>
      </c>
      <c r="I2103" s="38" t="s">
        <v>7541</v>
      </c>
      <c r="J2103" s="38"/>
      <c r="K2103" s="70" t="s">
        <v>5365</v>
      </c>
      <c r="L2103" s="39"/>
      <c r="M2103" s="38"/>
      <c r="N2103" s="38"/>
      <c r="O2103" s="38"/>
      <c r="P2103" s="38"/>
      <c r="Q2103" s="38"/>
      <c r="R2103" s="38"/>
      <c r="S2103" s="38"/>
      <c r="T2103" s="38"/>
      <c r="U2103" s="38"/>
      <c r="V2103" s="38"/>
    </row>
    <row r="2104" spans="1:22" s="47" customFormat="1" ht="11.25" customHeight="1" x14ac:dyDescent="0.35">
      <c r="A2104" s="33" t="s">
        <v>6471</v>
      </c>
      <c r="B2104" s="35" t="s">
        <v>5763</v>
      </c>
      <c r="C2104" s="272" t="s">
        <v>7905</v>
      </c>
      <c r="D2104" s="31"/>
      <c r="E2104" s="33">
        <v>1</v>
      </c>
      <c r="F2104" s="22">
        <v>45476</v>
      </c>
      <c r="G2104" s="21"/>
      <c r="H2104" s="159"/>
      <c r="I2104" s="33"/>
      <c r="J2104" s="33"/>
      <c r="K2104" s="70" t="s">
        <v>5338</v>
      </c>
      <c r="L2104" s="35"/>
      <c r="M2104" s="33"/>
      <c r="N2104" s="33"/>
      <c r="O2104" s="33"/>
      <c r="P2104" s="33"/>
      <c r="Q2104" s="33"/>
      <c r="R2104" s="33"/>
      <c r="S2104" s="33"/>
      <c r="T2104" s="33"/>
      <c r="U2104" s="33"/>
      <c r="V2104" s="33"/>
    </row>
    <row r="2105" spans="1:22" s="47" customFormat="1" ht="11.25" customHeight="1" x14ac:dyDescent="0.35">
      <c r="A2105" s="33" t="s">
        <v>4832</v>
      </c>
      <c r="B2105" s="35" t="s">
        <v>5904</v>
      </c>
      <c r="C2105" s="272" t="s">
        <v>7906</v>
      </c>
      <c r="D2105" s="31" t="s">
        <v>7907</v>
      </c>
      <c r="E2105" s="33">
        <v>26</v>
      </c>
      <c r="F2105" s="22">
        <v>45478</v>
      </c>
      <c r="G2105" s="21"/>
      <c r="H2105" s="159"/>
      <c r="I2105" s="33"/>
      <c r="J2105" s="33"/>
      <c r="K2105" s="70" t="s">
        <v>5338</v>
      </c>
      <c r="L2105" s="35"/>
      <c r="M2105" s="33"/>
      <c r="N2105" s="33"/>
      <c r="O2105" s="33"/>
      <c r="P2105" s="33"/>
      <c r="Q2105" s="33"/>
      <c r="R2105" s="33"/>
      <c r="S2105" s="33"/>
      <c r="T2105" s="33"/>
      <c r="U2105" s="33"/>
      <c r="V2105" s="33"/>
    </row>
    <row r="2106" spans="1:22" s="47" customFormat="1" ht="11.25" customHeight="1" x14ac:dyDescent="0.35">
      <c r="A2106" s="33" t="s">
        <v>4832</v>
      </c>
      <c r="B2106" s="35" t="s">
        <v>5904</v>
      </c>
      <c r="C2106" s="272" t="s">
        <v>3672</v>
      </c>
      <c r="D2106" s="31" t="s">
        <v>7908</v>
      </c>
      <c r="E2106" s="33">
        <v>20</v>
      </c>
      <c r="F2106" s="22">
        <v>45478</v>
      </c>
      <c r="G2106" s="21"/>
      <c r="H2106" s="159"/>
      <c r="I2106" s="33"/>
      <c r="J2106" s="33"/>
      <c r="K2106" s="70" t="s">
        <v>5338</v>
      </c>
      <c r="L2106" s="35"/>
      <c r="M2106" s="33"/>
      <c r="N2106" s="33"/>
      <c r="O2106" s="33"/>
      <c r="P2106" s="33"/>
      <c r="Q2106" s="33"/>
      <c r="R2106" s="33"/>
      <c r="S2106" s="33"/>
      <c r="T2106" s="33"/>
      <c r="U2106" s="33"/>
      <c r="V2106" s="33"/>
    </row>
    <row r="2107" spans="1:22" s="47" customFormat="1" ht="11.25" customHeight="1" x14ac:dyDescent="0.35">
      <c r="A2107" s="156" t="s">
        <v>4832</v>
      </c>
      <c r="B2107" s="101" t="s">
        <v>5904</v>
      </c>
      <c r="C2107" s="305" t="s">
        <v>7909</v>
      </c>
      <c r="D2107" s="149" t="s">
        <v>7529</v>
      </c>
      <c r="E2107" s="156">
        <v>80</v>
      </c>
      <c r="F2107" s="157">
        <v>45478</v>
      </c>
      <c r="G2107" s="158"/>
      <c r="H2107" s="185"/>
      <c r="I2107" s="156"/>
      <c r="J2107" s="156"/>
      <c r="K2107" s="60" t="s">
        <v>5338</v>
      </c>
      <c r="L2107" s="35"/>
      <c r="M2107" s="156"/>
      <c r="N2107" s="156"/>
      <c r="O2107" s="156"/>
      <c r="P2107" s="156"/>
      <c r="Q2107" s="156"/>
      <c r="R2107" s="156"/>
      <c r="S2107" s="156"/>
      <c r="T2107" s="156"/>
      <c r="U2107" s="156"/>
      <c r="V2107" s="156"/>
    </row>
    <row r="2108" spans="1:22" s="47" customFormat="1" ht="11.25" customHeight="1" x14ac:dyDescent="0.35">
      <c r="A2108" s="33" t="s">
        <v>4832</v>
      </c>
      <c r="B2108" s="35" t="s">
        <v>5904</v>
      </c>
      <c r="C2108" s="272" t="s">
        <v>7512</v>
      </c>
      <c r="D2108" s="31" t="s">
        <v>3389</v>
      </c>
      <c r="E2108" s="33">
        <v>700</v>
      </c>
      <c r="F2108" s="22">
        <v>45478</v>
      </c>
      <c r="G2108" s="21"/>
      <c r="H2108" s="159"/>
      <c r="I2108" s="33"/>
      <c r="J2108" s="33"/>
      <c r="K2108" s="70" t="s">
        <v>5338</v>
      </c>
      <c r="L2108" s="35"/>
      <c r="M2108" s="33"/>
      <c r="N2108" s="33"/>
      <c r="O2108" s="33"/>
      <c r="P2108" s="33"/>
      <c r="Q2108" s="33"/>
      <c r="R2108" s="33"/>
      <c r="S2108" s="33"/>
      <c r="T2108" s="33"/>
      <c r="U2108" s="33"/>
      <c r="V2108" s="33"/>
    </row>
    <row r="2109" spans="1:22" s="47" customFormat="1" ht="11.25" customHeight="1" x14ac:dyDescent="0.35">
      <c r="A2109" s="33" t="s">
        <v>4832</v>
      </c>
      <c r="B2109" s="35" t="s">
        <v>5904</v>
      </c>
      <c r="C2109" s="272" t="s">
        <v>7910</v>
      </c>
      <c r="D2109" s="31" t="s">
        <v>7911</v>
      </c>
      <c r="E2109" s="33">
        <v>720</v>
      </c>
      <c r="F2109" s="22">
        <v>45478</v>
      </c>
      <c r="G2109" s="21"/>
      <c r="H2109" s="159"/>
      <c r="I2109" s="33"/>
      <c r="J2109" s="33"/>
      <c r="K2109" s="70" t="s">
        <v>5338</v>
      </c>
      <c r="L2109" s="35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</row>
    <row r="2110" spans="1:22" s="47" customFormat="1" ht="11.25" customHeight="1" x14ac:dyDescent="0.35">
      <c r="A2110" s="83" t="s">
        <v>4832</v>
      </c>
      <c r="B2110" s="86" t="s">
        <v>5904</v>
      </c>
      <c r="C2110" s="295" t="s">
        <v>3676</v>
      </c>
      <c r="D2110" s="84" t="s">
        <v>7912</v>
      </c>
      <c r="E2110" s="83">
        <v>45</v>
      </c>
      <c r="F2110" s="24">
        <v>45478</v>
      </c>
      <c r="G2110" s="23">
        <v>10</v>
      </c>
      <c r="H2110" s="180">
        <v>45502</v>
      </c>
      <c r="I2110" s="83" t="s">
        <v>6040</v>
      </c>
      <c r="J2110" s="83" t="s">
        <v>7514</v>
      </c>
      <c r="K2110" s="85" t="s">
        <v>5511</v>
      </c>
      <c r="L2110" s="35"/>
      <c r="M2110" s="83"/>
      <c r="N2110" s="83"/>
      <c r="O2110" s="83"/>
      <c r="P2110" s="83"/>
      <c r="Q2110" s="83"/>
      <c r="R2110" s="83"/>
      <c r="S2110" s="83"/>
      <c r="T2110" s="83"/>
      <c r="U2110" s="83"/>
      <c r="V2110" s="83"/>
    </row>
    <row r="2111" spans="1:22" s="47" customFormat="1" ht="11.25" customHeight="1" x14ac:dyDescent="0.35">
      <c r="A2111" s="33" t="s">
        <v>4832</v>
      </c>
      <c r="B2111" s="35" t="s">
        <v>5904</v>
      </c>
      <c r="C2111" s="272" t="s">
        <v>7513</v>
      </c>
      <c r="D2111" s="31" t="s">
        <v>2400</v>
      </c>
      <c r="E2111" s="33">
        <v>470</v>
      </c>
      <c r="F2111" s="22">
        <v>45478</v>
      </c>
      <c r="G2111" s="21"/>
      <c r="H2111" s="159"/>
      <c r="I2111" s="33"/>
      <c r="J2111" s="33"/>
      <c r="K2111" s="70" t="s">
        <v>5338</v>
      </c>
      <c r="L2111" s="35"/>
      <c r="M2111" s="33"/>
      <c r="N2111" s="33"/>
      <c r="O2111" s="33"/>
      <c r="P2111" s="33"/>
      <c r="Q2111" s="33"/>
      <c r="R2111" s="33"/>
      <c r="S2111" s="33"/>
      <c r="T2111" s="33"/>
      <c r="U2111" s="33"/>
      <c r="V2111" s="33"/>
    </row>
    <row r="2112" spans="1:22" s="47" customFormat="1" ht="11.25" customHeight="1" x14ac:dyDescent="0.35">
      <c r="A2112" s="33" t="s">
        <v>4832</v>
      </c>
      <c r="B2112" s="35" t="s">
        <v>5904</v>
      </c>
      <c r="C2112" s="272" t="s">
        <v>7913</v>
      </c>
      <c r="D2112" s="31" t="s">
        <v>631</v>
      </c>
      <c r="E2112" s="33">
        <v>500</v>
      </c>
      <c r="F2112" s="22">
        <v>45478</v>
      </c>
      <c r="G2112" s="21"/>
      <c r="H2112" s="159"/>
      <c r="I2112" s="33"/>
      <c r="J2112" s="33"/>
      <c r="K2112" s="70" t="s">
        <v>5338</v>
      </c>
      <c r="L2112" s="35"/>
      <c r="M2112" s="33"/>
      <c r="N2112" s="33"/>
      <c r="O2112" s="33"/>
      <c r="P2112" s="33"/>
      <c r="Q2112" s="33"/>
      <c r="R2112" s="33"/>
      <c r="S2112" s="33"/>
      <c r="T2112" s="33"/>
      <c r="U2112" s="33"/>
      <c r="V2112" s="33"/>
    </row>
    <row r="2113" spans="1:22" s="47" customFormat="1" ht="11.25" customHeight="1" x14ac:dyDescent="0.35">
      <c r="A2113" s="43" t="s">
        <v>4832</v>
      </c>
      <c r="B2113" s="44" t="s">
        <v>5904</v>
      </c>
      <c r="C2113" s="275" t="s">
        <v>3679</v>
      </c>
      <c r="D2113" s="89" t="s">
        <v>7914</v>
      </c>
      <c r="E2113" s="43">
        <v>45</v>
      </c>
      <c r="F2113" s="30">
        <v>45478</v>
      </c>
      <c r="G2113" s="29"/>
      <c r="H2113" s="163"/>
      <c r="I2113" s="43"/>
      <c r="J2113" s="43"/>
      <c r="K2113" s="74" t="s">
        <v>5338</v>
      </c>
      <c r="L2113" s="44"/>
      <c r="M2113" s="43"/>
      <c r="N2113" s="43"/>
      <c r="O2113" s="43"/>
      <c r="P2113" s="43"/>
      <c r="Q2113" s="43"/>
      <c r="R2113" s="43"/>
      <c r="S2113" s="43"/>
      <c r="T2113" s="43"/>
      <c r="U2113" s="43"/>
      <c r="V2113" s="43"/>
    </row>
    <row r="2114" spans="1:22" s="47" customFormat="1" ht="11.25" customHeight="1" x14ac:dyDescent="0.35">
      <c r="A2114" s="38" t="s">
        <v>4832</v>
      </c>
      <c r="B2114" s="39" t="s">
        <v>5904</v>
      </c>
      <c r="C2114" s="106" t="s">
        <v>3684</v>
      </c>
      <c r="D2114" s="82" t="s">
        <v>7915</v>
      </c>
      <c r="E2114" s="38">
        <v>1000</v>
      </c>
      <c r="F2114" s="26">
        <v>45478</v>
      </c>
      <c r="G2114" s="25">
        <v>1000</v>
      </c>
      <c r="H2114" s="160">
        <v>45482</v>
      </c>
      <c r="I2114" s="38" t="s">
        <v>7916</v>
      </c>
      <c r="J2114" s="38"/>
      <c r="K2114" s="70" t="s">
        <v>5365</v>
      </c>
      <c r="L2114" s="39"/>
      <c r="M2114" s="38"/>
      <c r="N2114" s="38"/>
      <c r="O2114" s="38"/>
      <c r="P2114" s="38"/>
      <c r="Q2114" s="38"/>
      <c r="R2114" s="38"/>
      <c r="S2114" s="38"/>
      <c r="T2114" s="38"/>
      <c r="U2114" s="38"/>
      <c r="V2114" s="38"/>
    </row>
    <row r="2115" spans="1:22" s="47" customFormat="1" ht="11.25" customHeight="1" x14ac:dyDescent="0.35">
      <c r="A2115" s="150" t="s">
        <v>7192</v>
      </c>
      <c r="B2115" s="154" t="s">
        <v>7192</v>
      </c>
      <c r="C2115" s="307" t="s">
        <v>7917</v>
      </c>
      <c r="D2115" s="151" t="s">
        <v>7918</v>
      </c>
      <c r="E2115" s="150">
        <v>8</v>
      </c>
      <c r="F2115" s="152">
        <v>45482</v>
      </c>
      <c r="G2115" s="153">
        <v>2</v>
      </c>
      <c r="H2115" s="186">
        <v>45491</v>
      </c>
      <c r="I2115" s="150" t="s">
        <v>5433</v>
      </c>
      <c r="J2115" s="150"/>
      <c r="K2115" s="155" t="s">
        <v>5511</v>
      </c>
      <c r="L2115" s="35"/>
      <c r="M2115" s="33"/>
      <c r="N2115" s="33"/>
      <c r="O2115" s="33"/>
      <c r="P2115" s="33"/>
      <c r="Q2115" s="33"/>
      <c r="R2115" s="33"/>
      <c r="S2115" s="33"/>
      <c r="T2115" s="33"/>
      <c r="U2115" s="33"/>
      <c r="V2115" s="33"/>
    </row>
    <row r="2116" spans="1:22" s="47" customFormat="1" ht="11.25" customHeight="1" x14ac:dyDescent="0.35">
      <c r="A2116" s="38" t="s">
        <v>7192</v>
      </c>
      <c r="B2116" s="39" t="s">
        <v>7192</v>
      </c>
      <c r="C2116" s="106" t="s">
        <v>7919</v>
      </c>
      <c r="D2116" s="82" t="s">
        <v>7920</v>
      </c>
      <c r="E2116" s="38">
        <v>2</v>
      </c>
      <c r="F2116" s="26">
        <v>45482</v>
      </c>
      <c r="G2116" s="25">
        <v>2</v>
      </c>
      <c r="H2116" s="160">
        <v>45495</v>
      </c>
      <c r="I2116" s="38" t="s">
        <v>5433</v>
      </c>
      <c r="J2116" s="38"/>
      <c r="K2116" s="70" t="s">
        <v>5365</v>
      </c>
      <c r="L2116" s="35"/>
      <c r="M2116" s="33"/>
      <c r="N2116" s="33"/>
      <c r="O2116" s="33"/>
      <c r="P2116" s="33"/>
      <c r="Q2116" s="33"/>
      <c r="R2116" s="33"/>
      <c r="S2116" s="33"/>
      <c r="T2116" s="33"/>
      <c r="U2116" s="33"/>
      <c r="V2116" s="33"/>
    </row>
    <row r="2117" spans="1:22" s="47" customFormat="1" ht="11.25" customHeight="1" x14ac:dyDescent="0.35">
      <c r="A2117" s="33" t="s">
        <v>7192</v>
      </c>
      <c r="B2117" s="35" t="s">
        <v>7192</v>
      </c>
      <c r="C2117" s="272" t="s">
        <v>7921</v>
      </c>
      <c r="D2117" s="31" t="s">
        <v>7922</v>
      </c>
      <c r="E2117" s="33">
        <v>8</v>
      </c>
      <c r="F2117" s="22">
        <v>45482</v>
      </c>
      <c r="G2117" s="21"/>
      <c r="H2117" s="159"/>
      <c r="I2117" s="33"/>
      <c r="J2117" s="33"/>
      <c r="K2117" s="70" t="s">
        <v>5338</v>
      </c>
      <c r="L2117" s="35"/>
      <c r="M2117" s="33"/>
      <c r="N2117" s="33"/>
      <c r="O2117" s="33"/>
      <c r="P2117" s="33"/>
      <c r="Q2117" s="33"/>
      <c r="R2117" s="33"/>
      <c r="S2117" s="33"/>
      <c r="T2117" s="33"/>
      <c r="U2117" s="33"/>
      <c r="V2117" s="33"/>
    </row>
    <row r="2118" spans="1:22" ht="11.25" customHeight="1" x14ac:dyDescent="0.35">
      <c r="A2118" s="33" t="s">
        <v>7192</v>
      </c>
      <c r="B2118" s="35" t="s">
        <v>7192</v>
      </c>
      <c r="C2118" s="272" t="s">
        <v>7923</v>
      </c>
      <c r="D2118" s="31" t="s">
        <v>7924</v>
      </c>
      <c r="E2118" s="33">
        <v>19</v>
      </c>
      <c r="F2118" s="22">
        <v>45482</v>
      </c>
      <c r="K2118" s="70" t="s">
        <v>5338</v>
      </c>
    </row>
    <row r="2119" spans="1:22" ht="11.25" customHeight="1" x14ac:dyDescent="0.35">
      <c r="A2119" s="33" t="s">
        <v>7192</v>
      </c>
      <c r="B2119" s="35" t="s">
        <v>7192</v>
      </c>
      <c r="C2119" s="272" t="s">
        <v>7925</v>
      </c>
      <c r="D2119" s="31" t="s">
        <v>7926</v>
      </c>
      <c r="E2119" s="33">
        <v>12</v>
      </c>
      <c r="F2119" s="22">
        <v>45482</v>
      </c>
      <c r="K2119" s="70" t="s">
        <v>5338</v>
      </c>
    </row>
    <row r="2120" spans="1:22" ht="11.25" customHeight="1" x14ac:dyDescent="0.35">
      <c r="A2120" s="33" t="s">
        <v>7192</v>
      </c>
      <c r="B2120" s="35" t="s">
        <v>7192</v>
      </c>
      <c r="C2120" s="272" t="s">
        <v>7927</v>
      </c>
      <c r="D2120" s="31" t="s">
        <v>7928</v>
      </c>
      <c r="E2120" s="33">
        <v>12</v>
      </c>
      <c r="F2120" s="22">
        <v>45482</v>
      </c>
      <c r="K2120" s="70" t="s">
        <v>5338</v>
      </c>
    </row>
    <row r="2121" spans="1:22" ht="11.25" customHeight="1" x14ac:dyDescent="0.35">
      <c r="A2121" s="33" t="s">
        <v>7192</v>
      </c>
      <c r="B2121" s="35" t="s">
        <v>7192</v>
      </c>
      <c r="C2121" s="272" t="s">
        <v>7929</v>
      </c>
      <c r="D2121" s="31" t="s">
        <v>7930</v>
      </c>
      <c r="E2121" s="33">
        <v>2</v>
      </c>
      <c r="F2121" s="22">
        <v>45482</v>
      </c>
      <c r="K2121" s="70" t="s">
        <v>5338</v>
      </c>
    </row>
    <row r="2122" spans="1:22" ht="11.25" customHeight="1" x14ac:dyDescent="0.35">
      <c r="A2122" s="33" t="s">
        <v>7192</v>
      </c>
      <c r="B2122" s="35" t="s">
        <v>7192</v>
      </c>
      <c r="C2122" s="272" t="s">
        <v>7931</v>
      </c>
      <c r="D2122" s="31" t="s">
        <v>7932</v>
      </c>
      <c r="E2122" s="33">
        <v>1</v>
      </c>
      <c r="F2122" s="22">
        <v>45482</v>
      </c>
      <c r="K2122" s="70" t="s">
        <v>5338</v>
      </c>
    </row>
    <row r="2123" spans="1:22" s="43" customFormat="1" ht="11.25" customHeight="1" x14ac:dyDescent="0.35">
      <c r="A2123" s="33" t="s">
        <v>7192</v>
      </c>
      <c r="B2123" s="35" t="s">
        <v>7192</v>
      </c>
      <c r="C2123" s="272" t="s">
        <v>7933</v>
      </c>
      <c r="D2123" s="31" t="s">
        <v>7934</v>
      </c>
      <c r="E2123" s="33">
        <v>18</v>
      </c>
      <c r="F2123" s="22">
        <v>45482</v>
      </c>
      <c r="G2123" s="21"/>
      <c r="H2123" s="159"/>
      <c r="I2123" s="33"/>
      <c r="J2123" s="33"/>
      <c r="K2123" s="70" t="s">
        <v>5338</v>
      </c>
      <c r="L2123" s="35"/>
      <c r="M2123" s="33"/>
      <c r="N2123" s="33"/>
      <c r="O2123" s="33"/>
      <c r="P2123" s="33"/>
      <c r="Q2123" s="33"/>
      <c r="R2123" s="33"/>
      <c r="S2123" s="33"/>
      <c r="T2123" s="33"/>
      <c r="U2123" s="33"/>
      <c r="V2123" s="33"/>
    </row>
    <row r="2124" spans="1:22" s="83" customFormat="1" ht="11.25" customHeight="1" x14ac:dyDescent="0.35">
      <c r="A2124" s="83" t="s">
        <v>7192</v>
      </c>
      <c r="B2124" s="86" t="s">
        <v>7192</v>
      </c>
      <c r="C2124" s="295" t="s">
        <v>2685</v>
      </c>
      <c r="D2124" s="84" t="s">
        <v>7935</v>
      </c>
      <c r="E2124" s="83">
        <v>8</v>
      </c>
      <c r="F2124" s="24">
        <v>45482</v>
      </c>
      <c r="G2124" s="23">
        <v>4</v>
      </c>
      <c r="H2124" s="180">
        <v>45581</v>
      </c>
      <c r="I2124" s="83" t="s">
        <v>5433</v>
      </c>
      <c r="K2124" s="85" t="s">
        <v>5511</v>
      </c>
      <c r="L2124" s="86"/>
    </row>
    <row r="2125" spans="1:22" ht="11.25" customHeight="1" x14ac:dyDescent="0.35">
      <c r="A2125" s="33" t="s">
        <v>7192</v>
      </c>
      <c r="B2125" s="35" t="s">
        <v>7192</v>
      </c>
      <c r="C2125" s="272" t="s">
        <v>7936</v>
      </c>
      <c r="D2125" s="31" t="s">
        <v>7937</v>
      </c>
      <c r="E2125" s="33">
        <v>1</v>
      </c>
      <c r="F2125" s="22">
        <v>45482</v>
      </c>
      <c r="G2125" s="33"/>
      <c r="K2125" s="70" t="s">
        <v>5338</v>
      </c>
    </row>
    <row r="2126" spans="1:22" ht="11.25" customHeight="1" x14ac:dyDescent="0.35">
      <c r="A2126" s="33" t="s">
        <v>7192</v>
      </c>
      <c r="B2126" s="35" t="s">
        <v>7192</v>
      </c>
      <c r="C2126" s="272" t="s">
        <v>7938</v>
      </c>
      <c r="D2126" s="31" t="s">
        <v>7939</v>
      </c>
      <c r="E2126" s="33">
        <v>2</v>
      </c>
      <c r="F2126" s="22">
        <v>45482</v>
      </c>
      <c r="K2126" s="70" t="s">
        <v>5338</v>
      </c>
    </row>
    <row r="2127" spans="1:22" s="38" customFormat="1" ht="11.25" customHeight="1" x14ac:dyDescent="0.35">
      <c r="A2127" s="150" t="s">
        <v>7192</v>
      </c>
      <c r="B2127" s="154" t="s">
        <v>7192</v>
      </c>
      <c r="C2127" s="307" t="s">
        <v>7940</v>
      </c>
      <c r="D2127" s="151" t="s">
        <v>7941</v>
      </c>
      <c r="E2127" s="150">
        <v>4</v>
      </c>
      <c r="F2127" s="152">
        <v>45482</v>
      </c>
      <c r="G2127" s="153"/>
      <c r="H2127" s="186"/>
      <c r="I2127" s="150"/>
      <c r="J2127" s="150"/>
      <c r="K2127" s="155" t="s">
        <v>5338</v>
      </c>
      <c r="L2127" s="35"/>
      <c r="M2127" s="33"/>
      <c r="N2127" s="33"/>
      <c r="O2127" s="33"/>
      <c r="P2127" s="33"/>
      <c r="Q2127" s="33"/>
      <c r="R2127" s="33"/>
      <c r="S2127" s="33"/>
      <c r="T2127" s="33"/>
      <c r="U2127" s="33"/>
      <c r="V2127" s="33"/>
    </row>
    <row r="2128" spans="1:22" ht="11.25" customHeight="1" x14ac:dyDescent="0.35">
      <c r="A2128" s="38" t="s">
        <v>7192</v>
      </c>
      <c r="B2128" s="39" t="s">
        <v>7192</v>
      </c>
      <c r="C2128" s="106" t="s">
        <v>7942</v>
      </c>
      <c r="D2128" s="82" t="s">
        <v>7943</v>
      </c>
      <c r="E2128" s="38">
        <v>2</v>
      </c>
      <c r="F2128" s="26">
        <v>45482</v>
      </c>
      <c r="G2128" s="25">
        <v>2</v>
      </c>
      <c r="H2128" s="160">
        <v>45505</v>
      </c>
      <c r="I2128" s="38" t="s">
        <v>5842</v>
      </c>
      <c r="J2128" s="38"/>
      <c r="K2128" s="70" t="s">
        <v>5365</v>
      </c>
    </row>
    <row r="2129" spans="1:22" ht="11.25" customHeight="1" x14ac:dyDescent="0.35">
      <c r="A2129" s="33" t="s">
        <v>7192</v>
      </c>
      <c r="B2129" s="35" t="s">
        <v>7192</v>
      </c>
      <c r="C2129" s="272" t="s">
        <v>7944</v>
      </c>
      <c r="D2129" s="31" t="s">
        <v>7945</v>
      </c>
      <c r="E2129" s="33">
        <v>4</v>
      </c>
      <c r="F2129" s="22">
        <v>45482</v>
      </c>
      <c r="K2129" s="70" t="s">
        <v>5338</v>
      </c>
    </row>
    <row r="2130" spans="1:22" ht="11.25" customHeight="1" x14ac:dyDescent="0.35">
      <c r="A2130" s="38" t="s">
        <v>7192</v>
      </c>
      <c r="B2130" s="39" t="s">
        <v>7192</v>
      </c>
      <c r="C2130" s="106" t="s">
        <v>1659</v>
      </c>
      <c r="D2130" s="82" t="s">
        <v>7946</v>
      </c>
      <c r="E2130" s="38">
        <v>2</v>
      </c>
      <c r="F2130" s="26">
        <v>45482</v>
      </c>
      <c r="G2130" s="25">
        <v>2</v>
      </c>
      <c r="H2130" s="160">
        <v>45489</v>
      </c>
      <c r="I2130" s="38" t="s">
        <v>5433</v>
      </c>
      <c r="J2130" s="38"/>
      <c r="K2130" s="70" t="s">
        <v>5365</v>
      </c>
    </row>
    <row r="2131" spans="1:22" s="38" customFormat="1" ht="11.25" customHeight="1" x14ac:dyDescent="0.35">
      <c r="A2131" s="33" t="s">
        <v>7192</v>
      </c>
      <c r="B2131" s="35" t="s">
        <v>7192</v>
      </c>
      <c r="C2131" s="272" t="s">
        <v>604</v>
      </c>
      <c r="D2131" s="31" t="s">
        <v>7947</v>
      </c>
      <c r="E2131" s="33">
        <v>1</v>
      </c>
      <c r="F2131" s="22">
        <v>45482</v>
      </c>
      <c r="G2131" s="21"/>
      <c r="H2131" s="159"/>
      <c r="I2131" s="33"/>
      <c r="J2131" s="33"/>
      <c r="K2131" s="70" t="s">
        <v>5338</v>
      </c>
      <c r="L2131" s="35"/>
      <c r="M2131" s="33"/>
      <c r="N2131" s="33"/>
      <c r="O2131" s="33"/>
      <c r="P2131" s="33"/>
      <c r="Q2131" s="33"/>
      <c r="R2131" s="33"/>
      <c r="S2131" s="33"/>
      <c r="T2131" s="33"/>
      <c r="U2131" s="33"/>
      <c r="V2131" s="33"/>
    </row>
    <row r="2132" spans="1:22" s="38" customFormat="1" ht="11.25" customHeight="1" x14ac:dyDescent="0.35">
      <c r="A2132" s="38" t="s">
        <v>7192</v>
      </c>
      <c r="B2132" s="39" t="s">
        <v>7192</v>
      </c>
      <c r="C2132" s="106" t="s">
        <v>624</v>
      </c>
      <c r="D2132" s="82" t="s">
        <v>7948</v>
      </c>
      <c r="E2132" s="38">
        <v>1</v>
      </c>
      <c r="F2132" s="26">
        <v>45482</v>
      </c>
      <c r="G2132" s="25">
        <v>1</v>
      </c>
      <c r="H2132" s="160">
        <v>45560</v>
      </c>
      <c r="I2132" s="38" t="s">
        <v>5640</v>
      </c>
      <c r="K2132" s="70" t="s">
        <v>5365</v>
      </c>
      <c r="L2132" s="39"/>
    </row>
    <row r="2133" spans="1:22" s="47" customFormat="1" ht="11.25" customHeight="1" x14ac:dyDescent="0.35">
      <c r="A2133" s="33" t="s">
        <v>7192</v>
      </c>
      <c r="B2133" s="35" t="s">
        <v>7192</v>
      </c>
      <c r="C2133" s="272" t="s">
        <v>7949</v>
      </c>
      <c r="D2133" s="31" t="s">
        <v>7950</v>
      </c>
      <c r="E2133" s="33">
        <v>8</v>
      </c>
      <c r="F2133" s="22">
        <v>45482</v>
      </c>
      <c r="G2133" s="21"/>
      <c r="H2133" s="159"/>
      <c r="I2133" s="33"/>
      <c r="J2133" s="33"/>
      <c r="K2133" s="70" t="s">
        <v>5338</v>
      </c>
      <c r="L2133" s="35"/>
      <c r="M2133" s="33"/>
      <c r="N2133" s="33"/>
      <c r="O2133" s="33"/>
      <c r="P2133" s="33"/>
      <c r="Q2133" s="33"/>
      <c r="R2133" s="33"/>
      <c r="S2133" s="33"/>
      <c r="T2133" s="33"/>
      <c r="U2133" s="33"/>
      <c r="V2133" s="33"/>
    </row>
    <row r="2134" spans="1:22" s="38" customFormat="1" ht="11.25" customHeight="1" x14ac:dyDescent="0.35">
      <c r="A2134" s="38" t="s">
        <v>7192</v>
      </c>
      <c r="B2134" s="39" t="s">
        <v>7192</v>
      </c>
      <c r="C2134" s="106" t="s">
        <v>2681</v>
      </c>
      <c r="D2134" s="82" t="s">
        <v>7951</v>
      </c>
      <c r="E2134" s="38">
        <v>60</v>
      </c>
      <c r="F2134" s="26">
        <v>45482</v>
      </c>
      <c r="G2134" s="25">
        <v>60</v>
      </c>
      <c r="H2134" s="26">
        <v>45548</v>
      </c>
      <c r="I2134" s="160" t="s">
        <v>7952</v>
      </c>
      <c r="K2134" s="70" t="s">
        <v>5365</v>
      </c>
      <c r="L2134" s="39"/>
    </row>
    <row r="2135" spans="1:22" ht="11.25" customHeight="1" x14ac:dyDescent="0.35">
      <c r="A2135" s="33" t="s">
        <v>7192</v>
      </c>
      <c r="B2135" s="35" t="s">
        <v>7192</v>
      </c>
      <c r="C2135" s="272" t="s">
        <v>6665</v>
      </c>
      <c r="D2135" s="31" t="s">
        <v>7953</v>
      </c>
      <c r="E2135" s="33">
        <v>7</v>
      </c>
      <c r="F2135" s="22">
        <v>45482</v>
      </c>
      <c r="K2135" s="70" t="s">
        <v>5338</v>
      </c>
    </row>
    <row r="2136" spans="1:22" s="43" customFormat="1" ht="11.25" customHeight="1" x14ac:dyDescent="0.35">
      <c r="A2136" s="33" t="s">
        <v>7192</v>
      </c>
      <c r="B2136" s="35" t="s">
        <v>7192</v>
      </c>
      <c r="C2136" s="272" t="s">
        <v>6697</v>
      </c>
      <c r="D2136" s="31" t="s">
        <v>7954</v>
      </c>
      <c r="E2136" s="33">
        <v>21</v>
      </c>
      <c r="F2136" s="22">
        <v>45482</v>
      </c>
      <c r="G2136" s="21"/>
      <c r="H2136" s="159"/>
      <c r="I2136" s="33"/>
      <c r="J2136" s="33"/>
      <c r="K2136" s="70" t="s">
        <v>5338</v>
      </c>
      <c r="L2136" s="35"/>
      <c r="M2136" s="33"/>
      <c r="N2136" s="33"/>
      <c r="O2136" s="33"/>
      <c r="P2136" s="33"/>
      <c r="Q2136" s="33"/>
      <c r="R2136" s="33"/>
      <c r="S2136" s="33"/>
      <c r="T2136" s="33"/>
      <c r="U2136" s="33"/>
      <c r="V2136" s="33"/>
    </row>
    <row r="2137" spans="1:22" ht="11.25" customHeight="1" x14ac:dyDescent="0.35">
      <c r="A2137" s="33" t="s">
        <v>6142</v>
      </c>
      <c r="B2137" s="35" t="s">
        <v>5554</v>
      </c>
      <c r="D2137" s="31" t="s">
        <v>7955</v>
      </c>
      <c r="E2137" s="33">
        <v>24</v>
      </c>
      <c r="F2137" s="22">
        <v>45482</v>
      </c>
      <c r="K2137" s="70" t="s">
        <v>5365</v>
      </c>
    </row>
    <row r="2138" spans="1:22" ht="11.25" customHeight="1" x14ac:dyDescent="0.35">
      <c r="A2138" s="43" t="s">
        <v>4832</v>
      </c>
      <c r="B2138" s="44" t="s">
        <v>5904</v>
      </c>
      <c r="C2138" s="275" t="s">
        <v>7956</v>
      </c>
      <c r="D2138" s="89" t="s">
        <v>7957</v>
      </c>
      <c r="E2138" s="43">
        <v>200</v>
      </c>
      <c r="F2138" s="30">
        <v>45483</v>
      </c>
      <c r="G2138" s="29">
        <v>50</v>
      </c>
      <c r="H2138" s="163" t="s">
        <v>7958</v>
      </c>
      <c r="I2138" s="43" t="s">
        <v>7959</v>
      </c>
      <c r="J2138" s="43"/>
      <c r="K2138" s="43" t="s">
        <v>5511</v>
      </c>
      <c r="M2138" s="43"/>
      <c r="N2138" s="43"/>
      <c r="O2138" s="43"/>
      <c r="P2138" s="43"/>
      <c r="Q2138" s="43"/>
      <c r="R2138" s="43"/>
      <c r="S2138" s="43"/>
      <c r="T2138" s="43"/>
      <c r="U2138" s="43"/>
      <c r="V2138" s="43"/>
    </row>
    <row r="2139" spans="1:22" ht="11.25" customHeight="1" x14ac:dyDescent="0.35">
      <c r="A2139" s="38"/>
      <c r="B2139" s="39" t="s">
        <v>6225</v>
      </c>
      <c r="C2139" s="106"/>
      <c r="D2139" s="82" t="s">
        <v>957</v>
      </c>
      <c r="E2139" s="38">
        <v>1</v>
      </c>
      <c r="F2139" s="26"/>
      <c r="G2139" s="25">
        <v>1</v>
      </c>
      <c r="H2139" s="160">
        <v>45484</v>
      </c>
      <c r="I2139" s="38" t="s">
        <v>6227</v>
      </c>
      <c r="J2139" s="38"/>
      <c r="K2139" s="38" t="s">
        <v>5365</v>
      </c>
      <c r="M2139" s="38"/>
      <c r="N2139" s="38"/>
      <c r="O2139" s="38"/>
      <c r="P2139" s="38"/>
      <c r="Q2139" s="38"/>
      <c r="R2139" s="38"/>
      <c r="S2139" s="38"/>
      <c r="T2139" s="38"/>
      <c r="U2139" s="38"/>
      <c r="V2139" s="38"/>
    </row>
    <row r="2140" spans="1:22" ht="11.25" customHeight="1" x14ac:dyDescent="0.35">
      <c r="A2140" s="38" t="s">
        <v>6471</v>
      </c>
      <c r="B2140" s="39" t="s">
        <v>5763</v>
      </c>
      <c r="C2140" s="106"/>
      <c r="D2140" s="82" t="s">
        <v>7960</v>
      </c>
      <c r="E2140" s="38">
        <v>4</v>
      </c>
      <c r="F2140" s="26"/>
      <c r="G2140" s="25">
        <v>4</v>
      </c>
      <c r="H2140" s="160">
        <v>45488</v>
      </c>
      <c r="I2140" s="38" t="s">
        <v>7961</v>
      </c>
      <c r="J2140" s="38"/>
      <c r="K2140" s="38" t="s">
        <v>5365</v>
      </c>
      <c r="L2140" s="39"/>
      <c r="M2140" s="38"/>
    </row>
    <row r="2141" spans="1:22" ht="11.25" customHeight="1" x14ac:dyDescent="0.35">
      <c r="A2141" s="33" t="s">
        <v>4832</v>
      </c>
      <c r="B2141" s="35" t="s">
        <v>5904</v>
      </c>
      <c r="C2141" s="272" t="s">
        <v>1011</v>
      </c>
      <c r="D2141" s="31" t="s">
        <v>7962</v>
      </c>
      <c r="E2141" s="33">
        <v>1</v>
      </c>
      <c r="F2141" s="22">
        <v>45485</v>
      </c>
      <c r="K2141" s="33" t="s">
        <v>5338</v>
      </c>
    </row>
    <row r="2142" spans="1:22" ht="11.25" customHeight="1" x14ac:dyDescent="0.35">
      <c r="A2142" s="38" t="s">
        <v>4832</v>
      </c>
      <c r="B2142" s="39" t="s">
        <v>5904</v>
      </c>
      <c r="C2142" s="106" t="s">
        <v>7963</v>
      </c>
      <c r="D2142" s="82" t="s">
        <v>7964</v>
      </c>
      <c r="E2142" s="38">
        <v>6</v>
      </c>
      <c r="F2142" s="26">
        <v>45485</v>
      </c>
      <c r="G2142" s="25" t="s">
        <v>7965</v>
      </c>
      <c r="H2142" s="160" t="s">
        <v>7966</v>
      </c>
      <c r="I2142" s="38" t="s">
        <v>7967</v>
      </c>
      <c r="J2142" s="38"/>
      <c r="K2142" s="38" t="s">
        <v>5365</v>
      </c>
      <c r="M2142" s="38"/>
      <c r="N2142" s="38"/>
      <c r="O2142" s="38"/>
      <c r="P2142" s="38"/>
      <c r="Q2142" s="38"/>
      <c r="R2142" s="38"/>
      <c r="S2142" s="38"/>
      <c r="T2142" s="38"/>
      <c r="U2142" s="38"/>
      <c r="V2142" s="38"/>
    </row>
    <row r="2143" spans="1:22" ht="11.25" customHeight="1" x14ac:dyDescent="0.35">
      <c r="A2143" s="33" t="s">
        <v>4832</v>
      </c>
      <c r="B2143" s="35" t="s">
        <v>5904</v>
      </c>
      <c r="C2143" s="272" t="s">
        <v>7508</v>
      </c>
      <c r="D2143" s="31" t="s">
        <v>7968</v>
      </c>
      <c r="E2143" s="33">
        <v>1</v>
      </c>
      <c r="F2143" s="22">
        <v>45485</v>
      </c>
      <c r="K2143" s="33" t="s">
        <v>5338</v>
      </c>
    </row>
    <row r="2144" spans="1:22" ht="11.25" customHeight="1" x14ac:dyDescent="0.35">
      <c r="A2144" s="33" t="s">
        <v>4832</v>
      </c>
      <c r="B2144" s="35" t="s">
        <v>5904</v>
      </c>
      <c r="C2144" s="272" t="s">
        <v>7969</v>
      </c>
      <c r="D2144" s="31" t="s">
        <v>7970</v>
      </c>
      <c r="E2144" s="33">
        <v>30</v>
      </c>
      <c r="F2144" s="22">
        <v>45485</v>
      </c>
      <c r="K2144" s="33" t="s">
        <v>5338</v>
      </c>
    </row>
    <row r="2145" spans="1:22" ht="11.25" customHeight="1" x14ac:dyDescent="0.35">
      <c r="A2145" s="33" t="s">
        <v>4832</v>
      </c>
      <c r="B2145" s="35" t="s">
        <v>5904</v>
      </c>
      <c r="C2145" s="272" t="s">
        <v>134</v>
      </c>
      <c r="D2145" s="31" t="s">
        <v>7971</v>
      </c>
      <c r="E2145" s="33">
        <v>30</v>
      </c>
      <c r="F2145" s="22">
        <v>45485</v>
      </c>
      <c r="K2145" s="33" t="s">
        <v>5338</v>
      </c>
    </row>
    <row r="2146" spans="1:22" ht="11.25" customHeight="1" x14ac:dyDescent="0.35">
      <c r="A2146" s="38" t="s">
        <v>4832</v>
      </c>
      <c r="B2146" s="39" t="s">
        <v>5904</v>
      </c>
      <c r="C2146" s="106"/>
      <c r="D2146" s="82" t="s">
        <v>7161</v>
      </c>
      <c r="E2146" s="38">
        <v>2</v>
      </c>
      <c r="F2146" s="26">
        <v>45485</v>
      </c>
      <c r="G2146" s="25">
        <v>2</v>
      </c>
      <c r="H2146" s="160">
        <v>45498</v>
      </c>
      <c r="I2146" s="38" t="s">
        <v>7705</v>
      </c>
      <c r="J2146" s="38"/>
      <c r="K2146" s="33" t="s">
        <v>5365</v>
      </c>
      <c r="L2146" s="39"/>
      <c r="M2146" s="38"/>
      <c r="N2146" s="38"/>
      <c r="O2146" s="38"/>
      <c r="P2146" s="38"/>
      <c r="Q2146" s="38"/>
      <c r="R2146" s="38"/>
      <c r="S2146" s="38"/>
      <c r="T2146" s="38"/>
      <c r="U2146" s="38"/>
      <c r="V2146" s="38"/>
    </row>
    <row r="2147" spans="1:22" ht="11.25" customHeight="1" x14ac:dyDescent="0.35">
      <c r="A2147" s="47" t="s">
        <v>4832</v>
      </c>
      <c r="B2147" s="34" t="s">
        <v>5904</v>
      </c>
      <c r="C2147" s="274" t="s">
        <v>7906</v>
      </c>
      <c r="D2147" s="194" t="s">
        <v>7972</v>
      </c>
      <c r="E2147" s="47">
        <v>26</v>
      </c>
      <c r="F2147" s="48">
        <v>45486</v>
      </c>
      <c r="G2147" s="108"/>
      <c r="H2147" s="162"/>
      <c r="I2147" s="47"/>
      <c r="J2147" s="47"/>
      <c r="K2147" s="33" t="s">
        <v>5338</v>
      </c>
      <c r="L2147" s="34"/>
      <c r="M2147" s="47"/>
      <c r="N2147" s="47"/>
      <c r="O2147" s="47"/>
      <c r="P2147" s="47"/>
      <c r="Q2147" s="47"/>
      <c r="R2147" s="47"/>
      <c r="S2147" s="47"/>
      <c r="T2147" s="47"/>
      <c r="U2147" s="47"/>
      <c r="V2147" s="47"/>
    </row>
    <row r="2148" spans="1:22" ht="11.25" customHeight="1" x14ac:dyDescent="0.35">
      <c r="A2148" s="47" t="s">
        <v>4832</v>
      </c>
      <c r="B2148" s="34" t="s">
        <v>5904</v>
      </c>
      <c r="C2148" s="274" t="s">
        <v>3672</v>
      </c>
      <c r="D2148" s="194" t="s">
        <v>7973</v>
      </c>
      <c r="E2148" s="47">
        <v>20</v>
      </c>
      <c r="F2148" s="48">
        <v>45487</v>
      </c>
      <c r="G2148" s="108"/>
      <c r="H2148" s="162"/>
      <c r="I2148" s="47"/>
      <c r="J2148" s="47"/>
      <c r="K2148" s="33" t="s">
        <v>5338</v>
      </c>
      <c r="L2148" s="34"/>
      <c r="M2148" s="47"/>
      <c r="N2148" s="47"/>
      <c r="O2148" s="47"/>
      <c r="P2148" s="47"/>
      <c r="Q2148" s="47"/>
      <c r="R2148" s="47"/>
      <c r="S2148" s="47"/>
      <c r="T2148" s="47"/>
      <c r="U2148" s="47"/>
      <c r="V2148" s="47"/>
    </row>
    <row r="2149" spans="1:22" ht="11.25" customHeight="1" x14ac:dyDescent="0.35">
      <c r="A2149" s="43" t="s">
        <v>4832</v>
      </c>
      <c r="B2149" s="44" t="s">
        <v>5904</v>
      </c>
      <c r="C2149" s="275" t="s">
        <v>7511</v>
      </c>
      <c r="D2149" s="195" t="s">
        <v>7529</v>
      </c>
      <c r="E2149" s="43">
        <v>80</v>
      </c>
      <c r="F2149" s="30">
        <v>45488</v>
      </c>
      <c r="G2149" s="29">
        <v>10</v>
      </c>
      <c r="H2149" s="163">
        <v>45504</v>
      </c>
      <c r="I2149" s="43" t="s">
        <v>7705</v>
      </c>
      <c r="J2149" s="43"/>
      <c r="K2149" s="33" t="s">
        <v>5511</v>
      </c>
      <c r="L2149" s="44"/>
      <c r="M2149" s="43"/>
      <c r="N2149" s="43"/>
      <c r="O2149" s="43"/>
      <c r="P2149" s="43"/>
      <c r="Q2149" s="43"/>
      <c r="R2149" s="43"/>
      <c r="S2149" s="43"/>
      <c r="T2149" s="43"/>
      <c r="U2149" s="43"/>
      <c r="V2149" s="43"/>
    </row>
    <row r="2150" spans="1:22" ht="11.25" customHeight="1" x14ac:dyDescent="0.35">
      <c r="A2150" s="150" t="s">
        <v>4832</v>
      </c>
      <c r="B2150" s="154" t="s">
        <v>5904</v>
      </c>
      <c r="C2150" s="272" t="s">
        <v>7974</v>
      </c>
      <c r="D2150" s="33" t="s">
        <v>1785</v>
      </c>
      <c r="E2150" s="33">
        <v>1000</v>
      </c>
      <c r="F2150" s="26">
        <v>45489</v>
      </c>
      <c r="G2150" s="33"/>
      <c r="H2150" s="33"/>
      <c r="K2150" s="33" t="s">
        <v>5338</v>
      </c>
      <c r="L2150" s="33"/>
    </row>
    <row r="2151" spans="1:22" ht="11.25" customHeight="1" x14ac:dyDescent="0.35">
      <c r="A2151" s="33" t="s">
        <v>4832</v>
      </c>
      <c r="B2151" s="35" t="s">
        <v>7975</v>
      </c>
      <c r="D2151" s="31" t="s">
        <v>7976</v>
      </c>
      <c r="E2151" s="33">
        <v>400</v>
      </c>
      <c r="F2151" s="22">
        <v>45485</v>
      </c>
      <c r="K2151" s="33" t="s">
        <v>5338</v>
      </c>
    </row>
    <row r="2152" spans="1:22" ht="11.25" customHeight="1" x14ac:dyDescent="0.35">
      <c r="A2152" s="150" t="s">
        <v>5336</v>
      </c>
      <c r="B2152" s="154" t="s">
        <v>5336</v>
      </c>
      <c r="C2152" s="307" t="s">
        <v>7977</v>
      </c>
      <c r="D2152" s="217" t="s">
        <v>7978</v>
      </c>
      <c r="E2152" s="150">
        <v>4</v>
      </c>
      <c r="F2152" s="152">
        <v>45485</v>
      </c>
      <c r="G2152" s="153">
        <v>2</v>
      </c>
      <c r="H2152" s="186">
        <v>45490</v>
      </c>
      <c r="I2152" s="150" t="s">
        <v>5433</v>
      </c>
      <c r="J2152" s="150"/>
      <c r="K2152" s="150" t="s">
        <v>5511</v>
      </c>
      <c r="L2152" s="154"/>
      <c r="M2152" s="150"/>
      <c r="N2152" s="150"/>
    </row>
    <row r="2153" spans="1:22" ht="11.25" customHeight="1" x14ac:dyDescent="0.35">
      <c r="A2153" s="150" t="s">
        <v>5336</v>
      </c>
      <c r="B2153" s="154" t="s">
        <v>5336</v>
      </c>
      <c r="C2153" s="307" t="s">
        <v>6697</v>
      </c>
      <c r="D2153" s="217" t="s">
        <v>7979</v>
      </c>
      <c r="E2153" s="150">
        <v>21</v>
      </c>
      <c r="F2153" s="152">
        <v>45485</v>
      </c>
      <c r="G2153" s="153" t="s">
        <v>6644</v>
      </c>
      <c r="H2153" s="186" t="s">
        <v>7980</v>
      </c>
      <c r="I2153" s="150" t="s">
        <v>7981</v>
      </c>
      <c r="J2153" s="150"/>
      <c r="K2153" s="33" t="s">
        <v>5511</v>
      </c>
    </row>
    <row r="2154" spans="1:22" ht="11.25" customHeight="1" x14ac:dyDescent="0.35">
      <c r="A2154" s="150" t="s">
        <v>5336</v>
      </c>
      <c r="B2154" s="154" t="s">
        <v>5336</v>
      </c>
      <c r="C2154" s="307" t="s">
        <v>7982</v>
      </c>
      <c r="D2154" s="217" t="s">
        <v>5231</v>
      </c>
      <c r="E2154" s="150">
        <v>9</v>
      </c>
      <c r="F2154" s="152">
        <v>45485</v>
      </c>
      <c r="G2154" s="153" t="s">
        <v>7983</v>
      </c>
      <c r="H2154" s="186" t="s">
        <v>7984</v>
      </c>
      <c r="I2154" s="150" t="s">
        <v>7985</v>
      </c>
      <c r="J2154" s="150" t="s">
        <v>7986</v>
      </c>
      <c r="K2154" s="33" t="s">
        <v>5511</v>
      </c>
    </row>
    <row r="2155" spans="1:22" ht="11.25" customHeight="1" x14ac:dyDescent="0.35">
      <c r="A2155" s="43" t="s">
        <v>5336</v>
      </c>
      <c r="B2155" s="44" t="s">
        <v>5336</v>
      </c>
      <c r="C2155" s="275" t="s">
        <v>7987</v>
      </c>
      <c r="D2155" s="195" t="s">
        <v>7988</v>
      </c>
      <c r="E2155" s="43">
        <v>6</v>
      </c>
      <c r="F2155" s="30">
        <v>45485</v>
      </c>
      <c r="G2155" s="29" t="s">
        <v>7989</v>
      </c>
      <c r="H2155" s="163">
        <v>45497</v>
      </c>
      <c r="I2155" s="43" t="s">
        <v>7990</v>
      </c>
      <c r="J2155" s="43"/>
      <c r="K2155" s="43" t="s">
        <v>5511</v>
      </c>
      <c r="L2155" s="44"/>
      <c r="M2155" s="43"/>
      <c r="N2155" s="43"/>
      <c r="O2155" s="43"/>
      <c r="P2155" s="43"/>
      <c r="Q2155" s="43"/>
      <c r="R2155" s="43"/>
      <c r="S2155" s="43"/>
      <c r="T2155" s="43"/>
      <c r="U2155" s="43"/>
      <c r="V2155" s="43"/>
    </row>
    <row r="2156" spans="1:22" ht="11.25" customHeight="1" x14ac:dyDescent="0.35">
      <c r="A2156" s="33" t="s">
        <v>5336</v>
      </c>
      <c r="B2156" s="35" t="s">
        <v>5336</v>
      </c>
      <c r="C2156" s="272" t="s">
        <v>7991</v>
      </c>
      <c r="D2156" s="204" t="s">
        <v>5068</v>
      </c>
      <c r="E2156" s="33">
        <v>1</v>
      </c>
      <c r="F2156" s="22">
        <v>45485</v>
      </c>
      <c r="K2156" s="33" t="s">
        <v>5338</v>
      </c>
    </row>
    <row r="2157" spans="1:22" ht="11.25" customHeight="1" x14ac:dyDescent="0.35">
      <c r="A2157" s="33" t="s">
        <v>5336</v>
      </c>
      <c r="B2157" s="35" t="s">
        <v>5336</v>
      </c>
      <c r="C2157" s="272" t="s">
        <v>735</v>
      </c>
      <c r="D2157" s="204" t="s">
        <v>7992</v>
      </c>
      <c r="E2157" s="33">
        <v>1</v>
      </c>
      <c r="F2157" s="22">
        <v>45485</v>
      </c>
      <c r="K2157" s="33" t="s">
        <v>5338</v>
      </c>
    </row>
    <row r="2158" spans="1:22" ht="11.25" customHeight="1" x14ac:dyDescent="0.35">
      <c r="A2158" s="38" t="s">
        <v>5336</v>
      </c>
      <c r="B2158" s="39" t="s">
        <v>5336</v>
      </c>
      <c r="C2158" s="106" t="s">
        <v>6183</v>
      </c>
      <c r="D2158" s="88" t="s">
        <v>6184</v>
      </c>
      <c r="E2158" s="38">
        <v>6</v>
      </c>
      <c r="F2158" s="26">
        <v>45485</v>
      </c>
      <c r="G2158" s="25">
        <v>6</v>
      </c>
      <c r="H2158" s="160">
        <v>45490</v>
      </c>
      <c r="I2158" s="38" t="s">
        <v>7993</v>
      </c>
      <c r="J2158" s="38"/>
      <c r="K2158" s="38" t="s">
        <v>5365</v>
      </c>
      <c r="L2158" s="154"/>
      <c r="M2158" s="150"/>
      <c r="N2158" s="150"/>
    </row>
    <row r="2159" spans="1:22" ht="11.25" customHeight="1" x14ac:dyDescent="0.35">
      <c r="A2159" s="33" t="s">
        <v>5336</v>
      </c>
      <c r="B2159" s="35" t="s">
        <v>5336</v>
      </c>
      <c r="C2159" s="272" t="s">
        <v>7994</v>
      </c>
      <c r="D2159" s="204" t="s">
        <v>5520</v>
      </c>
      <c r="E2159" s="33">
        <v>1</v>
      </c>
      <c r="F2159" s="22">
        <v>45485</v>
      </c>
      <c r="K2159" s="33" t="s">
        <v>5338</v>
      </c>
    </row>
    <row r="2160" spans="1:22" ht="11.25" customHeight="1" x14ac:dyDescent="0.35">
      <c r="A2160" s="150" t="s">
        <v>5336</v>
      </c>
      <c r="B2160" s="154" t="s">
        <v>5336</v>
      </c>
      <c r="C2160" s="307" t="s">
        <v>7995</v>
      </c>
      <c r="D2160" s="217" t="s">
        <v>7996</v>
      </c>
      <c r="E2160" s="150">
        <v>8</v>
      </c>
      <c r="F2160" s="152">
        <v>45485</v>
      </c>
      <c r="G2160" s="153" t="s">
        <v>7997</v>
      </c>
      <c r="H2160" s="186" t="s">
        <v>7998</v>
      </c>
      <c r="I2160" s="150" t="s">
        <v>7993</v>
      </c>
      <c r="J2160" s="150"/>
      <c r="K2160" s="33" t="s">
        <v>5511</v>
      </c>
    </row>
    <row r="2161" spans="1:11" ht="11.25" customHeight="1" x14ac:dyDescent="0.35">
      <c r="A2161" s="150" t="s">
        <v>5336</v>
      </c>
      <c r="B2161" s="154" t="s">
        <v>5336</v>
      </c>
      <c r="C2161" s="307" t="s">
        <v>7999</v>
      </c>
      <c r="D2161" s="217" t="s">
        <v>8000</v>
      </c>
      <c r="E2161" s="150">
        <v>10</v>
      </c>
      <c r="F2161" s="152">
        <v>45485</v>
      </c>
      <c r="G2161" s="153" t="s">
        <v>8001</v>
      </c>
      <c r="H2161" s="186" t="s">
        <v>7998</v>
      </c>
      <c r="I2161" s="150" t="s">
        <v>8002</v>
      </c>
      <c r="J2161" s="150"/>
      <c r="K2161" s="33" t="s">
        <v>5511</v>
      </c>
    </row>
    <row r="2162" spans="1:11" ht="11.25" customHeight="1" x14ac:dyDescent="0.35">
      <c r="A2162" s="33" t="s">
        <v>5336</v>
      </c>
      <c r="B2162" s="35" t="s">
        <v>5336</v>
      </c>
      <c r="C2162" s="272" t="s">
        <v>8003</v>
      </c>
      <c r="D2162" s="204" t="s">
        <v>8004</v>
      </c>
      <c r="E2162" s="33">
        <v>6</v>
      </c>
      <c r="F2162" s="22">
        <v>45485</v>
      </c>
      <c r="K2162" s="33" t="s">
        <v>5338</v>
      </c>
    </row>
    <row r="2163" spans="1:11" ht="11.25" customHeight="1" x14ac:dyDescent="0.35">
      <c r="A2163" s="150" t="s">
        <v>5336</v>
      </c>
      <c r="B2163" s="154" t="s">
        <v>5336</v>
      </c>
      <c r="C2163" s="307" t="s">
        <v>8005</v>
      </c>
      <c r="D2163" s="217" t="s">
        <v>5996</v>
      </c>
      <c r="E2163" s="150">
        <v>15</v>
      </c>
      <c r="F2163" s="152">
        <v>45485</v>
      </c>
      <c r="G2163" s="153">
        <v>14</v>
      </c>
      <c r="H2163" s="186" t="s">
        <v>8006</v>
      </c>
      <c r="I2163" s="150" t="s">
        <v>8007</v>
      </c>
      <c r="J2163" s="150" t="s">
        <v>8008</v>
      </c>
      <c r="K2163" s="33" t="s">
        <v>5511</v>
      </c>
    </row>
    <row r="2164" spans="1:11" ht="11.25" customHeight="1" x14ac:dyDescent="0.35">
      <c r="A2164" s="38" t="s">
        <v>5336</v>
      </c>
      <c r="B2164" s="39" t="s">
        <v>5336</v>
      </c>
      <c r="C2164" s="106" t="s">
        <v>6705</v>
      </c>
      <c r="D2164" s="88" t="s">
        <v>8009</v>
      </c>
      <c r="E2164" s="38">
        <v>1</v>
      </c>
      <c r="F2164" s="26">
        <v>45485</v>
      </c>
      <c r="G2164" s="25">
        <v>1</v>
      </c>
      <c r="H2164" s="160">
        <v>45490</v>
      </c>
      <c r="I2164" s="38" t="s">
        <v>7993</v>
      </c>
      <c r="J2164" s="38"/>
      <c r="K2164" s="38" t="s">
        <v>5365</v>
      </c>
    </row>
    <row r="2165" spans="1:11" ht="11.25" customHeight="1" x14ac:dyDescent="0.35">
      <c r="A2165" s="33" t="s">
        <v>5336</v>
      </c>
      <c r="B2165" s="35" t="s">
        <v>5336</v>
      </c>
      <c r="C2165" s="272" t="s">
        <v>8010</v>
      </c>
      <c r="D2165" s="204" t="s">
        <v>8011</v>
      </c>
      <c r="E2165" s="33">
        <v>8</v>
      </c>
      <c r="F2165" s="22">
        <v>45485</v>
      </c>
      <c r="K2165" s="33" t="s">
        <v>5338</v>
      </c>
    </row>
    <row r="2166" spans="1:11" ht="11.25" customHeight="1" x14ac:dyDescent="0.35">
      <c r="A2166" s="33" t="s">
        <v>5336</v>
      </c>
      <c r="B2166" s="35" t="s">
        <v>5336</v>
      </c>
      <c r="D2166" s="204" t="s">
        <v>8012</v>
      </c>
      <c r="E2166" s="33">
        <v>2</v>
      </c>
      <c r="F2166" s="22">
        <v>45485</v>
      </c>
      <c r="K2166" s="33" t="s">
        <v>5338</v>
      </c>
    </row>
    <row r="2167" spans="1:11" ht="11.25" customHeight="1" x14ac:dyDescent="0.35">
      <c r="A2167" s="150" t="s">
        <v>5336</v>
      </c>
      <c r="B2167" s="154" t="s">
        <v>5336</v>
      </c>
      <c r="C2167" s="307" t="s">
        <v>8013</v>
      </c>
      <c r="D2167" s="217" t="s">
        <v>5699</v>
      </c>
      <c r="E2167" s="150">
        <v>32</v>
      </c>
      <c r="F2167" s="152">
        <v>45485</v>
      </c>
      <c r="G2167" s="153" t="s">
        <v>8014</v>
      </c>
      <c r="H2167" s="186" t="s">
        <v>8015</v>
      </c>
      <c r="I2167" s="150" t="s">
        <v>8016</v>
      </c>
      <c r="J2167" s="150"/>
      <c r="K2167" s="150" t="s">
        <v>5511</v>
      </c>
    </row>
    <row r="2168" spans="1:11" ht="11.25" customHeight="1" x14ac:dyDescent="0.35">
      <c r="A2168" s="150" t="s">
        <v>5336</v>
      </c>
      <c r="B2168" s="154" t="s">
        <v>5336</v>
      </c>
      <c r="C2168" s="307" t="s">
        <v>8017</v>
      </c>
      <c r="D2168" s="217" t="s">
        <v>5699</v>
      </c>
      <c r="E2168" s="150">
        <v>32</v>
      </c>
      <c r="F2168" s="152">
        <v>45485</v>
      </c>
      <c r="G2168" s="153">
        <v>1</v>
      </c>
      <c r="H2168" s="186">
        <v>45490</v>
      </c>
      <c r="I2168" s="150" t="s">
        <v>5842</v>
      </c>
      <c r="J2168" s="150"/>
      <c r="K2168" s="150" t="s">
        <v>5511</v>
      </c>
    </row>
    <row r="2169" spans="1:11" ht="11.25" customHeight="1" x14ac:dyDescent="0.35">
      <c r="A2169" s="150" t="s">
        <v>5336</v>
      </c>
      <c r="B2169" s="154" t="s">
        <v>5336</v>
      </c>
      <c r="C2169" s="307" t="s">
        <v>8018</v>
      </c>
      <c r="D2169" s="217" t="s">
        <v>8019</v>
      </c>
      <c r="E2169" s="150">
        <v>6</v>
      </c>
      <c r="F2169" s="152">
        <v>45485</v>
      </c>
      <c r="G2169" s="153">
        <v>2</v>
      </c>
      <c r="H2169" s="186">
        <v>45489</v>
      </c>
      <c r="I2169" s="150" t="s">
        <v>7993</v>
      </c>
      <c r="J2169" s="150"/>
      <c r="K2169" s="33" t="s">
        <v>5511</v>
      </c>
    </row>
    <row r="2170" spans="1:11" ht="11.25" customHeight="1" x14ac:dyDescent="0.35">
      <c r="A2170" s="150" t="s">
        <v>5336</v>
      </c>
      <c r="B2170" s="154" t="s">
        <v>5336</v>
      </c>
      <c r="C2170" s="307" t="s">
        <v>7949</v>
      </c>
      <c r="D2170" s="217" t="s">
        <v>8020</v>
      </c>
      <c r="E2170" s="150">
        <v>8</v>
      </c>
      <c r="F2170" s="152">
        <v>45485</v>
      </c>
      <c r="G2170" s="153" t="s">
        <v>8021</v>
      </c>
      <c r="H2170" s="186" t="s">
        <v>8022</v>
      </c>
      <c r="I2170" s="150" t="s">
        <v>8023</v>
      </c>
      <c r="J2170" s="150"/>
      <c r="K2170" s="150" t="s">
        <v>5511</v>
      </c>
    </row>
    <row r="2171" spans="1:11" ht="11.25" customHeight="1" x14ac:dyDescent="0.35">
      <c r="A2171" s="33" t="s">
        <v>5336</v>
      </c>
      <c r="B2171" s="35" t="s">
        <v>5336</v>
      </c>
      <c r="C2171" s="272" t="s">
        <v>8024</v>
      </c>
      <c r="D2171" s="204" t="s">
        <v>8025</v>
      </c>
      <c r="E2171" s="33">
        <v>4</v>
      </c>
      <c r="F2171" s="22">
        <v>45485</v>
      </c>
      <c r="K2171" s="33" t="s">
        <v>5338</v>
      </c>
    </row>
    <row r="2172" spans="1:11" ht="11.25" customHeight="1" x14ac:dyDescent="0.35">
      <c r="A2172" s="33" t="s">
        <v>5336</v>
      </c>
      <c r="B2172" s="35" t="s">
        <v>5336</v>
      </c>
      <c r="C2172" s="272" t="s">
        <v>8026</v>
      </c>
      <c r="D2172" s="204" t="s">
        <v>8027</v>
      </c>
      <c r="E2172" s="33">
        <v>4</v>
      </c>
      <c r="F2172" s="22">
        <v>45485</v>
      </c>
      <c r="K2172" s="33" t="s">
        <v>5338</v>
      </c>
    </row>
    <row r="2173" spans="1:11" ht="11.25" customHeight="1" x14ac:dyDescent="0.35">
      <c r="A2173" s="33" t="s">
        <v>5336</v>
      </c>
      <c r="B2173" s="35" t="s">
        <v>5336</v>
      </c>
      <c r="C2173" s="272" t="s">
        <v>8028</v>
      </c>
      <c r="D2173" s="204" t="s">
        <v>8029</v>
      </c>
      <c r="E2173" s="33">
        <v>2</v>
      </c>
      <c r="F2173" s="22">
        <v>45485</v>
      </c>
      <c r="K2173" s="33" t="s">
        <v>5338</v>
      </c>
    </row>
    <row r="2174" spans="1:11" ht="11.25" customHeight="1" x14ac:dyDescent="0.35">
      <c r="A2174" s="38" t="s">
        <v>5336</v>
      </c>
      <c r="B2174" s="39" t="s">
        <v>5336</v>
      </c>
      <c r="C2174" s="106" t="s">
        <v>7940</v>
      </c>
      <c r="D2174" s="88" t="s">
        <v>8030</v>
      </c>
      <c r="E2174" s="38">
        <v>4</v>
      </c>
      <c r="F2174" s="26">
        <v>45485</v>
      </c>
      <c r="G2174" s="25" t="s">
        <v>8031</v>
      </c>
      <c r="H2174" s="160" t="s">
        <v>8032</v>
      </c>
      <c r="I2174" s="38" t="s">
        <v>8023</v>
      </c>
      <c r="J2174" s="38"/>
      <c r="K2174" s="38" t="s">
        <v>5511</v>
      </c>
    </row>
    <row r="2175" spans="1:11" ht="11.25" customHeight="1" x14ac:dyDescent="0.35">
      <c r="A2175" s="33" t="s">
        <v>5336</v>
      </c>
      <c r="B2175" s="35" t="s">
        <v>5336</v>
      </c>
      <c r="C2175" s="272" t="s">
        <v>8033</v>
      </c>
      <c r="D2175" s="204" t="s">
        <v>8034</v>
      </c>
      <c r="E2175" s="33">
        <v>1</v>
      </c>
      <c r="F2175" s="22">
        <v>45485</v>
      </c>
      <c r="K2175" s="33" t="s">
        <v>5338</v>
      </c>
    </row>
    <row r="2176" spans="1:11" ht="11.25" customHeight="1" x14ac:dyDescent="0.35">
      <c r="A2176" s="33" t="s">
        <v>5336</v>
      </c>
      <c r="B2176" s="35" t="s">
        <v>5336</v>
      </c>
      <c r="C2176" s="272" t="s">
        <v>8035</v>
      </c>
      <c r="D2176" s="204" t="s">
        <v>1785</v>
      </c>
      <c r="E2176" s="33">
        <v>36</v>
      </c>
      <c r="F2176" s="22">
        <v>45485</v>
      </c>
      <c r="K2176" s="33" t="s">
        <v>5338</v>
      </c>
    </row>
    <row r="2177" spans="1:22" ht="11.25" customHeight="1" x14ac:dyDescent="0.35">
      <c r="A2177" s="33" t="s">
        <v>5336</v>
      </c>
      <c r="B2177" s="35" t="s">
        <v>5336</v>
      </c>
      <c r="C2177" s="272" t="s">
        <v>8036</v>
      </c>
      <c r="D2177" s="204" t="s">
        <v>8037</v>
      </c>
      <c r="E2177" s="33">
        <v>16</v>
      </c>
      <c r="F2177" s="22">
        <v>45485</v>
      </c>
      <c r="K2177" s="33" t="s">
        <v>5338</v>
      </c>
    </row>
    <row r="2178" spans="1:22" ht="11.25" customHeight="1" x14ac:dyDescent="0.35">
      <c r="A2178" s="33" t="s">
        <v>5336</v>
      </c>
      <c r="B2178" s="35" t="s">
        <v>5336</v>
      </c>
      <c r="C2178" s="272" t="s">
        <v>8038</v>
      </c>
      <c r="D2178" s="204" t="s">
        <v>8039</v>
      </c>
      <c r="E2178" s="33">
        <v>4</v>
      </c>
      <c r="F2178" s="22">
        <v>45485</v>
      </c>
      <c r="K2178" s="33" t="s">
        <v>5338</v>
      </c>
    </row>
    <row r="2179" spans="1:22" ht="11.25" customHeight="1" x14ac:dyDescent="0.35">
      <c r="A2179" s="38" t="s">
        <v>5336</v>
      </c>
      <c r="B2179" s="39" t="s">
        <v>5336</v>
      </c>
      <c r="C2179" s="106" t="s">
        <v>8040</v>
      </c>
      <c r="D2179" s="88" t="s">
        <v>8041</v>
      </c>
      <c r="E2179" s="38">
        <v>6</v>
      </c>
      <c r="F2179" s="26">
        <v>45485</v>
      </c>
      <c r="G2179" s="25" t="s">
        <v>7965</v>
      </c>
      <c r="H2179" s="160" t="s">
        <v>8042</v>
      </c>
      <c r="I2179" s="38" t="s">
        <v>8023</v>
      </c>
      <c r="J2179" s="38"/>
      <c r="K2179" s="38" t="s">
        <v>5365</v>
      </c>
    </row>
    <row r="2180" spans="1:22" ht="11.25" customHeight="1" x14ac:dyDescent="0.35">
      <c r="A2180" s="33" t="s">
        <v>5336</v>
      </c>
      <c r="B2180" s="35" t="s">
        <v>5336</v>
      </c>
      <c r="C2180" s="272" t="s">
        <v>7570</v>
      </c>
      <c r="D2180" s="204" t="s">
        <v>8043</v>
      </c>
      <c r="E2180" s="33">
        <v>6</v>
      </c>
      <c r="F2180" s="22">
        <v>45485</v>
      </c>
      <c r="K2180" s="33" t="s">
        <v>5338</v>
      </c>
    </row>
    <row r="2181" spans="1:22" ht="11.25" customHeight="1" x14ac:dyDescent="0.35">
      <c r="A2181" s="38" t="s">
        <v>5336</v>
      </c>
      <c r="B2181" s="39" t="s">
        <v>5336</v>
      </c>
      <c r="C2181" s="106" t="s">
        <v>8044</v>
      </c>
      <c r="D2181" s="88" t="s">
        <v>8045</v>
      </c>
      <c r="E2181" s="38">
        <v>32</v>
      </c>
      <c r="F2181" s="26">
        <v>45485</v>
      </c>
      <c r="G2181" s="25">
        <v>32</v>
      </c>
      <c r="H2181" s="160">
        <v>45490</v>
      </c>
      <c r="I2181" s="38" t="s">
        <v>7993</v>
      </c>
      <c r="J2181" s="38"/>
      <c r="K2181" s="38" t="s">
        <v>5365</v>
      </c>
      <c r="L2181" s="154"/>
      <c r="M2181" s="150"/>
    </row>
    <row r="2182" spans="1:22" ht="11.25" customHeight="1" x14ac:dyDescent="0.35">
      <c r="A2182" s="33" t="s">
        <v>5336</v>
      </c>
      <c r="B2182" s="35" t="s">
        <v>5336</v>
      </c>
      <c r="C2182" s="272" t="s">
        <v>8046</v>
      </c>
      <c r="D2182" s="204" t="s">
        <v>8047</v>
      </c>
      <c r="E2182" s="33">
        <v>1</v>
      </c>
      <c r="F2182" s="22">
        <v>45485</v>
      </c>
      <c r="K2182" s="33" t="s">
        <v>5338</v>
      </c>
    </row>
    <row r="2183" spans="1:22" ht="11.25" customHeight="1" x14ac:dyDescent="0.35">
      <c r="A2183" s="33" t="s">
        <v>5336</v>
      </c>
      <c r="B2183" s="35" t="s">
        <v>5336</v>
      </c>
      <c r="C2183" s="272" t="s">
        <v>7944</v>
      </c>
      <c r="D2183" s="204"/>
      <c r="E2183" s="33">
        <v>4</v>
      </c>
      <c r="F2183" s="22">
        <v>45485</v>
      </c>
      <c r="K2183" s="33" t="s">
        <v>5338</v>
      </c>
    </row>
    <row r="2184" spans="1:22" s="43" customFormat="1" ht="11.25" customHeight="1" x14ac:dyDescent="0.35">
      <c r="A2184" s="33" t="s">
        <v>5336</v>
      </c>
      <c r="B2184" s="35" t="s">
        <v>5336</v>
      </c>
      <c r="C2184" s="272" t="s">
        <v>8048</v>
      </c>
      <c r="D2184" s="204" t="s">
        <v>8025</v>
      </c>
      <c r="E2184" s="33">
        <v>4</v>
      </c>
      <c r="F2184" s="22">
        <v>45485</v>
      </c>
      <c r="G2184" s="21"/>
      <c r="H2184" s="159"/>
      <c r="I2184" s="33"/>
      <c r="J2184" s="33"/>
      <c r="K2184" s="33" t="s">
        <v>5338</v>
      </c>
      <c r="L2184" s="35"/>
      <c r="M2184" s="33"/>
      <c r="N2184" s="33"/>
      <c r="O2184" s="33"/>
      <c r="P2184" s="33"/>
      <c r="Q2184" s="33"/>
      <c r="R2184" s="33"/>
      <c r="S2184" s="33"/>
      <c r="T2184" s="33"/>
      <c r="U2184" s="33"/>
      <c r="V2184" s="33"/>
    </row>
    <row r="2185" spans="1:22" ht="11.25" customHeight="1" x14ac:dyDescent="0.35">
      <c r="A2185" s="33" t="s">
        <v>5336</v>
      </c>
      <c r="B2185" s="35" t="s">
        <v>5336</v>
      </c>
      <c r="C2185" s="272" t="s">
        <v>7197</v>
      </c>
      <c r="D2185" s="204" t="s">
        <v>8049</v>
      </c>
      <c r="E2185" s="33">
        <v>2</v>
      </c>
      <c r="F2185" s="22">
        <v>45485</v>
      </c>
      <c r="K2185" s="33" t="s">
        <v>5338</v>
      </c>
    </row>
    <row r="2186" spans="1:22" ht="11.25" customHeight="1" x14ac:dyDescent="0.35">
      <c r="A2186" s="33" t="s">
        <v>5336</v>
      </c>
      <c r="B2186" s="35" t="s">
        <v>5336</v>
      </c>
      <c r="C2186" s="272" t="s">
        <v>1736</v>
      </c>
      <c r="D2186" s="204" t="s">
        <v>8050</v>
      </c>
      <c r="E2186" s="33">
        <v>1</v>
      </c>
      <c r="F2186" s="22">
        <v>45485</v>
      </c>
      <c r="K2186" s="33" t="s">
        <v>5338</v>
      </c>
    </row>
    <row r="2187" spans="1:22" ht="11.25" customHeight="1" x14ac:dyDescent="0.35">
      <c r="A2187" s="33" t="s">
        <v>5336</v>
      </c>
      <c r="B2187" s="35" t="s">
        <v>5336</v>
      </c>
      <c r="C2187" s="272" t="s">
        <v>7933</v>
      </c>
      <c r="D2187" s="204" t="s">
        <v>8051</v>
      </c>
      <c r="E2187" s="33">
        <v>18</v>
      </c>
      <c r="F2187" s="22">
        <v>45485</v>
      </c>
      <c r="K2187" s="33" t="s">
        <v>5338</v>
      </c>
    </row>
    <row r="2188" spans="1:22" ht="11.25" customHeight="1" x14ac:dyDescent="0.35">
      <c r="A2188" s="33" t="s">
        <v>5336</v>
      </c>
      <c r="B2188" s="35" t="s">
        <v>5336</v>
      </c>
      <c r="C2188" s="272" t="s">
        <v>8052</v>
      </c>
      <c r="D2188" s="204" t="s">
        <v>8053</v>
      </c>
      <c r="E2188" s="33">
        <v>12</v>
      </c>
      <c r="F2188" s="22">
        <v>45485</v>
      </c>
      <c r="K2188" s="33" t="s">
        <v>5338</v>
      </c>
    </row>
    <row r="2189" spans="1:22" ht="11.25" customHeight="1" x14ac:dyDescent="0.35">
      <c r="A2189" s="33" t="s">
        <v>5336</v>
      </c>
      <c r="B2189" s="35" t="s">
        <v>5336</v>
      </c>
      <c r="C2189" s="272" t="s">
        <v>8054</v>
      </c>
      <c r="D2189" s="204" t="s">
        <v>8055</v>
      </c>
      <c r="E2189" s="33">
        <v>16</v>
      </c>
      <c r="F2189" s="22">
        <v>45485</v>
      </c>
      <c r="K2189" s="33" t="s">
        <v>5338</v>
      </c>
    </row>
    <row r="2190" spans="1:22" ht="11.25" customHeight="1" x14ac:dyDescent="0.35">
      <c r="A2190" s="33" t="s">
        <v>5336</v>
      </c>
      <c r="B2190" s="35" t="s">
        <v>5336</v>
      </c>
      <c r="C2190" s="272" t="s">
        <v>2681</v>
      </c>
      <c r="D2190" s="204" t="s">
        <v>8056</v>
      </c>
      <c r="E2190" s="33">
        <v>60</v>
      </c>
      <c r="F2190" s="22">
        <v>45485</v>
      </c>
      <c r="K2190" s="33" t="s">
        <v>5338</v>
      </c>
    </row>
    <row r="2191" spans="1:22" ht="11.25" customHeight="1" x14ac:dyDescent="0.35">
      <c r="A2191" s="33" t="s">
        <v>5336</v>
      </c>
      <c r="B2191" s="35" t="s">
        <v>5336</v>
      </c>
      <c r="C2191" s="272" t="s">
        <v>7938</v>
      </c>
      <c r="D2191" s="204" t="s">
        <v>8057</v>
      </c>
      <c r="E2191" s="33">
        <v>2</v>
      </c>
      <c r="F2191" s="22">
        <v>45485</v>
      </c>
      <c r="K2191" s="33" t="s">
        <v>5365</v>
      </c>
    </row>
    <row r="2192" spans="1:22" s="38" customFormat="1" ht="11.25" customHeight="1" x14ac:dyDescent="0.35">
      <c r="A2192" s="38" t="s">
        <v>5336</v>
      </c>
      <c r="B2192" s="39" t="s">
        <v>5336</v>
      </c>
      <c r="C2192" s="106" t="s">
        <v>8058</v>
      </c>
      <c r="D2192" s="88" t="s">
        <v>1751</v>
      </c>
      <c r="E2192" s="38">
        <v>8</v>
      </c>
      <c r="F2192" s="26">
        <v>45485</v>
      </c>
      <c r="G2192" s="25">
        <v>8</v>
      </c>
      <c r="H2192" s="160">
        <v>45490</v>
      </c>
      <c r="I2192" s="38" t="s">
        <v>7993</v>
      </c>
      <c r="K2192" s="38" t="s">
        <v>5365</v>
      </c>
      <c r="L2192" s="154"/>
      <c r="M2192" s="150"/>
      <c r="N2192" s="33"/>
      <c r="O2192" s="33"/>
      <c r="P2192" s="33"/>
      <c r="Q2192" s="33"/>
      <c r="R2192" s="33"/>
      <c r="S2192" s="33"/>
      <c r="T2192" s="33"/>
      <c r="U2192" s="33"/>
      <c r="V2192" s="33"/>
    </row>
    <row r="2193" spans="1:22" ht="11.25" customHeight="1" x14ac:dyDescent="0.35">
      <c r="A2193" s="38" t="s">
        <v>5336</v>
      </c>
      <c r="B2193" s="39" t="s">
        <v>5336</v>
      </c>
      <c r="C2193" s="106" t="s">
        <v>6455</v>
      </c>
      <c r="D2193" s="88" t="s">
        <v>2520</v>
      </c>
      <c r="E2193" s="38">
        <v>4</v>
      </c>
      <c r="F2193" s="26">
        <v>45485</v>
      </c>
      <c r="G2193" s="25">
        <v>4</v>
      </c>
      <c r="H2193" s="160">
        <v>45490</v>
      </c>
      <c r="I2193" s="38" t="s">
        <v>7993</v>
      </c>
      <c r="J2193" s="38"/>
      <c r="K2193" s="38" t="s">
        <v>5338</v>
      </c>
      <c r="L2193" s="154"/>
      <c r="M2193" s="150"/>
    </row>
    <row r="2194" spans="1:22" s="207" customFormat="1" ht="11.25" customHeight="1" x14ac:dyDescent="0.35">
      <c r="A2194" s="150" t="s">
        <v>5336</v>
      </c>
      <c r="B2194" s="154" t="s">
        <v>5336</v>
      </c>
      <c r="C2194" s="307" t="s">
        <v>8059</v>
      </c>
      <c r="D2194" s="217" t="s">
        <v>6461</v>
      </c>
      <c r="E2194" s="150">
        <v>9</v>
      </c>
      <c r="F2194" s="152">
        <v>45485</v>
      </c>
      <c r="G2194" s="153" t="s">
        <v>8060</v>
      </c>
      <c r="H2194" s="186" t="s">
        <v>8061</v>
      </c>
      <c r="I2194" s="150" t="s">
        <v>8062</v>
      </c>
      <c r="J2194" s="150"/>
      <c r="K2194" s="33" t="s">
        <v>5511</v>
      </c>
      <c r="L2194" s="35"/>
      <c r="M2194" s="33"/>
      <c r="N2194" s="33"/>
      <c r="O2194" s="33"/>
      <c r="P2194" s="33"/>
      <c r="Q2194" s="33"/>
      <c r="R2194" s="33"/>
      <c r="S2194" s="33"/>
      <c r="T2194" s="33"/>
      <c r="U2194" s="33"/>
      <c r="V2194" s="33"/>
    </row>
    <row r="2195" spans="1:22" s="202" customFormat="1" ht="11.25" customHeight="1" x14ac:dyDescent="0.35">
      <c r="A2195" s="33" t="s">
        <v>5336</v>
      </c>
      <c r="B2195" s="35" t="s">
        <v>5336</v>
      </c>
      <c r="C2195" s="272" t="s">
        <v>7919</v>
      </c>
      <c r="D2195" s="204" t="s">
        <v>8063</v>
      </c>
      <c r="E2195" s="33">
        <v>2</v>
      </c>
      <c r="F2195" s="22">
        <v>45485</v>
      </c>
      <c r="G2195" s="21"/>
      <c r="H2195" s="159"/>
      <c r="I2195" s="33"/>
      <c r="J2195" s="33"/>
      <c r="K2195" s="33" t="s">
        <v>5338</v>
      </c>
      <c r="L2195" s="35"/>
      <c r="M2195" s="33"/>
      <c r="N2195" s="33"/>
      <c r="O2195" s="33"/>
      <c r="P2195" s="33"/>
      <c r="Q2195" s="33"/>
      <c r="R2195" s="33"/>
      <c r="S2195" s="33"/>
      <c r="T2195" s="33"/>
      <c r="U2195" s="33"/>
      <c r="V2195" s="33"/>
    </row>
    <row r="2196" spans="1:22" s="202" customFormat="1" ht="11.25" customHeight="1" x14ac:dyDescent="0.35">
      <c r="A2196" s="150" t="s">
        <v>5336</v>
      </c>
      <c r="B2196" s="154" t="s">
        <v>5336</v>
      </c>
      <c r="C2196" s="307" t="s">
        <v>7927</v>
      </c>
      <c r="D2196" s="217" t="s">
        <v>8064</v>
      </c>
      <c r="E2196" s="150">
        <v>12</v>
      </c>
      <c r="F2196" s="152">
        <v>45485</v>
      </c>
      <c r="G2196" s="153" t="s">
        <v>8065</v>
      </c>
      <c r="H2196" s="186" t="s">
        <v>8032</v>
      </c>
      <c r="I2196" s="150" t="s">
        <v>8066</v>
      </c>
      <c r="J2196" s="150"/>
      <c r="K2196" s="150" t="s">
        <v>5511</v>
      </c>
      <c r="L2196" s="35"/>
      <c r="M2196" s="33"/>
      <c r="N2196" s="33"/>
      <c r="O2196" s="33"/>
      <c r="P2196" s="33"/>
      <c r="Q2196" s="33"/>
      <c r="R2196" s="33"/>
      <c r="S2196" s="33"/>
      <c r="T2196" s="33"/>
      <c r="U2196" s="33"/>
      <c r="V2196" s="33"/>
    </row>
    <row r="2197" spans="1:22" s="202" customFormat="1" ht="11.25" customHeight="1" x14ac:dyDescent="0.35">
      <c r="A2197" s="150" t="s">
        <v>5336</v>
      </c>
      <c r="B2197" s="154" t="s">
        <v>5336</v>
      </c>
      <c r="C2197" s="307" t="s">
        <v>7925</v>
      </c>
      <c r="D2197" s="217" t="s">
        <v>8067</v>
      </c>
      <c r="E2197" s="150">
        <v>12</v>
      </c>
      <c r="F2197" s="152">
        <v>45485</v>
      </c>
      <c r="G2197" s="153" t="s">
        <v>8065</v>
      </c>
      <c r="H2197" s="186" t="s">
        <v>8032</v>
      </c>
      <c r="I2197" s="150" t="s">
        <v>8066</v>
      </c>
      <c r="J2197" s="150"/>
      <c r="K2197" s="150" t="s">
        <v>5511</v>
      </c>
      <c r="L2197" s="35"/>
      <c r="M2197" s="33"/>
      <c r="N2197" s="33"/>
      <c r="O2197" s="33"/>
      <c r="P2197" s="33"/>
      <c r="Q2197" s="33"/>
      <c r="R2197" s="33"/>
      <c r="S2197" s="33"/>
      <c r="T2197" s="33"/>
      <c r="U2197" s="33"/>
      <c r="V2197" s="33"/>
    </row>
    <row r="2198" spans="1:22" s="202" customFormat="1" ht="11.25" customHeight="1" x14ac:dyDescent="0.35">
      <c r="A2198" s="33" t="s">
        <v>5336</v>
      </c>
      <c r="B2198" s="35" t="s">
        <v>5336</v>
      </c>
      <c r="C2198" s="272" t="s">
        <v>8068</v>
      </c>
      <c r="D2198" s="204" t="s">
        <v>8069</v>
      </c>
      <c r="E2198" s="33">
        <v>10</v>
      </c>
      <c r="F2198" s="22">
        <v>45485</v>
      </c>
      <c r="G2198" s="21"/>
      <c r="H2198" s="159"/>
      <c r="I2198" s="33"/>
      <c r="J2198" s="33"/>
      <c r="K2198" s="33" t="s">
        <v>5338</v>
      </c>
      <c r="L2198" s="35"/>
      <c r="M2198" s="33"/>
      <c r="N2198" s="33"/>
      <c r="O2198" s="33"/>
      <c r="P2198" s="33"/>
      <c r="Q2198" s="33"/>
      <c r="R2198" s="33"/>
      <c r="S2198" s="33"/>
      <c r="T2198" s="33"/>
      <c r="U2198" s="33"/>
      <c r="V2198" s="33"/>
    </row>
    <row r="2199" spans="1:22" s="202" customFormat="1" ht="11.25" customHeight="1" x14ac:dyDescent="0.35">
      <c r="A2199" s="150" t="s">
        <v>5336</v>
      </c>
      <c r="B2199" s="154" t="s">
        <v>5336</v>
      </c>
      <c r="C2199" s="307" t="s">
        <v>8070</v>
      </c>
      <c r="D2199" s="217" t="s">
        <v>8071</v>
      </c>
      <c r="E2199" s="150">
        <v>10</v>
      </c>
      <c r="F2199" s="152">
        <v>45485</v>
      </c>
      <c r="G2199" s="153" t="s">
        <v>8072</v>
      </c>
      <c r="H2199" s="186">
        <v>45491</v>
      </c>
      <c r="I2199" s="150" t="s">
        <v>8073</v>
      </c>
      <c r="J2199" s="150"/>
      <c r="K2199" s="150" t="s">
        <v>5511</v>
      </c>
      <c r="L2199" s="35"/>
      <c r="M2199" s="33"/>
      <c r="N2199" s="33"/>
      <c r="O2199" s="33"/>
      <c r="P2199" s="33"/>
      <c r="Q2199" s="33"/>
      <c r="R2199" s="33"/>
      <c r="S2199" s="33"/>
      <c r="T2199" s="33"/>
      <c r="U2199" s="33"/>
      <c r="V2199" s="33"/>
    </row>
    <row r="2200" spans="1:22" s="229" customFormat="1" ht="11.25" customHeight="1" x14ac:dyDescent="0.35">
      <c r="A2200" s="43" t="s">
        <v>5336</v>
      </c>
      <c r="B2200" s="44" t="s">
        <v>8074</v>
      </c>
      <c r="C2200" s="275" t="s">
        <v>8075</v>
      </c>
      <c r="D2200" s="89" t="s">
        <v>1853</v>
      </c>
      <c r="E2200" s="43">
        <v>3</v>
      </c>
      <c r="F2200" s="30">
        <v>45490</v>
      </c>
      <c r="G2200" s="29">
        <v>1</v>
      </c>
      <c r="H2200" s="163">
        <v>45497</v>
      </c>
      <c r="I2200" s="43" t="s">
        <v>5842</v>
      </c>
      <c r="J2200" s="43" t="s">
        <v>8076</v>
      </c>
      <c r="K2200" s="43" t="s">
        <v>5511</v>
      </c>
      <c r="L2200" s="44"/>
      <c r="M2200" s="43"/>
      <c r="N2200" s="43"/>
      <c r="O2200" s="43"/>
      <c r="P2200" s="43"/>
      <c r="Q2200" s="43"/>
      <c r="R2200" s="43"/>
      <c r="S2200" s="43"/>
      <c r="T2200" s="43"/>
      <c r="U2200" s="43"/>
      <c r="V2200" s="43"/>
    </row>
    <row r="2201" spans="1:22" s="202" customFormat="1" ht="11.25" customHeight="1" x14ac:dyDescent="0.35">
      <c r="A2201" s="33" t="s">
        <v>4917</v>
      </c>
      <c r="B2201" s="35">
        <v>1918</v>
      </c>
      <c r="C2201" s="272" t="s">
        <v>8077</v>
      </c>
      <c r="D2201" s="31" t="s">
        <v>8078</v>
      </c>
      <c r="E2201" s="33">
        <v>1500</v>
      </c>
      <c r="F2201" s="22">
        <v>45495</v>
      </c>
      <c r="G2201" s="21"/>
      <c r="H2201" s="159"/>
      <c r="I2201" s="33"/>
      <c r="J2201" s="33"/>
      <c r="K2201" s="33" t="s">
        <v>5338</v>
      </c>
      <c r="L2201" s="35"/>
      <c r="M2201" s="33"/>
      <c r="N2201" s="33"/>
      <c r="O2201" s="33"/>
      <c r="P2201" s="33"/>
      <c r="Q2201" s="33"/>
      <c r="R2201" s="33"/>
      <c r="S2201" s="33"/>
      <c r="T2201" s="33"/>
      <c r="U2201" s="33"/>
      <c r="V2201" s="33"/>
    </row>
    <row r="2202" spans="1:22" s="87" customFormat="1" ht="11.25" customHeight="1" x14ac:dyDescent="0.35">
      <c r="A2202" s="33" t="s">
        <v>4917</v>
      </c>
      <c r="B2202" s="35" t="s">
        <v>1589</v>
      </c>
      <c r="C2202" s="272" t="s">
        <v>8079</v>
      </c>
      <c r="D2202" s="31" t="s">
        <v>5130</v>
      </c>
      <c r="E2202" s="33">
        <v>1</v>
      </c>
      <c r="F2202" s="22">
        <v>45495</v>
      </c>
      <c r="G2202" s="21"/>
      <c r="H2202" s="159"/>
      <c r="I2202" s="33"/>
      <c r="J2202" s="33"/>
      <c r="K2202" s="33" t="s">
        <v>5338</v>
      </c>
      <c r="L2202" s="35"/>
      <c r="M2202" s="33"/>
      <c r="N2202" s="33"/>
      <c r="O2202" s="33"/>
      <c r="P2202" s="33"/>
      <c r="Q2202" s="33"/>
      <c r="R2202" s="33"/>
      <c r="S2202" s="33"/>
      <c r="T2202" s="33"/>
      <c r="U2202" s="33"/>
      <c r="V2202" s="33"/>
    </row>
    <row r="2203" spans="1:22" s="87" customFormat="1" ht="11.25" customHeight="1" x14ac:dyDescent="0.35">
      <c r="A2203" s="33" t="s">
        <v>4917</v>
      </c>
      <c r="B2203" s="35" t="s">
        <v>1589</v>
      </c>
      <c r="C2203" s="272" t="s">
        <v>8080</v>
      </c>
      <c r="D2203" s="31" t="s">
        <v>5285</v>
      </c>
      <c r="E2203" s="33">
        <v>20</v>
      </c>
      <c r="F2203" s="22">
        <v>45495</v>
      </c>
      <c r="G2203" s="21"/>
      <c r="H2203" s="159"/>
      <c r="I2203" s="33"/>
      <c r="J2203" s="33"/>
      <c r="K2203" s="33" t="s">
        <v>5338</v>
      </c>
      <c r="L2203" s="35"/>
      <c r="M2203" s="33"/>
      <c r="N2203" s="33"/>
      <c r="O2203" s="33"/>
      <c r="P2203" s="33"/>
      <c r="Q2203" s="33"/>
      <c r="R2203" s="33"/>
      <c r="S2203" s="33"/>
      <c r="T2203" s="33"/>
      <c r="U2203" s="33"/>
      <c r="V2203" s="33"/>
    </row>
    <row r="2204" spans="1:22" s="202" customFormat="1" ht="11.25" customHeight="1" x14ac:dyDescent="0.35">
      <c r="A2204" s="33" t="s">
        <v>4917</v>
      </c>
      <c r="B2204" s="35" t="s">
        <v>1589</v>
      </c>
      <c r="C2204" s="272" t="s">
        <v>8081</v>
      </c>
      <c r="D2204" s="31" t="s">
        <v>8082</v>
      </c>
      <c r="E2204" s="33">
        <v>1</v>
      </c>
      <c r="F2204" s="22">
        <v>45495</v>
      </c>
      <c r="G2204" s="21"/>
      <c r="H2204" s="159"/>
      <c r="I2204" s="33"/>
      <c r="J2204" s="33"/>
      <c r="K2204" s="33" t="s">
        <v>5338</v>
      </c>
      <c r="L2204" s="35"/>
      <c r="M2204" s="33"/>
      <c r="N2204" s="33"/>
      <c r="O2204" s="33"/>
      <c r="P2204" s="33"/>
      <c r="Q2204" s="33"/>
      <c r="R2204" s="33"/>
      <c r="S2204" s="33"/>
      <c r="T2204" s="33"/>
      <c r="U2204" s="33"/>
      <c r="V2204" s="33"/>
    </row>
    <row r="2205" spans="1:22" s="202" customFormat="1" ht="11.25" customHeight="1" x14ac:dyDescent="0.35">
      <c r="A2205" s="33" t="s">
        <v>5215</v>
      </c>
      <c r="B2205" s="35" t="s">
        <v>575</v>
      </c>
      <c r="C2205" s="272" t="s">
        <v>3305</v>
      </c>
      <c r="D2205" s="31" t="s">
        <v>3306</v>
      </c>
      <c r="E2205" s="33">
        <v>8</v>
      </c>
      <c r="F2205" s="22">
        <v>45495</v>
      </c>
      <c r="G2205" s="21"/>
      <c r="H2205" s="159"/>
      <c r="I2205" s="33"/>
      <c r="J2205" s="33"/>
      <c r="K2205" s="33" t="s">
        <v>5338</v>
      </c>
      <c r="L2205" s="35"/>
      <c r="M2205" s="33"/>
      <c r="N2205" s="33"/>
      <c r="O2205" s="33"/>
      <c r="P2205" s="33"/>
      <c r="Q2205" s="33"/>
      <c r="R2205" s="33"/>
      <c r="S2205" s="33"/>
      <c r="T2205" s="33"/>
      <c r="U2205" s="33"/>
      <c r="V2205" s="33"/>
    </row>
    <row r="2206" spans="1:22" s="87" customFormat="1" ht="11.25" customHeight="1" x14ac:dyDescent="0.35">
      <c r="A2206" s="33" t="s">
        <v>5215</v>
      </c>
      <c r="B2206" s="35" t="s">
        <v>575</v>
      </c>
      <c r="C2206" s="272" t="s">
        <v>3302</v>
      </c>
      <c r="D2206" s="31" t="s">
        <v>3303</v>
      </c>
      <c r="E2206" s="33">
        <v>2</v>
      </c>
      <c r="F2206" s="22">
        <v>45495</v>
      </c>
      <c r="G2206" s="21"/>
      <c r="H2206" s="159"/>
      <c r="I2206" s="33"/>
      <c r="J2206" s="33"/>
      <c r="K2206" s="33" t="s">
        <v>5338</v>
      </c>
      <c r="L2206" s="35"/>
      <c r="M2206" s="33"/>
      <c r="N2206" s="33"/>
      <c r="O2206" s="33"/>
      <c r="P2206" s="33"/>
      <c r="Q2206" s="33"/>
      <c r="R2206" s="33"/>
      <c r="S2206" s="33"/>
      <c r="T2206" s="33"/>
      <c r="U2206" s="33"/>
      <c r="V2206" s="33"/>
    </row>
    <row r="2207" spans="1:22" s="202" customFormat="1" ht="11.25" customHeight="1" x14ac:dyDescent="0.35">
      <c r="A2207" s="33" t="s">
        <v>5215</v>
      </c>
      <c r="B2207" s="35" t="s">
        <v>575</v>
      </c>
      <c r="C2207" s="272" t="s">
        <v>6517</v>
      </c>
      <c r="D2207" s="31" t="s">
        <v>8083</v>
      </c>
      <c r="E2207" s="33">
        <v>4</v>
      </c>
      <c r="F2207" s="22">
        <v>45495</v>
      </c>
      <c r="G2207" s="21"/>
      <c r="H2207" s="159"/>
      <c r="I2207" s="33"/>
      <c r="J2207" s="33"/>
      <c r="K2207" s="33" t="s">
        <v>5338</v>
      </c>
      <c r="L2207" s="35"/>
      <c r="M2207" s="33"/>
      <c r="N2207" s="33"/>
      <c r="O2207" s="33"/>
      <c r="P2207" s="33"/>
      <c r="Q2207" s="33"/>
      <c r="R2207" s="33"/>
      <c r="S2207" s="33"/>
      <c r="T2207" s="33"/>
      <c r="U2207" s="33"/>
      <c r="V2207" s="33"/>
    </row>
    <row r="2208" spans="1:22" s="202" customFormat="1" ht="11.25" customHeight="1" x14ac:dyDescent="0.35">
      <c r="A2208" s="38" t="s">
        <v>6142</v>
      </c>
      <c r="B2208" s="652" t="s">
        <v>7878</v>
      </c>
      <c r="C2208" s="118" t="s">
        <v>8084</v>
      </c>
      <c r="D2208" s="38" t="s">
        <v>8085</v>
      </c>
      <c r="E2208" s="38">
        <v>1</v>
      </c>
      <c r="F2208" s="22">
        <v>45495</v>
      </c>
      <c r="G2208" s="25">
        <v>1</v>
      </c>
      <c r="H2208" s="160">
        <v>45504</v>
      </c>
      <c r="I2208" s="38" t="s">
        <v>7884</v>
      </c>
      <c r="J2208" s="38"/>
      <c r="K2208" s="38" t="s">
        <v>5365</v>
      </c>
      <c r="L2208" s="39"/>
      <c r="M2208" s="38"/>
      <c r="N2208" s="38"/>
      <c r="O2208" s="38"/>
      <c r="P2208" s="38"/>
      <c r="Q2208" s="38"/>
      <c r="R2208" s="38"/>
      <c r="S2208" s="38"/>
      <c r="T2208" s="38"/>
      <c r="U2208" s="38"/>
      <c r="V2208" s="38"/>
    </row>
    <row r="2209" spans="1:22" s="202" customFormat="1" ht="11.25" customHeight="1" x14ac:dyDescent="0.35">
      <c r="A2209" s="207" t="s">
        <v>4832</v>
      </c>
      <c r="B2209" s="653" t="s">
        <v>5904</v>
      </c>
      <c r="C2209" s="308" t="s">
        <v>8086</v>
      </c>
      <c r="D2209" s="207" t="s">
        <v>7507</v>
      </c>
      <c r="E2209" s="207">
        <v>10</v>
      </c>
      <c r="F2209" s="208">
        <v>45505</v>
      </c>
      <c r="G2209" s="207"/>
      <c r="H2209" s="207"/>
      <c r="I2209" s="207"/>
      <c r="J2209" s="207"/>
      <c r="K2209" s="207" t="s">
        <v>5338</v>
      </c>
      <c r="L2209" s="207"/>
      <c r="M2209" s="207"/>
      <c r="N2209" s="207"/>
      <c r="O2209" s="207"/>
      <c r="P2209" s="207"/>
      <c r="Q2209" s="207"/>
      <c r="R2209" s="207"/>
      <c r="S2209" s="207"/>
      <c r="T2209" s="207"/>
      <c r="U2209" s="207"/>
      <c r="V2209" s="207"/>
    </row>
    <row r="2210" spans="1:22" s="235" customFormat="1" ht="11.25" customHeight="1" x14ac:dyDescent="0.25">
      <c r="A2210" s="202" t="s">
        <v>4832</v>
      </c>
      <c r="B2210" s="654" t="s">
        <v>4340</v>
      </c>
      <c r="C2210" s="300" t="s">
        <v>3163</v>
      </c>
      <c r="D2210" s="202" t="s">
        <v>7828</v>
      </c>
      <c r="E2210" s="202">
        <v>1</v>
      </c>
      <c r="F2210" s="203">
        <v>45509</v>
      </c>
      <c r="G2210" s="202"/>
      <c r="H2210" s="202"/>
      <c r="I2210" s="202"/>
      <c r="J2210" s="202"/>
      <c r="K2210" s="202" t="s">
        <v>5338</v>
      </c>
      <c r="L2210" s="202"/>
      <c r="M2210" s="202"/>
      <c r="N2210" s="202"/>
      <c r="O2210" s="202"/>
      <c r="P2210" s="202"/>
      <c r="Q2210" s="202"/>
      <c r="R2210" s="202"/>
      <c r="S2210" s="202"/>
      <c r="T2210" s="202"/>
      <c r="U2210" s="202"/>
      <c r="V2210" s="202"/>
    </row>
    <row r="2211" spans="1:22" s="87" customFormat="1" ht="11.25" customHeight="1" x14ac:dyDescent="0.25">
      <c r="A2211" s="202" t="s">
        <v>4832</v>
      </c>
      <c r="B2211" s="654" t="s">
        <v>4340</v>
      </c>
      <c r="C2211" s="300" t="s">
        <v>3206</v>
      </c>
      <c r="D2211" s="202" t="s">
        <v>1416</v>
      </c>
      <c r="E2211" s="202">
        <v>1</v>
      </c>
      <c r="F2211" s="203">
        <v>45509</v>
      </c>
      <c r="G2211" s="202"/>
      <c r="H2211" s="202"/>
      <c r="I2211" s="202"/>
      <c r="J2211" s="202"/>
      <c r="K2211" s="202" t="s">
        <v>5338</v>
      </c>
      <c r="L2211" s="202"/>
      <c r="M2211" s="202"/>
      <c r="N2211" s="202"/>
      <c r="O2211" s="202"/>
      <c r="P2211" s="202"/>
      <c r="Q2211" s="202"/>
      <c r="R2211" s="202"/>
      <c r="S2211" s="202"/>
      <c r="T2211" s="202"/>
      <c r="U2211" s="202"/>
      <c r="V2211" s="202"/>
    </row>
    <row r="2212" spans="1:22" s="202" customFormat="1" ht="11.25" customHeight="1" x14ac:dyDescent="0.25">
      <c r="A2212" s="202" t="s">
        <v>4832</v>
      </c>
      <c r="B2212" s="654" t="s">
        <v>4340</v>
      </c>
      <c r="C2212" s="300" t="s">
        <v>7786</v>
      </c>
      <c r="D2212" s="204" t="s">
        <v>7787</v>
      </c>
      <c r="E2212" s="202">
        <v>1</v>
      </c>
      <c r="F2212" s="203">
        <v>45509</v>
      </c>
      <c r="G2212" s="205"/>
      <c r="H2212" s="206"/>
      <c r="K2212" s="202" t="s">
        <v>5338</v>
      </c>
      <c r="L2212" s="45"/>
    </row>
    <row r="2213" spans="1:22" s="202" customFormat="1" ht="11.25" customHeight="1" x14ac:dyDescent="0.25">
      <c r="A2213" s="202" t="s">
        <v>4832</v>
      </c>
      <c r="B2213" s="654" t="s">
        <v>4340</v>
      </c>
      <c r="C2213" s="300" t="s">
        <v>1015</v>
      </c>
      <c r="D2213" s="204" t="s">
        <v>1865</v>
      </c>
      <c r="E2213" s="202">
        <v>1</v>
      </c>
      <c r="F2213" s="203">
        <v>45509</v>
      </c>
      <c r="G2213" s="205"/>
      <c r="H2213" s="206"/>
      <c r="K2213" s="202" t="s">
        <v>5338</v>
      </c>
      <c r="L2213" s="45"/>
    </row>
    <row r="2214" spans="1:22" s="202" customFormat="1" ht="11.25" customHeight="1" x14ac:dyDescent="0.25">
      <c r="A2214" s="202" t="s">
        <v>4832</v>
      </c>
      <c r="B2214" s="654" t="s">
        <v>4340</v>
      </c>
      <c r="C2214" s="300" t="s">
        <v>7421</v>
      </c>
      <c r="D2214" s="204" t="s">
        <v>8087</v>
      </c>
      <c r="E2214" s="202">
        <v>2</v>
      </c>
      <c r="F2214" s="203">
        <v>45509</v>
      </c>
      <c r="G2214" s="205"/>
      <c r="H2214" s="206"/>
      <c r="K2214" s="202" t="s">
        <v>5338</v>
      </c>
      <c r="L2214" s="45"/>
    </row>
    <row r="2215" spans="1:22" s="87" customFormat="1" ht="11.25" customHeight="1" x14ac:dyDescent="0.35">
      <c r="A2215" s="229" t="s">
        <v>4832</v>
      </c>
      <c r="B2215" s="655" t="s">
        <v>71</v>
      </c>
      <c r="C2215" s="309" t="s">
        <v>8088</v>
      </c>
      <c r="D2215" s="230" t="s">
        <v>2393</v>
      </c>
      <c r="E2215" s="229">
        <v>1</v>
      </c>
      <c r="F2215" s="231">
        <v>45509</v>
      </c>
      <c r="G2215" s="232"/>
      <c r="H2215" s="233"/>
      <c r="I2215" s="229"/>
      <c r="J2215" s="229"/>
      <c r="K2215" s="229" t="s">
        <v>5338</v>
      </c>
      <c r="L2215" s="228"/>
      <c r="M2215" s="229"/>
      <c r="N2215" s="229"/>
      <c r="O2215" s="229"/>
      <c r="P2215" s="229"/>
      <c r="Q2215" s="229"/>
      <c r="R2215" s="229"/>
      <c r="S2215" s="229"/>
      <c r="T2215" s="229"/>
      <c r="U2215" s="229"/>
      <c r="V2215" s="229"/>
    </row>
    <row r="2216" spans="1:22" s="87" customFormat="1" ht="11.25" customHeight="1" x14ac:dyDescent="0.35">
      <c r="A2216" s="202" t="s">
        <v>4832</v>
      </c>
      <c r="B2216" s="45" t="s">
        <v>71</v>
      </c>
      <c r="C2216" s="300" t="s">
        <v>3372</v>
      </c>
      <c r="D2216" s="204" t="s">
        <v>6157</v>
      </c>
      <c r="E2216" s="202">
        <v>1</v>
      </c>
      <c r="F2216" s="203">
        <v>45509</v>
      </c>
      <c r="G2216" s="205"/>
      <c r="H2216" s="206"/>
      <c r="I2216" s="202"/>
      <c r="J2216" s="202"/>
      <c r="K2216" s="202" t="s">
        <v>5338</v>
      </c>
      <c r="L2216" s="101"/>
      <c r="M2216" s="202"/>
      <c r="N2216" s="202"/>
      <c r="O2216" s="202"/>
      <c r="P2216" s="202"/>
      <c r="Q2216" s="202"/>
      <c r="R2216" s="202"/>
      <c r="S2216" s="202"/>
      <c r="T2216" s="202"/>
      <c r="U2216" s="202"/>
      <c r="V2216" s="202"/>
    </row>
    <row r="2217" spans="1:22" s="87" customFormat="1" ht="11.25" customHeight="1" x14ac:dyDescent="0.35">
      <c r="A2217" s="87" t="s">
        <v>4832</v>
      </c>
      <c r="B2217" s="62" t="s">
        <v>71</v>
      </c>
      <c r="C2217" s="279" t="s">
        <v>3047</v>
      </c>
      <c r="D2217" s="88" t="s">
        <v>8089</v>
      </c>
      <c r="E2217" s="87">
        <v>10</v>
      </c>
      <c r="F2217" s="234">
        <v>45509</v>
      </c>
      <c r="G2217" s="27">
        <v>10</v>
      </c>
      <c r="H2217" s="164">
        <v>45520</v>
      </c>
      <c r="I2217" s="87" t="s">
        <v>7311</v>
      </c>
      <c r="K2217" s="87" t="s">
        <v>5365</v>
      </c>
      <c r="L2217" s="57"/>
    </row>
    <row r="2218" spans="1:22" s="202" customFormat="1" ht="11.25" customHeight="1" x14ac:dyDescent="0.35">
      <c r="A2218" s="87" t="s">
        <v>4832</v>
      </c>
      <c r="B2218" s="62" t="s">
        <v>71</v>
      </c>
      <c r="C2218" s="279" t="s">
        <v>3185</v>
      </c>
      <c r="D2218" s="88" t="s">
        <v>8090</v>
      </c>
      <c r="E2218" s="87">
        <v>1</v>
      </c>
      <c r="F2218" s="234">
        <v>45509</v>
      </c>
      <c r="G2218" s="27">
        <v>1</v>
      </c>
      <c r="H2218" s="164">
        <v>45520</v>
      </c>
      <c r="I2218" s="87" t="s">
        <v>7311</v>
      </c>
      <c r="J2218" s="87"/>
      <c r="K2218" s="87" t="s">
        <v>5365</v>
      </c>
      <c r="L2218" s="57"/>
      <c r="M2218" s="87"/>
      <c r="N2218" s="87"/>
      <c r="O2218" s="87"/>
      <c r="P2218" s="87"/>
      <c r="Q2218" s="87"/>
      <c r="R2218" s="87"/>
      <c r="S2218" s="87"/>
      <c r="T2218" s="87"/>
      <c r="U2218" s="87"/>
      <c r="V2218" s="87"/>
    </row>
    <row r="2219" spans="1:22" s="87" customFormat="1" ht="11.25" customHeight="1" x14ac:dyDescent="0.35">
      <c r="A2219" s="202" t="s">
        <v>4832</v>
      </c>
      <c r="B2219" s="45" t="s">
        <v>71</v>
      </c>
      <c r="C2219" s="300" t="s">
        <v>8091</v>
      </c>
      <c r="D2219" s="204" t="s">
        <v>8092</v>
      </c>
      <c r="E2219" s="202">
        <v>1</v>
      </c>
      <c r="F2219" s="203">
        <v>45509</v>
      </c>
      <c r="G2219" s="205"/>
      <c r="H2219" s="206"/>
      <c r="I2219" s="202"/>
      <c r="J2219" s="202"/>
      <c r="K2219" s="202" t="s">
        <v>5338</v>
      </c>
      <c r="L2219" s="101"/>
      <c r="M2219" s="202"/>
      <c r="N2219" s="202"/>
      <c r="O2219" s="202"/>
      <c r="P2219" s="202"/>
      <c r="Q2219" s="202"/>
      <c r="R2219" s="202"/>
      <c r="S2219" s="202"/>
      <c r="T2219" s="202"/>
      <c r="U2219" s="202"/>
      <c r="V2219" s="202"/>
    </row>
    <row r="2220" spans="1:22" s="87" customFormat="1" ht="11.25" customHeight="1" x14ac:dyDescent="0.35">
      <c r="A2220" s="202" t="s">
        <v>4832</v>
      </c>
      <c r="B2220" s="45" t="s">
        <v>71</v>
      </c>
      <c r="C2220" s="300" t="s">
        <v>8093</v>
      </c>
      <c r="D2220" s="204" t="s">
        <v>8094</v>
      </c>
      <c r="E2220" s="202">
        <v>1</v>
      </c>
      <c r="F2220" s="203">
        <v>45509</v>
      </c>
      <c r="G2220" s="205"/>
      <c r="H2220" s="206"/>
      <c r="I2220" s="202"/>
      <c r="J2220" s="202"/>
      <c r="K2220" s="202" t="s">
        <v>5338</v>
      </c>
      <c r="L2220" s="101"/>
      <c r="M2220" s="202"/>
      <c r="N2220" s="202"/>
      <c r="O2220" s="202"/>
      <c r="P2220" s="202"/>
      <c r="Q2220" s="202"/>
      <c r="R2220" s="202"/>
      <c r="S2220" s="202"/>
      <c r="T2220" s="202"/>
      <c r="U2220" s="202"/>
      <c r="V2220" s="202"/>
    </row>
    <row r="2221" spans="1:22" s="202" customFormat="1" ht="11.25" customHeight="1" x14ac:dyDescent="0.35">
      <c r="A2221" s="87" t="s">
        <v>4832</v>
      </c>
      <c r="B2221" s="62" t="s">
        <v>71</v>
      </c>
      <c r="C2221" s="279" t="s">
        <v>2835</v>
      </c>
      <c r="D2221" s="88" t="s">
        <v>8095</v>
      </c>
      <c r="E2221" s="87">
        <v>4</v>
      </c>
      <c r="F2221" s="234">
        <v>45509</v>
      </c>
      <c r="G2221" s="27">
        <v>4</v>
      </c>
      <c r="H2221" s="164">
        <v>45509</v>
      </c>
      <c r="I2221" s="87" t="s">
        <v>7705</v>
      </c>
      <c r="J2221" s="87"/>
      <c r="K2221" s="202" t="s">
        <v>5365</v>
      </c>
      <c r="L2221" s="101"/>
      <c r="M2221" s="87"/>
      <c r="N2221" s="87"/>
      <c r="O2221" s="87"/>
      <c r="P2221" s="87"/>
      <c r="Q2221" s="87"/>
      <c r="R2221" s="87"/>
      <c r="S2221" s="87"/>
      <c r="T2221" s="87"/>
      <c r="U2221" s="87"/>
      <c r="V2221" s="87"/>
    </row>
    <row r="2222" spans="1:22" s="87" customFormat="1" ht="11.25" customHeight="1" x14ac:dyDescent="0.35">
      <c r="A2222" s="202" t="s">
        <v>4832</v>
      </c>
      <c r="B2222" s="45" t="s">
        <v>71</v>
      </c>
      <c r="C2222" s="300" t="s">
        <v>2721</v>
      </c>
      <c r="D2222" s="204" t="s">
        <v>8096</v>
      </c>
      <c r="E2222" s="202">
        <v>1</v>
      </c>
      <c r="F2222" s="203">
        <v>45509</v>
      </c>
      <c r="G2222" s="205"/>
      <c r="H2222" s="206"/>
      <c r="I2222" s="202"/>
      <c r="J2222" s="202"/>
      <c r="K2222" s="202" t="s">
        <v>5338</v>
      </c>
      <c r="L2222" s="101"/>
      <c r="M2222" s="202"/>
      <c r="N2222" s="202"/>
      <c r="O2222" s="202"/>
      <c r="P2222" s="202"/>
      <c r="Q2222" s="202"/>
      <c r="R2222" s="202"/>
      <c r="S2222" s="202"/>
      <c r="T2222" s="202"/>
      <c r="U2222" s="202"/>
      <c r="V2222" s="202"/>
    </row>
    <row r="2223" spans="1:22" s="87" customFormat="1" ht="11.25" customHeight="1" x14ac:dyDescent="0.35">
      <c r="A2223" s="202" t="s">
        <v>4832</v>
      </c>
      <c r="B2223" s="45" t="s">
        <v>71</v>
      </c>
      <c r="C2223" s="300" t="s">
        <v>8097</v>
      </c>
      <c r="D2223" s="204" t="s">
        <v>8098</v>
      </c>
      <c r="E2223" s="202">
        <v>1</v>
      </c>
      <c r="F2223" s="203">
        <v>45509</v>
      </c>
      <c r="G2223" s="205"/>
      <c r="H2223" s="206"/>
      <c r="I2223" s="202"/>
      <c r="J2223" s="202"/>
      <c r="K2223" s="202" t="s">
        <v>5338</v>
      </c>
      <c r="L2223" s="101"/>
      <c r="M2223" s="202"/>
      <c r="N2223" s="202"/>
      <c r="O2223" s="202"/>
      <c r="P2223" s="202"/>
      <c r="Q2223" s="202"/>
      <c r="R2223" s="202"/>
      <c r="S2223" s="202"/>
      <c r="T2223" s="202"/>
      <c r="U2223" s="202"/>
      <c r="V2223" s="202"/>
    </row>
    <row r="2224" spans="1:22" s="38" customFormat="1" ht="11.25" customHeight="1" x14ac:dyDescent="0.35">
      <c r="A2224" s="202" t="s">
        <v>4832</v>
      </c>
      <c r="B2224" s="45" t="s">
        <v>71</v>
      </c>
      <c r="C2224" s="300" t="s">
        <v>8099</v>
      </c>
      <c r="D2224" s="204" t="s">
        <v>8100</v>
      </c>
      <c r="E2224" s="202">
        <v>1</v>
      </c>
      <c r="F2224" s="203">
        <v>45509</v>
      </c>
      <c r="G2224" s="205"/>
      <c r="H2224" s="206"/>
      <c r="I2224" s="202"/>
      <c r="J2224" s="202"/>
      <c r="K2224" s="202" t="s">
        <v>5338</v>
      </c>
      <c r="L2224" s="101"/>
      <c r="M2224" s="202"/>
      <c r="N2224" s="202"/>
      <c r="O2224" s="202"/>
      <c r="P2224" s="202"/>
      <c r="Q2224" s="202"/>
      <c r="R2224" s="202"/>
      <c r="S2224" s="202"/>
      <c r="T2224" s="202"/>
      <c r="U2224" s="202"/>
      <c r="V2224" s="202"/>
    </row>
    <row r="2225" spans="1:22" s="38" customFormat="1" ht="11.25" customHeight="1" x14ac:dyDescent="0.35">
      <c r="A2225" s="235" t="s">
        <v>4832</v>
      </c>
      <c r="B2225" s="61" t="s">
        <v>71</v>
      </c>
      <c r="C2225" s="299" t="s">
        <v>8101</v>
      </c>
      <c r="D2225" s="195" t="s">
        <v>7356</v>
      </c>
      <c r="E2225" s="235">
        <v>5</v>
      </c>
      <c r="F2225" s="236">
        <v>45509</v>
      </c>
      <c r="G2225" s="237">
        <v>2</v>
      </c>
      <c r="H2225" s="238">
        <v>45509</v>
      </c>
      <c r="I2225" s="235" t="s">
        <v>7705</v>
      </c>
      <c r="J2225" s="235"/>
      <c r="K2225" s="235" t="s">
        <v>5511</v>
      </c>
      <c r="L2225" s="101"/>
      <c r="M2225" s="235"/>
      <c r="N2225" s="235"/>
      <c r="O2225" s="235"/>
      <c r="P2225" s="235"/>
      <c r="Q2225" s="235"/>
      <c r="R2225" s="235"/>
      <c r="S2225" s="235"/>
      <c r="T2225" s="235"/>
      <c r="U2225" s="235"/>
      <c r="V2225" s="235"/>
    </row>
    <row r="2226" spans="1:22" ht="11.25" customHeight="1" x14ac:dyDescent="0.35">
      <c r="A2226" s="87" t="s">
        <v>4832</v>
      </c>
      <c r="B2226" s="62" t="s">
        <v>71</v>
      </c>
      <c r="C2226" s="279" t="s">
        <v>667</v>
      </c>
      <c r="D2226" s="88" t="s">
        <v>8102</v>
      </c>
      <c r="E2226" s="87">
        <v>1</v>
      </c>
      <c r="F2226" s="234">
        <v>45509</v>
      </c>
      <c r="G2226" s="27">
        <v>1</v>
      </c>
      <c r="H2226" s="164">
        <v>45520</v>
      </c>
      <c r="I2226" s="87" t="s">
        <v>7311</v>
      </c>
      <c r="J2226" s="87"/>
      <c r="K2226" s="87" t="s">
        <v>5365</v>
      </c>
      <c r="L2226" s="57"/>
      <c r="M2226" s="87"/>
      <c r="N2226" s="87"/>
      <c r="O2226" s="87"/>
      <c r="P2226" s="87"/>
      <c r="Q2226" s="87"/>
      <c r="R2226" s="87"/>
      <c r="S2226" s="87"/>
      <c r="T2226" s="87"/>
      <c r="U2226" s="87"/>
      <c r="V2226" s="87"/>
    </row>
    <row r="2227" spans="1:22" ht="11.25" customHeight="1" x14ac:dyDescent="0.35">
      <c r="A2227" s="202" t="s">
        <v>4832</v>
      </c>
      <c r="B2227" s="45" t="s">
        <v>71</v>
      </c>
      <c r="C2227" s="300" t="s">
        <v>8103</v>
      </c>
      <c r="D2227" s="204" t="s">
        <v>7376</v>
      </c>
      <c r="E2227" s="202">
        <v>1</v>
      </c>
      <c r="F2227" s="203">
        <v>45509</v>
      </c>
      <c r="G2227" s="205"/>
      <c r="H2227" s="206"/>
      <c r="I2227" s="202"/>
      <c r="J2227" s="202"/>
      <c r="K2227" s="202" t="s">
        <v>5338</v>
      </c>
      <c r="L2227" s="101"/>
      <c r="M2227" s="202"/>
      <c r="N2227" s="202"/>
      <c r="O2227" s="202"/>
      <c r="P2227" s="202"/>
      <c r="Q2227" s="202"/>
      <c r="R2227" s="202"/>
      <c r="S2227" s="202"/>
      <c r="T2227" s="202"/>
      <c r="U2227" s="202"/>
      <c r="V2227" s="202"/>
    </row>
    <row r="2228" spans="1:22" ht="11.25" customHeight="1" x14ac:dyDescent="0.35">
      <c r="A2228" s="202" t="s">
        <v>4832</v>
      </c>
      <c r="B2228" s="45" t="s">
        <v>71</v>
      </c>
      <c r="C2228" s="300" t="s">
        <v>3007</v>
      </c>
      <c r="D2228" s="204" t="s">
        <v>2047</v>
      </c>
      <c r="E2228" s="202">
        <v>1</v>
      </c>
      <c r="F2228" s="203">
        <v>45509</v>
      </c>
      <c r="G2228" s="205"/>
      <c r="H2228" s="206"/>
      <c r="I2228" s="202"/>
      <c r="J2228" s="202"/>
      <c r="K2228" s="202" t="s">
        <v>5338</v>
      </c>
      <c r="L2228" s="101"/>
      <c r="M2228" s="202"/>
      <c r="N2228" s="202"/>
      <c r="O2228" s="202"/>
      <c r="P2228" s="202"/>
      <c r="Q2228" s="202"/>
      <c r="R2228" s="202"/>
      <c r="S2228" s="202"/>
      <c r="T2228" s="202"/>
      <c r="U2228" s="202"/>
      <c r="V2228" s="202"/>
    </row>
    <row r="2229" spans="1:22" ht="11.25" customHeight="1" x14ac:dyDescent="0.35">
      <c r="A2229" s="202" t="s">
        <v>4832</v>
      </c>
      <c r="B2229" s="45" t="s">
        <v>71</v>
      </c>
      <c r="C2229" s="300" t="s">
        <v>2077</v>
      </c>
      <c r="D2229" s="204" t="s">
        <v>8104</v>
      </c>
      <c r="E2229" s="202">
        <v>1</v>
      </c>
      <c r="F2229" s="203">
        <v>45509</v>
      </c>
      <c r="G2229" s="205"/>
      <c r="H2229" s="206"/>
      <c r="I2229" s="202"/>
      <c r="J2229" s="202"/>
      <c r="K2229" s="202" t="s">
        <v>5338</v>
      </c>
      <c r="L2229" s="101"/>
      <c r="M2229" s="202"/>
      <c r="N2229" s="202"/>
      <c r="O2229" s="202"/>
      <c r="P2229" s="202"/>
      <c r="Q2229" s="202"/>
      <c r="R2229" s="202"/>
      <c r="S2229" s="202"/>
      <c r="T2229" s="202"/>
      <c r="U2229" s="202"/>
      <c r="V2229" s="202"/>
    </row>
    <row r="2230" spans="1:22" ht="11.25" customHeight="1" x14ac:dyDescent="0.35">
      <c r="A2230" s="87" t="s">
        <v>4832</v>
      </c>
      <c r="B2230" s="62" t="s">
        <v>71</v>
      </c>
      <c r="C2230" s="279" t="s">
        <v>8105</v>
      </c>
      <c r="D2230" s="88" t="s">
        <v>8106</v>
      </c>
      <c r="E2230" s="87">
        <v>1</v>
      </c>
      <c r="F2230" s="234">
        <v>45509</v>
      </c>
      <c r="G2230" s="27">
        <v>1</v>
      </c>
      <c r="H2230" s="164">
        <v>45509</v>
      </c>
      <c r="I2230" s="87" t="s">
        <v>7705</v>
      </c>
      <c r="J2230" s="87"/>
      <c r="K2230" s="87" t="s">
        <v>5365</v>
      </c>
      <c r="L2230" s="101"/>
      <c r="M2230" s="87"/>
      <c r="N2230" s="87"/>
      <c r="O2230" s="87"/>
      <c r="P2230" s="87"/>
      <c r="Q2230" s="87"/>
      <c r="R2230" s="87"/>
      <c r="S2230" s="87"/>
      <c r="T2230" s="87"/>
      <c r="U2230" s="87"/>
      <c r="V2230" s="87"/>
    </row>
    <row r="2231" spans="1:22" ht="11.25" customHeight="1" x14ac:dyDescent="0.35">
      <c r="A2231" s="87" t="s">
        <v>4832</v>
      </c>
      <c r="B2231" s="62" t="s">
        <v>71</v>
      </c>
      <c r="C2231" s="279" t="s">
        <v>2235</v>
      </c>
      <c r="D2231" s="88" t="s">
        <v>3512</v>
      </c>
      <c r="E2231" s="87">
        <v>2</v>
      </c>
      <c r="F2231" s="234">
        <v>45509</v>
      </c>
      <c r="G2231" s="27" t="s">
        <v>7150</v>
      </c>
      <c r="H2231" s="164"/>
      <c r="I2231" s="87" t="s">
        <v>8107</v>
      </c>
      <c r="J2231" s="87"/>
      <c r="K2231" s="87" t="s">
        <v>5365</v>
      </c>
      <c r="L2231" s="101"/>
      <c r="M2231" s="87"/>
      <c r="N2231" s="87"/>
      <c r="O2231" s="87"/>
      <c r="P2231" s="87"/>
      <c r="Q2231" s="87"/>
      <c r="R2231" s="87"/>
      <c r="S2231" s="87"/>
      <c r="T2231" s="87"/>
      <c r="U2231" s="87"/>
      <c r="V2231" s="87"/>
    </row>
    <row r="2232" spans="1:22" ht="11.25" customHeight="1" x14ac:dyDescent="0.35">
      <c r="A2232" s="87" t="s">
        <v>4832</v>
      </c>
      <c r="B2232" s="62" t="s">
        <v>71</v>
      </c>
      <c r="C2232" s="279" t="s">
        <v>3368</v>
      </c>
      <c r="D2232" s="88" t="s">
        <v>8108</v>
      </c>
      <c r="E2232" s="87">
        <v>1</v>
      </c>
      <c r="F2232" s="234">
        <v>45509</v>
      </c>
      <c r="G2232" s="27">
        <v>1</v>
      </c>
      <c r="H2232" s="164">
        <v>45509</v>
      </c>
      <c r="I2232" s="87" t="s">
        <v>7705</v>
      </c>
      <c r="J2232" s="87"/>
      <c r="K2232" s="87" t="s">
        <v>5365</v>
      </c>
      <c r="L2232" s="57"/>
      <c r="M2232" s="87"/>
      <c r="N2232" s="87"/>
      <c r="O2232" s="87"/>
      <c r="P2232" s="87"/>
      <c r="Q2232" s="87"/>
      <c r="R2232" s="87"/>
      <c r="S2232" s="87"/>
      <c r="T2232" s="87"/>
      <c r="U2232" s="87"/>
      <c r="V2232" s="87"/>
    </row>
    <row r="2233" spans="1:22" ht="11.25" customHeight="1" x14ac:dyDescent="0.35">
      <c r="A2233" s="202" t="s">
        <v>4832</v>
      </c>
      <c r="B2233" s="45" t="s">
        <v>71</v>
      </c>
      <c r="C2233" s="300" t="s">
        <v>3001</v>
      </c>
      <c r="D2233" s="204" t="s">
        <v>2015</v>
      </c>
      <c r="E2233" s="202">
        <v>1</v>
      </c>
      <c r="F2233" s="203">
        <v>45509</v>
      </c>
      <c r="G2233" s="205"/>
      <c r="H2233" s="206"/>
      <c r="I2233" s="202"/>
      <c r="J2233" s="202"/>
      <c r="K2233" s="202" t="s">
        <v>5338</v>
      </c>
      <c r="L2233" s="101"/>
      <c r="M2233" s="202"/>
      <c r="N2233" s="202"/>
      <c r="O2233" s="202"/>
      <c r="P2233" s="202"/>
      <c r="Q2233" s="202"/>
      <c r="R2233" s="202"/>
      <c r="S2233" s="202"/>
      <c r="T2233" s="202"/>
      <c r="U2233" s="202"/>
      <c r="V2233" s="202"/>
    </row>
    <row r="2234" spans="1:22" ht="11.25" customHeight="1" x14ac:dyDescent="0.35">
      <c r="A2234" s="87" t="s">
        <v>4832</v>
      </c>
      <c r="B2234" s="62" t="s">
        <v>71</v>
      </c>
      <c r="C2234" s="279" t="s">
        <v>8109</v>
      </c>
      <c r="D2234" s="88" t="s">
        <v>8110</v>
      </c>
      <c r="E2234" s="87">
        <v>1</v>
      </c>
      <c r="F2234" s="234">
        <v>45509</v>
      </c>
      <c r="G2234" s="27">
        <v>1</v>
      </c>
      <c r="H2234" s="164">
        <v>45509</v>
      </c>
      <c r="I2234" s="87" t="s">
        <v>6040</v>
      </c>
      <c r="J2234" s="87"/>
      <c r="K2234" s="202" t="s">
        <v>5365</v>
      </c>
      <c r="L2234" s="101"/>
      <c r="M2234" s="87"/>
      <c r="N2234" s="87"/>
      <c r="O2234" s="87"/>
      <c r="P2234" s="87"/>
      <c r="Q2234" s="87"/>
      <c r="R2234" s="87"/>
      <c r="S2234" s="87"/>
      <c r="T2234" s="87"/>
      <c r="U2234" s="87"/>
      <c r="V2234" s="87"/>
    </row>
    <row r="2235" spans="1:22" s="47" customFormat="1" ht="11.25" customHeight="1" x14ac:dyDescent="0.35">
      <c r="A2235" s="87" t="s">
        <v>4832</v>
      </c>
      <c r="B2235" s="62" t="s">
        <v>71</v>
      </c>
      <c r="C2235" s="279" t="s">
        <v>8111</v>
      </c>
      <c r="D2235" s="88" t="s">
        <v>4143</v>
      </c>
      <c r="E2235" s="87">
        <v>2</v>
      </c>
      <c r="F2235" s="234">
        <v>45509</v>
      </c>
      <c r="G2235" s="27">
        <v>2</v>
      </c>
      <c r="H2235" s="164">
        <v>45520</v>
      </c>
      <c r="I2235" s="87" t="s">
        <v>7311</v>
      </c>
      <c r="J2235" s="87"/>
      <c r="K2235" s="87" t="s">
        <v>5365</v>
      </c>
      <c r="L2235" s="101"/>
      <c r="M2235" s="87"/>
      <c r="N2235" s="87"/>
      <c r="O2235" s="87"/>
      <c r="P2235" s="87"/>
      <c r="Q2235" s="87"/>
      <c r="R2235" s="87"/>
      <c r="S2235" s="87"/>
      <c r="T2235" s="87"/>
      <c r="U2235" s="87"/>
      <c r="V2235" s="87"/>
    </row>
    <row r="2236" spans="1:22" s="264" customFormat="1" ht="11.25" customHeight="1" x14ac:dyDescent="0.25">
      <c r="A2236" s="258" t="s">
        <v>4832</v>
      </c>
      <c r="B2236" s="656" t="s">
        <v>71</v>
      </c>
      <c r="C2236" s="310" t="s">
        <v>3783</v>
      </c>
      <c r="D2236" s="260" t="s">
        <v>8112</v>
      </c>
      <c r="E2236" s="258">
        <v>1</v>
      </c>
      <c r="F2236" s="261">
        <v>45509</v>
      </c>
      <c r="G2236" s="259">
        <v>1</v>
      </c>
      <c r="H2236" s="262">
        <v>45559</v>
      </c>
      <c r="I2236" s="258" t="s">
        <v>7311</v>
      </c>
      <c r="J2236" s="258"/>
      <c r="K2236" s="258" t="s">
        <v>5365</v>
      </c>
      <c r="L2236" s="263"/>
      <c r="M2236" s="258"/>
      <c r="N2236" s="258"/>
      <c r="O2236" s="258"/>
      <c r="P2236" s="258"/>
      <c r="Q2236" s="258"/>
      <c r="R2236" s="258"/>
      <c r="S2236" s="258"/>
      <c r="T2236" s="258"/>
      <c r="U2236" s="258"/>
      <c r="V2236" s="258"/>
    </row>
    <row r="2237" spans="1:22" ht="11.25" customHeight="1" x14ac:dyDescent="0.35">
      <c r="A2237" s="87" t="s">
        <v>4832</v>
      </c>
      <c r="B2237" s="62" t="s">
        <v>71</v>
      </c>
      <c r="C2237" s="279" t="s">
        <v>8113</v>
      </c>
      <c r="D2237" s="88" t="s">
        <v>8114</v>
      </c>
      <c r="E2237" s="87">
        <v>4</v>
      </c>
      <c r="F2237" s="234">
        <v>45509</v>
      </c>
      <c r="G2237" s="27" t="s">
        <v>8115</v>
      </c>
      <c r="H2237" s="164" t="s">
        <v>8116</v>
      </c>
      <c r="I2237" s="87" t="s">
        <v>8117</v>
      </c>
      <c r="J2237" s="87"/>
      <c r="K2237" s="87" t="s">
        <v>5365</v>
      </c>
      <c r="L2237" s="57"/>
      <c r="M2237" s="87"/>
      <c r="N2237" s="87"/>
      <c r="O2237" s="87"/>
      <c r="P2237" s="87"/>
      <c r="Q2237" s="87"/>
      <c r="R2237" s="87"/>
      <c r="S2237" s="87"/>
      <c r="T2237" s="87"/>
      <c r="U2237" s="87"/>
      <c r="V2237" s="87"/>
    </row>
    <row r="2238" spans="1:22" ht="11.25" customHeight="1" x14ac:dyDescent="0.35">
      <c r="A2238" s="87" t="s">
        <v>4832</v>
      </c>
      <c r="B2238" s="62" t="s">
        <v>71</v>
      </c>
      <c r="C2238" s="279" t="s">
        <v>3406</v>
      </c>
      <c r="D2238" s="88" t="s">
        <v>3407</v>
      </c>
      <c r="E2238" s="87">
        <v>1</v>
      </c>
      <c r="F2238" s="234">
        <v>45509</v>
      </c>
      <c r="G2238" s="27">
        <v>1</v>
      </c>
      <c r="H2238" s="164">
        <v>45509</v>
      </c>
      <c r="I2238" s="87" t="s">
        <v>6044</v>
      </c>
      <c r="J2238" s="87"/>
      <c r="K2238" s="87" t="s">
        <v>5365</v>
      </c>
      <c r="L2238" s="57"/>
      <c r="M2238" s="87"/>
      <c r="N2238" s="87"/>
      <c r="O2238" s="87"/>
      <c r="P2238" s="87"/>
      <c r="Q2238" s="87"/>
      <c r="R2238" s="87"/>
      <c r="S2238" s="87"/>
      <c r="T2238" s="87"/>
      <c r="U2238" s="87"/>
      <c r="V2238" s="87"/>
    </row>
    <row r="2239" spans="1:22" ht="11.25" customHeight="1" x14ac:dyDescent="0.35">
      <c r="A2239" s="38" t="s">
        <v>5215</v>
      </c>
      <c r="B2239" s="39" t="s">
        <v>5763</v>
      </c>
      <c r="C2239" s="106"/>
      <c r="D2239" s="82" t="s">
        <v>8118</v>
      </c>
      <c r="E2239" s="38">
        <v>1</v>
      </c>
      <c r="F2239" s="26">
        <v>45511</v>
      </c>
      <c r="G2239" s="25">
        <v>1</v>
      </c>
      <c r="H2239" s="160">
        <v>45511</v>
      </c>
      <c r="I2239" s="38" t="s">
        <v>8119</v>
      </c>
      <c r="J2239" s="38"/>
      <c r="K2239" s="38" t="s">
        <v>5365</v>
      </c>
      <c r="L2239" s="39"/>
      <c r="M2239" s="38"/>
      <c r="N2239" s="38"/>
      <c r="O2239" s="38"/>
      <c r="P2239" s="38"/>
      <c r="Q2239" s="38"/>
      <c r="R2239" s="38"/>
      <c r="S2239" s="38"/>
      <c r="T2239" s="38"/>
      <c r="U2239" s="38"/>
      <c r="V2239" s="38"/>
    </row>
    <row r="2240" spans="1:22" ht="11.25" customHeight="1" x14ac:dyDescent="0.35">
      <c r="A2240" s="38" t="s">
        <v>5215</v>
      </c>
      <c r="B2240" s="39" t="s">
        <v>5763</v>
      </c>
      <c r="C2240" s="106"/>
      <c r="D2240" s="82" t="s">
        <v>8120</v>
      </c>
      <c r="E2240" s="38">
        <v>1</v>
      </c>
      <c r="F2240" s="26">
        <v>45511</v>
      </c>
      <c r="G2240" s="25">
        <v>1</v>
      </c>
      <c r="H2240" s="160">
        <v>45516</v>
      </c>
      <c r="I2240" s="38" t="s">
        <v>5865</v>
      </c>
      <c r="J2240" s="38"/>
      <c r="K2240" s="38" t="s">
        <v>5365</v>
      </c>
      <c r="L2240" s="39"/>
      <c r="M2240" s="38"/>
      <c r="N2240" s="38"/>
      <c r="O2240" s="38"/>
      <c r="P2240" s="38"/>
      <c r="Q2240" s="38"/>
      <c r="R2240" s="38"/>
      <c r="S2240" s="38"/>
      <c r="T2240" s="38"/>
      <c r="U2240" s="38"/>
      <c r="V2240" s="38"/>
    </row>
    <row r="2241" spans="1:22" ht="11.25" customHeight="1" x14ac:dyDescent="0.35">
      <c r="A2241" s="33" t="s">
        <v>4832</v>
      </c>
      <c r="B2241" s="35" t="s">
        <v>5904</v>
      </c>
      <c r="C2241" s="272" t="s">
        <v>7511</v>
      </c>
      <c r="D2241" s="31" t="s">
        <v>7529</v>
      </c>
      <c r="E2241" s="33">
        <v>70</v>
      </c>
      <c r="F2241" s="22">
        <v>45512</v>
      </c>
      <c r="K2241" s="33" t="s">
        <v>5338</v>
      </c>
    </row>
    <row r="2242" spans="1:22" s="43" customFormat="1" ht="11.25" customHeight="1" x14ac:dyDescent="0.35">
      <c r="A2242" s="33" t="s">
        <v>4832</v>
      </c>
      <c r="B2242" s="35" t="s">
        <v>5904</v>
      </c>
      <c r="C2242" s="272" t="s">
        <v>7512</v>
      </c>
      <c r="D2242" s="31" t="s">
        <v>161</v>
      </c>
      <c r="E2242" s="33">
        <v>120</v>
      </c>
      <c r="F2242" s="22">
        <v>45512</v>
      </c>
      <c r="G2242" s="21"/>
      <c r="H2242" s="159"/>
      <c r="I2242" s="33"/>
      <c r="J2242" s="33"/>
      <c r="K2242" s="33" t="s">
        <v>5338</v>
      </c>
      <c r="L2242" s="35"/>
      <c r="M2242" s="33"/>
      <c r="N2242" s="33"/>
      <c r="O2242" s="33"/>
      <c r="P2242" s="33"/>
      <c r="Q2242" s="33"/>
      <c r="R2242" s="33"/>
      <c r="S2242" s="33"/>
      <c r="T2242" s="33"/>
      <c r="U2242" s="33"/>
      <c r="V2242" s="33"/>
    </row>
    <row r="2243" spans="1:22" s="43" customFormat="1" ht="11.25" customHeight="1" x14ac:dyDescent="0.35">
      <c r="A2243" s="33" t="s">
        <v>4832</v>
      </c>
      <c r="B2243" s="35" t="s">
        <v>5904</v>
      </c>
      <c r="C2243" s="272" t="s">
        <v>7910</v>
      </c>
      <c r="D2243" s="31" t="s">
        <v>7911</v>
      </c>
      <c r="E2243" s="33">
        <v>120</v>
      </c>
      <c r="F2243" s="22">
        <v>45512</v>
      </c>
      <c r="G2243" s="21"/>
      <c r="H2243" s="159"/>
      <c r="I2243" s="33"/>
      <c r="J2243" s="33"/>
      <c r="K2243" s="33" t="s">
        <v>5338</v>
      </c>
      <c r="L2243" s="35"/>
      <c r="M2243" s="33"/>
      <c r="N2243" s="33"/>
      <c r="O2243" s="33"/>
      <c r="P2243" s="33"/>
      <c r="Q2243" s="33"/>
      <c r="R2243" s="33"/>
      <c r="S2243" s="33"/>
      <c r="T2243" s="33"/>
      <c r="U2243" s="33"/>
      <c r="V2243" s="33"/>
    </row>
    <row r="2244" spans="1:22" s="38" customFormat="1" ht="11.25" customHeight="1" x14ac:dyDescent="0.35">
      <c r="A2244" s="38" t="s">
        <v>4832</v>
      </c>
      <c r="B2244" s="39" t="s">
        <v>5904</v>
      </c>
      <c r="C2244" s="106" t="s">
        <v>3676</v>
      </c>
      <c r="D2244" s="82" t="s">
        <v>7912</v>
      </c>
      <c r="E2244" s="38">
        <v>25</v>
      </c>
      <c r="F2244" s="26">
        <v>45512</v>
      </c>
      <c r="G2244" s="25" t="s">
        <v>7705</v>
      </c>
      <c r="H2244" s="160"/>
      <c r="J2244" s="38" t="s">
        <v>8121</v>
      </c>
      <c r="K2244" s="38" t="s">
        <v>5338</v>
      </c>
      <c r="L2244" s="39"/>
    </row>
    <row r="2245" spans="1:22" s="43" customFormat="1" ht="11.25" customHeight="1" x14ac:dyDescent="0.35">
      <c r="A2245" s="33" t="s">
        <v>4832</v>
      </c>
      <c r="B2245" s="35" t="s">
        <v>5904</v>
      </c>
      <c r="C2245" s="272" t="s">
        <v>7513</v>
      </c>
      <c r="D2245" s="31" t="s">
        <v>2400</v>
      </c>
      <c r="E2245" s="33">
        <v>80</v>
      </c>
      <c r="F2245" s="22">
        <v>45512</v>
      </c>
      <c r="G2245" s="21"/>
      <c r="H2245" s="159"/>
      <c r="I2245" s="33"/>
      <c r="J2245" s="33"/>
      <c r="K2245" s="33" t="s">
        <v>5338</v>
      </c>
      <c r="L2245" s="35"/>
      <c r="M2245" s="33"/>
      <c r="N2245" s="33"/>
      <c r="O2245" s="33"/>
      <c r="P2245" s="33"/>
      <c r="Q2245" s="33"/>
      <c r="R2245" s="33"/>
      <c r="S2245" s="33"/>
      <c r="T2245" s="33"/>
      <c r="U2245" s="33"/>
      <c r="V2245" s="33"/>
    </row>
    <row r="2246" spans="1:22" s="43" customFormat="1" ht="11.25" customHeight="1" x14ac:dyDescent="0.35">
      <c r="A2246" s="33" t="s">
        <v>4832</v>
      </c>
      <c r="B2246" s="35" t="s">
        <v>5904</v>
      </c>
      <c r="C2246" s="272" t="s">
        <v>7913</v>
      </c>
      <c r="D2246" s="31" t="s">
        <v>631</v>
      </c>
      <c r="E2246" s="33">
        <v>80</v>
      </c>
      <c r="F2246" s="22">
        <v>45512</v>
      </c>
      <c r="G2246" s="21"/>
      <c r="H2246" s="159"/>
      <c r="I2246" s="33"/>
      <c r="J2246" s="33"/>
      <c r="K2246" s="33" t="s">
        <v>5338</v>
      </c>
      <c r="L2246" s="35"/>
      <c r="M2246" s="33"/>
      <c r="N2246" s="33"/>
      <c r="O2246" s="33"/>
      <c r="P2246" s="33"/>
      <c r="Q2246" s="33"/>
      <c r="R2246" s="33"/>
      <c r="S2246" s="33"/>
      <c r="T2246" s="33"/>
      <c r="U2246" s="33"/>
      <c r="V2246" s="33"/>
    </row>
    <row r="2247" spans="1:22" s="43" customFormat="1" ht="11.25" customHeight="1" x14ac:dyDescent="0.35">
      <c r="A2247" s="33" t="s">
        <v>4832</v>
      </c>
      <c r="B2247" s="35" t="s">
        <v>5904</v>
      </c>
      <c r="C2247" s="272" t="s">
        <v>3679</v>
      </c>
      <c r="D2247" s="31" t="s">
        <v>1785</v>
      </c>
      <c r="E2247" s="33">
        <v>50</v>
      </c>
      <c r="F2247" s="22">
        <v>45512</v>
      </c>
      <c r="G2247" s="21"/>
      <c r="H2247" s="159"/>
      <c r="I2247" s="33"/>
      <c r="J2247" s="33"/>
      <c r="K2247" s="33" t="s">
        <v>5338</v>
      </c>
      <c r="L2247" s="35"/>
      <c r="M2247" s="33"/>
      <c r="N2247" s="33"/>
      <c r="O2247" s="33"/>
      <c r="P2247" s="33"/>
      <c r="Q2247" s="33"/>
      <c r="R2247" s="33"/>
      <c r="S2247" s="33"/>
      <c r="T2247" s="33"/>
      <c r="U2247" s="33"/>
      <c r="V2247" s="33"/>
    </row>
    <row r="2248" spans="1:22" ht="11.25" customHeight="1" x14ac:dyDescent="0.35">
      <c r="A2248" s="33" t="s">
        <v>4832</v>
      </c>
      <c r="B2248" s="35" t="s">
        <v>5904</v>
      </c>
      <c r="C2248" s="272" t="s">
        <v>3684</v>
      </c>
      <c r="D2248" s="31" t="s">
        <v>1785</v>
      </c>
      <c r="E2248" s="33">
        <v>300</v>
      </c>
      <c r="F2248" s="22">
        <v>45512</v>
      </c>
      <c r="K2248" s="33" t="s">
        <v>5338</v>
      </c>
    </row>
    <row r="2249" spans="1:22" ht="11.25" customHeight="1" x14ac:dyDescent="0.35">
      <c r="A2249" s="33" t="s">
        <v>4832</v>
      </c>
      <c r="B2249" s="35" t="s">
        <v>5904</v>
      </c>
      <c r="C2249" s="272" t="s">
        <v>53</v>
      </c>
      <c r="D2249" s="31" t="s">
        <v>3389</v>
      </c>
      <c r="E2249" s="33">
        <v>80</v>
      </c>
      <c r="F2249" s="22">
        <v>45512</v>
      </c>
      <c r="K2249" s="33" t="s">
        <v>5338</v>
      </c>
    </row>
    <row r="2250" spans="1:22" ht="11.25" customHeight="1" x14ac:dyDescent="0.35">
      <c r="A2250" s="47" t="s">
        <v>5215</v>
      </c>
      <c r="B2250" s="34" t="s">
        <v>6142</v>
      </c>
      <c r="C2250" s="274" t="s">
        <v>7388</v>
      </c>
      <c r="D2250" s="81" t="s">
        <v>8122</v>
      </c>
      <c r="E2250" s="47">
        <v>48</v>
      </c>
      <c r="F2250" s="48">
        <v>45513</v>
      </c>
      <c r="G2250" s="108"/>
      <c r="H2250" s="162"/>
      <c r="I2250" s="47"/>
      <c r="J2250" s="47"/>
      <c r="K2250" s="47" t="s">
        <v>5338</v>
      </c>
      <c r="L2250" s="34"/>
      <c r="M2250" s="47"/>
      <c r="N2250" s="47"/>
      <c r="O2250" s="47"/>
      <c r="P2250" s="47"/>
      <c r="Q2250" s="47"/>
      <c r="R2250" s="47"/>
      <c r="S2250" s="47"/>
      <c r="T2250" s="47"/>
      <c r="U2250" s="47"/>
      <c r="V2250" s="47"/>
    </row>
    <row r="2251" spans="1:22" s="150" customFormat="1" ht="11.25" customHeight="1" x14ac:dyDescent="0.35">
      <c r="A2251" s="150" t="s">
        <v>5215</v>
      </c>
      <c r="B2251" s="154" t="s">
        <v>6142</v>
      </c>
      <c r="C2251" s="307" t="s">
        <v>4336</v>
      </c>
      <c r="D2251" s="151" t="s">
        <v>7458</v>
      </c>
      <c r="E2251" s="150">
        <v>2</v>
      </c>
      <c r="F2251" s="152">
        <v>45513</v>
      </c>
      <c r="G2251" s="153">
        <v>1</v>
      </c>
      <c r="H2251" s="186">
        <v>45559</v>
      </c>
      <c r="I2251" s="150" t="s">
        <v>5433</v>
      </c>
      <c r="K2251" s="150" t="s">
        <v>5511</v>
      </c>
      <c r="L2251" s="154"/>
    </row>
    <row r="2252" spans="1:22" s="235" customFormat="1" ht="11.25" customHeight="1" x14ac:dyDescent="0.35">
      <c r="A2252" s="33" t="s">
        <v>5215</v>
      </c>
      <c r="B2252" s="35" t="s">
        <v>7192</v>
      </c>
      <c r="C2252" s="272" t="s">
        <v>8123</v>
      </c>
      <c r="D2252" s="31" t="s">
        <v>3322</v>
      </c>
      <c r="E2252" s="33">
        <v>2</v>
      </c>
      <c r="F2252" s="22">
        <v>45516</v>
      </c>
      <c r="G2252" s="21"/>
      <c r="H2252" s="159"/>
      <c r="I2252" s="33"/>
      <c r="J2252" s="33"/>
      <c r="K2252" s="33" t="s">
        <v>5338</v>
      </c>
      <c r="L2252" s="35"/>
      <c r="M2252" s="33"/>
      <c r="N2252" s="33"/>
      <c r="O2252" s="33"/>
      <c r="P2252" s="33"/>
      <c r="Q2252" s="33"/>
      <c r="R2252" s="33"/>
      <c r="S2252" s="33"/>
      <c r="T2252" s="33"/>
      <c r="U2252" s="33"/>
      <c r="V2252" s="33"/>
    </row>
    <row r="2253" spans="1:22" s="235" customFormat="1" ht="11.25" customHeight="1" x14ac:dyDescent="0.35">
      <c r="A2253" s="33" t="s">
        <v>5215</v>
      </c>
      <c r="B2253" s="35" t="s">
        <v>7192</v>
      </c>
      <c r="C2253" s="272" t="s">
        <v>8124</v>
      </c>
      <c r="D2253" s="31" t="s">
        <v>8125</v>
      </c>
      <c r="E2253" s="33">
        <v>8</v>
      </c>
      <c r="F2253" s="22">
        <v>45516</v>
      </c>
      <c r="G2253" s="21"/>
      <c r="H2253" s="159"/>
      <c r="I2253" s="33"/>
      <c r="J2253" s="33"/>
      <c r="K2253" s="33" t="s">
        <v>5338</v>
      </c>
      <c r="L2253" s="35"/>
      <c r="M2253" s="33"/>
      <c r="N2253" s="33"/>
      <c r="O2253" s="33"/>
      <c r="P2253" s="33"/>
      <c r="Q2253" s="33"/>
      <c r="R2253" s="33"/>
      <c r="S2253" s="33"/>
      <c r="T2253" s="33"/>
      <c r="U2253" s="33"/>
      <c r="V2253" s="33"/>
    </row>
    <row r="2254" spans="1:22" ht="11.25" customHeight="1" x14ac:dyDescent="0.35">
      <c r="A2254" s="33" t="s">
        <v>5215</v>
      </c>
      <c r="B2254" s="35" t="s">
        <v>7192</v>
      </c>
      <c r="C2254" s="272" t="s">
        <v>580</v>
      </c>
      <c r="D2254" s="31" t="s">
        <v>5767</v>
      </c>
      <c r="E2254" s="33">
        <v>8</v>
      </c>
      <c r="F2254" s="22">
        <v>45516</v>
      </c>
      <c r="K2254" s="33" t="s">
        <v>5338</v>
      </c>
    </row>
    <row r="2255" spans="1:22" ht="11.25" customHeight="1" x14ac:dyDescent="0.35">
      <c r="A2255" s="33" t="s">
        <v>5215</v>
      </c>
      <c r="B2255" s="35" t="s">
        <v>7192</v>
      </c>
      <c r="C2255" s="272" t="s">
        <v>4435</v>
      </c>
      <c r="D2255" s="31" t="s">
        <v>4433</v>
      </c>
      <c r="E2255" s="33">
        <v>10</v>
      </c>
      <c r="F2255" s="22">
        <v>45516</v>
      </c>
      <c r="K2255" s="33" t="s">
        <v>5338</v>
      </c>
    </row>
    <row r="2256" spans="1:22" ht="11.25" customHeight="1" x14ac:dyDescent="0.35">
      <c r="A2256" s="33" t="s">
        <v>5215</v>
      </c>
      <c r="B2256" s="35" t="s">
        <v>7192</v>
      </c>
      <c r="C2256" s="272" t="s">
        <v>4432</v>
      </c>
      <c r="D2256" s="31" t="s">
        <v>4433</v>
      </c>
      <c r="E2256" s="33">
        <v>10</v>
      </c>
      <c r="F2256" s="22">
        <v>45516</v>
      </c>
      <c r="K2256" s="33" t="s">
        <v>5338</v>
      </c>
    </row>
    <row r="2257" spans="1:22" ht="11.25" customHeight="1" x14ac:dyDescent="0.35">
      <c r="A2257" s="43" t="s">
        <v>5215</v>
      </c>
      <c r="B2257" s="44" t="s">
        <v>7192</v>
      </c>
      <c r="C2257" s="275" t="s">
        <v>8126</v>
      </c>
      <c r="D2257" s="89" t="s">
        <v>8127</v>
      </c>
      <c r="E2257" s="43">
        <v>60</v>
      </c>
      <c r="F2257" s="30">
        <v>45516</v>
      </c>
      <c r="G2257" s="29" t="s">
        <v>8128</v>
      </c>
      <c r="H2257" s="163">
        <v>45516</v>
      </c>
      <c r="I2257" s="89" t="s">
        <v>8129</v>
      </c>
      <c r="J2257" s="43"/>
      <c r="K2257" s="43" t="s">
        <v>5511</v>
      </c>
      <c r="L2257" s="44"/>
      <c r="M2257" s="43"/>
      <c r="N2257" s="43"/>
      <c r="O2257" s="43"/>
      <c r="P2257" s="43"/>
      <c r="Q2257" s="43"/>
      <c r="R2257" s="43"/>
      <c r="S2257" s="43"/>
      <c r="T2257" s="43"/>
      <c r="U2257" s="43"/>
      <c r="V2257" s="43"/>
    </row>
    <row r="2258" spans="1:22" ht="11.25" customHeight="1" x14ac:dyDescent="0.35">
      <c r="A2258" s="43" t="s">
        <v>5215</v>
      </c>
      <c r="B2258" s="44" t="s">
        <v>7192</v>
      </c>
      <c r="C2258" s="275" t="s">
        <v>8130</v>
      </c>
      <c r="D2258" s="89" t="s">
        <v>8127</v>
      </c>
      <c r="E2258" s="43">
        <v>60</v>
      </c>
      <c r="F2258" s="30">
        <v>45516</v>
      </c>
      <c r="G2258" s="29" t="s">
        <v>8128</v>
      </c>
      <c r="H2258" s="163">
        <v>45516</v>
      </c>
      <c r="I2258" s="89" t="s">
        <v>8129</v>
      </c>
      <c r="J2258" s="43"/>
      <c r="K2258" s="43" t="s">
        <v>5511</v>
      </c>
      <c r="L2258" s="44"/>
      <c r="M2258" s="43"/>
      <c r="N2258" s="43"/>
      <c r="O2258" s="43"/>
      <c r="P2258" s="43"/>
      <c r="Q2258" s="43"/>
      <c r="R2258" s="43"/>
      <c r="S2258" s="43"/>
      <c r="T2258" s="43"/>
      <c r="U2258" s="43"/>
      <c r="V2258" s="43"/>
    </row>
    <row r="2259" spans="1:22" ht="11.25" customHeight="1" x14ac:dyDescent="0.35">
      <c r="A2259" s="33" t="s">
        <v>5215</v>
      </c>
      <c r="B2259" s="35" t="s">
        <v>7192</v>
      </c>
      <c r="C2259" s="272" t="s">
        <v>8131</v>
      </c>
      <c r="D2259" s="31" t="s">
        <v>8012</v>
      </c>
      <c r="E2259" s="33">
        <v>2</v>
      </c>
      <c r="F2259" s="22">
        <v>45516</v>
      </c>
      <c r="K2259" s="33" t="s">
        <v>5338</v>
      </c>
    </row>
    <row r="2260" spans="1:22" ht="11.25" customHeight="1" x14ac:dyDescent="0.35">
      <c r="A2260" s="21" t="s">
        <v>219</v>
      </c>
      <c r="B2260" s="657" t="s">
        <v>4917</v>
      </c>
      <c r="C2260" s="275">
        <v>540754200126</v>
      </c>
      <c r="D2260" s="29" t="s">
        <v>8132</v>
      </c>
      <c r="E2260" s="29">
        <v>8</v>
      </c>
      <c r="F2260" s="255">
        <v>45518</v>
      </c>
      <c r="G2260" s="29"/>
      <c r="H2260" s="29"/>
      <c r="I2260" s="29"/>
      <c r="J2260" s="29"/>
      <c r="K2260" s="29"/>
      <c r="L2260" s="29"/>
      <c r="M2260" s="29"/>
      <c r="N2260" s="29"/>
      <c r="O2260" s="29"/>
      <c r="P2260" s="29"/>
      <c r="Q2260" s="29"/>
      <c r="R2260" s="29"/>
      <c r="S2260" s="29"/>
      <c r="T2260" s="29"/>
      <c r="U2260" s="29"/>
      <c r="V2260" s="29"/>
    </row>
    <row r="2261" spans="1:22" ht="11.25" customHeight="1" x14ac:dyDescent="0.35">
      <c r="A2261" s="21" t="s">
        <v>219</v>
      </c>
      <c r="B2261" s="657" t="s">
        <v>4917</v>
      </c>
      <c r="C2261" s="275">
        <v>553024200101</v>
      </c>
      <c r="D2261" s="29" t="s">
        <v>8133</v>
      </c>
      <c r="E2261" s="29">
        <v>1</v>
      </c>
      <c r="F2261" s="255">
        <v>45518</v>
      </c>
      <c r="G2261" s="29"/>
      <c r="H2261" s="29"/>
      <c r="I2261" s="29"/>
      <c r="J2261" s="29"/>
      <c r="K2261" s="29"/>
      <c r="L2261" s="29"/>
      <c r="M2261" s="29"/>
      <c r="N2261" s="29"/>
      <c r="O2261" s="29"/>
      <c r="P2261" s="29"/>
      <c r="Q2261" s="29"/>
      <c r="R2261" s="29"/>
      <c r="S2261" s="29"/>
      <c r="T2261" s="29"/>
      <c r="U2261" s="29"/>
      <c r="V2261" s="29"/>
    </row>
    <row r="2262" spans="1:22" ht="11.25" customHeight="1" x14ac:dyDescent="0.35">
      <c r="A2262" s="21" t="s">
        <v>219</v>
      </c>
      <c r="B2262" s="657" t="s">
        <v>4917</v>
      </c>
      <c r="C2262" s="275">
        <v>552940109906</v>
      </c>
      <c r="D2262" s="29" t="s">
        <v>8134</v>
      </c>
      <c r="E2262" s="29">
        <v>3</v>
      </c>
      <c r="F2262" s="255">
        <v>45518</v>
      </c>
      <c r="G2262" s="29"/>
      <c r="H2262" s="29"/>
      <c r="I2262" s="29"/>
      <c r="J2262" s="29"/>
      <c r="K2262" s="29"/>
      <c r="L2262" s="29"/>
      <c r="M2262" s="29"/>
      <c r="N2262" s="29"/>
      <c r="O2262" s="29"/>
      <c r="P2262" s="29"/>
      <c r="Q2262" s="29"/>
      <c r="R2262" s="29"/>
      <c r="S2262" s="29"/>
      <c r="T2262" s="29"/>
      <c r="U2262" s="29"/>
      <c r="V2262" s="29"/>
    </row>
    <row r="2263" spans="1:22" ht="11.25" customHeight="1" x14ac:dyDescent="0.35">
      <c r="A2263" s="21" t="s">
        <v>219</v>
      </c>
      <c r="B2263" s="657" t="s">
        <v>4917</v>
      </c>
      <c r="C2263" s="272">
        <v>585868916311</v>
      </c>
      <c r="D2263" s="21" t="s">
        <v>7655</v>
      </c>
      <c r="E2263" s="21">
        <v>1</v>
      </c>
      <c r="F2263" s="255">
        <v>45518</v>
      </c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</row>
    <row r="2264" spans="1:22" ht="11.25" customHeight="1" x14ac:dyDescent="0.35">
      <c r="A2264" s="21" t="s">
        <v>219</v>
      </c>
      <c r="B2264" s="657" t="s">
        <v>4917</v>
      </c>
      <c r="C2264" s="272">
        <v>253409140219</v>
      </c>
      <c r="D2264" s="21" t="s">
        <v>1297</v>
      </c>
      <c r="E2264" s="21">
        <v>10</v>
      </c>
      <c r="F2264" s="255">
        <v>45518</v>
      </c>
      <c r="H2264" s="21"/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1"/>
      <c r="V2264" s="21"/>
    </row>
    <row r="2265" spans="1:22" ht="11.25" customHeight="1" x14ac:dyDescent="0.35">
      <c r="A2265" s="21" t="s">
        <v>219</v>
      </c>
      <c r="B2265" s="657" t="s">
        <v>4917</v>
      </c>
      <c r="C2265" s="272">
        <v>12145201207</v>
      </c>
      <c r="D2265" s="21" t="s">
        <v>1765</v>
      </c>
      <c r="E2265" s="21">
        <v>160</v>
      </c>
      <c r="F2265" s="255">
        <v>45518</v>
      </c>
      <c r="H2265" s="21"/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1"/>
      <c r="V2265" s="21"/>
    </row>
    <row r="2266" spans="1:22" s="38" customFormat="1" ht="11.25" customHeight="1" x14ac:dyDescent="0.35">
      <c r="A2266" s="25" t="s">
        <v>60</v>
      </c>
      <c r="B2266" s="658" t="s">
        <v>6142</v>
      </c>
      <c r="C2266" s="106" t="s">
        <v>3982</v>
      </c>
      <c r="D2266" s="25" t="s">
        <v>8135</v>
      </c>
      <c r="E2266" s="25">
        <v>1</v>
      </c>
      <c r="F2266" s="256">
        <v>45518</v>
      </c>
      <c r="G2266" s="25">
        <v>1</v>
      </c>
      <c r="H2266" s="257">
        <v>45559</v>
      </c>
      <c r="I2266" s="25"/>
      <c r="J2266" s="25"/>
      <c r="K2266" s="38" t="s">
        <v>5365</v>
      </c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</row>
    <row r="2267" spans="1:22" ht="11.25" customHeight="1" x14ac:dyDescent="0.35">
      <c r="A2267" s="21" t="s">
        <v>60</v>
      </c>
      <c r="B2267" s="657" t="s">
        <v>6142</v>
      </c>
      <c r="C2267" s="272" t="s">
        <v>3991</v>
      </c>
      <c r="D2267" s="21" t="s">
        <v>6157</v>
      </c>
      <c r="E2267" s="21">
        <v>1</v>
      </c>
      <c r="F2267" s="255">
        <v>45518</v>
      </c>
      <c r="H2267" s="21"/>
      <c r="I2267" s="21"/>
      <c r="J2267" s="21"/>
      <c r="K2267" s="33" t="s">
        <v>5338</v>
      </c>
      <c r="L2267" s="21"/>
      <c r="M2267" s="21"/>
      <c r="N2267" s="21"/>
      <c r="O2267" s="21"/>
      <c r="P2267" s="21"/>
      <c r="Q2267" s="21"/>
      <c r="R2267" s="21"/>
      <c r="S2267" s="21"/>
      <c r="T2267" s="21"/>
      <c r="U2267" s="21"/>
      <c r="V2267" s="21"/>
    </row>
    <row r="2268" spans="1:22" ht="11.25" customHeight="1" x14ac:dyDescent="0.35">
      <c r="A2268" s="21" t="s">
        <v>60</v>
      </c>
      <c r="B2268" s="657" t="s">
        <v>6142</v>
      </c>
      <c r="C2268" s="272" t="s">
        <v>6164</v>
      </c>
      <c r="D2268" s="33" t="s">
        <v>8122</v>
      </c>
      <c r="E2268" s="33">
        <v>69</v>
      </c>
      <c r="F2268" s="255">
        <v>45518</v>
      </c>
      <c r="G2268" s="33"/>
      <c r="H2268" s="33"/>
      <c r="K2268" s="33" t="s">
        <v>5365</v>
      </c>
      <c r="L2268" s="33"/>
    </row>
    <row r="2269" spans="1:22" ht="11.25" customHeight="1" x14ac:dyDescent="0.35">
      <c r="A2269" s="21" t="s">
        <v>60</v>
      </c>
      <c r="B2269" s="657" t="s">
        <v>6142</v>
      </c>
      <c r="D2269" s="33" t="s">
        <v>8136</v>
      </c>
      <c r="E2269" s="33">
        <v>4</v>
      </c>
      <c r="F2269" s="255">
        <v>45518</v>
      </c>
      <c r="G2269" s="33"/>
      <c r="H2269" s="33"/>
      <c r="K2269" s="33" t="s">
        <v>5365</v>
      </c>
      <c r="L2269" s="33"/>
    </row>
    <row r="2270" spans="1:22" ht="11.25" customHeight="1" x14ac:dyDescent="0.35">
      <c r="A2270" s="21" t="s">
        <v>60</v>
      </c>
      <c r="B2270" s="657" t="s">
        <v>6142</v>
      </c>
      <c r="D2270" s="33" t="s">
        <v>8137</v>
      </c>
      <c r="E2270" s="33">
        <v>2</v>
      </c>
      <c r="F2270" s="255">
        <v>45518</v>
      </c>
      <c r="G2270" s="33"/>
      <c r="H2270" s="33"/>
      <c r="K2270" s="33" t="s">
        <v>5365</v>
      </c>
      <c r="L2270" s="33"/>
    </row>
    <row r="2271" spans="1:22" ht="11.25" customHeight="1" x14ac:dyDescent="0.35">
      <c r="A2271" s="21" t="s">
        <v>60</v>
      </c>
      <c r="B2271" s="657" t="s">
        <v>6142</v>
      </c>
      <c r="C2271" s="272" t="s">
        <v>8138</v>
      </c>
      <c r="D2271" s="33"/>
      <c r="E2271" s="33">
        <v>1</v>
      </c>
      <c r="F2271" s="255">
        <v>45518</v>
      </c>
      <c r="G2271" s="33"/>
      <c r="H2271" s="33"/>
      <c r="K2271" s="33" t="s">
        <v>5338</v>
      </c>
      <c r="L2271" s="33"/>
    </row>
    <row r="2272" spans="1:22" s="38" customFormat="1" ht="11.25" customHeight="1" x14ac:dyDescent="0.35">
      <c r="A2272" s="25"/>
      <c r="B2272" s="658"/>
      <c r="C2272" s="106" t="s">
        <v>5596</v>
      </c>
      <c r="D2272" s="38" t="s">
        <v>8139</v>
      </c>
      <c r="E2272" s="38">
        <v>1</v>
      </c>
      <c r="F2272" s="256">
        <v>45518</v>
      </c>
      <c r="G2272" s="38">
        <v>1</v>
      </c>
      <c r="H2272" s="257">
        <v>45559</v>
      </c>
      <c r="I2272" s="38" t="s">
        <v>5433</v>
      </c>
      <c r="K2272" s="38" t="s">
        <v>5365</v>
      </c>
    </row>
    <row r="2273" spans="1:22" s="38" customFormat="1" ht="11.25" customHeight="1" x14ac:dyDescent="0.35">
      <c r="A2273" s="25" t="s">
        <v>60</v>
      </c>
      <c r="B2273" s="658" t="s">
        <v>6142</v>
      </c>
      <c r="C2273" s="106" t="s">
        <v>3998</v>
      </c>
      <c r="E2273" s="38">
        <v>1</v>
      </c>
      <c r="F2273" s="256">
        <v>45518</v>
      </c>
      <c r="G2273" s="38">
        <v>1</v>
      </c>
      <c r="H2273" s="257">
        <v>45559</v>
      </c>
      <c r="I2273" s="38" t="s">
        <v>5433</v>
      </c>
      <c r="K2273" s="38" t="s">
        <v>5365</v>
      </c>
    </row>
    <row r="2274" spans="1:22" ht="11.25" customHeight="1" x14ac:dyDescent="0.35">
      <c r="A2274" s="33" t="s">
        <v>219</v>
      </c>
      <c r="B2274" s="44" t="s">
        <v>4917</v>
      </c>
      <c r="C2274" s="272">
        <v>585888306306</v>
      </c>
      <c r="D2274" s="33" t="s">
        <v>8140</v>
      </c>
      <c r="E2274" s="33">
        <v>12</v>
      </c>
      <c r="F2274" s="22">
        <v>45518</v>
      </c>
      <c r="G2274" s="33"/>
      <c r="H2274" s="33"/>
      <c r="K2274" s="33" t="s">
        <v>5338</v>
      </c>
      <c r="L2274" s="33"/>
    </row>
    <row r="2275" spans="1:22" ht="11.25" customHeight="1" x14ac:dyDescent="0.35">
      <c r="A2275" s="33" t="s">
        <v>60</v>
      </c>
      <c r="B2275" s="35" t="s">
        <v>6875</v>
      </c>
      <c r="C2275" s="272" t="s">
        <v>1337</v>
      </c>
      <c r="D2275" s="31" t="s">
        <v>8141</v>
      </c>
      <c r="E2275" s="33">
        <v>2</v>
      </c>
      <c r="F2275" s="22">
        <v>45520</v>
      </c>
      <c r="G2275" s="21">
        <v>2</v>
      </c>
      <c r="H2275" s="159">
        <v>45531</v>
      </c>
      <c r="I2275" s="33" t="s">
        <v>8142</v>
      </c>
      <c r="K2275" s="33" t="s">
        <v>5365</v>
      </c>
    </row>
    <row r="2276" spans="1:22" ht="11.25" customHeight="1" x14ac:dyDescent="0.35">
      <c r="A2276" s="33" t="s">
        <v>60</v>
      </c>
      <c r="B2276" s="35" t="s">
        <v>6875</v>
      </c>
      <c r="C2276" s="272" t="s">
        <v>4004</v>
      </c>
      <c r="D2276" s="31" t="s">
        <v>8143</v>
      </c>
      <c r="E2276" s="33">
        <v>1</v>
      </c>
      <c r="F2276" s="22">
        <v>45520</v>
      </c>
      <c r="K2276" s="33" t="s">
        <v>5338</v>
      </c>
    </row>
    <row r="2277" spans="1:22" s="38" customFormat="1" ht="11.25" customHeight="1" x14ac:dyDescent="0.25">
      <c r="A2277" s="38" t="s">
        <v>26</v>
      </c>
      <c r="B2277" s="196" t="s">
        <v>65</v>
      </c>
      <c r="C2277" s="106" t="s">
        <v>7537</v>
      </c>
      <c r="D2277" s="82" t="s">
        <v>7538</v>
      </c>
      <c r="E2277" s="38">
        <v>30</v>
      </c>
      <c r="F2277" s="26">
        <v>45523</v>
      </c>
      <c r="G2277" s="25">
        <v>30</v>
      </c>
      <c r="H2277" s="160">
        <v>45546</v>
      </c>
      <c r="I2277" s="38" t="s">
        <v>5903</v>
      </c>
      <c r="K2277" s="38" t="s">
        <v>5365</v>
      </c>
      <c r="L2277" s="35"/>
    </row>
    <row r="2278" spans="1:22" ht="11.25" customHeight="1" x14ac:dyDescent="0.25">
      <c r="A2278" s="33" t="s">
        <v>26</v>
      </c>
      <c r="B2278" s="7" t="s">
        <v>65</v>
      </c>
      <c r="C2278" s="272" t="s">
        <v>8144</v>
      </c>
      <c r="D2278" s="31" t="s">
        <v>8145</v>
      </c>
      <c r="E2278" s="33">
        <v>32</v>
      </c>
      <c r="F2278" s="22">
        <v>45523</v>
      </c>
      <c r="K2278" s="33" t="s">
        <v>5338</v>
      </c>
    </row>
    <row r="2279" spans="1:22" ht="11.25" customHeight="1" x14ac:dyDescent="0.25">
      <c r="A2279" s="33" t="s">
        <v>26</v>
      </c>
      <c r="B2279" s="7" t="s">
        <v>65</v>
      </c>
      <c r="C2279" s="299" t="s">
        <v>8146</v>
      </c>
      <c r="D2279" s="195" t="s">
        <v>8147</v>
      </c>
      <c r="E2279" s="235">
        <v>20</v>
      </c>
      <c r="F2279" s="239">
        <v>45523</v>
      </c>
      <c r="G2279" s="237">
        <v>2</v>
      </c>
      <c r="H2279" s="238">
        <v>45527</v>
      </c>
      <c r="I2279" s="235"/>
      <c r="J2279" s="235"/>
      <c r="K2279" s="235" t="s">
        <v>5511</v>
      </c>
      <c r="L2279" s="61"/>
      <c r="M2279" s="235"/>
      <c r="N2279" s="235"/>
      <c r="O2279" s="235"/>
      <c r="P2279" s="235"/>
      <c r="Q2279" s="235"/>
      <c r="R2279" s="235"/>
      <c r="S2279" s="235"/>
      <c r="T2279" s="235"/>
      <c r="U2279" s="235"/>
      <c r="V2279" s="235"/>
    </row>
    <row r="2280" spans="1:22" ht="11.25" customHeight="1" x14ac:dyDescent="0.25">
      <c r="A2280" s="33" t="s">
        <v>26</v>
      </c>
      <c r="B2280" s="7" t="s">
        <v>65</v>
      </c>
      <c r="C2280" s="299" t="s">
        <v>8148</v>
      </c>
      <c r="D2280" s="195" t="s">
        <v>8149</v>
      </c>
      <c r="E2280" s="235">
        <v>2</v>
      </c>
      <c r="F2280" s="239">
        <v>45523</v>
      </c>
      <c r="G2280" s="237">
        <v>1</v>
      </c>
      <c r="H2280" s="238">
        <v>45527</v>
      </c>
      <c r="I2280" s="235"/>
      <c r="J2280" s="235"/>
      <c r="K2280" s="235" t="s">
        <v>5511</v>
      </c>
      <c r="L2280" s="61"/>
      <c r="M2280" s="235"/>
      <c r="N2280" s="235"/>
      <c r="O2280" s="235"/>
      <c r="P2280" s="235"/>
      <c r="Q2280" s="235"/>
      <c r="R2280" s="235"/>
      <c r="S2280" s="235"/>
      <c r="T2280" s="235"/>
      <c r="U2280" s="235"/>
      <c r="V2280" s="235"/>
    </row>
    <row r="2281" spans="1:22" ht="11.25" customHeight="1" x14ac:dyDescent="0.35">
      <c r="A2281" s="43" t="s">
        <v>219</v>
      </c>
      <c r="B2281" s="44" t="s">
        <v>4917</v>
      </c>
      <c r="C2281" s="275" t="s">
        <v>8150</v>
      </c>
      <c r="D2281" s="89" t="s">
        <v>8151</v>
      </c>
      <c r="E2281" s="43">
        <v>1</v>
      </c>
      <c r="F2281" s="30">
        <v>45519</v>
      </c>
      <c r="G2281" s="29">
        <v>1</v>
      </c>
      <c r="H2281" s="163">
        <v>45517</v>
      </c>
      <c r="I2281" s="43"/>
      <c r="J2281" s="43"/>
      <c r="K2281" s="43" t="s">
        <v>5365</v>
      </c>
      <c r="L2281" s="44"/>
    </row>
    <row r="2282" spans="1:22" ht="11.25" customHeight="1" x14ac:dyDescent="0.35">
      <c r="A2282" s="43" t="s">
        <v>219</v>
      </c>
      <c r="B2282" s="44" t="s">
        <v>4917</v>
      </c>
      <c r="C2282" s="275" t="s">
        <v>8152</v>
      </c>
      <c r="D2282" s="89" t="s">
        <v>8153</v>
      </c>
      <c r="E2282" s="43">
        <v>3</v>
      </c>
      <c r="F2282" s="30">
        <v>45519</v>
      </c>
      <c r="G2282" s="29">
        <v>3</v>
      </c>
      <c r="H2282" s="163">
        <v>45517</v>
      </c>
      <c r="I2282" s="43"/>
      <c r="J2282" s="43"/>
      <c r="K2282" s="43" t="s">
        <v>5365</v>
      </c>
      <c r="L2282" s="44"/>
    </row>
    <row r="2283" spans="1:22" ht="11.25" customHeight="1" x14ac:dyDescent="0.35">
      <c r="A2283" s="43" t="s">
        <v>219</v>
      </c>
      <c r="B2283" s="44" t="s">
        <v>4917</v>
      </c>
      <c r="C2283" s="275" t="s">
        <v>8154</v>
      </c>
      <c r="D2283" s="89" t="s">
        <v>8155</v>
      </c>
      <c r="E2283" s="43">
        <v>1</v>
      </c>
      <c r="F2283" s="30">
        <v>45519</v>
      </c>
      <c r="G2283" s="29">
        <v>1</v>
      </c>
      <c r="H2283" s="163">
        <v>45517</v>
      </c>
      <c r="I2283" s="43"/>
      <c r="J2283" s="43"/>
      <c r="K2283" s="43" t="s">
        <v>5365</v>
      </c>
      <c r="L2283" s="44"/>
    </row>
    <row r="2284" spans="1:22" s="47" customFormat="1" ht="11.25" customHeight="1" x14ac:dyDescent="0.35">
      <c r="A2284" s="47" t="s">
        <v>60</v>
      </c>
      <c r="B2284" s="34" t="s">
        <v>2816</v>
      </c>
      <c r="C2284" s="274" t="s">
        <v>8156</v>
      </c>
      <c r="D2284" s="81" t="s">
        <v>3322</v>
      </c>
      <c r="E2284" s="47">
        <v>2</v>
      </c>
      <c r="F2284" s="48">
        <v>45516</v>
      </c>
      <c r="G2284" s="108"/>
      <c r="H2284" s="162"/>
      <c r="K2284" s="47" t="s">
        <v>5338</v>
      </c>
      <c r="L2284" s="34"/>
    </row>
    <row r="2285" spans="1:22" s="47" customFormat="1" ht="11.25" customHeight="1" x14ac:dyDescent="0.35">
      <c r="A2285" s="47" t="s">
        <v>60</v>
      </c>
      <c r="B2285" s="34" t="s">
        <v>2816</v>
      </c>
      <c r="C2285" s="274" t="s">
        <v>8124</v>
      </c>
      <c r="D2285" s="81" t="s">
        <v>8157</v>
      </c>
      <c r="E2285" s="47">
        <v>8</v>
      </c>
      <c r="F2285" s="48">
        <v>45516</v>
      </c>
      <c r="G2285" s="108"/>
      <c r="H2285" s="162"/>
      <c r="K2285" s="47" t="s">
        <v>5338</v>
      </c>
      <c r="L2285" s="34"/>
    </row>
    <row r="2286" spans="1:22" s="47" customFormat="1" ht="11.25" customHeight="1" x14ac:dyDescent="0.35">
      <c r="A2286" s="47" t="s">
        <v>60</v>
      </c>
      <c r="B2286" s="34" t="s">
        <v>2816</v>
      </c>
      <c r="C2286" s="274" t="s">
        <v>580</v>
      </c>
      <c r="D2286" s="81" t="s">
        <v>8158</v>
      </c>
      <c r="E2286" s="47">
        <v>8</v>
      </c>
      <c r="F2286" s="48">
        <v>45516</v>
      </c>
      <c r="G2286" s="108"/>
      <c r="H2286" s="162"/>
      <c r="K2286" s="47" t="s">
        <v>5338</v>
      </c>
      <c r="L2286" s="34"/>
    </row>
    <row r="2287" spans="1:22" s="47" customFormat="1" ht="11.25" customHeight="1" x14ac:dyDescent="0.35">
      <c r="A2287" s="47" t="s">
        <v>60</v>
      </c>
      <c r="B2287" s="34" t="s">
        <v>2816</v>
      </c>
      <c r="C2287" s="274" t="s">
        <v>4435</v>
      </c>
      <c r="D2287" s="81" t="s">
        <v>4433</v>
      </c>
      <c r="E2287" s="47">
        <v>10</v>
      </c>
      <c r="F2287" s="48">
        <v>45516</v>
      </c>
      <c r="G2287" s="108"/>
      <c r="H2287" s="162"/>
      <c r="K2287" s="47" t="s">
        <v>5338</v>
      </c>
      <c r="L2287" s="34"/>
    </row>
    <row r="2288" spans="1:22" s="47" customFormat="1" ht="11.25" customHeight="1" x14ac:dyDescent="0.35">
      <c r="A2288" s="47" t="s">
        <v>60</v>
      </c>
      <c r="B2288" s="34" t="s">
        <v>2816</v>
      </c>
      <c r="C2288" s="274" t="s">
        <v>4432</v>
      </c>
      <c r="D2288" s="47" t="s">
        <v>4433</v>
      </c>
      <c r="E2288" s="47">
        <v>10</v>
      </c>
      <c r="F2288" s="48">
        <v>45516</v>
      </c>
      <c r="G2288" s="108"/>
      <c r="H2288" s="162"/>
      <c r="K2288" s="47" t="s">
        <v>5338</v>
      </c>
      <c r="L2288" s="34"/>
    </row>
    <row r="2289" spans="1:22" s="43" customFormat="1" ht="11.25" customHeight="1" x14ac:dyDescent="0.35">
      <c r="A2289" s="43" t="s">
        <v>60</v>
      </c>
      <c r="B2289" s="44" t="s">
        <v>2816</v>
      </c>
      <c r="C2289" s="275" t="s">
        <v>8126</v>
      </c>
      <c r="D2289" s="89" t="s">
        <v>8127</v>
      </c>
      <c r="E2289" s="43">
        <v>60</v>
      </c>
      <c r="F2289" s="30">
        <v>45516</v>
      </c>
      <c r="G2289" s="29">
        <v>48</v>
      </c>
      <c r="H2289" s="312" t="s">
        <v>8159</v>
      </c>
      <c r="J2289" s="43" t="s">
        <v>8160</v>
      </c>
      <c r="K2289" s="47" t="s">
        <v>5511</v>
      </c>
      <c r="L2289" s="44"/>
    </row>
    <row r="2290" spans="1:22" s="43" customFormat="1" ht="11.25" customHeight="1" x14ac:dyDescent="0.35">
      <c r="A2290" s="43" t="s">
        <v>60</v>
      </c>
      <c r="B2290" s="44" t="s">
        <v>2816</v>
      </c>
      <c r="C2290" s="275" t="s">
        <v>8130</v>
      </c>
      <c r="D2290" s="89" t="s">
        <v>8127</v>
      </c>
      <c r="E2290" s="43">
        <v>60</v>
      </c>
      <c r="F2290" s="30">
        <v>45516</v>
      </c>
      <c r="G2290" s="29">
        <v>33</v>
      </c>
      <c r="H2290" s="312" t="s">
        <v>8159</v>
      </c>
      <c r="J2290" s="43" t="s">
        <v>8160</v>
      </c>
      <c r="K2290" s="47" t="s">
        <v>5511</v>
      </c>
      <c r="L2290" s="44"/>
    </row>
    <row r="2291" spans="1:22" s="47" customFormat="1" ht="11.25" customHeight="1" x14ac:dyDescent="0.35">
      <c r="A2291" s="47" t="s">
        <v>60</v>
      </c>
      <c r="B2291" s="34" t="s">
        <v>2816</v>
      </c>
      <c r="C2291" s="274" t="s">
        <v>8131</v>
      </c>
      <c r="D2291" s="81" t="s">
        <v>8012</v>
      </c>
      <c r="E2291" s="47">
        <v>2</v>
      </c>
      <c r="F2291" s="48">
        <v>45516</v>
      </c>
      <c r="G2291" s="108"/>
      <c r="H2291" s="162"/>
      <c r="K2291" s="47" t="s">
        <v>5338</v>
      </c>
      <c r="L2291" s="34"/>
    </row>
    <row r="2292" spans="1:22" ht="11.25" customHeight="1" x14ac:dyDescent="0.35">
      <c r="A2292" s="21" t="s">
        <v>4832</v>
      </c>
      <c r="B2292" s="659" t="s">
        <v>5904</v>
      </c>
      <c r="C2292" s="272" t="s">
        <v>4197</v>
      </c>
      <c r="D2292" s="21" t="s">
        <v>8161</v>
      </c>
      <c r="E2292" s="21">
        <v>1</v>
      </c>
      <c r="F2292" s="22">
        <v>45537</v>
      </c>
      <c r="H2292" s="21"/>
      <c r="I2292" s="21"/>
      <c r="J2292" s="21"/>
      <c r="K2292" s="43" t="s">
        <v>5338</v>
      </c>
      <c r="L2292" s="21"/>
      <c r="M2292" s="21"/>
      <c r="N2292" s="21"/>
      <c r="O2292" s="21"/>
      <c r="P2292" s="21"/>
      <c r="Q2292" s="21"/>
      <c r="R2292" s="21"/>
      <c r="S2292" s="21"/>
      <c r="T2292" s="21"/>
      <c r="U2292" s="21"/>
      <c r="V2292" s="21"/>
    </row>
    <row r="2293" spans="1:22" ht="11.25" customHeight="1" x14ac:dyDescent="0.35">
      <c r="A2293" s="21" t="s">
        <v>4832</v>
      </c>
      <c r="B2293" s="659" t="s">
        <v>5904</v>
      </c>
      <c r="C2293" s="272" t="s">
        <v>4259</v>
      </c>
      <c r="D2293" s="21" t="s">
        <v>6905</v>
      </c>
      <c r="E2293" s="21">
        <v>4</v>
      </c>
      <c r="F2293" s="22">
        <v>45537</v>
      </c>
      <c r="H2293" s="21"/>
      <c r="I2293" s="21"/>
      <c r="J2293" s="21"/>
      <c r="K2293" s="43" t="s">
        <v>5338</v>
      </c>
      <c r="L2293" s="21"/>
      <c r="M2293" s="21"/>
      <c r="N2293" s="21"/>
      <c r="O2293" s="21"/>
      <c r="P2293" s="21"/>
      <c r="Q2293" s="21"/>
      <c r="R2293" s="21"/>
      <c r="S2293" s="21"/>
      <c r="T2293" s="21"/>
      <c r="U2293" s="21"/>
      <c r="V2293" s="21"/>
    </row>
    <row r="2294" spans="1:22" ht="11.25" customHeight="1" x14ac:dyDescent="0.35">
      <c r="A2294" s="21" t="s">
        <v>4832</v>
      </c>
      <c r="B2294" s="659" t="s">
        <v>5904</v>
      </c>
      <c r="C2294" s="272" t="s">
        <v>8162</v>
      </c>
      <c r="D2294" s="21" t="s">
        <v>8163</v>
      </c>
      <c r="E2294" s="21">
        <v>1</v>
      </c>
      <c r="F2294" s="22">
        <v>45537</v>
      </c>
      <c r="H2294" s="21"/>
      <c r="I2294" s="21"/>
      <c r="J2294" s="21"/>
      <c r="K2294" s="43" t="s">
        <v>5338</v>
      </c>
      <c r="L2294" s="21"/>
      <c r="M2294" s="21"/>
      <c r="N2294" s="21"/>
      <c r="O2294" s="21"/>
      <c r="P2294" s="21"/>
      <c r="Q2294" s="21"/>
      <c r="R2294" s="21"/>
      <c r="S2294" s="21"/>
      <c r="T2294" s="21"/>
      <c r="U2294" s="21"/>
      <c r="V2294" s="21"/>
    </row>
    <row r="2295" spans="1:22" ht="11.25" customHeight="1" x14ac:dyDescent="0.35">
      <c r="A2295" s="21" t="s">
        <v>4832</v>
      </c>
      <c r="B2295" s="659" t="s">
        <v>5904</v>
      </c>
      <c r="C2295" s="272" t="s">
        <v>2046</v>
      </c>
      <c r="D2295" s="21" t="s">
        <v>8164</v>
      </c>
      <c r="E2295" s="21">
        <v>1</v>
      </c>
      <c r="F2295" s="22">
        <v>45537</v>
      </c>
      <c r="H2295" s="21"/>
      <c r="I2295" s="21"/>
      <c r="J2295" s="21"/>
      <c r="K2295" s="43" t="s">
        <v>5338</v>
      </c>
      <c r="L2295" s="21"/>
      <c r="M2295" s="21"/>
      <c r="N2295" s="21"/>
      <c r="O2295" s="21"/>
      <c r="P2295" s="21"/>
      <c r="Q2295" s="21"/>
      <c r="R2295" s="21"/>
      <c r="S2295" s="21"/>
      <c r="T2295" s="21"/>
      <c r="U2295" s="21"/>
      <c r="V2295" s="21"/>
    </row>
    <row r="2296" spans="1:22" ht="11.25" customHeight="1" x14ac:dyDescent="0.35">
      <c r="A2296" s="21" t="s">
        <v>4832</v>
      </c>
      <c r="B2296" s="659" t="s">
        <v>5904</v>
      </c>
      <c r="C2296" s="272" t="s">
        <v>5207</v>
      </c>
      <c r="D2296" s="21" t="s">
        <v>8165</v>
      </c>
      <c r="E2296" s="21">
        <v>1</v>
      </c>
      <c r="F2296" s="22">
        <v>45537</v>
      </c>
      <c r="H2296" s="21"/>
      <c r="I2296" s="21"/>
      <c r="J2296" s="21"/>
      <c r="K2296" s="43" t="s">
        <v>5338</v>
      </c>
      <c r="L2296" s="21"/>
      <c r="M2296" s="21"/>
      <c r="N2296" s="21"/>
      <c r="O2296" s="21"/>
      <c r="P2296" s="21"/>
      <c r="Q2296" s="21"/>
      <c r="R2296" s="21"/>
      <c r="S2296" s="21"/>
      <c r="T2296" s="21"/>
      <c r="U2296" s="21"/>
      <c r="V2296" s="21"/>
    </row>
    <row r="2297" spans="1:22" ht="11.25" customHeight="1" x14ac:dyDescent="0.35">
      <c r="A2297" s="21" t="s">
        <v>4832</v>
      </c>
      <c r="B2297" s="659" t="s">
        <v>5904</v>
      </c>
      <c r="C2297" s="272" t="s">
        <v>4375</v>
      </c>
      <c r="D2297" s="33" t="s">
        <v>8166</v>
      </c>
      <c r="E2297" s="33">
        <v>1</v>
      </c>
      <c r="F2297" s="22">
        <v>45537</v>
      </c>
      <c r="G2297" s="33"/>
      <c r="H2297" s="33"/>
      <c r="K2297" s="43" t="s">
        <v>5338</v>
      </c>
      <c r="L2297" s="33"/>
    </row>
    <row r="2298" spans="1:22" ht="11.25" customHeight="1" x14ac:dyDescent="0.35">
      <c r="A2298" s="21" t="s">
        <v>4832</v>
      </c>
      <c r="B2298" s="659" t="s">
        <v>5904</v>
      </c>
      <c r="C2298" s="272" t="s">
        <v>5205</v>
      </c>
      <c r="D2298" s="33" t="s">
        <v>8167</v>
      </c>
      <c r="E2298" s="33">
        <v>1</v>
      </c>
      <c r="F2298" s="22">
        <v>45537</v>
      </c>
      <c r="G2298" s="33"/>
      <c r="H2298" s="33"/>
      <c r="K2298" s="43" t="s">
        <v>5338</v>
      </c>
      <c r="L2298" s="33"/>
    </row>
    <row r="2299" spans="1:22" ht="11.25" customHeight="1" x14ac:dyDescent="0.35">
      <c r="A2299" s="21" t="s">
        <v>4832</v>
      </c>
      <c r="B2299" s="659" t="s">
        <v>5904</v>
      </c>
      <c r="C2299" s="272" t="s">
        <v>4201</v>
      </c>
      <c r="D2299" s="33" t="s">
        <v>8168</v>
      </c>
      <c r="E2299" s="33">
        <v>1</v>
      </c>
      <c r="F2299" s="22">
        <v>45537</v>
      </c>
      <c r="G2299" s="33"/>
      <c r="H2299" s="33"/>
      <c r="K2299" s="43" t="s">
        <v>5338</v>
      </c>
      <c r="L2299" s="33"/>
    </row>
    <row r="2300" spans="1:22" ht="11.25" customHeight="1" x14ac:dyDescent="0.35">
      <c r="A2300" s="21" t="s">
        <v>4832</v>
      </c>
      <c r="B2300" s="659" t="s">
        <v>5904</v>
      </c>
      <c r="C2300" s="272" t="s">
        <v>4650</v>
      </c>
      <c r="D2300" s="33" t="s">
        <v>7478</v>
      </c>
      <c r="E2300" s="33">
        <v>1</v>
      </c>
      <c r="F2300" s="22">
        <v>45537</v>
      </c>
      <c r="G2300" s="33"/>
      <c r="H2300" s="33"/>
      <c r="K2300" s="43" t="s">
        <v>5338</v>
      </c>
      <c r="L2300" s="33"/>
    </row>
    <row r="2301" spans="1:22" ht="11.25" customHeight="1" x14ac:dyDescent="0.35">
      <c r="A2301" s="21" t="s">
        <v>4832</v>
      </c>
      <c r="B2301" s="659" t="s">
        <v>5904</v>
      </c>
      <c r="C2301" s="272" t="s">
        <v>4647</v>
      </c>
      <c r="D2301" s="33" t="s">
        <v>8169</v>
      </c>
      <c r="E2301" s="33">
        <v>1</v>
      </c>
      <c r="F2301" s="22">
        <v>45537</v>
      </c>
      <c r="G2301" s="33"/>
      <c r="H2301" s="33"/>
      <c r="K2301" s="43" t="s">
        <v>5338</v>
      </c>
      <c r="L2301" s="33"/>
    </row>
    <row r="2302" spans="1:22" s="202" customFormat="1" ht="11.25" customHeight="1" x14ac:dyDescent="0.35">
      <c r="A2302" s="202" t="s">
        <v>60</v>
      </c>
      <c r="B2302" s="45" t="s">
        <v>7192</v>
      </c>
      <c r="C2302" s="300" t="s">
        <v>7200</v>
      </c>
      <c r="D2302" s="204" t="s">
        <v>1297</v>
      </c>
      <c r="E2302" s="202">
        <v>2</v>
      </c>
      <c r="F2302" s="253">
        <v>45541</v>
      </c>
      <c r="G2302" s="205"/>
      <c r="H2302" s="206"/>
      <c r="K2302" s="235" t="s">
        <v>5338</v>
      </c>
      <c r="L2302" s="45"/>
    </row>
    <row r="2303" spans="1:22" s="202" customFormat="1" ht="11.25" customHeight="1" x14ac:dyDescent="0.35">
      <c r="A2303" s="202" t="s">
        <v>60</v>
      </c>
      <c r="B2303" s="45" t="s">
        <v>7192</v>
      </c>
      <c r="C2303" s="300" t="s">
        <v>604</v>
      </c>
      <c r="D2303" s="204" t="s">
        <v>6490</v>
      </c>
      <c r="E2303" s="202">
        <v>8</v>
      </c>
      <c r="F2303" s="253">
        <v>45541</v>
      </c>
      <c r="G2303" s="205"/>
      <c r="H2303" s="206"/>
      <c r="J2303" s="202" t="s">
        <v>8170</v>
      </c>
      <c r="K2303" s="235" t="s">
        <v>5338</v>
      </c>
      <c r="L2303" s="45"/>
    </row>
    <row r="2304" spans="1:22" s="202" customFormat="1" ht="11.25" customHeight="1" x14ac:dyDescent="0.35">
      <c r="A2304" s="202" t="s">
        <v>60</v>
      </c>
      <c r="B2304" s="45" t="s">
        <v>7192</v>
      </c>
      <c r="C2304" s="300" t="s">
        <v>1659</v>
      </c>
      <c r="D2304" s="204" t="s">
        <v>8171</v>
      </c>
      <c r="E2304" s="202">
        <v>1</v>
      </c>
      <c r="F2304" s="253">
        <v>45541</v>
      </c>
      <c r="G2304" s="205"/>
      <c r="H2304" s="206"/>
      <c r="K2304" s="235" t="s">
        <v>5338</v>
      </c>
      <c r="L2304" s="45"/>
    </row>
    <row r="2305" spans="1:12" s="202" customFormat="1" ht="11.25" customHeight="1" x14ac:dyDescent="0.35">
      <c r="A2305" s="202" t="s">
        <v>60</v>
      </c>
      <c r="B2305" s="45" t="s">
        <v>7192</v>
      </c>
      <c r="C2305" s="300" t="s">
        <v>642</v>
      </c>
      <c r="D2305" s="204" t="s">
        <v>8172</v>
      </c>
      <c r="E2305" s="202">
        <v>14</v>
      </c>
      <c r="F2305" s="253">
        <v>45541</v>
      </c>
      <c r="G2305" s="205"/>
      <c r="H2305" s="206"/>
      <c r="K2305" s="235" t="s">
        <v>5338</v>
      </c>
      <c r="L2305" s="45"/>
    </row>
    <row r="2306" spans="1:12" s="202" customFormat="1" ht="11.25" customHeight="1" x14ac:dyDescent="0.35">
      <c r="A2306" s="202" t="s">
        <v>60</v>
      </c>
      <c r="B2306" s="45" t="s">
        <v>7192</v>
      </c>
      <c r="C2306" s="300" t="s">
        <v>8173</v>
      </c>
      <c r="D2306" s="204" t="s">
        <v>8174</v>
      </c>
      <c r="E2306" s="202">
        <v>2</v>
      </c>
      <c r="F2306" s="253">
        <v>45541</v>
      </c>
      <c r="G2306" s="205"/>
      <c r="H2306" s="206"/>
      <c r="K2306" s="235" t="s">
        <v>5338</v>
      </c>
      <c r="L2306" s="45"/>
    </row>
    <row r="2307" spans="1:12" s="202" customFormat="1" ht="11.25" customHeight="1" x14ac:dyDescent="0.35">
      <c r="A2307" s="202" t="s">
        <v>60</v>
      </c>
      <c r="B2307" s="45" t="s">
        <v>7192</v>
      </c>
      <c r="C2307" s="300" t="s">
        <v>6419</v>
      </c>
      <c r="D2307" s="204" t="s">
        <v>5558</v>
      </c>
      <c r="E2307" s="202">
        <v>8</v>
      </c>
      <c r="F2307" s="253">
        <v>45541</v>
      </c>
      <c r="G2307" s="205"/>
      <c r="H2307" s="206"/>
      <c r="K2307" s="235" t="s">
        <v>5338</v>
      </c>
      <c r="L2307" s="45"/>
    </row>
    <row r="2308" spans="1:12" s="202" customFormat="1" ht="11.25" customHeight="1" x14ac:dyDescent="0.35">
      <c r="A2308" s="202" t="s">
        <v>60</v>
      </c>
      <c r="B2308" s="45" t="s">
        <v>7192</v>
      </c>
      <c r="C2308" s="300" t="s">
        <v>8175</v>
      </c>
      <c r="D2308" s="204" t="s">
        <v>6783</v>
      </c>
      <c r="E2308" s="202">
        <v>8</v>
      </c>
      <c r="F2308" s="253">
        <v>45541</v>
      </c>
      <c r="G2308" s="205"/>
      <c r="H2308" s="206"/>
      <c r="K2308" s="235" t="s">
        <v>5338</v>
      </c>
      <c r="L2308" s="45"/>
    </row>
    <row r="2309" spans="1:12" s="202" customFormat="1" ht="11.25" customHeight="1" x14ac:dyDescent="0.35">
      <c r="A2309" s="202" t="s">
        <v>60</v>
      </c>
      <c r="B2309" s="45" t="s">
        <v>7192</v>
      </c>
      <c r="C2309" s="300" t="s">
        <v>6694</v>
      </c>
      <c r="D2309" s="204"/>
      <c r="E2309" s="202">
        <v>1</v>
      </c>
      <c r="F2309" s="253">
        <v>45541</v>
      </c>
      <c r="G2309" s="205"/>
      <c r="H2309" s="206"/>
      <c r="K2309" s="235" t="s">
        <v>5338</v>
      </c>
      <c r="L2309" s="45"/>
    </row>
    <row r="2310" spans="1:12" s="202" customFormat="1" ht="11.25" customHeight="1" x14ac:dyDescent="0.25">
      <c r="A2310" s="202" t="s">
        <v>60</v>
      </c>
      <c r="B2310" s="7" t="s">
        <v>1776</v>
      </c>
      <c r="C2310" s="300" t="s">
        <v>5152</v>
      </c>
      <c r="D2310" s="204" t="s">
        <v>8176</v>
      </c>
      <c r="E2310" s="202">
        <v>1</v>
      </c>
      <c r="F2310" s="253">
        <v>45541</v>
      </c>
      <c r="G2310" s="205"/>
      <c r="H2310" s="206"/>
      <c r="K2310" s="235" t="s">
        <v>5338</v>
      </c>
      <c r="L2310" s="45"/>
    </row>
    <row r="2311" spans="1:12" s="202" customFormat="1" ht="11.25" customHeight="1" x14ac:dyDescent="0.25">
      <c r="A2311" s="202" t="s">
        <v>60</v>
      </c>
      <c r="B2311" s="7" t="s">
        <v>1776</v>
      </c>
      <c r="C2311" s="300" t="s">
        <v>1781</v>
      </c>
      <c r="D2311" s="204" t="s">
        <v>8177</v>
      </c>
      <c r="E2311" s="202">
        <v>1</v>
      </c>
      <c r="F2311" s="253">
        <v>45541</v>
      </c>
      <c r="G2311" s="205"/>
      <c r="H2311" s="206"/>
      <c r="K2311" s="235" t="s">
        <v>5338</v>
      </c>
      <c r="L2311" s="45"/>
    </row>
    <row r="2312" spans="1:12" s="202" customFormat="1" ht="11.25" customHeight="1" x14ac:dyDescent="0.25">
      <c r="A2312" s="202" t="s">
        <v>60</v>
      </c>
      <c r="B2312" s="7" t="s">
        <v>1776</v>
      </c>
      <c r="C2312" s="300" t="s">
        <v>8178</v>
      </c>
      <c r="D2312" s="204" t="s">
        <v>8179</v>
      </c>
      <c r="E2312" s="202">
        <v>1</v>
      </c>
      <c r="F2312" s="253">
        <v>45541</v>
      </c>
      <c r="G2312" s="205"/>
      <c r="H2312" s="206"/>
      <c r="K2312" s="235" t="s">
        <v>5338</v>
      </c>
      <c r="L2312" s="45"/>
    </row>
    <row r="2313" spans="1:12" s="202" customFormat="1" ht="11.25" customHeight="1" x14ac:dyDescent="0.25">
      <c r="A2313" s="202" t="s">
        <v>60</v>
      </c>
      <c r="B2313" s="7" t="s">
        <v>1776</v>
      </c>
      <c r="C2313" s="300" t="s">
        <v>8180</v>
      </c>
      <c r="D2313" s="204" t="s">
        <v>8181</v>
      </c>
      <c r="E2313" s="202">
        <v>1</v>
      </c>
      <c r="F2313" s="253">
        <v>45541</v>
      </c>
      <c r="G2313" s="205"/>
      <c r="H2313" s="206"/>
      <c r="K2313" s="235" t="s">
        <v>5338</v>
      </c>
      <c r="L2313" s="45"/>
    </row>
    <row r="2314" spans="1:12" s="202" customFormat="1" ht="11.25" customHeight="1" x14ac:dyDescent="0.25">
      <c r="A2314" s="202" t="s">
        <v>60</v>
      </c>
      <c r="B2314" s="7" t="s">
        <v>1776</v>
      </c>
      <c r="C2314" s="300" t="s">
        <v>1800</v>
      </c>
      <c r="D2314" s="204" t="s">
        <v>8182</v>
      </c>
      <c r="E2314" s="202">
        <v>1</v>
      </c>
      <c r="F2314" s="253">
        <v>45541</v>
      </c>
      <c r="G2314" s="205"/>
      <c r="H2314" s="206"/>
      <c r="K2314" s="235" t="s">
        <v>5338</v>
      </c>
      <c r="L2314" s="45"/>
    </row>
    <row r="2315" spans="1:12" s="202" customFormat="1" ht="11.25" customHeight="1" x14ac:dyDescent="0.25">
      <c r="A2315" s="202" t="s">
        <v>60</v>
      </c>
      <c r="B2315" s="7" t="s">
        <v>1776</v>
      </c>
      <c r="C2315" s="300" t="s">
        <v>1806</v>
      </c>
      <c r="D2315" s="204" t="s">
        <v>8183</v>
      </c>
      <c r="E2315" s="202">
        <v>2</v>
      </c>
      <c r="F2315" s="253">
        <v>45541</v>
      </c>
      <c r="G2315" s="205"/>
      <c r="H2315" s="206"/>
      <c r="K2315" s="235" t="s">
        <v>5338</v>
      </c>
      <c r="L2315" s="45"/>
    </row>
    <row r="2316" spans="1:12" s="202" customFormat="1" ht="11.25" customHeight="1" x14ac:dyDescent="0.25">
      <c r="A2316" s="202" t="s">
        <v>60</v>
      </c>
      <c r="B2316" s="7" t="s">
        <v>1776</v>
      </c>
      <c r="C2316" s="300" t="s">
        <v>1811</v>
      </c>
      <c r="D2316" s="204" t="s">
        <v>8184</v>
      </c>
      <c r="E2316" s="202">
        <v>1</v>
      </c>
      <c r="F2316" s="253">
        <v>45541</v>
      </c>
      <c r="G2316" s="205"/>
      <c r="H2316" s="206"/>
      <c r="K2316" s="235" t="s">
        <v>5338</v>
      </c>
      <c r="L2316" s="45"/>
    </row>
    <row r="2317" spans="1:12" s="202" customFormat="1" ht="11.25" customHeight="1" x14ac:dyDescent="0.25">
      <c r="A2317" s="202" t="s">
        <v>60</v>
      </c>
      <c r="B2317" s="7" t="s">
        <v>1776</v>
      </c>
      <c r="C2317" s="300" t="s">
        <v>1828</v>
      </c>
      <c r="D2317" s="204" t="s">
        <v>8185</v>
      </c>
      <c r="E2317" s="202">
        <v>1</v>
      </c>
      <c r="F2317" s="253">
        <v>45541</v>
      </c>
      <c r="G2317" s="205"/>
      <c r="H2317" s="206"/>
      <c r="K2317" s="235" t="s">
        <v>5338</v>
      </c>
      <c r="L2317" s="45"/>
    </row>
    <row r="2318" spans="1:12" s="202" customFormat="1" ht="11.25" customHeight="1" x14ac:dyDescent="0.25">
      <c r="A2318" s="202" t="s">
        <v>60</v>
      </c>
      <c r="B2318" s="7" t="s">
        <v>1776</v>
      </c>
      <c r="C2318" s="300" t="s">
        <v>1831</v>
      </c>
      <c r="D2318" s="204" t="s">
        <v>8186</v>
      </c>
      <c r="E2318" s="202">
        <v>2</v>
      </c>
      <c r="F2318" s="253">
        <v>45541</v>
      </c>
      <c r="G2318" s="205"/>
      <c r="H2318" s="206"/>
      <c r="K2318" s="235" t="s">
        <v>5338</v>
      </c>
      <c r="L2318" s="45"/>
    </row>
    <row r="2319" spans="1:12" s="202" customFormat="1" ht="11.25" customHeight="1" x14ac:dyDescent="0.25">
      <c r="A2319" s="202" t="s">
        <v>35</v>
      </c>
      <c r="B2319" s="7" t="s">
        <v>36</v>
      </c>
      <c r="C2319" s="300" t="s">
        <v>4118</v>
      </c>
      <c r="D2319" s="204" t="s">
        <v>8187</v>
      </c>
      <c r="E2319" s="202">
        <v>1</v>
      </c>
      <c r="F2319" s="253">
        <v>45544</v>
      </c>
      <c r="G2319" s="205"/>
      <c r="H2319" s="206"/>
      <c r="K2319" s="235" t="s">
        <v>5338</v>
      </c>
      <c r="L2319" s="45"/>
    </row>
    <row r="2320" spans="1:12" s="202" customFormat="1" ht="11.25" customHeight="1" x14ac:dyDescent="0.25">
      <c r="A2320" s="202" t="s">
        <v>35</v>
      </c>
      <c r="B2320" s="7" t="s">
        <v>36</v>
      </c>
      <c r="C2320" s="300" t="s">
        <v>2027</v>
      </c>
      <c r="D2320" s="204" t="s">
        <v>7161</v>
      </c>
      <c r="E2320" s="202">
        <v>1</v>
      </c>
      <c r="F2320" s="253">
        <v>45544</v>
      </c>
      <c r="G2320" s="205"/>
      <c r="H2320" s="206"/>
      <c r="K2320" s="235" t="s">
        <v>5338</v>
      </c>
      <c r="L2320" s="45"/>
    </row>
    <row r="2321" spans="1:12" s="202" customFormat="1" ht="11.25" customHeight="1" x14ac:dyDescent="0.25">
      <c r="A2321" s="202" t="s">
        <v>35</v>
      </c>
      <c r="B2321" s="7" t="s">
        <v>36</v>
      </c>
      <c r="C2321" s="300" t="s">
        <v>2021</v>
      </c>
      <c r="D2321" s="204" t="s">
        <v>8188</v>
      </c>
      <c r="E2321" s="202">
        <v>1</v>
      </c>
      <c r="F2321" s="253">
        <v>45544</v>
      </c>
      <c r="G2321" s="205"/>
      <c r="H2321" s="206"/>
      <c r="K2321" s="235" t="s">
        <v>5338</v>
      </c>
      <c r="L2321" s="45"/>
    </row>
    <row r="2322" spans="1:12" s="202" customFormat="1" ht="11.25" customHeight="1" x14ac:dyDescent="0.25">
      <c r="A2322" s="202" t="s">
        <v>35</v>
      </c>
      <c r="B2322" s="7" t="s">
        <v>36</v>
      </c>
      <c r="C2322" s="300" t="s">
        <v>4114</v>
      </c>
      <c r="D2322" s="204" t="s">
        <v>4115</v>
      </c>
      <c r="E2322" s="202">
        <v>1</v>
      </c>
      <c r="F2322" s="253">
        <v>45544</v>
      </c>
      <c r="G2322" s="205"/>
      <c r="H2322" s="206"/>
      <c r="K2322" s="235" t="s">
        <v>5338</v>
      </c>
      <c r="L2322" s="45"/>
    </row>
    <row r="2323" spans="1:12" s="202" customFormat="1" ht="11.25" customHeight="1" x14ac:dyDescent="0.25">
      <c r="A2323" s="202" t="s">
        <v>35</v>
      </c>
      <c r="B2323" s="7" t="s">
        <v>36</v>
      </c>
      <c r="C2323" s="300" t="s">
        <v>4122</v>
      </c>
      <c r="D2323" s="204" t="s">
        <v>8189</v>
      </c>
      <c r="E2323" s="202">
        <v>1</v>
      </c>
      <c r="F2323" s="253">
        <v>45544</v>
      </c>
      <c r="G2323" s="205"/>
      <c r="H2323" s="206"/>
      <c r="K2323" s="235" t="s">
        <v>5338</v>
      </c>
      <c r="L2323" s="45"/>
    </row>
    <row r="2324" spans="1:12" s="202" customFormat="1" ht="11.25" customHeight="1" x14ac:dyDescent="0.25">
      <c r="A2324" s="202" t="s">
        <v>35</v>
      </c>
      <c r="B2324" s="7" t="s">
        <v>36</v>
      </c>
      <c r="C2324" s="300" t="s">
        <v>4201</v>
      </c>
      <c r="D2324" s="204" t="s">
        <v>8168</v>
      </c>
      <c r="E2324" s="202">
        <v>1</v>
      </c>
      <c r="F2324" s="253">
        <v>45544</v>
      </c>
      <c r="G2324" s="205"/>
      <c r="H2324" s="206"/>
      <c r="K2324" s="235" t="s">
        <v>5338</v>
      </c>
      <c r="L2324" s="45"/>
    </row>
    <row r="2325" spans="1:12" s="202" customFormat="1" ht="11.25" customHeight="1" x14ac:dyDescent="0.25">
      <c r="A2325" s="202" t="s">
        <v>26</v>
      </c>
      <c r="B2325" s="7" t="s">
        <v>65</v>
      </c>
      <c r="C2325" s="300">
        <v>814861</v>
      </c>
      <c r="D2325" s="204" t="s">
        <v>7709</v>
      </c>
      <c r="E2325" s="202">
        <v>20</v>
      </c>
      <c r="F2325" s="253">
        <v>45544</v>
      </c>
      <c r="G2325" s="205"/>
      <c r="H2325" s="206"/>
      <c r="K2325" s="235" t="s">
        <v>5338</v>
      </c>
      <c r="L2325" s="45"/>
    </row>
    <row r="2326" spans="1:12" s="202" customFormat="1" ht="11.25" customHeight="1" x14ac:dyDescent="0.25">
      <c r="A2326" s="202" t="s">
        <v>26</v>
      </c>
      <c r="B2326" s="7" t="s">
        <v>65</v>
      </c>
      <c r="C2326" s="300">
        <v>2326004</v>
      </c>
      <c r="D2326" s="204" t="s">
        <v>8190</v>
      </c>
      <c r="E2326" s="202">
        <v>2</v>
      </c>
      <c r="F2326" s="253">
        <v>45544</v>
      </c>
      <c r="G2326" s="205"/>
      <c r="H2326" s="206"/>
      <c r="K2326" s="235" t="s">
        <v>5338</v>
      </c>
      <c r="L2326" s="45"/>
    </row>
    <row r="2327" spans="1:12" s="202" customFormat="1" ht="11.25" customHeight="1" x14ac:dyDescent="0.25">
      <c r="A2327" s="202" t="s">
        <v>26</v>
      </c>
      <c r="B2327" s="7" t="s">
        <v>65</v>
      </c>
      <c r="C2327" s="300">
        <v>1390243</v>
      </c>
      <c r="D2327" s="204" t="s">
        <v>2403</v>
      </c>
      <c r="E2327" s="202">
        <v>4</v>
      </c>
      <c r="F2327" s="253">
        <v>45544</v>
      </c>
      <c r="G2327" s="205"/>
      <c r="H2327" s="206"/>
      <c r="K2327" s="235" t="s">
        <v>5338</v>
      </c>
      <c r="L2327" s="45"/>
    </row>
    <row r="2328" spans="1:12" s="202" customFormat="1" ht="11.25" customHeight="1" x14ac:dyDescent="0.25">
      <c r="A2328" s="202" t="s">
        <v>26</v>
      </c>
      <c r="B2328" s="7" t="s">
        <v>65</v>
      </c>
      <c r="C2328" s="300">
        <v>2096136</v>
      </c>
      <c r="D2328" s="204" t="s">
        <v>7955</v>
      </c>
      <c r="E2328" s="202">
        <v>1</v>
      </c>
      <c r="F2328" s="253">
        <v>45544</v>
      </c>
      <c r="G2328" s="205"/>
      <c r="H2328" s="206"/>
      <c r="K2328" s="235" t="s">
        <v>5338</v>
      </c>
      <c r="L2328" s="45"/>
    </row>
    <row r="2329" spans="1:12" s="202" customFormat="1" ht="11.25" customHeight="1" x14ac:dyDescent="0.25">
      <c r="A2329" s="202" t="s">
        <v>26</v>
      </c>
      <c r="B2329" s="7" t="s">
        <v>65</v>
      </c>
      <c r="C2329" s="300">
        <v>2096132</v>
      </c>
      <c r="D2329" s="204" t="s">
        <v>7955</v>
      </c>
      <c r="E2329" s="202">
        <v>1</v>
      </c>
      <c r="F2329" s="253">
        <v>45544</v>
      </c>
      <c r="G2329" s="205"/>
      <c r="H2329" s="206"/>
      <c r="K2329" s="235" t="s">
        <v>5338</v>
      </c>
      <c r="L2329" s="45"/>
    </row>
    <row r="2330" spans="1:12" s="202" customFormat="1" ht="11.25" customHeight="1" x14ac:dyDescent="0.25">
      <c r="A2330" s="202" t="s">
        <v>26</v>
      </c>
      <c r="B2330" s="7" t="s">
        <v>65</v>
      </c>
      <c r="C2330" s="300">
        <v>2096131</v>
      </c>
      <c r="D2330" s="204" t="s">
        <v>7955</v>
      </c>
      <c r="E2330" s="202">
        <v>1</v>
      </c>
      <c r="F2330" s="253">
        <v>45544</v>
      </c>
      <c r="G2330" s="205"/>
      <c r="H2330" s="206"/>
      <c r="K2330" s="235" t="s">
        <v>5338</v>
      </c>
      <c r="L2330" s="45"/>
    </row>
    <row r="2331" spans="1:12" s="202" customFormat="1" ht="11.25" customHeight="1" x14ac:dyDescent="0.25">
      <c r="A2331" s="202" t="s">
        <v>26</v>
      </c>
      <c r="B2331" s="7" t="s">
        <v>65</v>
      </c>
      <c r="C2331" s="300">
        <v>1526002</v>
      </c>
      <c r="D2331" s="204" t="s">
        <v>5859</v>
      </c>
      <c r="F2331" s="253">
        <v>45544</v>
      </c>
      <c r="G2331" s="205"/>
      <c r="H2331" s="206"/>
      <c r="K2331" s="235" t="s">
        <v>5338</v>
      </c>
      <c r="L2331" s="45"/>
    </row>
    <row r="2332" spans="1:12" s="202" customFormat="1" ht="11.25" customHeight="1" x14ac:dyDescent="0.25">
      <c r="A2332" s="202" t="s">
        <v>26</v>
      </c>
      <c r="B2332" s="7" t="s">
        <v>65</v>
      </c>
      <c r="C2332" s="300">
        <v>1435260</v>
      </c>
      <c r="D2332" s="204" t="s">
        <v>8191</v>
      </c>
      <c r="E2332" s="202">
        <v>3</v>
      </c>
      <c r="F2332" s="253">
        <v>45544</v>
      </c>
      <c r="G2332" s="205"/>
      <c r="H2332" s="206"/>
      <c r="K2332" s="235" t="s">
        <v>5338</v>
      </c>
      <c r="L2332" s="45"/>
    </row>
    <row r="2333" spans="1:12" s="202" customFormat="1" ht="11.25" customHeight="1" x14ac:dyDescent="0.25">
      <c r="A2333" s="202" t="s">
        <v>26</v>
      </c>
      <c r="B2333" s="7" t="s">
        <v>65</v>
      </c>
      <c r="C2333" s="300">
        <v>2109875</v>
      </c>
      <c r="D2333" s="204" t="s">
        <v>8192</v>
      </c>
      <c r="E2333" s="202">
        <v>10</v>
      </c>
      <c r="F2333" s="253">
        <v>45544</v>
      </c>
      <c r="G2333" s="205"/>
      <c r="H2333" s="206"/>
      <c r="K2333" s="235" t="s">
        <v>5338</v>
      </c>
      <c r="L2333" s="45"/>
    </row>
    <row r="2334" spans="1:12" s="202" customFormat="1" ht="11.25" customHeight="1" x14ac:dyDescent="0.25">
      <c r="A2334" s="202" t="s">
        <v>26</v>
      </c>
      <c r="B2334" s="7" t="s">
        <v>65</v>
      </c>
      <c r="C2334" s="300">
        <v>2096134</v>
      </c>
      <c r="D2334" s="204" t="s">
        <v>7955</v>
      </c>
      <c r="E2334" s="202">
        <v>1</v>
      </c>
      <c r="F2334" s="253">
        <v>45544</v>
      </c>
      <c r="G2334" s="205"/>
      <c r="H2334" s="206"/>
      <c r="K2334" s="235" t="s">
        <v>5338</v>
      </c>
      <c r="L2334" s="45"/>
    </row>
    <row r="2335" spans="1:12" ht="11.25" customHeight="1" x14ac:dyDescent="0.35">
      <c r="A2335" s="33" t="s">
        <v>60</v>
      </c>
      <c r="B2335" s="659" t="s">
        <v>5336</v>
      </c>
      <c r="C2335" s="272">
        <v>5438617</v>
      </c>
      <c r="D2335" s="81" t="s">
        <v>8193</v>
      </c>
      <c r="E2335" s="33">
        <v>4</v>
      </c>
      <c r="F2335" s="22">
        <v>45547</v>
      </c>
      <c r="K2335" s="43" t="s">
        <v>5338</v>
      </c>
    </row>
    <row r="2336" spans="1:12" ht="11.25" customHeight="1" x14ac:dyDescent="0.35">
      <c r="A2336" s="33" t="s">
        <v>60</v>
      </c>
      <c r="B2336" s="659" t="s">
        <v>5336</v>
      </c>
      <c r="C2336" s="272" t="s">
        <v>604</v>
      </c>
      <c r="D2336" s="81" t="s">
        <v>7947</v>
      </c>
      <c r="E2336" s="33">
        <v>8</v>
      </c>
      <c r="F2336" s="48">
        <v>45547</v>
      </c>
      <c r="K2336" s="43" t="s">
        <v>5338</v>
      </c>
    </row>
    <row r="2337" spans="1:11" ht="11.25" customHeight="1" x14ac:dyDescent="0.35">
      <c r="A2337" s="33" t="s">
        <v>60</v>
      </c>
      <c r="B2337" s="659" t="s">
        <v>5336</v>
      </c>
      <c r="C2337" s="272" t="s">
        <v>6190</v>
      </c>
      <c r="D2337" s="81" t="s">
        <v>8194</v>
      </c>
      <c r="E2337" s="33">
        <v>4</v>
      </c>
      <c r="F2337" s="22">
        <v>45547</v>
      </c>
      <c r="K2337" s="43" t="s">
        <v>5338</v>
      </c>
    </row>
    <row r="2338" spans="1:11" ht="11.25" customHeight="1" x14ac:dyDescent="0.35">
      <c r="A2338" s="33" t="s">
        <v>60</v>
      </c>
      <c r="B2338" s="659" t="s">
        <v>5336</v>
      </c>
      <c r="C2338" s="272" t="s">
        <v>1659</v>
      </c>
      <c r="D2338" s="81" t="s">
        <v>7946</v>
      </c>
      <c r="E2338" s="33">
        <v>1</v>
      </c>
      <c r="F2338" s="22">
        <v>45547</v>
      </c>
      <c r="K2338" s="43" t="s">
        <v>5338</v>
      </c>
    </row>
    <row r="2339" spans="1:11" ht="11.25" customHeight="1" x14ac:dyDescent="0.35">
      <c r="A2339" s="33" t="s">
        <v>60</v>
      </c>
      <c r="B2339" s="659" t="s">
        <v>5336</v>
      </c>
      <c r="C2339" s="272" t="s">
        <v>2685</v>
      </c>
      <c r="D2339" s="81" t="s">
        <v>8195</v>
      </c>
      <c r="E2339" s="33">
        <v>16</v>
      </c>
      <c r="F2339" s="22">
        <v>45547</v>
      </c>
      <c r="K2339" s="43" t="s">
        <v>5338</v>
      </c>
    </row>
    <row r="2340" spans="1:11" ht="11.25" customHeight="1" x14ac:dyDescent="0.35">
      <c r="A2340" s="33" t="s">
        <v>60</v>
      </c>
      <c r="B2340" s="659" t="s">
        <v>5336</v>
      </c>
      <c r="C2340" s="272" t="s">
        <v>8196</v>
      </c>
      <c r="D2340" s="81" t="s">
        <v>8197</v>
      </c>
      <c r="E2340" s="33">
        <v>10</v>
      </c>
      <c r="F2340" s="22">
        <v>45547</v>
      </c>
      <c r="K2340" s="43" t="s">
        <v>5338</v>
      </c>
    </row>
    <row r="2341" spans="1:11" ht="11.25" customHeight="1" x14ac:dyDescent="0.35">
      <c r="A2341" s="33" t="s">
        <v>60</v>
      </c>
      <c r="B2341" s="659" t="s">
        <v>5336</v>
      </c>
      <c r="C2341" s="272" t="s">
        <v>6517</v>
      </c>
      <c r="D2341" s="81" t="s">
        <v>8198</v>
      </c>
      <c r="E2341" s="33">
        <v>3</v>
      </c>
      <c r="F2341" s="22">
        <v>45547</v>
      </c>
      <c r="K2341" s="43" t="s">
        <v>5338</v>
      </c>
    </row>
    <row r="2342" spans="1:11" ht="11.25" customHeight="1" x14ac:dyDescent="0.35">
      <c r="A2342" s="33" t="s">
        <v>60</v>
      </c>
      <c r="B2342" s="659" t="s">
        <v>5336</v>
      </c>
      <c r="C2342" s="272" t="s">
        <v>732</v>
      </c>
      <c r="D2342" s="81" t="s">
        <v>8199</v>
      </c>
      <c r="E2342" s="33">
        <v>4</v>
      </c>
      <c r="F2342" s="22">
        <v>45547</v>
      </c>
      <c r="K2342" s="43" t="s">
        <v>5338</v>
      </c>
    </row>
    <row r="2343" spans="1:11" ht="11.25" customHeight="1" x14ac:dyDescent="0.35">
      <c r="A2343" s="33" t="s">
        <v>60</v>
      </c>
      <c r="B2343" s="659" t="s">
        <v>5336</v>
      </c>
      <c r="C2343" s="272" t="s">
        <v>6177</v>
      </c>
      <c r="D2343" s="81" t="s">
        <v>8200</v>
      </c>
      <c r="E2343" s="33">
        <v>1</v>
      </c>
      <c r="F2343" s="22">
        <v>45547</v>
      </c>
      <c r="K2343" s="43" t="s">
        <v>5338</v>
      </c>
    </row>
    <row r="2344" spans="1:11" ht="11.25" customHeight="1" x14ac:dyDescent="0.35">
      <c r="A2344" s="33" t="s">
        <v>60</v>
      </c>
      <c r="B2344" s="659" t="s">
        <v>5336</v>
      </c>
      <c r="C2344" s="272" t="s">
        <v>6455</v>
      </c>
      <c r="D2344" s="81" t="s">
        <v>8201</v>
      </c>
      <c r="E2344" s="33">
        <v>14</v>
      </c>
      <c r="F2344" s="22">
        <v>45547</v>
      </c>
      <c r="K2344" s="43" t="s">
        <v>5338</v>
      </c>
    </row>
    <row r="2345" spans="1:11" ht="11.25" customHeight="1" x14ac:dyDescent="0.35">
      <c r="A2345" s="33" t="s">
        <v>60</v>
      </c>
      <c r="B2345" s="659" t="s">
        <v>5336</v>
      </c>
      <c r="C2345" s="272" t="s">
        <v>8202</v>
      </c>
      <c r="D2345" s="81" t="s">
        <v>5871</v>
      </c>
      <c r="E2345" s="33">
        <v>1</v>
      </c>
      <c r="F2345" s="22">
        <v>45547</v>
      </c>
      <c r="K2345" s="43" t="s">
        <v>5338</v>
      </c>
    </row>
    <row r="2346" spans="1:11" ht="11.25" customHeight="1" x14ac:dyDescent="0.35">
      <c r="A2346" s="33" t="s">
        <v>60</v>
      </c>
      <c r="B2346" s="659" t="s">
        <v>5336</v>
      </c>
      <c r="C2346" s="272" t="s">
        <v>8203</v>
      </c>
      <c r="D2346" s="81" t="s">
        <v>8204</v>
      </c>
      <c r="E2346" s="33">
        <v>2</v>
      </c>
      <c r="F2346" s="22">
        <v>45547</v>
      </c>
      <c r="K2346" s="43" t="s">
        <v>5338</v>
      </c>
    </row>
    <row r="2347" spans="1:11" ht="11.25" customHeight="1" x14ac:dyDescent="0.35">
      <c r="A2347" s="33" t="s">
        <v>60</v>
      </c>
      <c r="B2347" s="659" t="s">
        <v>5336</v>
      </c>
      <c r="C2347" s="272" t="s">
        <v>8058</v>
      </c>
      <c r="D2347" s="81" t="s">
        <v>1751</v>
      </c>
      <c r="E2347" s="33">
        <v>6</v>
      </c>
      <c r="F2347" s="22">
        <v>45547</v>
      </c>
      <c r="K2347" s="43" t="s">
        <v>5338</v>
      </c>
    </row>
    <row r="2348" spans="1:11" ht="11.25" customHeight="1" x14ac:dyDescent="0.35">
      <c r="A2348" s="33" t="s">
        <v>60</v>
      </c>
      <c r="B2348" s="659" t="s">
        <v>5336</v>
      </c>
      <c r="C2348" s="272" t="s">
        <v>6478</v>
      </c>
      <c r="D2348" s="81" t="s">
        <v>8082</v>
      </c>
      <c r="E2348" s="33">
        <v>1</v>
      </c>
      <c r="F2348" s="22">
        <v>45547</v>
      </c>
      <c r="K2348" s="43" t="s">
        <v>5338</v>
      </c>
    </row>
    <row r="2349" spans="1:11" ht="11.25" customHeight="1" x14ac:dyDescent="0.35">
      <c r="A2349" s="33" t="s">
        <v>60</v>
      </c>
      <c r="B2349" s="659" t="s">
        <v>5336</v>
      </c>
      <c r="C2349" s="272" t="s">
        <v>8205</v>
      </c>
      <c r="D2349" s="81" t="s">
        <v>8206</v>
      </c>
      <c r="E2349" s="33">
        <v>1</v>
      </c>
      <c r="F2349" s="22">
        <v>45547</v>
      </c>
      <c r="K2349" s="43" t="s">
        <v>5338</v>
      </c>
    </row>
    <row r="2350" spans="1:11" ht="11.25" customHeight="1" x14ac:dyDescent="0.25">
      <c r="A2350" s="33" t="s">
        <v>219</v>
      </c>
      <c r="B2350" s="7"/>
      <c r="C2350" s="272">
        <v>11324096029</v>
      </c>
      <c r="D2350" s="31" t="s">
        <v>8207</v>
      </c>
      <c r="E2350" s="33">
        <v>60</v>
      </c>
      <c r="F2350" s="22">
        <v>45552</v>
      </c>
      <c r="K2350" s="43" t="s">
        <v>5338</v>
      </c>
    </row>
    <row r="2351" spans="1:11" ht="11.25" customHeight="1" x14ac:dyDescent="0.25">
      <c r="A2351" s="33" t="s">
        <v>219</v>
      </c>
      <c r="B2351" s="7"/>
      <c r="C2351" s="272">
        <v>267899506343</v>
      </c>
      <c r="D2351" s="31" t="s">
        <v>8208</v>
      </c>
      <c r="E2351" s="33">
        <v>600</v>
      </c>
      <c r="F2351" s="22">
        <v>45552</v>
      </c>
      <c r="K2351" s="43" t="s">
        <v>5338</v>
      </c>
    </row>
    <row r="2352" spans="1:11" ht="11.25" customHeight="1" x14ac:dyDescent="0.25">
      <c r="A2352" s="33" t="s">
        <v>219</v>
      </c>
      <c r="B2352" s="7"/>
      <c r="C2352" s="272">
        <v>11341612308</v>
      </c>
      <c r="D2352" s="31" t="s">
        <v>8209</v>
      </c>
      <c r="E2352" s="33">
        <v>70</v>
      </c>
      <c r="F2352" s="22">
        <v>45552</v>
      </c>
      <c r="K2352" s="43" t="s">
        <v>5338</v>
      </c>
    </row>
    <row r="2353" spans="1:12" ht="11.25" customHeight="1" x14ac:dyDescent="0.25">
      <c r="A2353" s="33" t="s">
        <v>219</v>
      </c>
      <c r="B2353" s="7" t="s">
        <v>1273</v>
      </c>
      <c r="C2353" s="272">
        <v>264154420144</v>
      </c>
      <c r="D2353" s="31" t="s">
        <v>8210</v>
      </c>
      <c r="E2353" s="33">
        <v>5</v>
      </c>
      <c r="F2353" s="22">
        <v>45552</v>
      </c>
      <c r="K2353" s="43" t="s">
        <v>5338</v>
      </c>
    </row>
    <row r="2354" spans="1:12" ht="11.25" customHeight="1" x14ac:dyDescent="0.25">
      <c r="A2354" s="33" t="s">
        <v>219</v>
      </c>
      <c r="B2354" s="7" t="s">
        <v>3700</v>
      </c>
      <c r="C2354" s="272">
        <v>11385896028</v>
      </c>
      <c r="D2354" s="31" t="s">
        <v>8211</v>
      </c>
      <c r="E2354" s="33">
        <v>378</v>
      </c>
      <c r="F2354" s="22">
        <v>45552</v>
      </c>
      <c r="K2354" s="43" t="s">
        <v>5338</v>
      </c>
    </row>
    <row r="2355" spans="1:12" ht="11.25" customHeight="1" x14ac:dyDescent="0.25">
      <c r="A2355" s="33" t="s">
        <v>219</v>
      </c>
      <c r="B2355" s="7" t="s">
        <v>3700</v>
      </c>
      <c r="C2355" s="272">
        <v>289854600189</v>
      </c>
      <c r="D2355" s="31" t="s">
        <v>8212</v>
      </c>
      <c r="E2355" s="33">
        <v>36</v>
      </c>
      <c r="F2355" s="22">
        <v>45552</v>
      </c>
      <c r="K2355" s="43" t="s">
        <v>5338</v>
      </c>
    </row>
    <row r="2356" spans="1:12" ht="11.25" customHeight="1" x14ac:dyDescent="0.25">
      <c r="A2356" s="33" t="s">
        <v>219</v>
      </c>
      <c r="B2356" s="7" t="s">
        <v>1273</v>
      </c>
      <c r="C2356" s="272">
        <v>264154430179</v>
      </c>
      <c r="D2356" s="31" t="s">
        <v>6437</v>
      </c>
      <c r="E2356" s="33">
        <v>2</v>
      </c>
      <c r="F2356" s="22">
        <v>45552</v>
      </c>
      <c r="K2356" s="43" t="s">
        <v>5338</v>
      </c>
    </row>
    <row r="2357" spans="1:12" ht="11.25" customHeight="1" x14ac:dyDescent="0.25">
      <c r="A2357" s="33" t="s">
        <v>219</v>
      </c>
      <c r="B2357" s="7" t="s">
        <v>1273</v>
      </c>
      <c r="C2357" s="272">
        <v>16220510178</v>
      </c>
      <c r="D2357" s="31" t="s">
        <v>8213</v>
      </c>
      <c r="E2357" s="33">
        <v>18</v>
      </c>
      <c r="F2357" s="22">
        <v>45552</v>
      </c>
      <c r="K2357" s="43" t="s">
        <v>5338</v>
      </c>
    </row>
    <row r="2358" spans="1:12" ht="11.25" customHeight="1" x14ac:dyDescent="0.25">
      <c r="A2358" s="33" t="s">
        <v>219</v>
      </c>
      <c r="B2358" s="7" t="s">
        <v>1273</v>
      </c>
      <c r="C2358" s="272">
        <v>264132300111</v>
      </c>
      <c r="D2358" s="31" t="s">
        <v>5964</v>
      </c>
      <c r="E2358" s="33">
        <v>5</v>
      </c>
      <c r="F2358" s="22">
        <v>45552</v>
      </c>
      <c r="K2358" s="43" t="s">
        <v>5338</v>
      </c>
    </row>
    <row r="2359" spans="1:12" ht="11.25" customHeight="1" x14ac:dyDescent="0.25">
      <c r="A2359" s="33" t="s">
        <v>219</v>
      </c>
      <c r="B2359" s="7" t="s">
        <v>1273</v>
      </c>
      <c r="C2359" s="272">
        <v>5507322504216</v>
      </c>
      <c r="D2359" s="31" t="s">
        <v>8214</v>
      </c>
      <c r="E2359" s="33">
        <v>3</v>
      </c>
      <c r="F2359" s="22">
        <v>45552</v>
      </c>
      <c r="K2359" s="43" t="s">
        <v>5338</v>
      </c>
    </row>
    <row r="2360" spans="1:12" ht="11.25" customHeight="1" x14ac:dyDescent="0.25">
      <c r="A2360" s="33" t="s">
        <v>60</v>
      </c>
      <c r="B2360" s="7" t="s">
        <v>526</v>
      </c>
      <c r="C2360" s="272" t="s">
        <v>8215</v>
      </c>
      <c r="D2360" s="31" t="s">
        <v>8216</v>
      </c>
      <c r="E2360" s="33">
        <v>1</v>
      </c>
      <c r="F2360" s="22">
        <v>45560</v>
      </c>
      <c r="K2360" s="43" t="s">
        <v>5338</v>
      </c>
    </row>
    <row r="2361" spans="1:12" ht="11.25" customHeight="1" x14ac:dyDescent="0.25">
      <c r="A2361" s="33" t="s">
        <v>60</v>
      </c>
      <c r="B2361" s="7" t="s">
        <v>526</v>
      </c>
      <c r="C2361" s="272" t="s">
        <v>3590</v>
      </c>
      <c r="D2361" s="31" t="s">
        <v>8217</v>
      </c>
      <c r="E2361" s="33">
        <v>6</v>
      </c>
      <c r="F2361" s="22">
        <v>45560</v>
      </c>
      <c r="K2361" s="43" t="s">
        <v>5338</v>
      </c>
    </row>
    <row r="2362" spans="1:12" s="43" customFormat="1" ht="11.25" customHeight="1" x14ac:dyDescent="0.25">
      <c r="A2362" s="43" t="s">
        <v>60</v>
      </c>
      <c r="B2362" s="660" t="s">
        <v>526</v>
      </c>
      <c r="C2362" s="275" t="s">
        <v>3581</v>
      </c>
      <c r="D2362" s="89" t="s">
        <v>8218</v>
      </c>
      <c r="E2362" s="43">
        <v>24</v>
      </c>
      <c r="F2362" s="30">
        <v>45560</v>
      </c>
      <c r="G2362" s="29">
        <v>2</v>
      </c>
      <c r="H2362" s="163">
        <v>45573</v>
      </c>
      <c r="I2362" s="43" t="s">
        <v>5433</v>
      </c>
      <c r="K2362" s="43" t="s">
        <v>5511</v>
      </c>
      <c r="L2362" s="44"/>
    </row>
    <row r="2363" spans="1:12" ht="11.25" customHeight="1" x14ac:dyDescent="0.25">
      <c r="A2363" s="33" t="s">
        <v>60</v>
      </c>
      <c r="B2363" s="7" t="s">
        <v>526</v>
      </c>
      <c r="C2363" s="272" t="s">
        <v>8219</v>
      </c>
      <c r="D2363" s="31" t="s">
        <v>8217</v>
      </c>
      <c r="E2363" s="33">
        <v>6</v>
      </c>
      <c r="F2363" s="22">
        <v>45560</v>
      </c>
      <c r="K2363" s="43" t="s">
        <v>5338</v>
      </c>
    </row>
    <row r="2364" spans="1:12" s="38" customFormat="1" ht="11.25" customHeight="1" x14ac:dyDescent="0.25">
      <c r="A2364" s="38" t="s">
        <v>60</v>
      </c>
      <c r="B2364" s="196" t="s">
        <v>526</v>
      </c>
      <c r="C2364" s="106" t="s">
        <v>3584</v>
      </c>
      <c r="D2364" s="82" t="s">
        <v>8220</v>
      </c>
      <c r="E2364" s="38">
        <v>2</v>
      </c>
      <c r="F2364" s="26">
        <v>45560</v>
      </c>
      <c r="G2364" s="25" t="s">
        <v>7150</v>
      </c>
      <c r="H2364" s="160" t="s">
        <v>8221</v>
      </c>
      <c r="I2364" s="38" t="s">
        <v>5842</v>
      </c>
      <c r="K2364" s="38" t="s">
        <v>5365</v>
      </c>
      <c r="L2364" s="39"/>
    </row>
    <row r="2365" spans="1:12" ht="11.25" customHeight="1" x14ac:dyDescent="0.25">
      <c r="A2365" s="33" t="s">
        <v>60</v>
      </c>
      <c r="B2365" s="7" t="s">
        <v>526</v>
      </c>
      <c r="C2365" s="272" t="s">
        <v>3600</v>
      </c>
      <c r="D2365" s="31" t="s">
        <v>8222</v>
      </c>
      <c r="E2365" s="33">
        <v>4</v>
      </c>
      <c r="F2365" s="22">
        <v>45560</v>
      </c>
      <c r="K2365" s="43" t="s">
        <v>5338</v>
      </c>
    </row>
    <row r="2366" spans="1:12" ht="11.25" customHeight="1" x14ac:dyDescent="0.25">
      <c r="A2366" s="33" t="s">
        <v>60</v>
      </c>
      <c r="B2366" s="7" t="s">
        <v>526</v>
      </c>
      <c r="C2366" s="311" t="s">
        <v>3778</v>
      </c>
      <c r="D2366" s="31" t="s">
        <v>8223</v>
      </c>
      <c r="E2366" s="33">
        <v>1</v>
      </c>
      <c r="F2366" s="22">
        <v>45560</v>
      </c>
      <c r="K2366" s="43" t="s">
        <v>5338</v>
      </c>
    </row>
    <row r="2367" spans="1:12" ht="11.25" customHeight="1" x14ac:dyDescent="0.25">
      <c r="A2367" s="33" t="s">
        <v>60</v>
      </c>
      <c r="B2367" s="7" t="s">
        <v>526</v>
      </c>
      <c r="C2367" s="272" t="s">
        <v>572</v>
      </c>
      <c r="D2367" s="31" t="s">
        <v>573</v>
      </c>
      <c r="E2367" s="33">
        <v>1</v>
      </c>
      <c r="F2367" s="22">
        <v>45560</v>
      </c>
      <c r="K2367" s="43" t="s">
        <v>5338</v>
      </c>
    </row>
    <row r="2368" spans="1:12" ht="11.25" customHeight="1" x14ac:dyDescent="0.25">
      <c r="A2368" s="33" t="s">
        <v>60</v>
      </c>
      <c r="B2368" s="7" t="s">
        <v>526</v>
      </c>
      <c r="C2368" s="272" t="s">
        <v>2948</v>
      </c>
      <c r="D2368" s="31" t="s">
        <v>8224</v>
      </c>
      <c r="E2368" s="33">
        <v>1</v>
      </c>
      <c r="F2368" s="22">
        <v>45560</v>
      </c>
      <c r="K2368" s="43" t="s">
        <v>5338</v>
      </c>
    </row>
    <row r="2369" spans="1:12" ht="11.25" customHeight="1" x14ac:dyDescent="0.25">
      <c r="A2369" s="33" t="s">
        <v>60</v>
      </c>
      <c r="B2369" s="7" t="s">
        <v>526</v>
      </c>
      <c r="C2369" s="272" t="s">
        <v>3988</v>
      </c>
      <c r="D2369" s="31" t="s">
        <v>8225</v>
      </c>
      <c r="E2369" s="33">
        <v>1</v>
      </c>
      <c r="F2369" s="22">
        <v>45560</v>
      </c>
      <c r="K2369" s="43" t="s">
        <v>5338</v>
      </c>
    </row>
    <row r="2370" spans="1:12" ht="11.25" customHeight="1" x14ac:dyDescent="0.25">
      <c r="A2370" s="33" t="s">
        <v>60</v>
      </c>
      <c r="B2370" s="7" t="s">
        <v>526</v>
      </c>
      <c r="C2370" s="272" t="s">
        <v>3774</v>
      </c>
      <c r="D2370" s="31" t="s">
        <v>8226</v>
      </c>
      <c r="E2370" s="33">
        <v>5</v>
      </c>
      <c r="F2370" s="22">
        <v>45560</v>
      </c>
      <c r="K2370" s="43" t="s">
        <v>5338</v>
      </c>
    </row>
    <row r="2371" spans="1:12" s="83" customFormat="1" ht="11.25" customHeight="1" x14ac:dyDescent="0.25">
      <c r="A2371" s="83" t="s">
        <v>60</v>
      </c>
      <c r="B2371" s="661" t="s">
        <v>526</v>
      </c>
      <c r="C2371" s="295" t="s">
        <v>1844</v>
      </c>
      <c r="D2371" s="84" t="s">
        <v>7391</v>
      </c>
      <c r="E2371" s="83">
        <v>2</v>
      </c>
      <c r="F2371" s="24">
        <v>45560</v>
      </c>
      <c r="G2371" s="23">
        <v>1</v>
      </c>
      <c r="H2371" s="180">
        <v>45582</v>
      </c>
      <c r="I2371" s="83" t="s">
        <v>8227</v>
      </c>
      <c r="K2371" s="83" t="s">
        <v>5511</v>
      </c>
      <c r="L2371" s="35"/>
    </row>
    <row r="2372" spans="1:12" ht="11.25" customHeight="1" x14ac:dyDescent="0.25">
      <c r="A2372" s="33" t="s">
        <v>60</v>
      </c>
      <c r="B2372" s="7" t="s">
        <v>526</v>
      </c>
      <c r="C2372" s="272" t="s">
        <v>3778</v>
      </c>
      <c r="D2372" s="31" t="s">
        <v>8228</v>
      </c>
      <c r="E2372" s="33">
        <v>1</v>
      </c>
      <c r="F2372" s="22">
        <v>45560</v>
      </c>
      <c r="K2372" s="43" t="s">
        <v>5338</v>
      </c>
    </row>
    <row r="2373" spans="1:12" ht="11.25" customHeight="1" x14ac:dyDescent="0.25">
      <c r="A2373" s="33" t="s">
        <v>60</v>
      </c>
      <c r="B2373" s="7" t="s">
        <v>526</v>
      </c>
      <c r="C2373" s="272" t="s">
        <v>2951</v>
      </c>
      <c r="D2373" s="31" t="s">
        <v>8229</v>
      </c>
      <c r="E2373" s="33">
        <v>1</v>
      </c>
      <c r="F2373" s="22">
        <v>45560</v>
      </c>
      <c r="K2373" s="43" t="s">
        <v>5338</v>
      </c>
    </row>
    <row r="2374" spans="1:12" s="38" customFormat="1" ht="11.25" customHeight="1" x14ac:dyDescent="0.25">
      <c r="A2374" s="38" t="s">
        <v>60</v>
      </c>
      <c r="B2374" s="196" t="s">
        <v>526</v>
      </c>
      <c r="C2374" s="106" t="s">
        <v>8230</v>
      </c>
      <c r="D2374" s="82" t="s">
        <v>8231</v>
      </c>
      <c r="E2374" s="38">
        <v>2</v>
      </c>
      <c r="F2374" s="26">
        <v>45560</v>
      </c>
      <c r="G2374" s="25">
        <v>2</v>
      </c>
      <c r="H2374" s="160">
        <v>45562</v>
      </c>
      <c r="I2374" s="38" t="s">
        <v>5427</v>
      </c>
      <c r="J2374" s="271" t="s">
        <v>8232</v>
      </c>
      <c r="K2374" s="38" t="s">
        <v>5365</v>
      </c>
      <c r="L2374" s="39"/>
    </row>
    <row r="2375" spans="1:12" s="38" customFormat="1" ht="11.25" customHeight="1" x14ac:dyDescent="0.25">
      <c r="A2375" s="38" t="s">
        <v>60</v>
      </c>
      <c r="B2375" s="196" t="s">
        <v>526</v>
      </c>
      <c r="C2375" s="106" t="s">
        <v>8233</v>
      </c>
      <c r="D2375" s="82" t="s">
        <v>8231</v>
      </c>
      <c r="E2375" s="38">
        <v>2</v>
      </c>
      <c r="F2375" s="26">
        <v>45560</v>
      </c>
      <c r="G2375" s="25">
        <v>2</v>
      </c>
      <c r="H2375" s="160">
        <v>45562</v>
      </c>
      <c r="I2375" s="38" t="s">
        <v>5427</v>
      </c>
      <c r="J2375" s="271" t="s">
        <v>8232</v>
      </c>
      <c r="K2375" s="38" t="s">
        <v>5365</v>
      </c>
      <c r="L2375" s="39"/>
    </row>
    <row r="2376" spans="1:12" s="43" customFormat="1" ht="11.25" customHeight="1" x14ac:dyDescent="0.25">
      <c r="A2376" s="43" t="s">
        <v>60</v>
      </c>
      <c r="B2376" s="660" t="s">
        <v>526</v>
      </c>
      <c r="C2376" s="275" t="s">
        <v>8234</v>
      </c>
      <c r="D2376" s="89" t="s">
        <v>957</v>
      </c>
      <c r="E2376" s="43">
        <v>6</v>
      </c>
      <c r="F2376" s="30">
        <v>45560</v>
      </c>
      <c r="G2376" s="29">
        <v>2</v>
      </c>
      <c r="H2376" s="163">
        <v>45565</v>
      </c>
      <c r="I2376" s="43" t="s">
        <v>5842</v>
      </c>
      <c r="K2376" s="43" t="s">
        <v>5511</v>
      </c>
      <c r="L2376" s="44"/>
    </row>
    <row r="2377" spans="1:12" s="83" customFormat="1" ht="11.25" customHeight="1" x14ac:dyDescent="0.25">
      <c r="A2377" s="83" t="s">
        <v>60</v>
      </c>
      <c r="B2377" s="661" t="s">
        <v>526</v>
      </c>
      <c r="C2377" s="295" t="s">
        <v>3551</v>
      </c>
      <c r="D2377" s="84" t="s">
        <v>8235</v>
      </c>
      <c r="E2377" s="83">
        <v>2</v>
      </c>
      <c r="F2377" s="24">
        <v>45560</v>
      </c>
      <c r="G2377" s="23">
        <v>1</v>
      </c>
      <c r="H2377" s="180">
        <v>45582</v>
      </c>
      <c r="I2377" s="83" t="s">
        <v>8227</v>
      </c>
      <c r="K2377" s="83" t="s">
        <v>5511</v>
      </c>
      <c r="L2377" s="35"/>
    </row>
    <row r="2378" spans="1:12" s="38" customFormat="1" ht="11.25" customHeight="1" x14ac:dyDescent="0.25">
      <c r="A2378" s="38" t="s">
        <v>60</v>
      </c>
      <c r="B2378" s="196" t="s">
        <v>526</v>
      </c>
      <c r="C2378" s="106" t="s">
        <v>8236</v>
      </c>
      <c r="D2378" s="82" t="s">
        <v>8237</v>
      </c>
      <c r="E2378" s="38">
        <v>2</v>
      </c>
      <c r="F2378" s="26">
        <v>45560</v>
      </c>
      <c r="G2378" s="25">
        <v>2</v>
      </c>
      <c r="H2378" s="160">
        <v>45562</v>
      </c>
      <c r="I2378" s="38" t="s">
        <v>5427</v>
      </c>
      <c r="J2378" s="271" t="s">
        <v>8232</v>
      </c>
      <c r="K2378" s="38" t="s">
        <v>5365</v>
      </c>
      <c r="L2378" s="39"/>
    </row>
    <row r="2379" spans="1:12" ht="11.25" customHeight="1" x14ac:dyDescent="0.25">
      <c r="A2379" s="33" t="s">
        <v>60</v>
      </c>
      <c r="B2379" s="7" t="s">
        <v>526</v>
      </c>
      <c r="C2379" s="272" t="s">
        <v>8238</v>
      </c>
      <c r="D2379" s="31" t="s">
        <v>8239</v>
      </c>
      <c r="E2379" s="33">
        <v>2</v>
      </c>
      <c r="F2379" s="22">
        <v>45560</v>
      </c>
      <c r="K2379" s="43" t="s">
        <v>5338</v>
      </c>
    </row>
    <row r="2380" spans="1:12" s="38" customFormat="1" ht="11.25" customHeight="1" x14ac:dyDescent="0.25">
      <c r="A2380" s="38" t="s">
        <v>60</v>
      </c>
      <c r="B2380" s="196" t="s">
        <v>526</v>
      </c>
      <c r="C2380" s="106" t="s">
        <v>8240</v>
      </c>
      <c r="D2380" s="82" t="s">
        <v>8241</v>
      </c>
      <c r="E2380" s="38">
        <v>2</v>
      </c>
      <c r="F2380" s="26">
        <v>45560</v>
      </c>
      <c r="G2380" s="25">
        <v>2</v>
      </c>
      <c r="H2380" s="160">
        <v>45562</v>
      </c>
      <c r="I2380" s="38" t="s">
        <v>5427</v>
      </c>
      <c r="J2380" s="271" t="s">
        <v>8232</v>
      </c>
      <c r="K2380" s="38" t="s">
        <v>5365</v>
      </c>
      <c r="L2380" s="39"/>
    </row>
    <row r="2381" spans="1:12" s="43" customFormat="1" ht="11.25" customHeight="1" x14ac:dyDescent="0.25">
      <c r="A2381" s="43" t="s">
        <v>60</v>
      </c>
      <c r="B2381" s="660" t="s">
        <v>526</v>
      </c>
      <c r="C2381" s="275" t="s">
        <v>8242</v>
      </c>
      <c r="D2381" s="89" t="s">
        <v>8243</v>
      </c>
      <c r="E2381" s="43">
        <v>2</v>
      </c>
      <c r="F2381" s="30">
        <v>45560</v>
      </c>
      <c r="G2381" s="29">
        <v>1</v>
      </c>
      <c r="H2381" s="163">
        <v>45561</v>
      </c>
      <c r="I2381" s="43" t="s">
        <v>5842</v>
      </c>
      <c r="K2381" s="43" t="s">
        <v>5511</v>
      </c>
      <c r="L2381" s="44"/>
    </row>
    <row r="2382" spans="1:12" s="38" customFormat="1" ht="11.25" customHeight="1" x14ac:dyDescent="0.25">
      <c r="A2382" s="38" t="s">
        <v>35</v>
      </c>
      <c r="B2382" s="196" t="s">
        <v>1506</v>
      </c>
      <c r="C2382" s="106" t="s">
        <v>4063</v>
      </c>
      <c r="D2382" s="82" t="s">
        <v>8244</v>
      </c>
      <c r="E2382" s="38">
        <v>2</v>
      </c>
      <c r="F2382" s="26"/>
      <c r="G2382" s="25">
        <v>2</v>
      </c>
      <c r="H2382" s="160">
        <v>45565</v>
      </c>
      <c r="I2382" s="38" t="s">
        <v>6227</v>
      </c>
      <c r="K2382" s="38" t="s">
        <v>5365</v>
      </c>
      <c r="L2382" s="39"/>
    </row>
    <row r="2383" spans="1:12" s="38" customFormat="1" ht="11.25" customHeight="1" x14ac:dyDescent="0.25">
      <c r="A2383" s="38" t="s">
        <v>35</v>
      </c>
      <c r="B2383" s="196" t="s">
        <v>1506</v>
      </c>
      <c r="C2383" s="106" t="s">
        <v>4066</v>
      </c>
      <c r="D2383" s="82" t="s">
        <v>8244</v>
      </c>
      <c r="E2383" s="38">
        <v>2</v>
      </c>
      <c r="F2383" s="26"/>
      <c r="G2383" s="25">
        <v>2</v>
      </c>
      <c r="H2383" s="160">
        <v>45565</v>
      </c>
      <c r="I2383" s="38" t="s">
        <v>6227</v>
      </c>
      <c r="K2383" s="38" t="s">
        <v>5365</v>
      </c>
      <c r="L2383" s="39"/>
    </row>
    <row r="2384" spans="1:12" s="38" customFormat="1" ht="11.25" customHeight="1" x14ac:dyDescent="0.25">
      <c r="A2384" s="38" t="s">
        <v>35</v>
      </c>
      <c r="B2384" s="196" t="s">
        <v>1506</v>
      </c>
      <c r="C2384" s="106" t="s">
        <v>2898</v>
      </c>
      <c r="D2384" s="82" t="s">
        <v>8244</v>
      </c>
      <c r="E2384" s="38">
        <v>1</v>
      </c>
      <c r="F2384" s="26"/>
      <c r="G2384" s="25">
        <v>1</v>
      </c>
      <c r="H2384" s="160">
        <v>45565</v>
      </c>
      <c r="I2384" s="38" t="s">
        <v>6227</v>
      </c>
      <c r="K2384" s="38" t="s">
        <v>5365</v>
      </c>
      <c r="L2384" s="39"/>
    </row>
    <row r="2385" spans="1:12" ht="11.25" customHeight="1" x14ac:dyDescent="0.25">
      <c r="A2385" s="33" t="s">
        <v>60</v>
      </c>
      <c r="B2385" s="7" t="s">
        <v>1843</v>
      </c>
      <c r="C2385" s="272" t="s">
        <v>8245</v>
      </c>
      <c r="D2385" s="31" t="s">
        <v>8246</v>
      </c>
      <c r="E2385" s="33">
        <v>1</v>
      </c>
      <c r="F2385" s="22">
        <v>45567</v>
      </c>
      <c r="K2385" s="33" t="s">
        <v>5338</v>
      </c>
    </row>
    <row r="2386" spans="1:12" ht="11.25" customHeight="1" x14ac:dyDescent="0.25">
      <c r="A2386" s="33" t="s">
        <v>60</v>
      </c>
      <c r="B2386" s="7" t="s">
        <v>1843</v>
      </c>
      <c r="C2386" s="272" t="s">
        <v>4559</v>
      </c>
      <c r="D2386" s="270" t="s">
        <v>8247</v>
      </c>
      <c r="E2386" s="33">
        <v>1</v>
      </c>
      <c r="F2386" s="22">
        <v>45567</v>
      </c>
      <c r="K2386" s="33" t="s">
        <v>5338</v>
      </c>
    </row>
    <row r="2387" spans="1:12" ht="11.25" customHeight="1" x14ac:dyDescent="0.25">
      <c r="A2387" s="33" t="s">
        <v>60</v>
      </c>
      <c r="B2387" s="7" t="s">
        <v>1843</v>
      </c>
      <c r="C2387" s="272" t="s">
        <v>5599</v>
      </c>
      <c r="D2387" s="31" t="s">
        <v>1594</v>
      </c>
      <c r="E2387" s="33">
        <v>1</v>
      </c>
      <c r="F2387" s="22">
        <v>45567</v>
      </c>
      <c r="K2387" s="33" t="s">
        <v>5338</v>
      </c>
    </row>
    <row r="2388" spans="1:12" s="38" customFormat="1" ht="11.25" customHeight="1" x14ac:dyDescent="0.25">
      <c r="A2388" s="38" t="s">
        <v>60</v>
      </c>
      <c r="B2388" s="7" t="s">
        <v>1843</v>
      </c>
      <c r="C2388" s="106" t="s">
        <v>8248</v>
      </c>
      <c r="D2388" s="82" t="s">
        <v>8249</v>
      </c>
      <c r="E2388" s="38">
        <v>2</v>
      </c>
      <c r="F2388" s="26">
        <v>45567</v>
      </c>
      <c r="G2388" s="25">
        <v>2</v>
      </c>
      <c r="H2388" s="160">
        <v>45568</v>
      </c>
      <c r="I2388" s="38" t="s">
        <v>5842</v>
      </c>
      <c r="K2388" s="38" t="s">
        <v>5365</v>
      </c>
      <c r="L2388" s="39"/>
    </row>
    <row r="2389" spans="1:12" ht="11.25" customHeight="1" x14ac:dyDescent="0.25">
      <c r="A2389" s="33" t="s">
        <v>60</v>
      </c>
      <c r="B2389" s="7" t="s">
        <v>1843</v>
      </c>
      <c r="C2389" s="272" t="s">
        <v>3575</v>
      </c>
      <c r="D2389" s="31" t="s">
        <v>8250</v>
      </c>
      <c r="E2389" s="33">
        <v>48</v>
      </c>
      <c r="F2389" s="22">
        <v>45567</v>
      </c>
      <c r="K2389" s="33" t="s">
        <v>5338</v>
      </c>
    </row>
    <row r="2390" spans="1:12" ht="11.25" customHeight="1" x14ac:dyDescent="0.25">
      <c r="A2390" s="33" t="s">
        <v>60</v>
      </c>
      <c r="B2390" s="7" t="s">
        <v>1843</v>
      </c>
      <c r="C2390" s="272" t="s">
        <v>3557</v>
      </c>
      <c r="D2390" s="31" t="s">
        <v>8251</v>
      </c>
      <c r="E2390" s="33">
        <v>1</v>
      </c>
      <c r="F2390" s="22">
        <v>45567</v>
      </c>
      <c r="K2390" s="33" t="s">
        <v>5338</v>
      </c>
    </row>
    <row r="2391" spans="1:12" s="38" customFormat="1" ht="11.25" customHeight="1" x14ac:dyDescent="0.25">
      <c r="A2391" s="38" t="s">
        <v>60</v>
      </c>
      <c r="B2391" s="7" t="s">
        <v>1843</v>
      </c>
      <c r="C2391" s="106" t="s">
        <v>8252</v>
      </c>
      <c r="D2391" s="82" t="s">
        <v>6013</v>
      </c>
      <c r="E2391" s="38">
        <v>1</v>
      </c>
      <c r="F2391" s="26">
        <v>45567</v>
      </c>
      <c r="G2391" s="25">
        <v>1</v>
      </c>
      <c r="H2391" s="160">
        <v>45568</v>
      </c>
      <c r="I2391" s="38" t="s">
        <v>5842</v>
      </c>
      <c r="K2391" s="38" t="s">
        <v>5365</v>
      </c>
      <c r="L2391" s="39"/>
    </row>
    <row r="2392" spans="1:12" s="38" customFormat="1" ht="11.25" customHeight="1" x14ac:dyDescent="0.25">
      <c r="A2392" s="38" t="s">
        <v>60</v>
      </c>
      <c r="B2392" s="7" t="s">
        <v>1843</v>
      </c>
      <c r="C2392" s="106" t="s">
        <v>3666</v>
      </c>
      <c r="D2392" s="82" t="s">
        <v>8253</v>
      </c>
      <c r="E2392" s="38">
        <v>1</v>
      </c>
      <c r="F2392" s="26">
        <v>45567</v>
      </c>
      <c r="G2392" s="25">
        <v>1</v>
      </c>
      <c r="H2392" s="160">
        <v>45568</v>
      </c>
      <c r="I2392" s="38" t="s">
        <v>5842</v>
      </c>
      <c r="K2392" s="38" t="s">
        <v>5365</v>
      </c>
      <c r="L2392" s="39"/>
    </row>
    <row r="2393" spans="1:12" s="38" customFormat="1" ht="11.25" customHeight="1" x14ac:dyDescent="0.25">
      <c r="A2393" s="38" t="s">
        <v>60</v>
      </c>
      <c r="B2393" s="7" t="s">
        <v>1843</v>
      </c>
      <c r="C2393" s="106" t="s">
        <v>8254</v>
      </c>
      <c r="D2393" s="82" t="s">
        <v>5631</v>
      </c>
      <c r="E2393" s="38">
        <v>1</v>
      </c>
      <c r="F2393" s="26">
        <v>45567</v>
      </c>
      <c r="G2393" s="25">
        <v>1</v>
      </c>
      <c r="H2393" s="160">
        <v>45568</v>
      </c>
      <c r="I2393" s="38" t="s">
        <v>5842</v>
      </c>
      <c r="K2393" s="38" t="s">
        <v>5365</v>
      </c>
      <c r="L2393" s="39"/>
    </row>
    <row r="2394" spans="1:12" s="150" customFormat="1" ht="11.25" customHeight="1" x14ac:dyDescent="0.25">
      <c r="A2394" s="150" t="s">
        <v>60</v>
      </c>
      <c r="B2394" s="7" t="s">
        <v>1843</v>
      </c>
      <c r="C2394" s="307">
        <v>52385</v>
      </c>
      <c r="D2394" s="151" t="s">
        <v>8255</v>
      </c>
      <c r="E2394" s="150">
        <v>100</v>
      </c>
      <c r="F2394" s="152">
        <v>45567</v>
      </c>
      <c r="G2394" s="153">
        <v>4</v>
      </c>
      <c r="H2394" s="186">
        <v>45568</v>
      </c>
      <c r="I2394" s="150" t="s">
        <v>5842</v>
      </c>
      <c r="K2394" s="150" t="s">
        <v>5511</v>
      </c>
      <c r="L2394" s="154"/>
    </row>
    <row r="2395" spans="1:12" ht="11.25" customHeight="1" x14ac:dyDescent="0.25">
      <c r="A2395" s="33" t="s">
        <v>26</v>
      </c>
      <c r="B2395" s="7" t="s">
        <v>65</v>
      </c>
      <c r="C2395" s="272" t="s">
        <v>8256</v>
      </c>
      <c r="D2395" s="31" t="s">
        <v>8257</v>
      </c>
      <c r="E2395" s="33">
        <v>78</v>
      </c>
      <c r="F2395" s="22">
        <v>45568</v>
      </c>
      <c r="K2395" s="33" t="s">
        <v>5338</v>
      </c>
    </row>
    <row r="2396" spans="1:12" ht="11.25" customHeight="1" x14ac:dyDescent="0.25">
      <c r="A2396" s="33" t="s">
        <v>26</v>
      </c>
      <c r="B2396" s="7" t="s">
        <v>65</v>
      </c>
      <c r="C2396" s="272" t="s">
        <v>8258</v>
      </c>
      <c r="D2396" s="31" t="s">
        <v>8259</v>
      </c>
      <c r="E2396" s="33">
        <v>135</v>
      </c>
      <c r="F2396" s="22">
        <v>45568</v>
      </c>
      <c r="K2396" s="33" t="s">
        <v>5338</v>
      </c>
    </row>
    <row r="2397" spans="1:12" ht="11.25" customHeight="1" x14ac:dyDescent="0.25">
      <c r="A2397" s="33" t="s">
        <v>26</v>
      </c>
      <c r="B2397" s="7" t="s">
        <v>65</v>
      </c>
      <c r="C2397" s="272" t="s">
        <v>8260</v>
      </c>
      <c r="D2397" s="31" t="s">
        <v>8261</v>
      </c>
      <c r="E2397" s="33">
        <v>474</v>
      </c>
      <c r="F2397" s="22">
        <v>45568</v>
      </c>
      <c r="K2397" s="33" t="s">
        <v>5338</v>
      </c>
    </row>
    <row r="2398" spans="1:12" ht="11.25" customHeight="1" x14ac:dyDescent="0.25">
      <c r="A2398" s="33" t="s">
        <v>26</v>
      </c>
      <c r="B2398" s="7" t="s">
        <v>65</v>
      </c>
      <c r="C2398" s="272" t="s">
        <v>8262</v>
      </c>
      <c r="D2398" s="31" t="s">
        <v>8263</v>
      </c>
      <c r="E2398" s="33">
        <v>894</v>
      </c>
      <c r="F2398" s="22">
        <v>45568</v>
      </c>
      <c r="K2398" s="33" t="s">
        <v>5338</v>
      </c>
    </row>
    <row r="2399" spans="1:12" ht="11.25" customHeight="1" x14ac:dyDescent="0.25">
      <c r="A2399" s="33" t="s">
        <v>26</v>
      </c>
      <c r="B2399" s="7" t="s">
        <v>65</v>
      </c>
      <c r="C2399" s="272" t="s">
        <v>8264</v>
      </c>
      <c r="D2399" s="31" t="s">
        <v>5860</v>
      </c>
      <c r="E2399" s="33">
        <v>120</v>
      </c>
      <c r="F2399" s="22">
        <v>45568</v>
      </c>
      <c r="K2399" s="33" t="s">
        <v>5338</v>
      </c>
    </row>
    <row r="2400" spans="1:12" ht="11.25" customHeight="1" x14ac:dyDescent="0.25">
      <c r="A2400" s="33" t="s">
        <v>26</v>
      </c>
      <c r="B2400" s="7" t="s">
        <v>65</v>
      </c>
      <c r="C2400" s="272" t="s">
        <v>8265</v>
      </c>
      <c r="D2400" s="31" t="s">
        <v>8266</v>
      </c>
      <c r="E2400" s="33">
        <v>71</v>
      </c>
      <c r="F2400" s="22">
        <v>45568</v>
      </c>
      <c r="K2400" s="33" t="s">
        <v>5338</v>
      </c>
    </row>
    <row r="2401" spans="1:12" ht="11.25" customHeight="1" x14ac:dyDescent="0.25">
      <c r="A2401" s="33" t="s">
        <v>26</v>
      </c>
      <c r="B2401" s="7" t="s">
        <v>65</v>
      </c>
      <c r="C2401" s="272" t="s">
        <v>8267</v>
      </c>
      <c r="D2401" s="31" t="s">
        <v>8268</v>
      </c>
      <c r="E2401" s="33">
        <v>12</v>
      </c>
      <c r="F2401" s="22">
        <v>45568</v>
      </c>
      <c r="K2401" s="33" t="s">
        <v>5338</v>
      </c>
    </row>
    <row r="2402" spans="1:12" ht="11.25" customHeight="1" x14ac:dyDescent="0.25">
      <c r="A2402" s="33" t="s">
        <v>26</v>
      </c>
      <c r="B2402" s="7" t="s">
        <v>65</v>
      </c>
      <c r="C2402" s="272" t="s">
        <v>8269</v>
      </c>
      <c r="D2402" s="31" t="s">
        <v>8270</v>
      </c>
      <c r="E2402" s="33">
        <v>60</v>
      </c>
      <c r="F2402" s="22">
        <v>45568</v>
      </c>
      <c r="K2402" s="33" t="s">
        <v>5338</v>
      </c>
    </row>
    <row r="2403" spans="1:12" ht="11.25" customHeight="1" x14ac:dyDescent="0.25">
      <c r="A2403" s="33" t="s">
        <v>26</v>
      </c>
      <c r="B2403" s="7" t="s">
        <v>65</v>
      </c>
      <c r="C2403" s="272" t="s">
        <v>8271</v>
      </c>
      <c r="D2403" s="31" t="s">
        <v>5141</v>
      </c>
      <c r="E2403" s="33">
        <v>6</v>
      </c>
      <c r="F2403" s="22">
        <v>45568</v>
      </c>
      <c r="K2403" s="33" t="s">
        <v>5338</v>
      </c>
    </row>
    <row r="2404" spans="1:12" ht="11.25" customHeight="1" x14ac:dyDescent="0.25">
      <c r="A2404" s="33" t="s">
        <v>26</v>
      </c>
      <c r="B2404" s="7" t="s">
        <v>65</v>
      </c>
      <c r="C2404" s="272" t="s">
        <v>8272</v>
      </c>
      <c r="D2404" s="31" t="s">
        <v>8273</v>
      </c>
      <c r="E2404" s="33">
        <v>10</v>
      </c>
      <c r="F2404" s="22">
        <v>45568</v>
      </c>
      <c r="K2404" s="33" t="s">
        <v>5338</v>
      </c>
    </row>
    <row r="2405" spans="1:12" ht="11.25" customHeight="1" x14ac:dyDescent="0.25">
      <c r="A2405" s="33" t="s">
        <v>26</v>
      </c>
      <c r="B2405" s="7" t="s">
        <v>65</v>
      </c>
      <c r="C2405" s="272" t="s">
        <v>8274</v>
      </c>
      <c r="D2405" s="31" t="s">
        <v>8275</v>
      </c>
      <c r="E2405" s="33">
        <v>10</v>
      </c>
      <c r="F2405" s="22">
        <v>45568</v>
      </c>
      <c r="K2405" s="33" t="s">
        <v>5338</v>
      </c>
    </row>
    <row r="2406" spans="1:12" ht="11.25" customHeight="1" x14ac:dyDescent="0.25">
      <c r="A2406" s="33" t="s">
        <v>26</v>
      </c>
      <c r="B2406" s="7" t="s">
        <v>65</v>
      </c>
      <c r="C2406" s="272" t="s">
        <v>8276</v>
      </c>
      <c r="D2406" s="31" t="s">
        <v>8277</v>
      </c>
      <c r="E2406" s="33">
        <v>5</v>
      </c>
      <c r="F2406" s="22">
        <v>45568</v>
      </c>
      <c r="K2406" s="33" t="s">
        <v>5338</v>
      </c>
    </row>
    <row r="2407" spans="1:12" ht="11.25" customHeight="1" x14ac:dyDescent="0.25">
      <c r="A2407" s="33" t="s">
        <v>26</v>
      </c>
      <c r="B2407" s="7" t="s">
        <v>65</v>
      </c>
      <c r="C2407" s="272" t="s">
        <v>8278</v>
      </c>
      <c r="D2407" s="31" t="s">
        <v>5677</v>
      </c>
      <c r="E2407" s="33">
        <v>1</v>
      </c>
      <c r="F2407" s="22">
        <v>45568</v>
      </c>
      <c r="K2407" s="33" t="s">
        <v>5338</v>
      </c>
    </row>
    <row r="2408" spans="1:12" ht="11.25" customHeight="1" x14ac:dyDescent="0.25">
      <c r="A2408" s="33" t="s">
        <v>26</v>
      </c>
      <c r="B2408" s="7" t="s">
        <v>65</v>
      </c>
      <c r="C2408" s="272" t="s">
        <v>8279</v>
      </c>
      <c r="D2408" s="31" t="s">
        <v>1297</v>
      </c>
      <c r="E2408" s="33">
        <v>9</v>
      </c>
      <c r="F2408" s="22">
        <v>45568</v>
      </c>
      <c r="K2408" s="33" t="s">
        <v>5338</v>
      </c>
    </row>
    <row r="2409" spans="1:12" ht="11.25" customHeight="1" x14ac:dyDescent="0.25">
      <c r="A2409" s="33" t="s">
        <v>26</v>
      </c>
      <c r="B2409" s="7" t="s">
        <v>65</v>
      </c>
      <c r="C2409" s="272" t="s">
        <v>8280</v>
      </c>
      <c r="D2409" s="31" t="s">
        <v>8281</v>
      </c>
      <c r="E2409" s="33">
        <v>3</v>
      </c>
      <c r="F2409" s="22">
        <v>45568</v>
      </c>
      <c r="K2409" s="33" t="s">
        <v>5338</v>
      </c>
    </row>
    <row r="2410" spans="1:12" ht="11.25" customHeight="1" x14ac:dyDescent="0.25">
      <c r="A2410" s="33" t="s">
        <v>26</v>
      </c>
      <c r="B2410" s="7" t="s">
        <v>65</v>
      </c>
      <c r="C2410" s="272" t="s">
        <v>8282</v>
      </c>
      <c r="D2410" s="31" t="s">
        <v>5544</v>
      </c>
      <c r="E2410" s="33">
        <v>20</v>
      </c>
      <c r="F2410" s="22">
        <v>45569</v>
      </c>
      <c r="K2410" s="33" t="s">
        <v>5338</v>
      </c>
    </row>
    <row r="2411" spans="1:12" ht="11.25" customHeight="1" x14ac:dyDescent="0.25">
      <c r="A2411" s="33" t="s">
        <v>26</v>
      </c>
      <c r="B2411" s="7" t="s">
        <v>65</v>
      </c>
      <c r="C2411" s="272" t="s">
        <v>8283</v>
      </c>
      <c r="D2411" s="31" t="s">
        <v>7709</v>
      </c>
      <c r="E2411" s="33">
        <v>100</v>
      </c>
      <c r="F2411" s="22">
        <v>45569</v>
      </c>
      <c r="K2411" s="33" t="s">
        <v>5338</v>
      </c>
    </row>
    <row r="2412" spans="1:12" ht="11.25" customHeight="1" x14ac:dyDescent="0.25">
      <c r="A2412" s="33" t="s">
        <v>26</v>
      </c>
      <c r="B2412" s="7" t="s">
        <v>65</v>
      </c>
      <c r="C2412" s="272" t="s">
        <v>8284</v>
      </c>
      <c r="D2412" s="31" t="s">
        <v>1426</v>
      </c>
      <c r="E2412" s="33">
        <v>35</v>
      </c>
      <c r="F2412" s="22">
        <v>45569</v>
      </c>
      <c r="K2412" s="33" t="s">
        <v>5338</v>
      </c>
    </row>
    <row r="2413" spans="1:12" ht="11.25" customHeight="1" x14ac:dyDescent="0.25">
      <c r="A2413" s="33" t="s">
        <v>26</v>
      </c>
      <c r="B2413" s="7" t="s">
        <v>65</v>
      </c>
      <c r="C2413" s="272" t="s">
        <v>8285</v>
      </c>
      <c r="D2413" s="31" t="s">
        <v>1426</v>
      </c>
      <c r="E2413" s="33">
        <v>200</v>
      </c>
      <c r="F2413" s="22">
        <v>45569</v>
      </c>
      <c r="K2413" s="33" t="s">
        <v>5338</v>
      </c>
    </row>
    <row r="2414" spans="1:12" ht="11.25" customHeight="1" x14ac:dyDescent="0.25">
      <c r="A2414" s="33" t="s">
        <v>26</v>
      </c>
      <c r="B2414" s="7" t="s">
        <v>65</v>
      </c>
      <c r="C2414" s="272" t="s">
        <v>8286</v>
      </c>
      <c r="D2414" s="31" t="s">
        <v>1423</v>
      </c>
      <c r="E2414" s="33">
        <v>6</v>
      </c>
      <c r="F2414" s="22">
        <v>45569</v>
      </c>
      <c r="K2414" s="33" t="s">
        <v>5338</v>
      </c>
    </row>
    <row r="2415" spans="1:12" ht="11.25" customHeight="1" x14ac:dyDescent="0.25">
      <c r="A2415" s="33" t="s">
        <v>26</v>
      </c>
      <c r="B2415" s="7" t="s">
        <v>65</v>
      </c>
      <c r="C2415" s="272" t="s">
        <v>8287</v>
      </c>
      <c r="D2415" s="31" t="s">
        <v>6346</v>
      </c>
      <c r="E2415" s="33">
        <v>2</v>
      </c>
      <c r="F2415" s="22">
        <v>45569</v>
      </c>
      <c r="K2415" s="33" t="s">
        <v>5338</v>
      </c>
    </row>
    <row r="2416" spans="1:12" s="87" customFormat="1" ht="11.25" customHeight="1" x14ac:dyDescent="0.25">
      <c r="A2416" s="87" t="s">
        <v>35</v>
      </c>
      <c r="B2416" s="196" t="s">
        <v>71</v>
      </c>
      <c r="C2416" s="279" t="s">
        <v>3873</v>
      </c>
      <c r="D2416" s="88" t="s">
        <v>8288</v>
      </c>
      <c r="E2416" s="87">
        <v>1</v>
      </c>
      <c r="F2416" s="28">
        <v>45573</v>
      </c>
      <c r="G2416" s="87">
        <v>1</v>
      </c>
      <c r="H2416" s="164">
        <v>45580</v>
      </c>
      <c r="I2416" s="87" t="s">
        <v>8289</v>
      </c>
      <c r="K2416" s="87" t="s">
        <v>5365</v>
      </c>
      <c r="L2416" s="62"/>
    </row>
    <row r="2417" spans="1:12" s="87" customFormat="1" ht="11.25" customHeight="1" x14ac:dyDescent="0.25">
      <c r="A2417" s="87" t="s">
        <v>35</v>
      </c>
      <c r="B2417" s="196" t="s">
        <v>71</v>
      </c>
      <c r="C2417" s="279" t="s">
        <v>3943</v>
      </c>
      <c r="D2417" s="88" t="s">
        <v>7911</v>
      </c>
      <c r="E2417" s="87">
        <v>5</v>
      </c>
      <c r="F2417" s="28">
        <v>45573</v>
      </c>
      <c r="G2417" s="87">
        <v>5</v>
      </c>
      <c r="H2417" s="164">
        <v>45575</v>
      </c>
      <c r="I2417" s="87" t="s">
        <v>8290</v>
      </c>
      <c r="K2417" s="87" t="s">
        <v>5365</v>
      </c>
      <c r="L2417" s="62"/>
    </row>
    <row r="2418" spans="1:12" s="87" customFormat="1" ht="11.25" customHeight="1" x14ac:dyDescent="0.25">
      <c r="A2418" s="87" t="s">
        <v>35</v>
      </c>
      <c r="B2418" s="196" t="s">
        <v>71</v>
      </c>
      <c r="C2418" s="279" t="s">
        <v>3372</v>
      </c>
      <c r="D2418" s="88" t="s">
        <v>5994</v>
      </c>
      <c r="E2418" s="87">
        <v>1</v>
      </c>
      <c r="F2418" s="28">
        <v>45573</v>
      </c>
      <c r="G2418" s="87">
        <v>1</v>
      </c>
      <c r="H2418" s="164">
        <v>45580</v>
      </c>
      <c r="I2418" s="87" t="s">
        <v>5842</v>
      </c>
      <c r="K2418" s="87" t="s">
        <v>5365</v>
      </c>
      <c r="L2418" s="62"/>
    </row>
    <row r="2419" spans="1:12" s="87" customFormat="1" ht="11.25" customHeight="1" x14ac:dyDescent="0.25">
      <c r="A2419" s="87" t="s">
        <v>35</v>
      </c>
      <c r="B2419" s="196" t="s">
        <v>71</v>
      </c>
      <c r="C2419" s="279" t="s">
        <v>3869</v>
      </c>
      <c r="D2419" s="88" t="s">
        <v>4130</v>
      </c>
      <c r="E2419" s="87">
        <v>1</v>
      </c>
      <c r="F2419" s="28">
        <v>45573</v>
      </c>
      <c r="G2419" s="87">
        <v>1</v>
      </c>
      <c r="H2419" s="164">
        <v>45580</v>
      </c>
      <c r="I2419" s="87" t="s">
        <v>8291</v>
      </c>
      <c r="K2419" s="87" t="s">
        <v>5365</v>
      </c>
      <c r="L2419" s="62"/>
    </row>
    <row r="2420" spans="1:12" s="87" customFormat="1" ht="11.25" customHeight="1" x14ac:dyDescent="0.25">
      <c r="A2420" s="87" t="s">
        <v>35</v>
      </c>
      <c r="B2420" s="196" t="s">
        <v>71</v>
      </c>
      <c r="C2420" s="279" t="s">
        <v>5306</v>
      </c>
      <c r="D2420" s="88" t="s">
        <v>4134</v>
      </c>
      <c r="E2420" s="87">
        <v>2</v>
      </c>
      <c r="F2420" s="28">
        <v>45573</v>
      </c>
      <c r="G2420" s="87">
        <v>2</v>
      </c>
      <c r="H2420" s="164">
        <v>45580</v>
      </c>
      <c r="I2420" s="87" t="s">
        <v>5842</v>
      </c>
      <c r="K2420" s="87" t="s">
        <v>5365</v>
      </c>
      <c r="L2420" s="62"/>
    </row>
    <row r="2421" spans="1:12" s="87" customFormat="1" ht="11.25" customHeight="1" x14ac:dyDescent="0.25">
      <c r="A2421" s="87" t="s">
        <v>35</v>
      </c>
      <c r="B2421" s="196" t="s">
        <v>71</v>
      </c>
      <c r="C2421" s="279" t="s">
        <v>8292</v>
      </c>
      <c r="D2421" s="88" t="s">
        <v>4138</v>
      </c>
      <c r="E2421" s="87">
        <v>1</v>
      </c>
      <c r="F2421" s="28">
        <v>45573</v>
      </c>
      <c r="G2421" s="87">
        <v>1</v>
      </c>
      <c r="H2421" s="164">
        <v>45580</v>
      </c>
      <c r="I2421" s="87" t="s">
        <v>5842</v>
      </c>
      <c r="K2421" s="87" t="s">
        <v>5365</v>
      </c>
      <c r="L2421" s="62"/>
    </row>
    <row r="2422" spans="1:12" s="87" customFormat="1" ht="11.25" customHeight="1" x14ac:dyDescent="0.25">
      <c r="A2422" s="87" t="s">
        <v>35</v>
      </c>
      <c r="B2422" s="196" t="s">
        <v>71</v>
      </c>
      <c r="C2422" s="279" t="s">
        <v>2724</v>
      </c>
      <c r="D2422" s="88" t="s">
        <v>1785</v>
      </c>
      <c r="E2422" s="87">
        <v>1</v>
      </c>
      <c r="F2422" s="28">
        <v>45573</v>
      </c>
      <c r="G2422" s="87">
        <v>1</v>
      </c>
      <c r="H2422" s="164">
        <v>45580</v>
      </c>
      <c r="I2422" s="87" t="s">
        <v>5842</v>
      </c>
      <c r="K2422" s="87" t="s">
        <v>5365</v>
      </c>
      <c r="L2422" s="62"/>
    </row>
    <row r="2423" spans="1:12" s="87" customFormat="1" ht="11.25" customHeight="1" x14ac:dyDescent="0.25">
      <c r="A2423" s="87" t="s">
        <v>35</v>
      </c>
      <c r="B2423" s="196" t="s">
        <v>71</v>
      </c>
      <c r="C2423" s="279" t="s">
        <v>4142</v>
      </c>
      <c r="D2423" s="88" t="s">
        <v>5305</v>
      </c>
      <c r="E2423" s="87">
        <v>1</v>
      </c>
      <c r="F2423" s="28">
        <v>45573</v>
      </c>
      <c r="G2423" s="87">
        <v>1</v>
      </c>
      <c r="H2423" s="164">
        <v>45580</v>
      </c>
      <c r="I2423" s="87" t="s">
        <v>5842</v>
      </c>
      <c r="K2423" s="87" t="s">
        <v>5365</v>
      </c>
      <c r="L2423" s="62"/>
    </row>
    <row r="2424" spans="1:12" s="87" customFormat="1" ht="11.25" customHeight="1" x14ac:dyDescent="0.25">
      <c r="A2424" s="87" t="s">
        <v>35</v>
      </c>
      <c r="B2424" s="196" t="s">
        <v>71</v>
      </c>
      <c r="C2424" s="622" t="s">
        <v>5311</v>
      </c>
      <c r="D2424" s="87" t="s">
        <v>8293</v>
      </c>
      <c r="E2424" s="87">
        <v>1</v>
      </c>
      <c r="F2424" s="28">
        <v>45573</v>
      </c>
      <c r="G2424" s="87">
        <v>1</v>
      </c>
      <c r="H2424" s="164">
        <v>45580</v>
      </c>
      <c r="I2424" s="87" t="s">
        <v>5842</v>
      </c>
      <c r="K2424" s="87" t="s">
        <v>5365</v>
      </c>
    </row>
    <row r="2425" spans="1:12" s="87" customFormat="1" ht="11.25" customHeight="1" x14ac:dyDescent="0.25">
      <c r="A2425" s="87" t="s">
        <v>35</v>
      </c>
      <c r="B2425" s="196" t="s">
        <v>71</v>
      </c>
      <c r="C2425" s="87" t="s">
        <v>3001</v>
      </c>
      <c r="D2425" s="87" t="s">
        <v>2015</v>
      </c>
      <c r="E2425" s="87">
        <v>1</v>
      </c>
      <c r="F2425" s="28">
        <v>45573</v>
      </c>
      <c r="G2425" s="87">
        <v>1</v>
      </c>
      <c r="H2425" s="164">
        <v>45580</v>
      </c>
      <c r="I2425" s="87" t="s">
        <v>5842</v>
      </c>
      <c r="K2425" s="87" t="s">
        <v>5365</v>
      </c>
    </row>
    <row r="2426" spans="1:12" s="87" customFormat="1" ht="11.25" customHeight="1" x14ac:dyDescent="0.25">
      <c r="A2426" s="87" t="s">
        <v>35</v>
      </c>
      <c r="B2426" s="196" t="s">
        <v>71</v>
      </c>
      <c r="C2426" s="279" t="s">
        <v>5314</v>
      </c>
      <c r="D2426" s="88" t="s">
        <v>1227</v>
      </c>
      <c r="E2426" s="87">
        <v>2</v>
      </c>
      <c r="F2426" s="28">
        <v>45573</v>
      </c>
      <c r="G2426" s="87">
        <v>2</v>
      </c>
      <c r="H2426" s="164">
        <v>45580</v>
      </c>
      <c r="I2426" s="87">
        <v>1641</v>
      </c>
      <c r="K2426" s="87" t="s">
        <v>5365</v>
      </c>
      <c r="L2426" s="62"/>
    </row>
    <row r="2427" spans="1:12" s="87" customFormat="1" ht="11.25" customHeight="1" x14ac:dyDescent="0.25">
      <c r="A2427" s="87" t="s">
        <v>35</v>
      </c>
      <c r="B2427" s="196" t="s">
        <v>71</v>
      </c>
      <c r="C2427" s="279" t="s">
        <v>2145</v>
      </c>
      <c r="D2427" s="88" t="s">
        <v>7241</v>
      </c>
      <c r="E2427" s="87">
        <v>1</v>
      </c>
      <c r="F2427" s="28">
        <v>45573</v>
      </c>
      <c r="G2427" s="87">
        <v>1</v>
      </c>
      <c r="H2427" s="164">
        <v>45580</v>
      </c>
      <c r="I2427" s="87" t="s">
        <v>5842</v>
      </c>
      <c r="K2427" s="87" t="s">
        <v>5365</v>
      </c>
      <c r="L2427" s="62"/>
    </row>
    <row r="2428" spans="1:12" s="87" customFormat="1" ht="11.25" customHeight="1" x14ac:dyDescent="0.25">
      <c r="A2428" s="87" t="s">
        <v>35</v>
      </c>
      <c r="B2428" s="196" t="s">
        <v>71</v>
      </c>
      <c r="C2428" s="279" t="s">
        <v>2087</v>
      </c>
      <c r="D2428" s="88" t="s">
        <v>3389</v>
      </c>
      <c r="E2428" s="87">
        <v>2</v>
      </c>
      <c r="F2428" s="28">
        <v>45573</v>
      </c>
      <c r="G2428" s="87">
        <v>2</v>
      </c>
      <c r="H2428" s="164">
        <v>45580</v>
      </c>
      <c r="I2428" s="87" t="s">
        <v>5842</v>
      </c>
      <c r="K2428" s="87" t="s">
        <v>5365</v>
      </c>
      <c r="L2428" s="62"/>
    </row>
    <row r="2429" spans="1:12" s="87" customFormat="1" ht="11.25" customHeight="1" x14ac:dyDescent="0.25">
      <c r="A2429" s="87" t="s">
        <v>35</v>
      </c>
      <c r="B2429" s="196" t="s">
        <v>71</v>
      </c>
      <c r="C2429" s="279" t="s">
        <v>5317</v>
      </c>
      <c r="D2429" s="88" t="s">
        <v>4158</v>
      </c>
      <c r="E2429" s="87">
        <v>1</v>
      </c>
      <c r="F2429" s="28">
        <v>45573</v>
      </c>
      <c r="G2429" s="87">
        <v>1</v>
      </c>
      <c r="H2429" s="164">
        <v>45580</v>
      </c>
      <c r="I2429" s="87" t="s">
        <v>5842</v>
      </c>
      <c r="K2429" s="87" t="s">
        <v>5365</v>
      </c>
      <c r="L2429" s="62"/>
    </row>
    <row r="2430" spans="1:12" s="87" customFormat="1" ht="11.25" customHeight="1" x14ac:dyDescent="0.25">
      <c r="A2430" s="87" t="s">
        <v>35</v>
      </c>
      <c r="B2430" s="196" t="s">
        <v>71</v>
      </c>
      <c r="C2430" s="279" t="s">
        <v>8294</v>
      </c>
      <c r="D2430" s="88" t="s">
        <v>4161</v>
      </c>
      <c r="E2430" s="87">
        <v>1</v>
      </c>
      <c r="F2430" s="28">
        <v>45573</v>
      </c>
      <c r="G2430" s="87">
        <v>1</v>
      </c>
      <c r="H2430" s="164">
        <v>45580</v>
      </c>
      <c r="K2430" s="87" t="s">
        <v>5365</v>
      </c>
      <c r="L2430" s="62"/>
    </row>
    <row r="2431" spans="1:12" s="87" customFormat="1" ht="11.25" customHeight="1" x14ac:dyDescent="0.25">
      <c r="A2431" s="87" t="s">
        <v>35</v>
      </c>
      <c r="B2431" s="196" t="s">
        <v>71</v>
      </c>
      <c r="C2431" s="279" t="s">
        <v>5318</v>
      </c>
      <c r="D2431" s="88" t="s">
        <v>8295</v>
      </c>
      <c r="E2431" s="87">
        <v>1</v>
      </c>
      <c r="F2431" s="28">
        <v>45573</v>
      </c>
      <c r="G2431" s="87">
        <v>1</v>
      </c>
      <c r="H2431" s="164">
        <v>45580</v>
      </c>
      <c r="K2431" s="87" t="s">
        <v>5365</v>
      </c>
      <c r="L2431" s="62"/>
    </row>
    <row r="2432" spans="1:12" s="87" customFormat="1" ht="11.25" customHeight="1" x14ac:dyDescent="0.25">
      <c r="A2432" s="87" t="s">
        <v>35</v>
      </c>
      <c r="B2432" s="196" t="s">
        <v>71</v>
      </c>
      <c r="C2432" s="279" t="s">
        <v>2824</v>
      </c>
      <c r="D2432" s="88" t="s">
        <v>4167</v>
      </c>
      <c r="E2432" s="87">
        <v>1</v>
      </c>
      <c r="F2432" s="28">
        <v>45573</v>
      </c>
      <c r="G2432" s="87">
        <v>1</v>
      </c>
      <c r="H2432" s="164">
        <v>45580</v>
      </c>
      <c r="K2432" s="87" t="s">
        <v>5365</v>
      </c>
      <c r="L2432" s="62"/>
    </row>
    <row r="2433" spans="1:12" s="87" customFormat="1" ht="11.25" customHeight="1" x14ac:dyDescent="0.25">
      <c r="A2433" s="87" t="s">
        <v>35</v>
      </c>
      <c r="B2433" s="196" t="s">
        <v>71</v>
      </c>
      <c r="C2433" s="279" t="s">
        <v>3865</v>
      </c>
      <c r="D2433" s="88" t="s">
        <v>4170</v>
      </c>
      <c r="E2433" s="87">
        <v>1</v>
      </c>
      <c r="F2433" s="28">
        <v>45573</v>
      </c>
      <c r="G2433" s="87">
        <v>1</v>
      </c>
      <c r="H2433" s="164">
        <v>45580</v>
      </c>
      <c r="I2433" s="87" t="s">
        <v>5842</v>
      </c>
      <c r="K2433" s="87" t="s">
        <v>5365</v>
      </c>
      <c r="L2433" s="62"/>
    </row>
    <row r="2434" spans="1:12" s="87" customFormat="1" ht="11.25" customHeight="1" x14ac:dyDescent="0.25">
      <c r="A2434" s="87" t="s">
        <v>35</v>
      </c>
      <c r="B2434" s="196" t="s">
        <v>71</v>
      </c>
      <c r="C2434" s="279" t="s">
        <v>667</v>
      </c>
      <c r="D2434" s="88" t="s">
        <v>4173</v>
      </c>
      <c r="E2434" s="87">
        <v>2</v>
      </c>
      <c r="F2434" s="28">
        <v>45573</v>
      </c>
      <c r="G2434" s="87">
        <v>2</v>
      </c>
      <c r="H2434" s="164">
        <v>45580</v>
      </c>
      <c r="I2434" s="87" t="s">
        <v>5842</v>
      </c>
      <c r="K2434" s="87" t="s">
        <v>5365</v>
      </c>
      <c r="L2434" s="62"/>
    </row>
    <row r="2435" spans="1:12" s="87" customFormat="1" ht="11.25" customHeight="1" x14ac:dyDescent="0.25">
      <c r="A2435" s="87" t="s">
        <v>35</v>
      </c>
      <c r="B2435" s="196" t="s">
        <v>71</v>
      </c>
      <c r="C2435" s="279" t="s">
        <v>5315</v>
      </c>
      <c r="D2435" s="88" t="s">
        <v>4176</v>
      </c>
      <c r="E2435" s="87">
        <v>5</v>
      </c>
      <c r="F2435" s="28">
        <v>45573</v>
      </c>
      <c r="G2435" s="87">
        <v>5</v>
      </c>
      <c r="H2435" s="164">
        <v>45580</v>
      </c>
      <c r="I2435" s="87" t="s">
        <v>5842</v>
      </c>
      <c r="K2435" s="87" t="s">
        <v>5365</v>
      </c>
      <c r="L2435" s="62"/>
    </row>
    <row r="2436" spans="1:12" s="87" customFormat="1" ht="11.25" customHeight="1" x14ac:dyDescent="0.25">
      <c r="A2436" s="87" t="s">
        <v>35</v>
      </c>
      <c r="B2436" s="196" t="s">
        <v>71</v>
      </c>
      <c r="C2436" s="279" t="s">
        <v>2151</v>
      </c>
      <c r="D2436" s="88" t="s">
        <v>4179</v>
      </c>
      <c r="E2436" s="87">
        <v>1</v>
      </c>
      <c r="F2436" s="28">
        <v>45573</v>
      </c>
      <c r="G2436" s="87">
        <v>1</v>
      </c>
      <c r="H2436" s="164">
        <v>45580</v>
      </c>
      <c r="I2436" s="87" t="s">
        <v>5842</v>
      </c>
      <c r="K2436" s="87" t="s">
        <v>5365</v>
      </c>
      <c r="L2436" s="62"/>
    </row>
    <row r="2437" spans="1:12" s="38" customFormat="1" ht="11.25" customHeight="1" x14ac:dyDescent="0.25">
      <c r="A2437" s="33" t="s">
        <v>35</v>
      </c>
      <c r="B2437" s="7" t="s">
        <v>83</v>
      </c>
      <c r="C2437" s="272" t="s">
        <v>831</v>
      </c>
      <c r="D2437" s="31" t="s">
        <v>8296</v>
      </c>
      <c r="E2437" s="33">
        <v>2</v>
      </c>
      <c r="F2437" s="22">
        <v>45573</v>
      </c>
      <c r="G2437" s="21"/>
      <c r="H2437" s="159"/>
      <c r="I2437" s="33"/>
      <c r="J2437" s="33"/>
      <c r="K2437" s="33" t="s">
        <v>5338</v>
      </c>
      <c r="L2437" s="35"/>
    </row>
    <row r="2438" spans="1:12" s="38" customFormat="1" ht="11.25" customHeight="1" x14ac:dyDescent="0.25">
      <c r="A2438" s="38" t="s">
        <v>35</v>
      </c>
      <c r="B2438" s="196" t="s">
        <v>83</v>
      </c>
      <c r="C2438" s="106" t="s">
        <v>3939</v>
      </c>
      <c r="D2438" s="82" t="s">
        <v>8297</v>
      </c>
      <c r="E2438" s="38">
        <v>1</v>
      </c>
      <c r="F2438" s="26">
        <v>45573</v>
      </c>
      <c r="G2438" s="25">
        <v>1</v>
      </c>
      <c r="H2438" s="160">
        <v>45574</v>
      </c>
      <c r="I2438" s="38" t="s">
        <v>8298</v>
      </c>
      <c r="K2438" s="38" t="s">
        <v>5365</v>
      </c>
      <c r="L2438" s="39"/>
    </row>
    <row r="2439" spans="1:12" s="47" customFormat="1" ht="11.25" customHeight="1" x14ac:dyDescent="0.25">
      <c r="A2439" s="38" t="s">
        <v>35</v>
      </c>
      <c r="B2439" s="196" t="s">
        <v>83</v>
      </c>
      <c r="C2439" s="106" t="s">
        <v>8299</v>
      </c>
      <c r="D2439" s="82" t="s">
        <v>8300</v>
      </c>
      <c r="E2439" s="38">
        <v>2</v>
      </c>
      <c r="F2439" s="26">
        <v>45573</v>
      </c>
      <c r="G2439" s="25">
        <v>2</v>
      </c>
      <c r="H2439" s="160">
        <v>45574</v>
      </c>
      <c r="I2439" s="38" t="s">
        <v>8298</v>
      </c>
      <c r="J2439" s="38"/>
      <c r="K2439" s="38" t="s">
        <v>5365</v>
      </c>
      <c r="L2439" s="39"/>
    </row>
    <row r="2440" spans="1:12" s="38" customFormat="1" ht="11.25" customHeight="1" x14ac:dyDescent="0.25">
      <c r="A2440" s="38" t="s">
        <v>35</v>
      </c>
      <c r="B2440" s="196" t="s">
        <v>83</v>
      </c>
      <c r="C2440" s="106" t="s">
        <v>3884</v>
      </c>
      <c r="D2440" s="82" t="s">
        <v>7806</v>
      </c>
      <c r="E2440" s="38">
        <v>1</v>
      </c>
      <c r="F2440" s="26">
        <v>45573</v>
      </c>
      <c r="G2440" s="38">
        <v>1</v>
      </c>
      <c r="H2440" s="160">
        <v>45574</v>
      </c>
      <c r="I2440" s="38" t="s">
        <v>8298</v>
      </c>
      <c r="K2440" s="38" t="s">
        <v>5365</v>
      </c>
      <c r="L2440" s="39"/>
    </row>
    <row r="2441" spans="1:12" s="38" customFormat="1" ht="11.25" customHeight="1" x14ac:dyDescent="0.25">
      <c r="A2441" s="47" t="s">
        <v>35</v>
      </c>
      <c r="B2441" s="662" t="s">
        <v>83</v>
      </c>
      <c r="C2441" s="274" t="s">
        <v>3163</v>
      </c>
      <c r="D2441" s="81" t="s">
        <v>7828</v>
      </c>
      <c r="E2441" s="47">
        <v>1</v>
      </c>
      <c r="F2441" s="48">
        <v>45573</v>
      </c>
      <c r="G2441" s="47"/>
      <c r="H2441" s="162"/>
      <c r="I2441" s="38" t="s">
        <v>8298</v>
      </c>
      <c r="J2441" s="47"/>
      <c r="K2441" s="47" t="s">
        <v>5338</v>
      </c>
      <c r="L2441" s="34"/>
    </row>
    <row r="2442" spans="1:12" s="38" customFormat="1" ht="11.25" customHeight="1" x14ac:dyDescent="0.25">
      <c r="A2442" s="38" t="s">
        <v>35</v>
      </c>
      <c r="B2442" s="196" t="s">
        <v>83</v>
      </c>
      <c r="C2442" s="106" t="s">
        <v>3890</v>
      </c>
      <c r="D2442" s="82" t="s">
        <v>5137</v>
      </c>
      <c r="E2442" s="38">
        <v>1</v>
      </c>
      <c r="F2442" s="26">
        <v>45573</v>
      </c>
      <c r="G2442" s="38">
        <v>1</v>
      </c>
      <c r="H2442" s="160">
        <v>45574</v>
      </c>
      <c r="I2442" s="38" t="s">
        <v>8298</v>
      </c>
      <c r="K2442" s="38" t="s">
        <v>5365</v>
      </c>
      <c r="L2442" s="39"/>
    </row>
    <row r="2443" spans="1:12" s="38" customFormat="1" ht="11.25" customHeight="1" x14ac:dyDescent="0.25">
      <c r="A2443" s="38" t="s">
        <v>35</v>
      </c>
      <c r="B2443" s="196" t="s">
        <v>83</v>
      </c>
      <c r="C2443" s="106" t="s">
        <v>3893</v>
      </c>
      <c r="D2443" s="82" t="s">
        <v>8301</v>
      </c>
      <c r="E2443" s="38">
        <v>1</v>
      </c>
      <c r="F2443" s="26">
        <v>45573</v>
      </c>
      <c r="G2443" s="38">
        <v>1</v>
      </c>
      <c r="H2443" s="160">
        <v>45574</v>
      </c>
      <c r="I2443" s="38" t="s">
        <v>8298</v>
      </c>
      <c r="K2443" s="38" t="s">
        <v>5365</v>
      </c>
      <c r="L2443" s="39"/>
    </row>
    <row r="2444" spans="1:12" s="38" customFormat="1" ht="11.25" customHeight="1" x14ac:dyDescent="0.25">
      <c r="A2444" s="38" t="s">
        <v>35</v>
      </c>
      <c r="B2444" s="196" t="s">
        <v>83</v>
      </c>
      <c r="C2444" s="106" t="s">
        <v>3857</v>
      </c>
      <c r="D2444" s="82" t="s">
        <v>8302</v>
      </c>
      <c r="E2444" s="38">
        <v>2</v>
      </c>
      <c r="F2444" s="26">
        <v>45573</v>
      </c>
      <c r="G2444" s="38">
        <v>2</v>
      </c>
      <c r="H2444" s="160">
        <v>45574</v>
      </c>
      <c r="I2444" s="38" t="s">
        <v>8298</v>
      </c>
      <c r="K2444" s="38" t="s">
        <v>5365</v>
      </c>
      <c r="L2444" s="39"/>
    </row>
    <row r="2445" spans="1:12" s="38" customFormat="1" ht="11.25" customHeight="1" x14ac:dyDescent="0.25">
      <c r="A2445" s="38" t="s">
        <v>35</v>
      </c>
      <c r="B2445" s="196" t="s">
        <v>83</v>
      </c>
      <c r="C2445" s="106" t="s">
        <v>3950</v>
      </c>
      <c r="D2445" s="82" t="s">
        <v>8303</v>
      </c>
      <c r="E2445" s="38">
        <v>1</v>
      </c>
      <c r="F2445" s="26">
        <v>45573</v>
      </c>
      <c r="G2445" s="38">
        <v>1</v>
      </c>
      <c r="H2445" s="160">
        <v>45574</v>
      </c>
      <c r="I2445" s="38" t="s">
        <v>8298</v>
      </c>
      <c r="K2445" s="38" t="s">
        <v>5365</v>
      </c>
      <c r="L2445" s="39"/>
    </row>
    <row r="2446" spans="1:12" s="38" customFormat="1" ht="11.25" customHeight="1" x14ac:dyDescent="0.25">
      <c r="A2446" s="38" t="s">
        <v>35</v>
      </c>
      <c r="B2446" s="196" t="s">
        <v>83</v>
      </c>
      <c r="C2446" s="106" t="s">
        <v>4098</v>
      </c>
      <c r="D2446" s="82" t="s">
        <v>4099</v>
      </c>
      <c r="E2446" s="38">
        <v>2</v>
      </c>
      <c r="F2446" s="26">
        <v>45573</v>
      </c>
      <c r="G2446" s="38">
        <v>2</v>
      </c>
      <c r="H2446" s="160">
        <v>45574</v>
      </c>
      <c r="I2446" s="38" t="s">
        <v>8298</v>
      </c>
      <c r="K2446" s="38" t="s">
        <v>5365</v>
      </c>
      <c r="L2446" s="39"/>
    </row>
    <row r="2447" spans="1:12" s="38" customFormat="1" ht="11.25" customHeight="1" x14ac:dyDescent="0.25">
      <c r="A2447" s="38" t="s">
        <v>35</v>
      </c>
      <c r="B2447" s="196" t="s">
        <v>83</v>
      </c>
      <c r="C2447" s="106" t="s">
        <v>4101</v>
      </c>
      <c r="D2447" s="82" t="s">
        <v>8304</v>
      </c>
      <c r="E2447" s="38">
        <v>1</v>
      </c>
      <c r="F2447" s="26">
        <v>45573</v>
      </c>
      <c r="G2447" s="38">
        <v>1</v>
      </c>
      <c r="H2447" s="160">
        <v>45574</v>
      </c>
      <c r="I2447" s="38" t="s">
        <v>8298</v>
      </c>
      <c r="K2447" s="38" t="s">
        <v>5365</v>
      </c>
      <c r="L2447" s="39"/>
    </row>
    <row r="2448" spans="1:12" s="38" customFormat="1" ht="11.25" customHeight="1" x14ac:dyDescent="0.25">
      <c r="A2448" s="38" t="s">
        <v>35</v>
      </c>
      <c r="B2448" s="196" t="s">
        <v>83</v>
      </c>
      <c r="C2448" s="106" t="s">
        <v>3887</v>
      </c>
      <c r="D2448" s="82" t="s">
        <v>8305</v>
      </c>
      <c r="E2448" s="38">
        <v>1</v>
      </c>
      <c r="F2448" s="26">
        <v>45573</v>
      </c>
      <c r="G2448" s="38">
        <v>1</v>
      </c>
      <c r="H2448" s="160">
        <v>45574</v>
      </c>
      <c r="I2448" s="38" t="s">
        <v>8298</v>
      </c>
      <c r="K2448" s="38" t="s">
        <v>5365</v>
      </c>
      <c r="L2448" s="39"/>
    </row>
    <row r="2449" spans="1:12" s="38" customFormat="1" ht="11.25" customHeight="1" x14ac:dyDescent="0.25">
      <c r="A2449" s="38" t="s">
        <v>35</v>
      </c>
      <c r="B2449" s="196" t="s">
        <v>83</v>
      </c>
      <c r="C2449" s="106" t="s">
        <v>4106</v>
      </c>
      <c r="D2449" s="82" t="s">
        <v>8306</v>
      </c>
      <c r="E2449" s="38">
        <v>1</v>
      </c>
      <c r="F2449" s="26">
        <v>45573</v>
      </c>
      <c r="G2449" s="38">
        <v>1</v>
      </c>
      <c r="H2449" s="160">
        <v>45574</v>
      </c>
      <c r="I2449" s="38" t="s">
        <v>8298</v>
      </c>
      <c r="K2449" s="38" t="s">
        <v>5365</v>
      </c>
      <c r="L2449" s="39"/>
    </row>
    <row r="2450" spans="1:12" ht="11.25" customHeight="1" x14ac:dyDescent="0.25">
      <c r="A2450" s="38" t="s">
        <v>35</v>
      </c>
      <c r="B2450" s="196" t="s">
        <v>83</v>
      </c>
      <c r="C2450" s="106" t="s">
        <v>4109</v>
      </c>
      <c r="D2450" s="82" t="s">
        <v>2403</v>
      </c>
      <c r="E2450" s="38">
        <v>1</v>
      </c>
      <c r="F2450" s="26">
        <v>45573</v>
      </c>
      <c r="G2450" s="38">
        <v>1</v>
      </c>
      <c r="H2450" s="160">
        <v>45574</v>
      </c>
      <c r="I2450" s="38" t="s">
        <v>8298</v>
      </c>
      <c r="J2450" s="38"/>
      <c r="K2450" s="38" t="s">
        <v>5365</v>
      </c>
      <c r="L2450" s="39"/>
    </row>
    <row r="2451" spans="1:12" ht="11.25" customHeight="1" x14ac:dyDescent="0.25">
      <c r="A2451" s="38" t="s">
        <v>35</v>
      </c>
      <c r="B2451" s="196" t="s">
        <v>83</v>
      </c>
      <c r="C2451" s="106" t="s">
        <v>4111</v>
      </c>
      <c r="D2451" s="82" t="s">
        <v>8307</v>
      </c>
      <c r="E2451" s="38">
        <v>1</v>
      </c>
      <c r="F2451" s="26">
        <v>45573</v>
      </c>
      <c r="G2451" s="38">
        <v>1</v>
      </c>
      <c r="H2451" s="160">
        <v>45574</v>
      </c>
      <c r="I2451" s="38" t="s">
        <v>8298</v>
      </c>
      <c r="J2451" s="38"/>
      <c r="K2451" s="38" t="s">
        <v>5365</v>
      </c>
      <c r="L2451" s="39"/>
    </row>
    <row r="2452" spans="1:12" ht="11.25" customHeight="1" x14ac:dyDescent="0.25">
      <c r="A2452" s="33" t="s">
        <v>219</v>
      </c>
      <c r="B2452" s="7">
        <v>810</v>
      </c>
      <c r="C2452" s="272" t="s">
        <v>8308</v>
      </c>
      <c r="D2452" s="31" t="s">
        <v>8309</v>
      </c>
      <c r="E2452" s="33">
        <v>1</v>
      </c>
      <c r="F2452" s="22">
        <v>45579</v>
      </c>
      <c r="J2452" s="33" t="s">
        <v>6664</v>
      </c>
      <c r="K2452" s="33" t="s">
        <v>5338</v>
      </c>
    </row>
    <row r="2453" spans="1:12" ht="11.25" customHeight="1" x14ac:dyDescent="0.25">
      <c r="A2453" s="33" t="s">
        <v>35</v>
      </c>
      <c r="B2453" s="7"/>
      <c r="C2453" s="272" t="s">
        <v>8310</v>
      </c>
      <c r="D2453" s="31" t="s">
        <v>7478</v>
      </c>
      <c r="E2453" s="33">
        <v>1</v>
      </c>
      <c r="F2453" s="22">
        <v>45579</v>
      </c>
      <c r="K2453" s="33" t="s">
        <v>5338</v>
      </c>
    </row>
    <row r="2454" spans="1:12" ht="11.25" customHeight="1" x14ac:dyDescent="0.25">
      <c r="A2454" s="33" t="s">
        <v>35</v>
      </c>
      <c r="B2454" s="7"/>
      <c r="C2454" s="272" t="s">
        <v>8311</v>
      </c>
      <c r="D2454" s="31" t="s">
        <v>8312</v>
      </c>
      <c r="E2454" s="33">
        <v>2</v>
      </c>
      <c r="F2454" s="22">
        <v>45579</v>
      </c>
      <c r="K2454" s="33" t="s">
        <v>5338</v>
      </c>
    </row>
    <row r="2455" spans="1:12" ht="11.25" customHeight="1" x14ac:dyDescent="0.25">
      <c r="A2455" s="33" t="s">
        <v>35</v>
      </c>
      <c r="B2455" s="7"/>
      <c r="C2455" s="272" t="s">
        <v>8313</v>
      </c>
      <c r="D2455" s="31" t="s">
        <v>8314</v>
      </c>
      <c r="E2455" s="33">
        <v>1</v>
      </c>
      <c r="F2455" s="22">
        <v>45579</v>
      </c>
      <c r="K2455" s="33" t="s">
        <v>5338</v>
      </c>
    </row>
    <row r="2456" spans="1:12" ht="11.25" customHeight="1" x14ac:dyDescent="0.25">
      <c r="A2456" s="33" t="s">
        <v>35</v>
      </c>
      <c r="B2456" s="7"/>
      <c r="C2456" s="272" t="s">
        <v>4624</v>
      </c>
      <c r="D2456" s="31" t="s">
        <v>8315</v>
      </c>
      <c r="E2456" s="33">
        <v>1</v>
      </c>
      <c r="F2456" s="22">
        <v>45579</v>
      </c>
      <c r="K2456" s="33" t="s">
        <v>5338</v>
      </c>
    </row>
    <row r="2457" spans="1:12" ht="11.25" customHeight="1" x14ac:dyDescent="0.25">
      <c r="A2457" s="33" t="s">
        <v>60</v>
      </c>
      <c r="B2457" s="7" t="s">
        <v>1479</v>
      </c>
      <c r="C2457" s="272" t="s">
        <v>5091</v>
      </c>
      <c r="D2457" s="31" t="s">
        <v>8316</v>
      </c>
      <c r="E2457" s="33">
        <v>3</v>
      </c>
      <c r="F2457" s="22">
        <v>45579</v>
      </c>
      <c r="K2457" s="33" t="s">
        <v>5338</v>
      </c>
    </row>
    <row r="2458" spans="1:12" ht="11.25" customHeight="1" x14ac:dyDescent="0.25">
      <c r="A2458" s="33" t="s">
        <v>60</v>
      </c>
      <c r="B2458" s="7" t="s">
        <v>1479</v>
      </c>
      <c r="C2458" s="272" t="s">
        <v>5096</v>
      </c>
      <c r="D2458" s="31" t="s">
        <v>8317</v>
      </c>
      <c r="E2458" s="33">
        <v>4</v>
      </c>
      <c r="F2458" s="22">
        <v>45579</v>
      </c>
      <c r="K2458" s="33" t="s">
        <v>5338</v>
      </c>
    </row>
    <row r="2459" spans="1:12" ht="11.25" customHeight="1" x14ac:dyDescent="0.25">
      <c r="A2459" s="33" t="s">
        <v>60</v>
      </c>
      <c r="B2459" s="7" t="s">
        <v>1479</v>
      </c>
      <c r="C2459" s="272" t="s">
        <v>5120</v>
      </c>
      <c r="D2459" s="31" t="s">
        <v>8318</v>
      </c>
      <c r="E2459" s="33">
        <v>1</v>
      </c>
      <c r="F2459" s="22">
        <v>45579</v>
      </c>
      <c r="K2459" s="33" t="s">
        <v>5338</v>
      </c>
    </row>
    <row r="2460" spans="1:12" ht="11.25" customHeight="1" x14ac:dyDescent="0.25">
      <c r="A2460" s="33" t="s">
        <v>60</v>
      </c>
      <c r="B2460" s="7" t="s">
        <v>1479</v>
      </c>
      <c r="C2460" s="272" t="s">
        <v>8319</v>
      </c>
      <c r="D2460" s="31" t="s">
        <v>8320</v>
      </c>
      <c r="E2460" s="33">
        <v>1</v>
      </c>
      <c r="F2460" s="22">
        <v>45579</v>
      </c>
      <c r="K2460" s="33" t="s">
        <v>5338</v>
      </c>
    </row>
    <row r="2461" spans="1:12" ht="11.25" customHeight="1" x14ac:dyDescent="0.25">
      <c r="A2461" s="33" t="s">
        <v>60</v>
      </c>
      <c r="B2461" s="7" t="s">
        <v>1479</v>
      </c>
      <c r="C2461" s="272" t="s">
        <v>8321</v>
      </c>
      <c r="D2461" s="31" t="s">
        <v>8322</v>
      </c>
      <c r="E2461" s="33">
        <v>5</v>
      </c>
      <c r="F2461" s="22">
        <v>45579</v>
      </c>
      <c r="K2461" s="33" t="s">
        <v>5338</v>
      </c>
    </row>
    <row r="2462" spans="1:12" ht="11.25" customHeight="1" x14ac:dyDescent="0.25">
      <c r="A2462" s="33" t="s">
        <v>60</v>
      </c>
      <c r="B2462" s="7" t="s">
        <v>1479</v>
      </c>
      <c r="C2462" s="272" t="s">
        <v>8323</v>
      </c>
      <c r="D2462" s="31" t="s">
        <v>8324</v>
      </c>
      <c r="E2462" s="33">
        <v>1</v>
      </c>
      <c r="F2462" s="22">
        <v>45579</v>
      </c>
      <c r="K2462" s="33" t="s">
        <v>5338</v>
      </c>
    </row>
    <row r="2463" spans="1:12" ht="11.25" customHeight="1" x14ac:dyDescent="0.25">
      <c r="A2463" s="33" t="s">
        <v>60</v>
      </c>
      <c r="B2463" s="7" t="s">
        <v>1479</v>
      </c>
      <c r="C2463" s="272" t="s">
        <v>8325</v>
      </c>
      <c r="D2463" s="31" t="s">
        <v>8326</v>
      </c>
      <c r="E2463" s="33">
        <v>3</v>
      </c>
      <c r="F2463" s="22">
        <v>45579</v>
      </c>
      <c r="K2463" s="33" t="s">
        <v>5338</v>
      </c>
    </row>
    <row r="2464" spans="1:12" ht="11.25" customHeight="1" x14ac:dyDescent="0.25">
      <c r="A2464" s="33" t="s">
        <v>60</v>
      </c>
      <c r="B2464" s="7" t="s">
        <v>1479</v>
      </c>
      <c r="C2464" s="272" t="s">
        <v>8327</v>
      </c>
      <c r="D2464" s="31" t="s">
        <v>8328</v>
      </c>
      <c r="E2464" s="33">
        <v>1</v>
      </c>
      <c r="F2464" s="22">
        <v>45579</v>
      </c>
      <c r="K2464" s="33" t="s">
        <v>5338</v>
      </c>
    </row>
    <row r="2465" spans="1:11" ht="11.25" customHeight="1" x14ac:dyDescent="0.25">
      <c r="A2465" s="33" t="s">
        <v>60</v>
      </c>
      <c r="B2465" s="7" t="s">
        <v>1479</v>
      </c>
      <c r="C2465" s="272" t="s">
        <v>3641</v>
      </c>
      <c r="D2465" s="31" t="s">
        <v>8329</v>
      </c>
      <c r="E2465" s="33">
        <v>4</v>
      </c>
      <c r="F2465" s="22">
        <v>45579</v>
      </c>
      <c r="K2465" s="33" t="s">
        <v>5338</v>
      </c>
    </row>
    <row r="2466" spans="1:11" ht="11.25" customHeight="1" x14ac:dyDescent="0.25">
      <c r="A2466" s="33" t="s">
        <v>60</v>
      </c>
      <c r="B2466" s="7" t="s">
        <v>1479</v>
      </c>
      <c r="C2466" s="272" t="s">
        <v>4502</v>
      </c>
      <c r="D2466" s="31" t="s">
        <v>8330</v>
      </c>
      <c r="E2466" s="33">
        <v>1</v>
      </c>
      <c r="F2466" s="22">
        <v>45579</v>
      </c>
      <c r="K2466" s="33" t="s">
        <v>5338</v>
      </c>
    </row>
    <row r="2467" spans="1:11" ht="11.25" customHeight="1" x14ac:dyDescent="0.25">
      <c r="A2467" s="33" t="s">
        <v>60</v>
      </c>
      <c r="B2467" s="7" t="s">
        <v>1479</v>
      </c>
      <c r="C2467" s="272" t="s">
        <v>4519</v>
      </c>
      <c r="D2467" s="31" t="s">
        <v>8331</v>
      </c>
      <c r="E2467" s="33">
        <v>1</v>
      </c>
      <c r="F2467" s="22">
        <v>45579</v>
      </c>
      <c r="K2467" s="33" t="s">
        <v>5338</v>
      </c>
    </row>
    <row r="2468" spans="1:11" ht="11.25" customHeight="1" x14ac:dyDescent="0.25">
      <c r="A2468" s="33" t="s">
        <v>60</v>
      </c>
      <c r="B2468" s="7" t="s">
        <v>1479</v>
      </c>
      <c r="C2468" s="272" t="s">
        <v>3644</v>
      </c>
      <c r="D2468" s="31" t="s">
        <v>8332</v>
      </c>
      <c r="E2468" s="33">
        <v>3</v>
      </c>
      <c r="F2468" s="22">
        <v>45579</v>
      </c>
      <c r="K2468" s="33" t="s">
        <v>5338</v>
      </c>
    </row>
    <row r="2469" spans="1:11" ht="11.25" customHeight="1" x14ac:dyDescent="0.25">
      <c r="A2469" s="33" t="s">
        <v>60</v>
      </c>
      <c r="B2469" s="7" t="s">
        <v>1479</v>
      </c>
      <c r="C2469" s="272" t="s">
        <v>8333</v>
      </c>
      <c r="D2469" s="31" t="s">
        <v>8334</v>
      </c>
      <c r="E2469" s="33">
        <v>1</v>
      </c>
      <c r="F2469" s="22">
        <v>45579</v>
      </c>
      <c r="K2469" s="33" t="s">
        <v>5338</v>
      </c>
    </row>
    <row r="2470" spans="1:11" ht="11.25" customHeight="1" x14ac:dyDescent="0.25">
      <c r="A2470" s="33" t="s">
        <v>60</v>
      </c>
      <c r="B2470" s="7" t="s">
        <v>1479</v>
      </c>
      <c r="D2470" s="31" t="s">
        <v>8335</v>
      </c>
      <c r="E2470" s="33">
        <v>1</v>
      </c>
      <c r="F2470" s="22">
        <v>45579</v>
      </c>
      <c r="K2470" s="33" t="s">
        <v>5338</v>
      </c>
    </row>
    <row r="2471" spans="1:11" ht="11.25" customHeight="1" x14ac:dyDescent="0.25">
      <c r="A2471" s="33" t="s">
        <v>60</v>
      </c>
      <c r="B2471" s="7" t="s">
        <v>1479</v>
      </c>
      <c r="D2471" s="31" t="s">
        <v>5086</v>
      </c>
      <c r="E2471" s="33">
        <v>20</v>
      </c>
      <c r="F2471" s="22">
        <v>45579</v>
      </c>
      <c r="K2471" s="33" t="s">
        <v>5338</v>
      </c>
    </row>
    <row r="2472" spans="1:11" ht="11.25" customHeight="1" x14ac:dyDescent="0.25">
      <c r="A2472" s="33" t="s">
        <v>60</v>
      </c>
      <c r="B2472" s="7" t="s">
        <v>1479</v>
      </c>
      <c r="D2472" s="31" t="s">
        <v>8336</v>
      </c>
      <c r="E2472" s="33">
        <v>7</v>
      </c>
      <c r="F2472" s="22">
        <v>45579</v>
      </c>
      <c r="K2472" s="33" t="s">
        <v>5338</v>
      </c>
    </row>
    <row r="2473" spans="1:11" ht="11.25" customHeight="1" x14ac:dyDescent="0.25">
      <c r="A2473" s="33" t="s">
        <v>60</v>
      </c>
      <c r="B2473" s="7" t="s">
        <v>1479</v>
      </c>
      <c r="D2473" s="31" t="s">
        <v>8337</v>
      </c>
      <c r="E2473" s="33">
        <v>2</v>
      </c>
      <c r="F2473" s="22">
        <v>45579</v>
      </c>
      <c r="K2473" s="33" t="s">
        <v>5338</v>
      </c>
    </row>
    <row r="2474" spans="1:11" ht="11.25" customHeight="1" x14ac:dyDescent="0.25">
      <c r="A2474" s="33" t="s">
        <v>60</v>
      </c>
      <c r="B2474" s="7" t="s">
        <v>1479</v>
      </c>
      <c r="D2474" s="31" t="s">
        <v>8338</v>
      </c>
      <c r="E2474" s="33">
        <v>1</v>
      </c>
      <c r="F2474" s="22">
        <v>45579</v>
      </c>
      <c r="K2474" s="33" t="s">
        <v>5338</v>
      </c>
    </row>
    <row r="2475" spans="1:11" ht="11.25" customHeight="1" x14ac:dyDescent="0.25">
      <c r="A2475" s="33" t="s">
        <v>60</v>
      </c>
      <c r="B2475" s="7" t="s">
        <v>1479</v>
      </c>
      <c r="D2475" s="31" t="s">
        <v>8339</v>
      </c>
      <c r="E2475" s="33">
        <v>1</v>
      </c>
      <c r="F2475" s="22">
        <v>45579</v>
      </c>
      <c r="K2475" s="33" t="s">
        <v>5338</v>
      </c>
    </row>
    <row r="2476" spans="1:11" ht="11.25" customHeight="1" x14ac:dyDescent="0.25">
      <c r="A2476" s="33" t="s">
        <v>60</v>
      </c>
      <c r="B2476" s="7" t="s">
        <v>1479</v>
      </c>
      <c r="C2476" s="272" t="s">
        <v>3641</v>
      </c>
      <c r="D2476" s="31" t="s">
        <v>8329</v>
      </c>
      <c r="E2476" s="33">
        <v>4</v>
      </c>
      <c r="F2476" s="22">
        <v>45581</v>
      </c>
      <c r="K2476" s="33" t="s">
        <v>5338</v>
      </c>
    </row>
    <row r="2477" spans="1:11" ht="11.25" customHeight="1" x14ac:dyDescent="0.25">
      <c r="A2477" s="33" t="s">
        <v>60</v>
      </c>
      <c r="B2477" s="7" t="s">
        <v>1479</v>
      </c>
      <c r="C2477" s="272" t="s">
        <v>4522</v>
      </c>
      <c r="D2477" s="31" t="s">
        <v>8340</v>
      </c>
      <c r="E2477" s="33">
        <v>1</v>
      </c>
      <c r="F2477" s="22">
        <v>45581</v>
      </c>
      <c r="K2477" s="33" t="s">
        <v>5338</v>
      </c>
    </row>
    <row r="2478" spans="1:11" ht="11.25" customHeight="1" x14ac:dyDescent="0.25">
      <c r="A2478" s="33" t="s">
        <v>60</v>
      </c>
      <c r="B2478" s="7" t="s">
        <v>1479</v>
      </c>
      <c r="C2478" s="272" t="s">
        <v>4534</v>
      </c>
      <c r="D2478" s="31" t="s">
        <v>8341</v>
      </c>
      <c r="E2478" s="33">
        <v>1</v>
      </c>
      <c r="F2478" s="22">
        <v>45581</v>
      </c>
      <c r="K2478" s="33" t="s">
        <v>5338</v>
      </c>
    </row>
    <row r="2479" spans="1:11" ht="11.25" customHeight="1" x14ac:dyDescent="0.25">
      <c r="A2479" s="33" t="s">
        <v>60</v>
      </c>
      <c r="B2479" s="7" t="s">
        <v>1479</v>
      </c>
      <c r="C2479" s="272" t="s">
        <v>4540</v>
      </c>
      <c r="D2479" s="31" t="s">
        <v>8342</v>
      </c>
      <c r="E2479" s="33">
        <v>1</v>
      </c>
      <c r="F2479" s="22">
        <v>45581</v>
      </c>
      <c r="K2479" s="33" t="s">
        <v>5338</v>
      </c>
    </row>
    <row r="2480" spans="1:11" ht="11.25" customHeight="1" x14ac:dyDescent="0.25">
      <c r="A2480" s="33" t="s">
        <v>60</v>
      </c>
      <c r="B2480" s="7" t="s">
        <v>1479</v>
      </c>
      <c r="C2480" s="272" t="s">
        <v>4546</v>
      </c>
      <c r="D2480" s="31" t="s">
        <v>8343</v>
      </c>
      <c r="E2480" s="33">
        <v>2</v>
      </c>
      <c r="F2480" s="22">
        <v>45581</v>
      </c>
      <c r="K2480" s="33" t="s">
        <v>5338</v>
      </c>
    </row>
    <row r="2481" spans="1:11" ht="11.25" customHeight="1" x14ac:dyDescent="0.25">
      <c r="A2481" s="33" t="s">
        <v>60</v>
      </c>
      <c r="B2481" s="7" t="s">
        <v>1479</v>
      </c>
      <c r="C2481" s="272" t="s">
        <v>4502</v>
      </c>
      <c r="D2481" s="31" t="s">
        <v>8330</v>
      </c>
      <c r="E2481" s="33">
        <v>1</v>
      </c>
      <c r="F2481" s="22">
        <v>45581</v>
      </c>
      <c r="K2481" s="33" t="s">
        <v>5338</v>
      </c>
    </row>
    <row r="2482" spans="1:11" ht="11.25" customHeight="1" x14ac:dyDescent="0.25">
      <c r="A2482" s="33" t="s">
        <v>60</v>
      </c>
      <c r="B2482" s="7" t="s">
        <v>1479</v>
      </c>
      <c r="C2482" s="272" t="s">
        <v>3647</v>
      </c>
      <c r="D2482" s="31" t="s">
        <v>8344</v>
      </c>
      <c r="E2482" s="33">
        <v>2</v>
      </c>
      <c r="F2482" s="22">
        <v>45581</v>
      </c>
      <c r="K2482" s="33" t="s">
        <v>5338</v>
      </c>
    </row>
    <row r="2483" spans="1:11" ht="11.25" customHeight="1" x14ac:dyDescent="0.25">
      <c r="A2483" s="33" t="s">
        <v>60</v>
      </c>
      <c r="B2483" s="7" t="s">
        <v>1479</v>
      </c>
      <c r="C2483" s="272" t="s">
        <v>4519</v>
      </c>
      <c r="D2483" s="31" t="s">
        <v>8331</v>
      </c>
      <c r="E2483" s="33">
        <v>1</v>
      </c>
      <c r="F2483" s="22">
        <v>45581</v>
      </c>
      <c r="K2483" s="33" t="s">
        <v>5338</v>
      </c>
    </row>
    <row r="2484" spans="1:11" ht="11.25" customHeight="1" x14ac:dyDescent="0.25">
      <c r="A2484" s="33" t="s">
        <v>60</v>
      </c>
      <c r="B2484" s="7" t="s">
        <v>1479</v>
      </c>
      <c r="C2484" s="272" t="s">
        <v>3644</v>
      </c>
      <c r="D2484" s="31" t="s">
        <v>8332</v>
      </c>
      <c r="E2484" s="33">
        <v>4</v>
      </c>
      <c r="F2484" s="22">
        <v>45581</v>
      </c>
      <c r="K2484" s="33" t="s">
        <v>5338</v>
      </c>
    </row>
    <row r="2485" spans="1:11" ht="11.25" customHeight="1" x14ac:dyDescent="0.25">
      <c r="A2485" s="33" t="s">
        <v>35</v>
      </c>
      <c r="B2485" s="7" t="s">
        <v>36</v>
      </c>
      <c r="C2485" s="272" t="s">
        <v>7512</v>
      </c>
      <c r="D2485" s="31" t="s">
        <v>3389</v>
      </c>
      <c r="E2485" s="33">
        <v>480</v>
      </c>
      <c r="F2485" s="22">
        <v>45581</v>
      </c>
      <c r="K2485" s="33" t="s">
        <v>5338</v>
      </c>
    </row>
    <row r="2486" spans="1:11" ht="11.25" customHeight="1" x14ac:dyDescent="0.25">
      <c r="A2486" s="33" t="s">
        <v>35</v>
      </c>
      <c r="B2486" s="7" t="s">
        <v>36</v>
      </c>
      <c r="C2486" s="272" t="s">
        <v>3676</v>
      </c>
      <c r="D2486" s="31" t="s">
        <v>7912</v>
      </c>
      <c r="E2486" s="33">
        <v>75</v>
      </c>
      <c r="F2486" s="22">
        <v>45581</v>
      </c>
      <c r="K2486" s="33" t="s">
        <v>5338</v>
      </c>
    </row>
    <row r="2487" spans="1:11" ht="11.25" customHeight="1" x14ac:dyDescent="0.25">
      <c r="A2487" s="33" t="s">
        <v>35</v>
      </c>
      <c r="B2487" s="7" t="s">
        <v>36</v>
      </c>
      <c r="C2487" s="272" t="s">
        <v>7910</v>
      </c>
      <c r="D2487" s="31" t="s">
        <v>7911</v>
      </c>
      <c r="E2487" s="33">
        <v>480</v>
      </c>
      <c r="F2487" s="22">
        <v>45581</v>
      </c>
      <c r="K2487" s="33" t="s">
        <v>5338</v>
      </c>
    </row>
    <row r="2488" spans="1:11" ht="11.25" customHeight="1" x14ac:dyDescent="0.25">
      <c r="A2488" s="33" t="s">
        <v>35</v>
      </c>
      <c r="B2488" s="7" t="s">
        <v>36</v>
      </c>
      <c r="C2488" s="272" t="s">
        <v>7913</v>
      </c>
      <c r="D2488" s="31" t="s">
        <v>631</v>
      </c>
      <c r="E2488" s="33">
        <v>320</v>
      </c>
      <c r="F2488" s="22">
        <v>45581</v>
      </c>
      <c r="K2488" s="33" t="s">
        <v>5338</v>
      </c>
    </row>
    <row r="2489" spans="1:11" ht="11.25" customHeight="1" x14ac:dyDescent="0.25">
      <c r="A2489" s="33" t="s">
        <v>35</v>
      </c>
      <c r="B2489" s="7" t="s">
        <v>36</v>
      </c>
      <c r="C2489" s="272" t="s">
        <v>7513</v>
      </c>
      <c r="D2489" s="31" t="s">
        <v>2400</v>
      </c>
      <c r="E2489" s="33">
        <v>320</v>
      </c>
      <c r="F2489" s="22">
        <v>45581</v>
      </c>
      <c r="K2489" s="33" t="s">
        <v>5338</v>
      </c>
    </row>
    <row r="2490" spans="1:11" ht="11.25" customHeight="1" x14ac:dyDescent="0.25">
      <c r="A2490" s="33" t="s">
        <v>35</v>
      </c>
      <c r="B2490" s="7" t="s">
        <v>36</v>
      </c>
      <c r="C2490" s="272" t="s">
        <v>53</v>
      </c>
      <c r="D2490" s="31" t="s">
        <v>8345</v>
      </c>
      <c r="E2490" s="33">
        <v>150</v>
      </c>
      <c r="F2490" s="22">
        <v>45581</v>
      </c>
      <c r="K2490" s="33" t="s">
        <v>5338</v>
      </c>
    </row>
    <row r="2491" spans="1:11" ht="11.25" customHeight="1" x14ac:dyDescent="0.25">
      <c r="A2491" s="33" t="s">
        <v>35</v>
      </c>
      <c r="B2491" s="7" t="s">
        <v>36</v>
      </c>
      <c r="C2491" s="272" t="s">
        <v>3684</v>
      </c>
      <c r="D2491" s="31" t="s">
        <v>1785</v>
      </c>
      <c r="E2491" s="33">
        <v>1000</v>
      </c>
      <c r="F2491" s="22">
        <v>45581</v>
      </c>
      <c r="K2491" s="33" t="s">
        <v>5338</v>
      </c>
    </row>
    <row r="2492" spans="1:11" ht="11.25" customHeight="1" x14ac:dyDescent="0.25">
      <c r="A2492" s="33" t="s">
        <v>35</v>
      </c>
      <c r="B2492" s="7" t="s">
        <v>36</v>
      </c>
      <c r="C2492" s="272" t="s">
        <v>4267</v>
      </c>
      <c r="D2492" s="31" t="s">
        <v>1181</v>
      </c>
      <c r="E2492" s="33">
        <v>150</v>
      </c>
      <c r="F2492" s="22">
        <v>45581</v>
      </c>
      <c r="K2492" s="33" t="s">
        <v>5338</v>
      </c>
    </row>
    <row r="2493" spans="1:11" ht="11.25" customHeight="1" x14ac:dyDescent="0.25">
      <c r="A2493" s="33" t="s">
        <v>35</v>
      </c>
      <c r="B2493" s="7" t="s">
        <v>36</v>
      </c>
      <c r="C2493" s="272" t="s">
        <v>3954</v>
      </c>
      <c r="D2493" s="31" t="s">
        <v>2403</v>
      </c>
      <c r="E2493" s="33">
        <v>100</v>
      </c>
      <c r="F2493" s="22">
        <v>45581</v>
      </c>
      <c r="K2493" s="33" t="s">
        <v>5338</v>
      </c>
    </row>
    <row r="2494" spans="1:11" ht="11.25" customHeight="1" x14ac:dyDescent="0.25">
      <c r="A2494" s="33" t="s">
        <v>60</v>
      </c>
      <c r="B2494" s="7" t="s">
        <v>1843</v>
      </c>
      <c r="C2494" s="272" t="s">
        <v>8346</v>
      </c>
      <c r="D2494" s="31" t="s">
        <v>4813</v>
      </c>
      <c r="E2494" s="33">
        <v>1</v>
      </c>
      <c r="F2494" s="22">
        <v>45583</v>
      </c>
      <c r="K2494" s="33" t="s">
        <v>5338</v>
      </c>
    </row>
    <row r="2495" spans="1:11" ht="11.25" customHeight="1" x14ac:dyDescent="0.25">
      <c r="A2495" s="33" t="s">
        <v>60</v>
      </c>
      <c r="B2495" s="7" t="s">
        <v>1479</v>
      </c>
      <c r="C2495" s="272" t="s">
        <v>3638</v>
      </c>
      <c r="D2495" s="31" t="s">
        <v>8322</v>
      </c>
      <c r="E2495" s="33">
        <v>1</v>
      </c>
      <c r="F2495" s="22">
        <v>45583</v>
      </c>
      <c r="G2495" s="22">
        <v>45584</v>
      </c>
      <c r="K2495" s="33" t="s">
        <v>5338</v>
      </c>
    </row>
    <row r="2496" spans="1:11" ht="11.25" customHeight="1" x14ac:dyDescent="0.25">
      <c r="A2496" s="33" t="s">
        <v>60</v>
      </c>
      <c r="B2496" s="7" t="s">
        <v>1479</v>
      </c>
      <c r="C2496" s="272" t="s">
        <v>3647</v>
      </c>
      <c r="D2496" s="31" t="s">
        <v>8347</v>
      </c>
      <c r="E2496" s="33">
        <v>2</v>
      </c>
      <c r="F2496" s="22">
        <v>45583</v>
      </c>
      <c r="K2496" s="33" t="s">
        <v>5338</v>
      </c>
    </row>
    <row r="2497" spans="1:11" ht="11.25" customHeight="1" x14ac:dyDescent="0.25">
      <c r="A2497" s="33" t="s">
        <v>60</v>
      </c>
      <c r="B2497" s="7" t="s">
        <v>1479</v>
      </c>
      <c r="C2497" s="272" t="s">
        <v>5083</v>
      </c>
      <c r="D2497" s="31" t="s">
        <v>8348</v>
      </c>
      <c r="E2497" s="33">
        <v>2</v>
      </c>
      <c r="F2497" s="22">
        <v>45583</v>
      </c>
      <c r="K2497" s="33" t="s">
        <v>5338</v>
      </c>
    </row>
    <row r="2498" spans="1:11" ht="11.25" customHeight="1" x14ac:dyDescent="0.25">
      <c r="A2498" s="33" t="s">
        <v>60</v>
      </c>
      <c r="B2498" s="7" t="s">
        <v>1479</v>
      </c>
      <c r="C2498" s="272" t="s">
        <v>5099</v>
      </c>
      <c r="D2498" s="31" t="s">
        <v>8349</v>
      </c>
      <c r="E2498" s="33">
        <v>8</v>
      </c>
      <c r="F2498" s="22">
        <v>45583</v>
      </c>
      <c r="K2498" s="33" t="s">
        <v>5338</v>
      </c>
    </row>
    <row r="2499" spans="1:11" ht="11.25" customHeight="1" x14ac:dyDescent="0.25">
      <c r="A2499" s="33" t="s">
        <v>60</v>
      </c>
      <c r="B2499" s="7" t="s">
        <v>1479</v>
      </c>
      <c r="C2499" s="272" t="s">
        <v>4522</v>
      </c>
      <c r="D2499" s="31" t="s">
        <v>8340</v>
      </c>
      <c r="E2499" s="33">
        <v>1</v>
      </c>
      <c r="F2499" s="22">
        <v>45583</v>
      </c>
      <c r="K2499" s="33" t="s">
        <v>5338</v>
      </c>
    </row>
    <row r="2500" spans="1:11" ht="11.25" customHeight="1" x14ac:dyDescent="0.35">
      <c r="A2500" s="33" t="s">
        <v>60</v>
      </c>
      <c r="B2500" s="663" t="s">
        <v>5644</v>
      </c>
      <c r="C2500" s="272" t="s">
        <v>8350</v>
      </c>
      <c r="D2500" s="31" t="s">
        <v>8351</v>
      </c>
      <c r="E2500" s="33">
        <v>1</v>
      </c>
      <c r="F2500" s="22">
        <v>45583</v>
      </c>
      <c r="K2500" s="33" t="s">
        <v>5338</v>
      </c>
    </row>
    <row r="2501" spans="1:11" ht="11.25" customHeight="1" x14ac:dyDescent="0.35">
      <c r="A2501" s="33" t="s">
        <v>60</v>
      </c>
      <c r="B2501" s="663" t="s">
        <v>5644</v>
      </c>
      <c r="C2501" s="272" t="s">
        <v>8352</v>
      </c>
      <c r="D2501" s="31" t="s">
        <v>8353</v>
      </c>
      <c r="E2501" s="33">
        <v>4</v>
      </c>
      <c r="F2501" s="22">
        <v>45583</v>
      </c>
      <c r="K2501" s="33" t="s">
        <v>5338</v>
      </c>
    </row>
    <row r="2502" spans="1:11" ht="11.25" customHeight="1" x14ac:dyDescent="0.35">
      <c r="A2502" s="33" t="s">
        <v>60</v>
      </c>
      <c r="B2502" s="663" t="s">
        <v>5644</v>
      </c>
      <c r="C2502" s="272" t="s">
        <v>8354</v>
      </c>
      <c r="D2502" s="31" t="s">
        <v>8355</v>
      </c>
      <c r="E2502" s="33">
        <v>2</v>
      </c>
      <c r="F2502" s="22">
        <v>45583</v>
      </c>
      <c r="K2502" s="33" t="s">
        <v>5338</v>
      </c>
    </row>
    <row r="2503" spans="1:11" ht="11.25" customHeight="1" x14ac:dyDescent="0.35">
      <c r="A2503" s="33" t="s">
        <v>60</v>
      </c>
      <c r="B2503" s="663" t="s">
        <v>5644</v>
      </c>
      <c r="C2503" s="272" t="s">
        <v>8356</v>
      </c>
      <c r="D2503" s="31" t="s">
        <v>8357</v>
      </c>
      <c r="E2503" s="33">
        <v>1</v>
      </c>
      <c r="F2503" s="22">
        <v>45583</v>
      </c>
      <c r="K2503" s="33" t="s">
        <v>5338</v>
      </c>
    </row>
    <row r="2504" spans="1:11" ht="11.25" customHeight="1" x14ac:dyDescent="0.35">
      <c r="A2504" s="33" t="s">
        <v>60</v>
      </c>
      <c r="B2504" s="663" t="s">
        <v>5644</v>
      </c>
      <c r="C2504" s="272" t="s">
        <v>8358</v>
      </c>
      <c r="D2504" s="31" t="s">
        <v>8359</v>
      </c>
      <c r="E2504" s="33">
        <v>1</v>
      </c>
      <c r="F2504" s="22">
        <v>45583</v>
      </c>
      <c r="K2504" s="33" t="s">
        <v>5338</v>
      </c>
    </row>
    <row r="2505" spans="1:11" ht="11.25" customHeight="1" x14ac:dyDescent="0.35">
      <c r="A2505" s="33" t="s">
        <v>60</v>
      </c>
      <c r="B2505" s="663" t="s">
        <v>5644</v>
      </c>
      <c r="C2505" s="272" t="s">
        <v>8360</v>
      </c>
      <c r="D2505" s="31" t="s">
        <v>8361</v>
      </c>
      <c r="E2505" s="33">
        <v>6</v>
      </c>
      <c r="F2505" s="22">
        <v>45583</v>
      </c>
      <c r="K2505" s="33" t="s">
        <v>5338</v>
      </c>
    </row>
    <row r="2506" spans="1:11" ht="11.25" customHeight="1" x14ac:dyDescent="0.35">
      <c r="A2506" s="33" t="s">
        <v>60</v>
      </c>
      <c r="B2506" s="663" t="s">
        <v>5644</v>
      </c>
      <c r="C2506" s="272" t="s">
        <v>8362</v>
      </c>
      <c r="D2506" s="31" t="s">
        <v>8363</v>
      </c>
      <c r="E2506" s="33">
        <v>1</v>
      </c>
      <c r="F2506" s="22">
        <v>45583</v>
      </c>
      <c r="K2506" s="33" t="s">
        <v>5338</v>
      </c>
    </row>
    <row r="2507" spans="1:11" ht="11.25" customHeight="1" x14ac:dyDescent="0.35">
      <c r="A2507" s="33" t="s">
        <v>60</v>
      </c>
      <c r="B2507" s="663" t="s">
        <v>5644</v>
      </c>
      <c r="C2507" s="272" t="s">
        <v>8364</v>
      </c>
      <c r="D2507" s="31" t="s">
        <v>8365</v>
      </c>
      <c r="E2507" s="33">
        <v>1</v>
      </c>
      <c r="F2507" s="22">
        <v>45583</v>
      </c>
      <c r="K2507" s="33" t="s">
        <v>5338</v>
      </c>
    </row>
    <row r="2508" spans="1:11" ht="11.25" customHeight="1" x14ac:dyDescent="0.35">
      <c r="A2508" s="33" t="s">
        <v>60</v>
      </c>
      <c r="B2508" s="663" t="s">
        <v>5644</v>
      </c>
      <c r="C2508" s="272" t="s">
        <v>8366</v>
      </c>
      <c r="D2508" s="31" t="s">
        <v>8367</v>
      </c>
      <c r="E2508" s="33">
        <v>1</v>
      </c>
      <c r="F2508" s="22">
        <v>45583</v>
      </c>
      <c r="K2508" s="33" t="s">
        <v>5338</v>
      </c>
    </row>
    <row r="2509" spans="1:11" ht="11.25" customHeight="1" x14ac:dyDescent="0.35">
      <c r="A2509" s="33" t="s">
        <v>60</v>
      </c>
      <c r="B2509" s="663" t="s">
        <v>5644</v>
      </c>
      <c r="C2509" s="272" t="s">
        <v>8368</v>
      </c>
      <c r="D2509" s="31" t="s">
        <v>8369</v>
      </c>
      <c r="E2509" s="33">
        <v>1</v>
      </c>
      <c r="F2509" s="22">
        <v>45583</v>
      </c>
      <c r="K2509" s="33" t="s">
        <v>5338</v>
      </c>
    </row>
    <row r="2510" spans="1:11" ht="11.25" customHeight="1" x14ac:dyDescent="0.35">
      <c r="A2510" s="33" t="s">
        <v>60</v>
      </c>
      <c r="B2510" s="663" t="s">
        <v>5644</v>
      </c>
      <c r="C2510" s="272" t="s">
        <v>8370</v>
      </c>
      <c r="D2510" s="31" t="s">
        <v>8371</v>
      </c>
      <c r="E2510" s="33">
        <v>1</v>
      </c>
      <c r="F2510" s="22">
        <v>45583</v>
      </c>
      <c r="K2510" s="33" t="s">
        <v>5338</v>
      </c>
    </row>
    <row r="2511" spans="1:11" ht="11.25" customHeight="1" x14ac:dyDescent="0.35">
      <c r="A2511" s="33" t="s">
        <v>60</v>
      </c>
      <c r="B2511" s="663" t="s">
        <v>5644</v>
      </c>
      <c r="C2511" s="272" t="s">
        <v>8372</v>
      </c>
      <c r="D2511" s="31" t="s">
        <v>8373</v>
      </c>
      <c r="E2511" s="33">
        <v>3</v>
      </c>
      <c r="F2511" s="22">
        <v>45583</v>
      </c>
      <c r="K2511" s="33" t="s">
        <v>5338</v>
      </c>
    </row>
    <row r="2512" spans="1:11" ht="11.25" customHeight="1" x14ac:dyDescent="0.35">
      <c r="A2512" s="33" t="s">
        <v>60</v>
      </c>
      <c r="B2512" s="663" t="s">
        <v>5644</v>
      </c>
      <c r="C2512" s="272" t="s">
        <v>8374</v>
      </c>
      <c r="D2512" s="31" t="s">
        <v>8375</v>
      </c>
      <c r="E2512" s="33">
        <v>12</v>
      </c>
      <c r="F2512" s="22">
        <v>45583</v>
      </c>
      <c r="K2512" s="33" t="s">
        <v>5338</v>
      </c>
    </row>
    <row r="2513" spans="1:11" ht="11.25" customHeight="1" x14ac:dyDescent="0.35">
      <c r="A2513" s="33" t="s">
        <v>60</v>
      </c>
      <c r="B2513" s="663" t="s">
        <v>5644</v>
      </c>
      <c r="C2513" s="272" t="s">
        <v>8376</v>
      </c>
      <c r="D2513" s="31" t="s">
        <v>8377</v>
      </c>
      <c r="E2513" s="33">
        <v>6</v>
      </c>
      <c r="F2513" s="22">
        <v>45583</v>
      </c>
      <c r="K2513" s="33" t="s">
        <v>5338</v>
      </c>
    </row>
    <row r="2514" spans="1:11" ht="11.25" customHeight="1" x14ac:dyDescent="0.35">
      <c r="A2514" s="33" t="s">
        <v>60</v>
      </c>
      <c r="B2514" s="663" t="s">
        <v>5644</v>
      </c>
      <c r="C2514" s="272" t="s">
        <v>8378</v>
      </c>
      <c r="D2514" s="31" t="s">
        <v>8379</v>
      </c>
      <c r="E2514" s="33">
        <v>6</v>
      </c>
      <c r="F2514" s="22">
        <v>45583</v>
      </c>
      <c r="K2514" s="33" t="s">
        <v>5338</v>
      </c>
    </row>
    <row r="2515" spans="1:11" ht="11.25" customHeight="1" x14ac:dyDescent="0.35">
      <c r="A2515" s="33" t="s">
        <v>60</v>
      </c>
      <c r="B2515" s="663" t="s">
        <v>5644</v>
      </c>
      <c r="C2515" s="272" t="s">
        <v>8380</v>
      </c>
      <c r="D2515" s="31" t="s">
        <v>8381</v>
      </c>
      <c r="E2515" s="33">
        <v>1</v>
      </c>
      <c r="F2515" s="22">
        <v>45583</v>
      </c>
      <c r="K2515" s="33" t="s">
        <v>5338</v>
      </c>
    </row>
    <row r="2516" spans="1:11" ht="11.25" customHeight="1" x14ac:dyDescent="0.35">
      <c r="A2516" s="33" t="s">
        <v>60</v>
      </c>
      <c r="B2516" s="663" t="s">
        <v>5644</v>
      </c>
      <c r="C2516" s="272" t="s">
        <v>8382</v>
      </c>
      <c r="D2516" s="31" t="s">
        <v>8383</v>
      </c>
      <c r="E2516" s="33">
        <v>3</v>
      </c>
      <c r="F2516" s="22">
        <v>45583</v>
      </c>
      <c r="K2516" s="33" t="s">
        <v>5338</v>
      </c>
    </row>
    <row r="2517" spans="1:11" ht="11.25" customHeight="1" x14ac:dyDescent="0.35">
      <c r="A2517" s="33" t="s">
        <v>60</v>
      </c>
      <c r="B2517" s="663" t="s">
        <v>5644</v>
      </c>
      <c r="C2517" s="272" t="s">
        <v>8384</v>
      </c>
      <c r="D2517" s="31" t="s">
        <v>8385</v>
      </c>
      <c r="E2517" s="33">
        <v>1</v>
      </c>
      <c r="F2517" s="22">
        <v>45583</v>
      </c>
      <c r="K2517" s="33" t="s">
        <v>5338</v>
      </c>
    </row>
    <row r="2518" spans="1:11" ht="11.25" customHeight="1" x14ac:dyDescent="0.35">
      <c r="A2518" s="33" t="s">
        <v>60</v>
      </c>
      <c r="B2518" s="663" t="s">
        <v>5644</v>
      </c>
      <c r="C2518" s="272" t="s">
        <v>8386</v>
      </c>
      <c r="D2518" s="31" t="s">
        <v>8387</v>
      </c>
      <c r="E2518" s="33">
        <v>1</v>
      </c>
      <c r="F2518" s="22">
        <v>45583</v>
      </c>
      <c r="K2518" s="33" t="s">
        <v>5338</v>
      </c>
    </row>
    <row r="2519" spans="1:11" ht="11.25" customHeight="1" x14ac:dyDescent="0.35">
      <c r="A2519" s="33" t="s">
        <v>60</v>
      </c>
      <c r="B2519" s="663" t="s">
        <v>5644</v>
      </c>
      <c r="C2519" s="272" t="s">
        <v>8388</v>
      </c>
      <c r="D2519" s="31" t="s">
        <v>8389</v>
      </c>
      <c r="E2519" s="33">
        <v>6</v>
      </c>
      <c r="F2519" s="22">
        <v>45583</v>
      </c>
      <c r="K2519" s="33" t="s">
        <v>5338</v>
      </c>
    </row>
    <row r="2520" spans="1:11" ht="11.25" customHeight="1" x14ac:dyDescent="0.35">
      <c r="A2520" s="33" t="s">
        <v>60</v>
      </c>
      <c r="B2520" s="663" t="s">
        <v>5644</v>
      </c>
      <c r="C2520" s="272" t="s">
        <v>8390</v>
      </c>
      <c r="D2520" s="31" t="s">
        <v>8391</v>
      </c>
      <c r="E2520" s="33">
        <v>1</v>
      </c>
      <c r="F2520" s="22">
        <v>45583</v>
      </c>
      <c r="K2520" s="33" t="s">
        <v>5338</v>
      </c>
    </row>
    <row r="2521" spans="1:11" ht="11.25" customHeight="1" x14ac:dyDescent="0.35">
      <c r="A2521" s="33" t="s">
        <v>60</v>
      </c>
      <c r="B2521" s="663" t="s">
        <v>5644</v>
      </c>
      <c r="C2521" s="272" t="s">
        <v>8392</v>
      </c>
      <c r="D2521" s="31" t="s">
        <v>8393</v>
      </c>
      <c r="E2521" s="33">
        <v>1</v>
      </c>
      <c r="F2521" s="22">
        <v>45583</v>
      </c>
      <c r="K2521" s="33" t="s">
        <v>5338</v>
      </c>
    </row>
    <row r="2522" spans="1:11" ht="11.25" customHeight="1" x14ac:dyDescent="0.35">
      <c r="A2522" s="33" t="s">
        <v>60</v>
      </c>
      <c r="B2522" s="663" t="s">
        <v>5644</v>
      </c>
      <c r="C2522" s="272" t="s">
        <v>8394</v>
      </c>
      <c r="D2522" s="31" t="s">
        <v>8395</v>
      </c>
      <c r="E2522" s="33">
        <v>1</v>
      </c>
      <c r="F2522" s="22">
        <v>45583</v>
      </c>
      <c r="K2522" s="33" t="s">
        <v>5338</v>
      </c>
    </row>
    <row r="2523" spans="1:11" ht="11.25" customHeight="1" x14ac:dyDescent="0.35">
      <c r="A2523" s="33" t="s">
        <v>60</v>
      </c>
      <c r="B2523" s="663" t="s">
        <v>5644</v>
      </c>
      <c r="C2523" s="272" t="s">
        <v>8396</v>
      </c>
      <c r="D2523" s="31" t="s">
        <v>8397</v>
      </c>
      <c r="E2523" s="33">
        <v>1</v>
      </c>
      <c r="F2523" s="22">
        <v>45583</v>
      </c>
      <c r="K2523" s="33" t="s">
        <v>5338</v>
      </c>
    </row>
    <row r="2524" spans="1:11" ht="11.25" customHeight="1" x14ac:dyDescent="0.35">
      <c r="A2524" s="33" t="s">
        <v>60</v>
      </c>
      <c r="B2524" s="663" t="s">
        <v>5644</v>
      </c>
      <c r="C2524" s="272" t="s">
        <v>8398</v>
      </c>
      <c r="D2524" s="31" t="s">
        <v>8399</v>
      </c>
      <c r="E2524" s="33">
        <v>1</v>
      </c>
      <c r="F2524" s="22">
        <v>45583</v>
      </c>
      <c r="K2524" s="33" t="s">
        <v>5338</v>
      </c>
    </row>
    <row r="2525" spans="1:11" ht="11.25" customHeight="1" x14ac:dyDescent="0.35">
      <c r="A2525" s="33" t="s">
        <v>60</v>
      </c>
      <c r="B2525" s="663" t="s">
        <v>5644</v>
      </c>
      <c r="C2525" s="272" t="s">
        <v>8400</v>
      </c>
      <c r="D2525" s="31" t="s">
        <v>8401</v>
      </c>
      <c r="E2525" s="33">
        <v>1</v>
      </c>
      <c r="F2525" s="22">
        <v>45583</v>
      </c>
      <c r="K2525" s="33" t="s">
        <v>5338</v>
      </c>
    </row>
    <row r="2526" spans="1:11" ht="11.25" customHeight="1" x14ac:dyDescent="0.35">
      <c r="A2526" s="33" t="s">
        <v>60</v>
      </c>
      <c r="B2526" s="663" t="s">
        <v>5644</v>
      </c>
      <c r="C2526" s="272" t="s">
        <v>8402</v>
      </c>
      <c r="D2526" s="31" t="s">
        <v>8403</v>
      </c>
      <c r="E2526" s="33">
        <v>12</v>
      </c>
      <c r="F2526" s="22">
        <v>45583</v>
      </c>
      <c r="K2526" s="33" t="s">
        <v>5338</v>
      </c>
    </row>
    <row r="2527" spans="1:11" ht="11.25" customHeight="1" x14ac:dyDescent="0.35">
      <c r="A2527" s="33" t="s">
        <v>60</v>
      </c>
      <c r="B2527" s="663" t="s">
        <v>5644</v>
      </c>
      <c r="C2527" s="272" t="s">
        <v>8404</v>
      </c>
      <c r="D2527" s="31" t="s">
        <v>8405</v>
      </c>
      <c r="E2527" s="33">
        <v>12</v>
      </c>
      <c r="F2527" s="22">
        <v>45583</v>
      </c>
      <c r="K2527" s="33" t="s">
        <v>5338</v>
      </c>
    </row>
    <row r="2528" spans="1:11" ht="11.25" customHeight="1" x14ac:dyDescent="0.35">
      <c r="A2528" s="33" t="s">
        <v>60</v>
      </c>
      <c r="B2528" s="663" t="s">
        <v>5644</v>
      </c>
      <c r="C2528" s="272" t="s">
        <v>5698</v>
      </c>
      <c r="D2528" s="31" t="s">
        <v>8406</v>
      </c>
      <c r="E2528" s="33">
        <v>1</v>
      </c>
      <c r="F2528" s="22">
        <v>45583</v>
      </c>
      <c r="K2528" s="33" t="s">
        <v>5338</v>
      </c>
    </row>
    <row r="2529" spans="1:11" ht="11.25" customHeight="1" x14ac:dyDescent="0.35">
      <c r="A2529" s="33" t="s">
        <v>60</v>
      </c>
      <c r="B2529" s="663" t="s">
        <v>5644</v>
      </c>
      <c r="C2529" s="272" t="s">
        <v>5725</v>
      </c>
      <c r="D2529" s="31" t="s">
        <v>5726</v>
      </c>
      <c r="E2529" s="33">
        <v>1</v>
      </c>
      <c r="F2529" s="22">
        <v>45583</v>
      </c>
      <c r="K2529" s="33" t="s">
        <v>5338</v>
      </c>
    </row>
    <row r="2530" spans="1:11" ht="11.25" customHeight="1" x14ac:dyDescent="0.35">
      <c r="A2530" s="33" t="s">
        <v>60</v>
      </c>
      <c r="B2530" s="663" t="s">
        <v>5644</v>
      </c>
      <c r="C2530" s="272" t="s">
        <v>8407</v>
      </c>
      <c r="D2530" s="31" t="s">
        <v>8408</v>
      </c>
      <c r="E2530" s="33">
        <v>48</v>
      </c>
      <c r="F2530" s="22">
        <v>45583</v>
      </c>
      <c r="K2530" s="33" t="s">
        <v>5338</v>
      </c>
    </row>
    <row r="2531" spans="1:11" ht="11.25" customHeight="1" x14ac:dyDescent="0.35">
      <c r="A2531" s="33" t="s">
        <v>60</v>
      </c>
      <c r="B2531" s="663" t="s">
        <v>5644</v>
      </c>
      <c r="C2531" s="272" t="s">
        <v>8409</v>
      </c>
      <c r="D2531" s="31" t="s">
        <v>5544</v>
      </c>
      <c r="E2531" s="33">
        <v>25</v>
      </c>
      <c r="F2531" s="22">
        <v>45583</v>
      </c>
      <c r="K2531" s="33" t="s">
        <v>5338</v>
      </c>
    </row>
    <row r="2532" spans="1:11" ht="11.25" customHeight="1" x14ac:dyDescent="0.35">
      <c r="A2532" s="33" t="s">
        <v>60</v>
      </c>
      <c r="B2532" s="663" t="s">
        <v>5644</v>
      </c>
      <c r="C2532" s="272" t="s">
        <v>8410</v>
      </c>
      <c r="D2532" s="31" t="s">
        <v>8411</v>
      </c>
      <c r="E2532" s="33">
        <v>1</v>
      </c>
      <c r="F2532" s="22">
        <v>45583</v>
      </c>
      <c r="K2532" s="33" t="s">
        <v>5338</v>
      </c>
    </row>
    <row r="2533" spans="1:11" ht="11.25" customHeight="1" x14ac:dyDescent="0.35">
      <c r="A2533" s="33" t="s">
        <v>60</v>
      </c>
      <c r="B2533" s="663" t="s">
        <v>5644</v>
      </c>
      <c r="C2533" s="272" t="s">
        <v>8412</v>
      </c>
      <c r="D2533" s="31" t="s">
        <v>8413</v>
      </c>
      <c r="E2533" s="33">
        <v>6</v>
      </c>
      <c r="F2533" s="22">
        <v>45583</v>
      </c>
      <c r="K2533" s="33" t="s">
        <v>5338</v>
      </c>
    </row>
    <row r="2534" spans="1:11" ht="11.25" customHeight="1" x14ac:dyDescent="0.35">
      <c r="A2534" s="33" t="s">
        <v>60</v>
      </c>
      <c r="B2534" s="663" t="s">
        <v>5644</v>
      </c>
      <c r="C2534" s="272" t="s">
        <v>8414</v>
      </c>
      <c r="D2534" s="31" t="s">
        <v>8415</v>
      </c>
      <c r="E2534" s="33">
        <v>2</v>
      </c>
      <c r="F2534" s="22">
        <v>45583</v>
      </c>
      <c r="K2534" s="33" t="s">
        <v>5338</v>
      </c>
    </row>
    <row r="2535" spans="1:11" ht="11.25" customHeight="1" x14ac:dyDescent="0.35">
      <c r="A2535" s="33" t="s">
        <v>60</v>
      </c>
      <c r="B2535" s="663" t="s">
        <v>5644</v>
      </c>
      <c r="C2535" s="272" t="s">
        <v>8416</v>
      </c>
      <c r="D2535" s="31" t="s">
        <v>8417</v>
      </c>
      <c r="E2535" s="33">
        <v>4</v>
      </c>
      <c r="F2535" s="22">
        <v>45583</v>
      </c>
      <c r="K2535" s="33" t="s">
        <v>5338</v>
      </c>
    </row>
    <row r="2536" spans="1:11" ht="11.25" customHeight="1" x14ac:dyDescent="0.35">
      <c r="A2536" s="33" t="s">
        <v>60</v>
      </c>
      <c r="B2536" s="663" t="s">
        <v>5644</v>
      </c>
      <c r="C2536" s="272" t="s">
        <v>8418</v>
      </c>
      <c r="D2536" s="31" t="s">
        <v>8419</v>
      </c>
      <c r="E2536" s="33">
        <v>1</v>
      </c>
      <c r="F2536" s="22">
        <v>45583</v>
      </c>
      <c r="K2536" s="33" t="s">
        <v>5338</v>
      </c>
    </row>
    <row r="2537" spans="1:11" ht="11.25" customHeight="1" x14ac:dyDescent="0.35">
      <c r="A2537" s="33" t="s">
        <v>60</v>
      </c>
      <c r="B2537" s="663" t="s">
        <v>5644</v>
      </c>
      <c r="C2537" s="272" t="s">
        <v>8420</v>
      </c>
      <c r="D2537" s="31" t="s">
        <v>8421</v>
      </c>
      <c r="E2537" s="33">
        <v>1</v>
      </c>
      <c r="F2537" s="22">
        <v>45583</v>
      </c>
      <c r="K2537" s="33" t="s">
        <v>5338</v>
      </c>
    </row>
    <row r="2538" spans="1:11" ht="11.25" customHeight="1" x14ac:dyDescent="0.35">
      <c r="A2538" s="33" t="s">
        <v>60</v>
      </c>
      <c r="B2538" s="663" t="s">
        <v>5644</v>
      </c>
      <c r="C2538" s="272" t="s">
        <v>8422</v>
      </c>
      <c r="D2538" s="31" t="s">
        <v>8423</v>
      </c>
      <c r="E2538" s="33">
        <v>2</v>
      </c>
      <c r="F2538" s="22">
        <v>45583</v>
      </c>
      <c r="K2538" s="33" t="s">
        <v>5338</v>
      </c>
    </row>
    <row r="2539" spans="1:11" ht="11.25" customHeight="1" x14ac:dyDescent="0.35">
      <c r="A2539" s="33" t="s">
        <v>60</v>
      </c>
      <c r="B2539" s="663" t="s">
        <v>5644</v>
      </c>
      <c r="C2539" s="272" t="s">
        <v>8424</v>
      </c>
      <c r="D2539" s="31" t="s">
        <v>8425</v>
      </c>
      <c r="E2539" s="33">
        <v>2</v>
      </c>
      <c r="F2539" s="22">
        <v>45583</v>
      </c>
      <c r="K2539" s="33" t="s">
        <v>5338</v>
      </c>
    </row>
    <row r="2540" spans="1:11" ht="11.25" customHeight="1" x14ac:dyDescent="0.25">
      <c r="B2540" s="7"/>
      <c r="F2540" s="22">
        <v>45583</v>
      </c>
    </row>
    <row r="2541" spans="1:11" ht="11.25" customHeight="1" x14ac:dyDescent="0.25">
      <c r="B2541" s="7"/>
      <c r="F2541" s="22">
        <v>45583</v>
      </c>
    </row>
    <row r="2542" spans="1:11" ht="11.25" customHeight="1" x14ac:dyDescent="0.25">
      <c r="B2542" s="7"/>
      <c r="F2542" s="22">
        <v>45583</v>
      </c>
    </row>
    <row r="2543" spans="1:11" ht="11.25" customHeight="1" x14ac:dyDescent="0.25">
      <c r="B2543" s="7"/>
      <c r="F2543" s="22">
        <v>45583</v>
      </c>
    </row>
    <row r="2544" spans="1:11" ht="11.25" customHeight="1" x14ac:dyDescent="0.25">
      <c r="B2544" s="7"/>
      <c r="F2544" s="22">
        <v>45583</v>
      </c>
    </row>
    <row r="2545" spans="2:6" ht="11.25" customHeight="1" x14ac:dyDescent="0.25">
      <c r="B2545" s="7"/>
      <c r="F2545" s="22">
        <v>45583</v>
      </c>
    </row>
    <row r="2546" spans="2:6" ht="11.25" customHeight="1" x14ac:dyDescent="0.25">
      <c r="B2546" s="7"/>
      <c r="F2546" s="22">
        <v>45583</v>
      </c>
    </row>
    <row r="2547" spans="2:6" ht="11.25" customHeight="1" x14ac:dyDescent="0.25">
      <c r="B2547" s="7"/>
      <c r="F2547" s="22">
        <v>45583</v>
      </c>
    </row>
    <row r="2548" spans="2:6" ht="11.25" customHeight="1" x14ac:dyDescent="0.25">
      <c r="B2548" s="7"/>
      <c r="F2548" s="22">
        <v>45583</v>
      </c>
    </row>
    <row r="2549" spans="2:6" ht="11.25" customHeight="1" x14ac:dyDescent="0.25">
      <c r="B2549" s="7"/>
      <c r="F2549" s="22">
        <v>45583</v>
      </c>
    </row>
    <row r="2550" spans="2:6" ht="11.25" customHeight="1" x14ac:dyDescent="0.25">
      <c r="B2550" s="7"/>
      <c r="F2550" s="22">
        <v>45583</v>
      </c>
    </row>
    <row r="2551" spans="2:6" ht="11.25" customHeight="1" x14ac:dyDescent="0.25">
      <c r="B2551" s="7"/>
      <c r="F2551" s="22">
        <v>45583</v>
      </c>
    </row>
    <row r="2552" spans="2:6" ht="11.25" customHeight="1" x14ac:dyDescent="0.25">
      <c r="B2552" s="7"/>
      <c r="F2552" s="22">
        <v>45583</v>
      </c>
    </row>
    <row r="2553" spans="2:6" ht="11.25" customHeight="1" x14ac:dyDescent="0.25">
      <c r="B2553" s="7"/>
      <c r="F2553" s="22">
        <v>45583</v>
      </c>
    </row>
    <row r="2554" spans="2:6" ht="11.25" customHeight="1" x14ac:dyDescent="0.25">
      <c r="B2554" s="7"/>
      <c r="F2554" s="22">
        <v>45583</v>
      </c>
    </row>
    <row r="2555" spans="2:6" ht="11.25" customHeight="1" x14ac:dyDescent="0.25">
      <c r="B2555" s="7"/>
    </row>
    <row r="2556" spans="2:6" ht="11.25" customHeight="1" x14ac:dyDescent="0.25">
      <c r="B2556" s="7"/>
    </row>
    <row r="2557" spans="2:6" ht="11.25" customHeight="1" x14ac:dyDescent="0.25">
      <c r="B2557" s="7"/>
    </row>
    <row r="2558" spans="2:6" ht="11.25" customHeight="1" x14ac:dyDescent="0.25">
      <c r="B2558" s="7"/>
    </row>
    <row r="2559" spans="2:6" ht="11.25" customHeight="1" x14ac:dyDescent="0.25">
      <c r="B2559" s="7"/>
    </row>
    <row r="2560" spans="2:6" ht="11.25" customHeight="1" x14ac:dyDescent="0.25">
      <c r="B2560" s="7"/>
    </row>
    <row r="2561" spans="2:2" ht="11.25" customHeight="1" x14ac:dyDescent="0.25">
      <c r="B2561" s="7"/>
    </row>
    <row r="2562" spans="2:2" ht="11.25" customHeight="1" x14ac:dyDescent="0.25">
      <c r="B2562" s="7"/>
    </row>
    <row r="2563" spans="2:2" ht="11.25" customHeight="1" x14ac:dyDescent="0.25">
      <c r="B2563" s="7"/>
    </row>
    <row r="2564" spans="2:2" ht="11.25" customHeight="1" x14ac:dyDescent="0.25">
      <c r="B2564" s="7"/>
    </row>
    <row r="2565" spans="2:2" ht="11.25" customHeight="1" x14ac:dyDescent="0.25">
      <c r="B2565" s="7"/>
    </row>
    <row r="2566" spans="2:2" ht="11.25" customHeight="1" x14ac:dyDescent="0.25">
      <c r="B2566" s="7"/>
    </row>
    <row r="2567" spans="2:2" ht="11.25" customHeight="1" x14ac:dyDescent="0.25">
      <c r="B2567" s="7"/>
    </row>
    <row r="2568" spans="2:2" ht="11.25" customHeight="1" x14ac:dyDescent="0.25">
      <c r="B2568" s="7"/>
    </row>
    <row r="2569" spans="2:2" ht="11.25" customHeight="1" x14ac:dyDescent="0.25">
      <c r="B2569" s="7"/>
    </row>
    <row r="2570" spans="2:2" ht="11.25" customHeight="1" x14ac:dyDescent="0.25">
      <c r="B2570" s="7"/>
    </row>
    <row r="2571" spans="2:2" ht="11.25" customHeight="1" x14ac:dyDescent="0.25">
      <c r="B2571" s="7"/>
    </row>
    <row r="2572" spans="2:2" ht="11.25" customHeight="1" x14ac:dyDescent="0.25">
      <c r="B2572" s="7"/>
    </row>
    <row r="2573" spans="2:2" ht="11.25" customHeight="1" x14ac:dyDescent="0.25">
      <c r="B2573" s="7"/>
    </row>
    <row r="2574" spans="2:2" ht="11.25" customHeight="1" x14ac:dyDescent="0.25">
      <c r="B2574" s="7"/>
    </row>
    <row r="2575" spans="2:2" ht="11.25" customHeight="1" x14ac:dyDescent="0.25">
      <c r="B2575" s="7"/>
    </row>
    <row r="2576" spans="2:2" ht="11.25" customHeight="1" x14ac:dyDescent="0.25">
      <c r="B2576" s="7"/>
    </row>
    <row r="2577" spans="2:2" ht="11.25" customHeight="1" x14ac:dyDescent="0.25">
      <c r="B2577" s="7"/>
    </row>
    <row r="2578" spans="2:2" ht="11.25" customHeight="1" x14ac:dyDescent="0.25">
      <c r="B2578" s="7"/>
    </row>
    <row r="2579" spans="2:2" ht="11.25" customHeight="1" x14ac:dyDescent="0.25">
      <c r="B2579" s="7"/>
    </row>
    <row r="2580" spans="2:2" ht="11.25" customHeight="1" x14ac:dyDescent="0.25">
      <c r="B2580" s="7"/>
    </row>
    <row r="2581" spans="2:2" ht="11.25" customHeight="1" x14ac:dyDescent="0.25">
      <c r="B2581" s="7"/>
    </row>
    <row r="2582" spans="2:2" ht="11.25" customHeight="1" x14ac:dyDescent="0.25">
      <c r="B2582" s="7"/>
    </row>
    <row r="2583" spans="2:2" ht="11.25" customHeight="1" x14ac:dyDescent="0.25">
      <c r="B2583" s="7"/>
    </row>
    <row r="2584" spans="2:2" ht="11.25" customHeight="1" x14ac:dyDescent="0.25">
      <c r="B2584" s="7"/>
    </row>
    <row r="2585" spans="2:2" ht="11.25" customHeight="1" x14ac:dyDescent="0.25">
      <c r="B2585" s="7"/>
    </row>
    <row r="2586" spans="2:2" ht="11.25" customHeight="1" x14ac:dyDescent="0.25">
      <c r="B2586" s="7"/>
    </row>
    <row r="2587" spans="2:2" ht="11.25" customHeight="1" x14ac:dyDescent="0.25">
      <c r="B2587" s="7"/>
    </row>
    <row r="2588" spans="2:2" ht="11.25" customHeight="1" x14ac:dyDescent="0.25">
      <c r="B2588" s="7"/>
    </row>
    <row r="2589" spans="2:2" ht="11.25" customHeight="1" x14ac:dyDescent="0.25">
      <c r="B2589" s="7"/>
    </row>
    <row r="2590" spans="2:2" ht="11.25" customHeight="1" x14ac:dyDescent="0.25">
      <c r="B2590" s="7"/>
    </row>
    <row r="2591" spans="2:2" ht="11.25" customHeight="1" x14ac:dyDescent="0.25">
      <c r="B2591" s="7"/>
    </row>
    <row r="2592" spans="2:2" ht="11.25" customHeight="1" x14ac:dyDescent="0.25">
      <c r="B2592" s="7"/>
    </row>
    <row r="2593" spans="2:2" ht="11.25" customHeight="1" x14ac:dyDescent="0.25">
      <c r="B2593" s="7"/>
    </row>
    <row r="2594" spans="2:2" ht="11.25" customHeight="1" x14ac:dyDescent="0.25">
      <c r="B2594" s="7"/>
    </row>
    <row r="2595" spans="2:2" ht="11.25" customHeight="1" x14ac:dyDescent="0.25">
      <c r="B2595" s="7"/>
    </row>
    <row r="2596" spans="2:2" ht="11.25" customHeight="1" x14ac:dyDescent="0.25">
      <c r="B2596" s="7"/>
    </row>
    <row r="2597" spans="2:2" ht="11.25" customHeight="1" x14ac:dyDescent="0.25">
      <c r="B2597" s="7"/>
    </row>
    <row r="2598" spans="2:2" ht="11.25" customHeight="1" x14ac:dyDescent="0.25">
      <c r="B2598" s="7"/>
    </row>
    <row r="2599" spans="2:2" ht="11.25" customHeight="1" x14ac:dyDescent="0.25">
      <c r="B2599" s="7"/>
    </row>
    <row r="2600" spans="2:2" ht="11.25" customHeight="1" x14ac:dyDescent="0.25">
      <c r="B2600" s="7"/>
    </row>
    <row r="2601" spans="2:2" ht="11.25" customHeight="1" x14ac:dyDescent="0.25">
      <c r="B2601" s="7"/>
    </row>
    <row r="2602" spans="2:2" ht="11.25" customHeight="1" x14ac:dyDescent="0.25">
      <c r="B2602" s="7"/>
    </row>
    <row r="2603" spans="2:2" ht="11.25" customHeight="1" x14ac:dyDescent="0.25">
      <c r="B2603" s="7"/>
    </row>
    <row r="2604" spans="2:2" ht="11.25" customHeight="1" x14ac:dyDescent="0.25">
      <c r="B2604" s="7"/>
    </row>
    <row r="2605" spans="2:2" ht="11.25" customHeight="1" x14ac:dyDescent="0.25">
      <c r="B2605" s="7"/>
    </row>
    <row r="2606" spans="2:2" ht="11.25" customHeight="1" x14ac:dyDescent="0.25">
      <c r="B2606" s="7"/>
    </row>
    <row r="2607" spans="2:2" ht="11.25" customHeight="1" x14ac:dyDescent="0.25">
      <c r="B2607" s="7"/>
    </row>
    <row r="2608" spans="2:2" ht="11.25" customHeight="1" x14ac:dyDescent="0.25">
      <c r="B2608" s="7"/>
    </row>
    <row r="2609" spans="2:2" ht="11.25" customHeight="1" x14ac:dyDescent="0.25">
      <c r="B2609" s="7"/>
    </row>
    <row r="2610" spans="2:2" ht="11.25" customHeight="1" x14ac:dyDescent="0.25">
      <c r="B2610" s="7"/>
    </row>
    <row r="2611" spans="2:2" ht="11.25" customHeight="1" x14ac:dyDescent="0.25">
      <c r="B2611" s="7"/>
    </row>
    <row r="2612" spans="2:2" ht="11.25" customHeight="1" x14ac:dyDescent="0.25">
      <c r="B2612" s="7"/>
    </row>
    <row r="2613" spans="2:2" ht="11.25" customHeight="1" x14ac:dyDescent="0.25">
      <c r="B2613" s="7"/>
    </row>
    <row r="2614" spans="2:2" ht="11.25" customHeight="1" x14ac:dyDescent="0.25">
      <c r="B2614" s="7"/>
    </row>
    <row r="2615" spans="2:2" ht="11.25" customHeight="1" x14ac:dyDescent="0.25">
      <c r="B2615" s="7"/>
    </row>
    <row r="2616" spans="2:2" ht="11.25" customHeight="1" x14ac:dyDescent="0.25">
      <c r="B2616" s="7"/>
    </row>
    <row r="2617" spans="2:2" ht="11.25" customHeight="1" x14ac:dyDescent="0.25">
      <c r="B2617" s="7"/>
    </row>
    <row r="2618" spans="2:2" ht="11.25" customHeight="1" x14ac:dyDescent="0.25">
      <c r="B2618" s="7"/>
    </row>
    <row r="2619" spans="2:2" ht="11.25" customHeight="1" x14ac:dyDescent="0.25">
      <c r="B2619" s="7"/>
    </row>
    <row r="2620" spans="2:2" ht="11.25" customHeight="1" x14ac:dyDescent="0.25">
      <c r="B2620" s="7"/>
    </row>
    <row r="2621" spans="2:2" ht="11.25" customHeight="1" x14ac:dyDescent="0.25">
      <c r="B2621" s="7"/>
    </row>
    <row r="2622" spans="2:2" ht="11.25" customHeight="1" x14ac:dyDescent="0.25">
      <c r="B2622" s="7"/>
    </row>
    <row r="2623" spans="2:2" ht="11.25" customHeight="1" x14ac:dyDescent="0.25">
      <c r="B2623" s="7"/>
    </row>
    <row r="2624" spans="2:2" ht="11.25" customHeight="1" x14ac:dyDescent="0.25">
      <c r="B2624" s="7"/>
    </row>
    <row r="2625" spans="2:2" ht="11.25" customHeight="1" x14ac:dyDescent="0.25">
      <c r="B2625" s="7"/>
    </row>
    <row r="2626" spans="2:2" ht="11.25" customHeight="1" x14ac:dyDescent="0.25">
      <c r="B2626" s="7"/>
    </row>
    <row r="2627" spans="2:2" ht="11.25" customHeight="1" x14ac:dyDescent="0.25">
      <c r="B2627" s="7"/>
    </row>
    <row r="2628" spans="2:2" ht="11.25" customHeight="1" x14ac:dyDescent="0.25">
      <c r="B2628" s="7"/>
    </row>
    <row r="2629" spans="2:2" ht="11.25" customHeight="1" x14ac:dyDescent="0.25">
      <c r="B2629" s="7"/>
    </row>
    <row r="2630" spans="2:2" ht="11.25" customHeight="1" x14ac:dyDescent="0.25">
      <c r="B2630" s="7"/>
    </row>
    <row r="2631" spans="2:2" ht="11.25" customHeight="1" x14ac:dyDescent="0.25">
      <c r="B2631" s="7"/>
    </row>
    <row r="2632" spans="2:2" ht="11.25" customHeight="1" x14ac:dyDescent="0.25">
      <c r="B2632" s="7"/>
    </row>
    <row r="2633" spans="2:2" ht="11.25" customHeight="1" x14ac:dyDescent="0.25">
      <c r="B2633" s="7"/>
    </row>
    <row r="2634" spans="2:2" ht="11.25" customHeight="1" x14ac:dyDescent="0.25">
      <c r="B2634" s="7"/>
    </row>
    <row r="2635" spans="2:2" ht="11.25" customHeight="1" x14ac:dyDescent="0.25">
      <c r="B2635" s="7"/>
    </row>
    <row r="2636" spans="2:2" ht="11.25" customHeight="1" x14ac:dyDescent="0.25">
      <c r="B2636" s="7"/>
    </row>
    <row r="2637" spans="2:2" ht="11.25" customHeight="1" x14ac:dyDescent="0.25">
      <c r="B2637" s="7"/>
    </row>
    <row r="2638" spans="2:2" ht="11.25" customHeight="1" x14ac:dyDescent="0.25">
      <c r="B2638" s="7"/>
    </row>
    <row r="2639" spans="2:2" ht="11.25" customHeight="1" x14ac:dyDescent="0.25">
      <c r="B2639" s="7"/>
    </row>
    <row r="2640" spans="2:2" ht="11.25" customHeight="1" x14ac:dyDescent="0.25">
      <c r="B2640" s="7"/>
    </row>
    <row r="2641" spans="2:2" ht="11.25" customHeight="1" x14ac:dyDescent="0.25">
      <c r="B2641" s="7"/>
    </row>
    <row r="2642" spans="2:2" ht="11.25" customHeight="1" x14ac:dyDescent="0.25">
      <c r="B2642" s="7"/>
    </row>
    <row r="2643" spans="2:2" ht="11.25" customHeight="1" x14ac:dyDescent="0.25">
      <c r="B2643" s="7"/>
    </row>
    <row r="2644" spans="2:2" ht="11.25" customHeight="1" x14ac:dyDescent="0.25">
      <c r="B2644" s="7"/>
    </row>
    <row r="2645" spans="2:2" ht="11.25" customHeight="1" x14ac:dyDescent="0.25">
      <c r="B2645" s="7"/>
    </row>
    <row r="2646" spans="2:2" ht="11.25" customHeight="1" x14ac:dyDescent="0.25">
      <c r="B2646" s="7"/>
    </row>
    <row r="2647" spans="2:2" ht="11.25" customHeight="1" x14ac:dyDescent="0.25">
      <c r="B2647" s="7"/>
    </row>
    <row r="2648" spans="2:2" ht="11.25" customHeight="1" x14ac:dyDescent="0.25">
      <c r="B2648" s="7"/>
    </row>
    <row r="2649" spans="2:2" ht="11.25" customHeight="1" x14ac:dyDescent="0.25">
      <c r="B2649" s="7"/>
    </row>
    <row r="2650" spans="2:2" ht="11.25" customHeight="1" x14ac:dyDescent="0.25">
      <c r="B2650" s="7"/>
    </row>
    <row r="2651" spans="2:2" ht="11.25" customHeight="1" x14ac:dyDescent="0.25">
      <c r="B2651" s="7"/>
    </row>
    <row r="2652" spans="2:2" ht="11.25" customHeight="1" x14ac:dyDescent="0.25">
      <c r="B2652" s="7"/>
    </row>
    <row r="2653" spans="2:2" ht="11.25" customHeight="1" x14ac:dyDescent="0.25">
      <c r="B2653" s="7"/>
    </row>
    <row r="2654" spans="2:2" ht="11.25" customHeight="1" x14ac:dyDescent="0.25">
      <c r="B2654" s="7"/>
    </row>
    <row r="2655" spans="2:2" ht="11.25" customHeight="1" x14ac:dyDescent="0.25">
      <c r="B2655" s="7"/>
    </row>
    <row r="2656" spans="2:2" ht="11.25" customHeight="1" x14ac:dyDescent="0.25">
      <c r="B2656" s="7"/>
    </row>
    <row r="2657" spans="2:2" ht="11.25" customHeight="1" x14ac:dyDescent="0.25">
      <c r="B2657" s="7"/>
    </row>
    <row r="2658" spans="2:2" ht="11.25" customHeight="1" x14ac:dyDescent="0.25">
      <c r="B2658" s="7"/>
    </row>
    <row r="2659" spans="2:2" ht="11.25" customHeight="1" x14ac:dyDescent="0.25">
      <c r="B2659" s="7"/>
    </row>
    <row r="2660" spans="2:2" ht="11.25" customHeight="1" x14ac:dyDescent="0.25">
      <c r="B2660" s="7"/>
    </row>
    <row r="2661" spans="2:2" ht="11.25" customHeight="1" x14ac:dyDescent="0.25">
      <c r="B2661" s="7"/>
    </row>
    <row r="2662" spans="2:2" ht="11.25" customHeight="1" x14ac:dyDescent="0.25">
      <c r="B2662" s="7"/>
    </row>
    <row r="2663" spans="2:2" ht="11.25" customHeight="1" x14ac:dyDescent="0.25">
      <c r="B2663" s="7"/>
    </row>
    <row r="2664" spans="2:2" ht="11.25" customHeight="1" x14ac:dyDescent="0.25">
      <c r="B2664" s="7"/>
    </row>
    <row r="2665" spans="2:2" ht="11.25" customHeight="1" x14ac:dyDescent="0.25">
      <c r="B2665" s="7"/>
    </row>
    <row r="2666" spans="2:2" ht="11.25" customHeight="1" x14ac:dyDescent="0.25">
      <c r="B2666" s="7"/>
    </row>
    <row r="2667" spans="2:2" ht="11.25" customHeight="1" x14ac:dyDescent="0.25">
      <c r="B2667" s="7"/>
    </row>
    <row r="2668" spans="2:2" ht="11.25" customHeight="1" x14ac:dyDescent="0.25">
      <c r="B2668" s="7"/>
    </row>
    <row r="2669" spans="2:2" ht="11.25" customHeight="1" x14ac:dyDescent="0.25">
      <c r="B2669" s="7"/>
    </row>
    <row r="2670" spans="2:2" ht="11.25" customHeight="1" x14ac:dyDescent="0.25">
      <c r="B2670" s="7"/>
    </row>
    <row r="2671" spans="2:2" ht="11.25" customHeight="1" x14ac:dyDescent="0.25">
      <c r="B2671" s="7"/>
    </row>
    <row r="2672" spans="2:2" ht="11.25" customHeight="1" x14ac:dyDescent="0.25">
      <c r="B2672" s="7"/>
    </row>
    <row r="2673" spans="2:2" ht="11.25" customHeight="1" x14ac:dyDescent="0.25">
      <c r="B2673" s="7"/>
    </row>
    <row r="2674" spans="2:2" ht="11.25" customHeight="1" x14ac:dyDescent="0.25">
      <c r="B2674" s="7"/>
    </row>
    <row r="2675" spans="2:2" ht="11.25" customHeight="1" x14ac:dyDescent="0.25">
      <c r="B2675" s="7"/>
    </row>
    <row r="2676" spans="2:2" ht="11.25" customHeight="1" x14ac:dyDescent="0.25">
      <c r="B2676" s="7"/>
    </row>
    <row r="2677" spans="2:2" ht="11.25" customHeight="1" x14ac:dyDescent="0.25">
      <c r="B2677" s="7"/>
    </row>
    <row r="2678" spans="2:2" ht="11.25" customHeight="1" x14ac:dyDescent="0.25">
      <c r="B2678" s="7"/>
    </row>
    <row r="2679" spans="2:2" ht="11.25" customHeight="1" x14ac:dyDescent="0.25">
      <c r="B2679" s="7"/>
    </row>
    <row r="2680" spans="2:2" ht="11.25" customHeight="1" x14ac:dyDescent="0.25">
      <c r="B2680" s="7"/>
    </row>
    <row r="2681" spans="2:2" ht="11.25" customHeight="1" x14ac:dyDescent="0.25">
      <c r="B2681" s="7"/>
    </row>
    <row r="2682" spans="2:2" ht="11.25" customHeight="1" x14ac:dyDescent="0.25">
      <c r="B2682" s="7"/>
    </row>
    <row r="2683" spans="2:2" ht="11.25" customHeight="1" x14ac:dyDescent="0.25">
      <c r="B2683" s="7"/>
    </row>
    <row r="2684" spans="2:2" ht="11.25" customHeight="1" x14ac:dyDescent="0.25">
      <c r="B2684" s="7"/>
    </row>
    <row r="2685" spans="2:2" ht="11.25" customHeight="1" x14ac:dyDescent="0.25">
      <c r="B2685" s="7"/>
    </row>
    <row r="2686" spans="2:2" ht="11.25" customHeight="1" x14ac:dyDescent="0.25">
      <c r="B2686" s="7"/>
    </row>
    <row r="2687" spans="2:2" ht="11.25" customHeight="1" x14ac:dyDescent="0.25">
      <c r="B2687" s="7"/>
    </row>
    <row r="2688" spans="2:2" ht="11.25" customHeight="1" x14ac:dyDescent="0.25">
      <c r="B2688" s="7"/>
    </row>
    <row r="2689" spans="2:2" ht="11.25" customHeight="1" x14ac:dyDescent="0.25">
      <c r="B2689" s="7"/>
    </row>
    <row r="2690" spans="2:2" ht="11.25" customHeight="1" x14ac:dyDescent="0.25">
      <c r="B2690" s="7"/>
    </row>
    <row r="2691" spans="2:2" ht="11.25" customHeight="1" x14ac:dyDescent="0.25">
      <c r="B2691" s="7"/>
    </row>
    <row r="2692" spans="2:2" ht="11.25" customHeight="1" x14ac:dyDescent="0.25">
      <c r="B2692" s="7"/>
    </row>
    <row r="2693" spans="2:2" ht="11.25" customHeight="1" x14ac:dyDescent="0.25">
      <c r="B2693" s="7"/>
    </row>
    <row r="2694" spans="2:2" ht="11.25" customHeight="1" x14ac:dyDescent="0.25">
      <c r="B2694" s="7"/>
    </row>
    <row r="2695" spans="2:2" ht="11.25" customHeight="1" x14ac:dyDescent="0.25">
      <c r="B2695" s="7"/>
    </row>
    <row r="2696" spans="2:2" ht="11.25" customHeight="1" x14ac:dyDescent="0.25">
      <c r="B2696" s="7"/>
    </row>
    <row r="2697" spans="2:2" ht="11.25" customHeight="1" x14ac:dyDescent="0.25">
      <c r="B2697" s="7"/>
    </row>
    <row r="2698" spans="2:2" ht="11.25" customHeight="1" x14ac:dyDescent="0.25">
      <c r="B2698" s="7"/>
    </row>
    <row r="2699" spans="2:2" ht="11.25" customHeight="1" x14ac:dyDescent="0.25">
      <c r="B2699" s="7"/>
    </row>
    <row r="2700" spans="2:2" ht="11.25" customHeight="1" x14ac:dyDescent="0.25">
      <c r="B2700" s="7"/>
    </row>
    <row r="2701" spans="2:2" ht="11.25" customHeight="1" x14ac:dyDescent="0.25">
      <c r="B2701" s="7"/>
    </row>
    <row r="2702" spans="2:2" ht="11.25" customHeight="1" x14ac:dyDescent="0.25">
      <c r="B2702" s="7"/>
    </row>
    <row r="2703" spans="2:2" ht="11.25" customHeight="1" x14ac:dyDescent="0.25">
      <c r="B2703" s="7"/>
    </row>
    <row r="2704" spans="2:2" ht="11.25" customHeight="1" x14ac:dyDescent="0.25">
      <c r="B2704" s="7"/>
    </row>
    <row r="2705" spans="2:2" ht="11.25" customHeight="1" x14ac:dyDescent="0.25">
      <c r="B2705" s="7"/>
    </row>
    <row r="2706" spans="2:2" ht="11.25" customHeight="1" x14ac:dyDescent="0.25">
      <c r="B2706" s="7"/>
    </row>
    <row r="2707" spans="2:2" ht="11.25" customHeight="1" x14ac:dyDescent="0.25">
      <c r="B2707" s="7"/>
    </row>
    <row r="2708" spans="2:2" ht="11.25" customHeight="1" x14ac:dyDescent="0.25">
      <c r="B2708" s="7"/>
    </row>
    <row r="2709" spans="2:2" ht="11.25" customHeight="1" x14ac:dyDescent="0.25">
      <c r="B2709" s="7"/>
    </row>
    <row r="2710" spans="2:2" ht="11.25" customHeight="1" x14ac:dyDescent="0.25">
      <c r="B2710" s="7"/>
    </row>
    <row r="2711" spans="2:2" ht="11.25" customHeight="1" x14ac:dyDescent="0.25">
      <c r="B2711" s="7"/>
    </row>
    <row r="2712" spans="2:2" ht="11.25" customHeight="1" x14ac:dyDescent="0.25">
      <c r="B2712" s="7"/>
    </row>
    <row r="2713" spans="2:2" ht="11.25" customHeight="1" x14ac:dyDescent="0.25">
      <c r="B2713" s="7"/>
    </row>
    <row r="2714" spans="2:2" ht="11.25" customHeight="1" x14ac:dyDescent="0.25">
      <c r="B2714" s="7"/>
    </row>
    <row r="2715" spans="2:2" ht="11.25" customHeight="1" x14ac:dyDescent="0.25">
      <c r="B2715" s="7"/>
    </row>
    <row r="2716" spans="2:2" ht="11.25" customHeight="1" x14ac:dyDescent="0.25">
      <c r="B2716" s="7"/>
    </row>
    <row r="2717" spans="2:2" ht="11.25" customHeight="1" x14ac:dyDescent="0.25">
      <c r="B2717" s="7"/>
    </row>
    <row r="2718" spans="2:2" ht="11.25" customHeight="1" x14ac:dyDescent="0.25">
      <c r="B2718" s="7"/>
    </row>
    <row r="2719" spans="2:2" ht="11.25" customHeight="1" x14ac:dyDescent="0.25">
      <c r="B2719" s="7"/>
    </row>
    <row r="2720" spans="2:2" ht="11.25" customHeight="1" x14ac:dyDescent="0.25">
      <c r="B2720" s="7"/>
    </row>
    <row r="2721" spans="2:2" ht="11.25" customHeight="1" x14ac:dyDescent="0.25">
      <c r="B2721" s="7"/>
    </row>
    <row r="2722" spans="2:2" ht="11.25" customHeight="1" x14ac:dyDescent="0.25">
      <c r="B2722" s="7"/>
    </row>
    <row r="2723" spans="2:2" ht="11.25" customHeight="1" x14ac:dyDescent="0.25">
      <c r="B2723" s="7"/>
    </row>
    <row r="2724" spans="2:2" ht="11.25" customHeight="1" x14ac:dyDescent="0.25">
      <c r="B2724" s="7"/>
    </row>
    <row r="2725" spans="2:2" ht="11.25" customHeight="1" x14ac:dyDescent="0.25">
      <c r="B2725" s="7"/>
    </row>
    <row r="2726" spans="2:2" ht="11.25" customHeight="1" x14ac:dyDescent="0.25">
      <c r="B2726" s="7"/>
    </row>
    <row r="2727" spans="2:2" ht="11.25" customHeight="1" x14ac:dyDescent="0.25">
      <c r="B2727" s="7"/>
    </row>
    <row r="2728" spans="2:2" ht="11.25" customHeight="1" x14ac:dyDescent="0.25">
      <c r="B2728" s="7"/>
    </row>
    <row r="2729" spans="2:2" ht="11.25" customHeight="1" x14ac:dyDescent="0.25">
      <c r="B2729" s="7"/>
    </row>
    <row r="2730" spans="2:2" ht="11.25" customHeight="1" x14ac:dyDescent="0.25">
      <c r="B2730" s="7"/>
    </row>
    <row r="2731" spans="2:2" ht="11.25" customHeight="1" x14ac:dyDescent="0.25">
      <c r="B2731" s="7"/>
    </row>
    <row r="2732" spans="2:2" ht="11.25" customHeight="1" x14ac:dyDescent="0.25">
      <c r="B2732" s="7"/>
    </row>
    <row r="2733" spans="2:2" ht="11.25" customHeight="1" x14ac:dyDescent="0.25">
      <c r="B2733" s="7"/>
    </row>
    <row r="2734" spans="2:2" ht="11.25" customHeight="1" x14ac:dyDescent="0.25">
      <c r="B2734" s="7"/>
    </row>
    <row r="2735" spans="2:2" ht="11.25" customHeight="1" x14ac:dyDescent="0.25">
      <c r="B2735" s="7"/>
    </row>
    <row r="2736" spans="2:2" ht="11.25" customHeight="1" x14ac:dyDescent="0.25">
      <c r="B2736" s="7"/>
    </row>
    <row r="2737" spans="2:2" ht="11.25" customHeight="1" x14ac:dyDescent="0.25">
      <c r="B2737" s="7"/>
    </row>
    <row r="2738" spans="2:2" ht="11.25" customHeight="1" x14ac:dyDescent="0.25">
      <c r="B2738" s="7"/>
    </row>
    <row r="2739" spans="2:2" ht="11.25" customHeight="1" x14ac:dyDescent="0.25">
      <c r="B2739" s="7"/>
    </row>
    <row r="2740" spans="2:2" ht="11.25" customHeight="1" x14ac:dyDescent="0.25">
      <c r="B2740" s="7"/>
    </row>
    <row r="2741" spans="2:2" ht="11.25" customHeight="1" x14ac:dyDescent="0.25">
      <c r="B2741" s="7"/>
    </row>
    <row r="2742" spans="2:2" ht="11.25" customHeight="1" x14ac:dyDescent="0.25">
      <c r="B2742" s="7"/>
    </row>
    <row r="2743" spans="2:2" ht="11.25" customHeight="1" x14ac:dyDescent="0.25">
      <c r="B2743" s="7"/>
    </row>
    <row r="2744" spans="2:2" ht="11.25" customHeight="1" x14ac:dyDescent="0.25">
      <c r="B2744" s="7"/>
    </row>
    <row r="2745" spans="2:2" ht="11.25" customHeight="1" x14ac:dyDescent="0.25">
      <c r="B2745" s="7"/>
    </row>
    <row r="2746" spans="2:2" ht="11.25" customHeight="1" x14ac:dyDescent="0.25">
      <c r="B2746" s="7"/>
    </row>
    <row r="2747" spans="2:2" ht="11.25" customHeight="1" x14ac:dyDescent="0.25">
      <c r="B2747" s="7"/>
    </row>
    <row r="2748" spans="2:2" ht="11.25" customHeight="1" x14ac:dyDescent="0.25">
      <c r="B2748" s="7"/>
    </row>
    <row r="2749" spans="2:2" ht="11.25" customHeight="1" x14ac:dyDescent="0.25">
      <c r="B2749" s="7"/>
    </row>
    <row r="2750" spans="2:2" ht="11.25" customHeight="1" x14ac:dyDescent="0.25">
      <c r="B2750" s="7"/>
    </row>
    <row r="2751" spans="2:2" ht="11.25" customHeight="1" x14ac:dyDescent="0.25">
      <c r="B2751" s="7"/>
    </row>
    <row r="2752" spans="2:2" ht="11.25" customHeight="1" x14ac:dyDescent="0.25">
      <c r="B2752" s="7"/>
    </row>
    <row r="2753" spans="2:2" ht="11.25" customHeight="1" x14ac:dyDescent="0.25">
      <c r="B2753" s="7"/>
    </row>
    <row r="2754" spans="2:2" ht="11.25" customHeight="1" x14ac:dyDescent="0.25">
      <c r="B2754" s="7"/>
    </row>
    <row r="2755" spans="2:2" ht="11.25" customHeight="1" x14ac:dyDescent="0.25">
      <c r="B2755" s="7"/>
    </row>
    <row r="2756" spans="2:2" ht="11.25" customHeight="1" x14ac:dyDescent="0.25">
      <c r="B2756" s="7"/>
    </row>
    <row r="2757" spans="2:2" ht="11.25" customHeight="1" x14ac:dyDescent="0.25">
      <c r="B2757" s="7"/>
    </row>
    <row r="2758" spans="2:2" ht="11.25" customHeight="1" x14ac:dyDescent="0.25">
      <c r="B2758" s="7"/>
    </row>
    <row r="2759" spans="2:2" ht="11.25" customHeight="1" x14ac:dyDescent="0.25">
      <c r="B2759" s="7"/>
    </row>
    <row r="2760" spans="2:2" ht="11.25" customHeight="1" x14ac:dyDescent="0.25">
      <c r="B2760" s="7"/>
    </row>
    <row r="2761" spans="2:2" ht="11.25" customHeight="1" x14ac:dyDescent="0.25">
      <c r="B2761" s="7"/>
    </row>
    <row r="2762" spans="2:2" ht="11.25" customHeight="1" x14ac:dyDescent="0.25">
      <c r="B2762" s="7"/>
    </row>
    <row r="2763" spans="2:2" ht="11.25" customHeight="1" x14ac:dyDescent="0.25">
      <c r="B2763" s="7"/>
    </row>
    <row r="2764" spans="2:2" ht="11.25" customHeight="1" x14ac:dyDescent="0.25">
      <c r="B2764" s="7"/>
    </row>
    <row r="2765" spans="2:2" ht="11.25" customHeight="1" x14ac:dyDescent="0.25">
      <c r="B2765" s="7"/>
    </row>
    <row r="2766" spans="2:2" ht="11.25" customHeight="1" x14ac:dyDescent="0.25">
      <c r="B2766" s="7"/>
    </row>
    <row r="2767" spans="2:2" ht="11.25" customHeight="1" x14ac:dyDescent="0.25">
      <c r="B2767" s="7"/>
    </row>
    <row r="2768" spans="2:2" ht="11.25" customHeight="1" x14ac:dyDescent="0.25">
      <c r="B2768" s="7"/>
    </row>
    <row r="2769" spans="2:2" ht="11.25" customHeight="1" x14ac:dyDescent="0.25">
      <c r="B2769" s="7"/>
    </row>
    <row r="2770" spans="2:2" ht="11.25" customHeight="1" x14ac:dyDescent="0.25">
      <c r="B2770" s="7"/>
    </row>
    <row r="2771" spans="2:2" ht="11.25" customHeight="1" x14ac:dyDescent="0.25">
      <c r="B2771" s="7"/>
    </row>
    <row r="2772" spans="2:2" ht="11.25" customHeight="1" x14ac:dyDescent="0.25">
      <c r="B2772" s="7"/>
    </row>
    <row r="2773" spans="2:2" ht="11.25" customHeight="1" x14ac:dyDescent="0.25">
      <c r="B2773" s="7"/>
    </row>
    <row r="2774" spans="2:2" ht="11.25" customHeight="1" x14ac:dyDescent="0.25">
      <c r="B2774" s="7"/>
    </row>
    <row r="2775" spans="2:2" ht="11.25" customHeight="1" x14ac:dyDescent="0.25">
      <c r="B2775" s="7"/>
    </row>
    <row r="2776" spans="2:2" ht="11.25" customHeight="1" x14ac:dyDescent="0.25">
      <c r="B2776" s="7"/>
    </row>
    <row r="2777" spans="2:2" ht="11.25" customHeight="1" x14ac:dyDescent="0.25">
      <c r="B2777" s="7"/>
    </row>
    <row r="2778" spans="2:2" ht="11.25" customHeight="1" x14ac:dyDescent="0.25">
      <c r="B2778" s="7"/>
    </row>
    <row r="2779" spans="2:2" ht="11.25" customHeight="1" x14ac:dyDescent="0.25">
      <c r="B2779" s="7"/>
    </row>
    <row r="2780" spans="2:2" ht="11.25" customHeight="1" x14ac:dyDescent="0.25">
      <c r="B2780" s="7"/>
    </row>
    <row r="2781" spans="2:2" ht="11.25" customHeight="1" x14ac:dyDescent="0.25">
      <c r="B2781" s="7"/>
    </row>
    <row r="2782" spans="2:2" ht="11.25" customHeight="1" x14ac:dyDescent="0.25">
      <c r="B2782" s="7"/>
    </row>
    <row r="2783" spans="2:2" ht="11.25" customHeight="1" x14ac:dyDescent="0.25">
      <c r="B2783" s="7"/>
    </row>
    <row r="2784" spans="2:2" ht="11.25" customHeight="1" x14ac:dyDescent="0.25">
      <c r="B2784" s="7"/>
    </row>
    <row r="2785" spans="2:2" ht="11.25" customHeight="1" x14ac:dyDescent="0.25">
      <c r="B2785" s="7"/>
    </row>
    <row r="2786" spans="2:2" ht="11.25" customHeight="1" x14ac:dyDescent="0.25">
      <c r="B2786" s="7"/>
    </row>
    <row r="2787" spans="2:2" ht="11.25" customHeight="1" x14ac:dyDescent="0.25">
      <c r="B2787" s="7"/>
    </row>
    <row r="2788" spans="2:2" ht="11.25" customHeight="1" x14ac:dyDescent="0.25">
      <c r="B2788" s="7"/>
    </row>
    <row r="2789" spans="2:2" ht="11.25" customHeight="1" x14ac:dyDescent="0.25">
      <c r="B2789" s="7"/>
    </row>
    <row r="2790" spans="2:2" ht="11.25" customHeight="1" x14ac:dyDescent="0.25">
      <c r="B2790" s="7"/>
    </row>
    <row r="2791" spans="2:2" ht="11.25" customHeight="1" x14ac:dyDescent="0.25">
      <c r="B2791" s="7"/>
    </row>
    <row r="2792" spans="2:2" ht="11.25" customHeight="1" x14ac:dyDescent="0.25">
      <c r="B2792" s="7"/>
    </row>
    <row r="2793" spans="2:2" ht="11.25" customHeight="1" x14ac:dyDescent="0.25">
      <c r="B2793" s="7"/>
    </row>
    <row r="2794" spans="2:2" ht="11.25" customHeight="1" x14ac:dyDescent="0.25">
      <c r="B2794" s="7"/>
    </row>
    <row r="2795" spans="2:2" ht="11.25" customHeight="1" x14ac:dyDescent="0.25">
      <c r="B2795" s="7"/>
    </row>
    <row r="2796" spans="2:2" ht="11.25" customHeight="1" x14ac:dyDescent="0.25">
      <c r="B2796" s="7"/>
    </row>
    <row r="2797" spans="2:2" ht="11.25" customHeight="1" x14ac:dyDescent="0.25">
      <c r="B2797" s="7"/>
    </row>
    <row r="2798" spans="2:2" ht="11.25" customHeight="1" x14ac:dyDescent="0.25">
      <c r="B2798" s="7"/>
    </row>
    <row r="2799" spans="2:2" ht="11.25" customHeight="1" x14ac:dyDescent="0.25">
      <c r="B2799" s="7"/>
    </row>
    <row r="2800" spans="2:2" ht="11.25" customHeight="1" x14ac:dyDescent="0.25">
      <c r="B2800" s="7"/>
    </row>
    <row r="2801" spans="2:2" ht="11.25" customHeight="1" x14ac:dyDescent="0.25">
      <c r="B2801" s="7"/>
    </row>
    <row r="2802" spans="2:2" ht="11.25" customHeight="1" x14ac:dyDescent="0.25">
      <c r="B2802" s="7"/>
    </row>
    <row r="2803" spans="2:2" ht="11.25" customHeight="1" x14ac:dyDescent="0.25">
      <c r="B2803" s="7"/>
    </row>
    <row r="2804" spans="2:2" ht="11.25" customHeight="1" x14ac:dyDescent="0.25">
      <c r="B2804" s="7"/>
    </row>
    <row r="2805" spans="2:2" ht="11.25" customHeight="1" x14ac:dyDescent="0.25">
      <c r="B2805" s="7"/>
    </row>
    <row r="2806" spans="2:2" ht="11.25" customHeight="1" x14ac:dyDescent="0.25">
      <c r="B2806" s="7"/>
    </row>
    <row r="2807" spans="2:2" ht="11.25" customHeight="1" x14ac:dyDescent="0.25">
      <c r="B2807" s="7"/>
    </row>
    <row r="2808" spans="2:2" ht="11.25" customHeight="1" x14ac:dyDescent="0.25">
      <c r="B2808" s="7"/>
    </row>
    <row r="2809" spans="2:2" ht="11.25" customHeight="1" x14ac:dyDescent="0.25">
      <c r="B2809" s="7"/>
    </row>
    <row r="2810" spans="2:2" ht="11.25" customHeight="1" x14ac:dyDescent="0.25">
      <c r="B2810" s="7"/>
    </row>
    <row r="2811" spans="2:2" ht="11.25" customHeight="1" x14ac:dyDescent="0.25">
      <c r="B2811" s="7"/>
    </row>
    <row r="2812" spans="2:2" ht="11.25" customHeight="1" x14ac:dyDescent="0.25">
      <c r="B2812" s="7"/>
    </row>
    <row r="2813" spans="2:2" ht="11.25" customHeight="1" x14ac:dyDescent="0.25">
      <c r="B2813" s="7"/>
    </row>
    <row r="2814" spans="2:2" ht="11.25" customHeight="1" x14ac:dyDescent="0.25">
      <c r="B2814" s="7"/>
    </row>
    <row r="2815" spans="2:2" ht="11.25" customHeight="1" x14ac:dyDescent="0.25">
      <c r="B2815" s="7"/>
    </row>
    <row r="2816" spans="2:2" ht="11.25" customHeight="1" x14ac:dyDescent="0.25">
      <c r="B2816" s="7"/>
    </row>
    <row r="2817" spans="2:2" ht="11.25" customHeight="1" x14ac:dyDescent="0.25">
      <c r="B2817" s="7"/>
    </row>
    <row r="2818" spans="2:2" ht="11.25" customHeight="1" x14ac:dyDescent="0.25">
      <c r="B2818" s="7"/>
    </row>
    <row r="2819" spans="2:2" ht="11.25" customHeight="1" x14ac:dyDescent="0.25">
      <c r="B2819" s="7"/>
    </row>
    <row r="2820" spans="2:2" ht="11.25" customHeight="1" x14ac:dyDescent="0.25">
      <c r="B2820" s="7"/>
    </row>
    <row r="2821" spans="2:2" ht="11.25" customHeight="1" x14ac:dyDescent="0.25">
      <c r="B2821" s="7"/>
    </row>
    <row r="2822" spans="2:2" ht="11.25" customHeight="1" x14ac:dyDescent="0.25">
      <c r="B2822" s="7"/>
    </row>
    <row r="2823" spans="2:2" ht="11.25" customHeight="1" x14ac:dyDescent="0.25">
      <c r="B2823" s="7"/>
    </row>
    <row r="2824" spans="2:2" ht="11.25" customHeight="1" x14ac:dyDescent="0.25">
      <c r="B2824" s="7"/>
    </row>
    <row r="2825" spans="2:2" ht="11.25" customHeight="1" x14ac:dyDescent="0.25">
      <c r="B2825" s="7"/>
    </row>
    <row r="2826" spans="2:2" ht="11.25" customHeight="1" x14ac:dyDescent="0.25">
      <c r="B2826" s="7"/>
    </row>
    <row r="2827" spans="2:2" ht="11.25" customHeight="1" x14ac:dyDescent="0.25">
      <c r="B2827" s="7"/>
    </row>
    <row r="2828" spans="2:2" ht="11.25" customHeight="1" x14ac:dyDescent="0.25">
      <c r="B2828" s="7"/>
    </row>
    <row r="2829" spans="2:2" ht="11.25" customHeight="1" x14ac:dyDescent="0.25">
      <c r="B2829" s="7"/>
    </row>
    <row r="2830" spans="2:2" ht="11.25" customHeight="1" x14ac:dyDescent="0.25">
      <c r="B2830" s="7"/>
    </row>
    <row r="2831" spans="2:2" ht="11.25" customHeight="1" x14ac:dyDescent="0.25">
      <c r="B2831" s="7"/>
    </row>
    <row r="2832" spans="2:2" ht="11.25" customHeight="1" x14ac:dyDescent="0.25">
      <c r="B2832" s="7"/>
    </row>
    <row r="2833" spans="2:2" ht="11.25" customHeight="1" x14ac:dyDescent="0.25">
      <c r="B2833" s="7"/>
    </row>
    <row r="2834" spans="2:2" ht="11.25" customHeight="1" x14ac:dyDescent="0.25">
      <c r="B2834" s="7"/>
    </row>
    <row r="2835" spans="2:2" ht="11.25" customHeight="1" x14ac:dyDescent="0.25">
      <c r="B2835" s="7"/>
    </row>
    <row r="2836" spans="2:2" ht="11.25" customHeight="1" x14ac:dyDescent="0.25">
      <c r="B2836" s="7"/>
    </row>
    <row r="2837" spans="2:2" ht="11.25" customHeight="1" x14ac:dyDescent="0.25">
      <c r="B2837" s="7"/>
    </row>
    <row r="2838" spans="2:2" ht="11.25" customHeight="1" x14ac:dyDescent="0.25">
      <c r="B2838" s="7"/>
    </row>
    <row r="2839" spans="2:2" ht="11.25" customHeight="1" x14ac:dyDescent="0.25">
      <c r="B2839" s="7"/>
    </row>
    <row r="2840" spans="2:2" ht="11.25" customHeight="1" x14ac:dyDescent="0.25">
      <c r="B2840" s="7"/>
    </row>
    <row r="2841" spans="2:2" ht="11.25" customHeight="1" x14ac:dyDescent="0.25">
      <c r="B2841" s="7"/>
    </row>
    <row r="2842" spans="2:2" ht="11.25" customHeight="1" x14ac:dyDescent="0.25">
      <c r="B2842" s="7"/>
    </row>
    <row r="2843" spans="2:2" ht="11.25" customHeight="1" x14ac:dyDescent="0.25">
      <c r="B2843" s="7"/>
    </row>
    <row r="2844" spans="2:2" ht="11.25" customHeight="1" x14ac:dyDescent="0.25">
      <c r="B2844" s="7"/>
    </row>
    <row r="2845" spans="2:2" ht="11.25" customHeight="1" x14ac:dyDescent="0.25">
      <c r="B2845" s="7"/>
    </row>
    <row r="2846" spans="2:2" ht="11.25" customHeight="1" x14ac:dyDescent="0.25">
      <c r="B2846" s="7"/>
    </row>
    <row r="2847" spans="2:2" ht="11.25" customHeight="1" x14ac:dyDescent="0.25">
      <c r="B2847" s="7"/>
    </row>
    <row r="2848" spans="2:2" ht="11.25" customHeight="1" x14ac:dyDescent="0.25">
      <c r="B2848" s="7"/>
    </row>
    <row r="2849" spans="2:2" ht="11.25" customHeight="1" x14ac:dyDescent="0.25">
      <c r="B2849" s="7"/>
    </row>
    <row r="2850" spans="2:2" ht="11.25" customHeight="1" x14ac:dyDescent="0.25">
      <c r="B2850" s="7"/>
    </row>
    <row r="2851" spans="2:2" ht="11.25" customHeight="1" x14ac:dyDescent="0.25">
      <c r="B2851" s="7"/>
    </row>
    <row r="2852" spans="2:2" ht="11.25" customHeight="1" x14ac:dyDescent="0.25">
      <c r="B2852" s="7"/>
    </row>
    <row r="2853" spans="2:2" ht="11.25" customHeight="1" x14ac:dyDescent="0.25">
      <c r="B2853" s="7"/>
    </row>
    <row r="2854" spans="2:2" ht="11.25" customHeight="1" x14ac:dyDescent="0.25">
      <c r="B2854" s="7"/>
    </row>
    <row r="2855" spans="2:2" ht="11.25" customHeight="1" x14ac:dyDescent="0.25">
      <c r="B2855" s="7"/>
    </row>
    <row r="2856" spans="2:2" ht="11.25" customHeight="1" x14ac:dyDescent="0.25">
      <c r="B2856" s="7"/>
    </row>
    <row r="2857" spans="2:2" ht="11.25" customHeight="1" x14ac:dyDescent="0.25">
      <c r="B2857" s="7"/>
    </row>
    <row r="2858" spans="2:2" ht="11.25" customHeight="1" x14ac:dyDescent="0.25">
      <c r="B2858" s="7"/>
    </row>
    <row r="2859" spans="2:2" ht="11.25" customHeight="1" x14ac:dyDescent="0.25">
      <c r="B2859" s="7"/>
    </row>
    <row r="2860" spans="2:2" ht="11.25" customHeight="1" x14ac:dyDescent="0.25">
      <c r="B2860" s="7"/>
    </row>
    <row r="2861" spans="2:2" ht="11.25" customHeight="1" x14ac:dyDescent="0.25">
      <c r="B2861" s="7"/>
    </row>
    <row r="2862" spans="2:2" ht="11.25" customHeight="1" x14ac:dyDescent="0.25">
      <c r="B2862" s="7"/>
    </row>
    <row r="2863" spans="2:2" ht="11.25" customHeight="1" x14ac:dyDescent="0.25">
      <c r="B2863" s="7"/>
    </row>
    <row r="2864" spans="2:2" ht="11.25" customHeight="1" x14ac:dyDescent="0.25">
      <c r="B2864" s="7"/>
    </row>
    <row r="2865" spans="2:2" ht="11.25" customHeight="1" x14ac:dyDescent="0.25">
      <c r="B2865" s="7"/>
    </row>
    <row r="2866" spans="2:2" ht="11.25" customHeight="1" x14ac:dyDescent="0.25">
      <c r="B2866" s="7"/>
    </row>
    <row r="2867" spans="2:2" ht="11.25" customHeight="1" x14ac:dyDescent="0.25">
      <c r="B2867" s="7"/>
    </row>
    <row r="2868" spans="2:2" ht="11.25" customHeight="1" x14ac:dyDescent="0.25">
      <c r="B2868" s="7"/>
    </row>
    <row r="2869" spans="2:2" ht="11.25" customHeight="1" x14ac:dyDescent="0.25">
      <c r="B2869" s="7"/>
    </row>
    <row r="2870" spans="2:2" ht="11.25" customHeight="1" x14ac:dyDescent="0.25">
      <c r="B2870" s="7"/>
    </row>
    <row r="2871" spans="2:2" ht="11.25" customHeight="1" x14ac:dyDescent="0.25">
      <c r="B2871" s="7"/>
    </row>
    <row r="2872" spans="2:2" ht="11.25" customHeight="1" x14ac:dyDescent="0.25">
      <c r="B2872" s="7"/>
    </row>
    <row r="2873" spans="2:2" ht="11.25" customHeight="1" x14ac:dyDescent="0.25">
      <c r="B2873" s="7"/>
    </row>
    <row r="2874" spans="2:2" ht="11.25" customHeight="1" x14ac:dyDescent="0.25">
      <c r="B2874" s="7"/>
    </row>
    <row r="2875" spans="2:2" ht="11.25" customHeight="1" x14ac:dyDescent="0.25">
      <c r="B2875" s="7"/>
    </row>
    <row r="2876" spans="2:2" ht="11.25" customHeight="1" x14ac:dyDescent="0.25">
      <c r="B2876" s="7"/>
    </row>
    <row r="2877" spans="2:2" ht="11.25" customHeight="1" x14ac:dyDescent="0.25">
      <c r="B2877" s="7"/>
    </row>
    <row r="2878" spans="2:2" ht="11.25" customHeight="1" x14ac:dyDescent="0.25">
      <c r="B2878" s="7"/>
    </row>
    <row r="2879" spans="2:2" ht="11.25" customHeight="1" x14ac:dyDescent="0.25">
      <c r="B2879" s="7"/>
    </row>
    <row r="2880" spans="2:2" ht="11.25" customHeight="1" x14ac:dyDescent="0.25">
      <c r="B2880" s="7"/>
    </row>
    <row r="2881" spans="2:2" ht="11.25" customHeight="1" x14ac:dyDescent="0.25">
      <c r="B2881" s="7"/>
    </row>
    <row r="2882" spans="2:2" ht="11.25" customHeight="1" x14ac:dyDescent="0.25">
      <c r="B2882" s="7"/>
    </row>
    <row r="2883" spans="2:2" ht="11.25" customHeight="1" x14ac:dyDescent="0.25">
      <c r="B2883" s="7"/>
    </row>
    <row r="2884" spans="2:2" ht="11.25" customHeight="1" x14ac:dyDescent="0.25">
      <c r="B2884" s="7"/>
    </row>
    <row r="2885" spans="2:2" ht="11.25" customHeight="1" x14ac:dyDescent="0.25">
      <c r="B2885" s="7"/>
    </row>
    <row r="2886" spans="2:2" ht="11.25" customHeight="1" x14ac:dyDescent="0.25">
      <c r="B2886" s="7"/>
    </row>
    <row r="2887" spans="2:2" ht="11.25" customHeight="1" x14ac:dyDescent="0.25">
      <c r="B2887" s="7"/>
    </row>
    <row r="2888" spans="2:2" ht="11.25" customHeight="1" x14ac:dyDescent="0.25">
      <c r="B2888" s="7"/>
    </row>
    <row r="2889" spans="2:2" ht="11.25" customHeight="1" x14ac:dyDescent="0.25">
      <c r="B2889" s="7"/>
    </row>
    <row r="2890" spans="2:2" ht="11.25" customHeight="1" x14ac:dyDescent="0.25">
      <c r="B2890" s="7"/>
    </row>
    <row r="2891" spans="2:2" ht="11.25" customHeight="1" x14ac:dyDescent="0.25">
      <c r="B2891" s="7"/>
    </row>
    <row r="2892" spans="2:2" ht="11.25" customHeight="1" x14ac:dyDescent="0.25">
      <c r="B2892" s="7"/>
    </row>
    <row r="2893" spans="2:2" ht="11.25" customHeight="1" x14ac:dyDescent="0.25">
      <c r="B2893" s="7"/>
    </row>
    <row r="2894" spans="2:2" ht="11.25" customHeight="1" x14ac:dyDescent="0.25">
      <c r="B2894" s="7"/>
    </row>
    <row r="2895" spans="2:2" ht="11.25" customHeight="1" x14ac:dyDescent="0.25">
      <c r="B2895" s="7"/>
    </row>
    <row r="2896" spans="2:2" ht="11.25" customHeight="1" x14ac:dyDescent="0.25">
      <c r="B2896" s="7"/>
    </row>
    <row r="2897" spans="2:2" ht="11.25" customHeight="1" x14ac:dyDescent="0.25">
      <c r="B2897" s="7"/>
    </row>
    <row r="2898" spans="2:2" ht="11.25" customHeight="1" x14ac:dyDescent="0.25">
      <c r="B2898" s="7"/>
    </row>
    <row r="2899" spans="2:2" ht="11.25" customHeight="1" x14ac:dyDescent="0.25">
      <c r="B2899" s="7"/>
    </row>
    <row r="2900" spans="2:2" ht="11.25" customHeight="1" x14ac:dyDescent="0.25">
      <c r="B2900" s="7"/>
    </row>
    <row r="2901" spans="2:2" ht="11.25" customHeight="1" x14ac:dyDescent="0.25">
      <c r="B2901" s="7"/>
    </row>
    <row r="2902" spans="2:2" ht="11.25" customHeight="1" x14ac:dyDescent="0.25">
      <c r="B2902" s="7"/>
    </row>
    <row r="2903" spans="2:2" ht="11.25" customHeight="1" x14ac:dyDescent="0.25">
      <c r="B2903" s="7"/>
    </row>
    <row r="2904" spans="2:2" ht="11.25" customHeight="1" x14ac:dyDescent="0.25">
      <c r="B2904" s="7"/>
    </row>
    <row r="2905" spans="2:2" ht="11.25" customHeight="1" x14ac:dyDescent="0.25">
      <c r="B2905" s="7"/>
    </row>
    <row r="2906" spans="2:2" ht="11.25" customHeight="1" x14ac:dyDescent="0.25">
      <c r="B2906" s="7"/>
    </row>
    <row r="2907" spans="2:2" ht="11.25" customHeight="1" x14ac:dyDescent="0.25">
      <c r="B2907" s="7"/>
    </row>
    <row r="2908" spans="2:2" ht="11.25" customHeight="1" x14ac:dyDescent="0.25">
      <c r="B2908" s="7"/>
    </row>
    <row r="2909" spans="2:2" ht="11.25" customHeight="1" x14ac:dyDescent="0.25">
      <c r="B2909" s="7"/>
    </row>
    <row r="2910" spans="2:2" ht="11.25" customHeight="1" x14ac:dyDescent="0.25">
      <c r="B2910" s="7"/>
    </row>
    <row r="2911" spans="2:2" ht="11.25" customHeight="1" x14ac:dyDescent="0.25">
      <c r="B2911" s="7"/>
    </row>
    <row r="2912" spans="2:2" ht="11.25" customHeight="1" x14ac:dyDescent="0.25">
      <c r="B2912" s="7"/>
    </row>
    <row r="2913" spans="2:2" ht="11.25" customHeight="1" x14ac:dyDescent="0.25">
      <c r="B2913" s="7"/>
    </row>
    <row r="2914" spans="2:2" ht="11.25" customHeight="1" x14ac:dyDescent="0.25">
      <c r="B2914" s="7"/>
    </row>
    <row r="2915" spans="2:2" ht="11.25" customHeight="1" x14ac:dyDescent="0.25">
      <c r="B2915" s="7"/>
    </row>
    <row r="2916" spans="2:2" ht="11.25" customHeight="1" x14ac:dyDescent="0.25">
      <c r="B2916" s="7"/>
    </row>
    <row r="2917" spans="2:2" ht="11.25" customHeight="1" x14ac:dyDescent="0.25">
      <c r="B2917" s="7"/>
    </row>
    <row r="2918" spans="2:2" ht="11.25" customHeight="1" x14ac:dyDescent="0.25">
      <c r="B2918" s="7"/>
    </row>
    <row r="2919" spans="2:2" ht="11.25" customHeight="1" x14ac:dyDescent="0.25">
      <c r="B2919" s="7"/>
    </row>
    <row r="2920" spans="2:2" ht="11.25" customHeight="1" x14ac:dyDescent="0.25">
      <c r="B2920" s="7"/>
    </row>
    <row r="2921" spans="2:2" ht="11.25" customHeight="1" x14ac:dyDescent="0.25">
      <c r="B2921" s="7"/>
    </row>
    <row r="2922" spans="2:2" ht="11.25" customHeight="1" x14ac:dyDescent="0.25">
      <c r="B2922" s="7"/>
    </row>
    <row r="2923" spans="2:2" ht="11.25" customHeight="1" x14ac:dyDescent="0.25">
      <c r="B2923" s="7"/>
    </row>
    <row r="2924" spans="2:2" ht="11.25" customHeight="1" x14ac:dyDescent="0.25">
      <c r="B2924" s="7"/>
    </row>
    <row r="2925" spans="2:2" ht="11.25" customHeight="1" x14ac:dyDescent="0.25">
      <c r="B2925" s="7"/>
    </row>
    <row r="2926" spans="2:2" ht="11.25" customHeight="1" x14ac:dyDescent="0.25">
      <c r="B2926" s="7"/>
    </row>
    <row r="2927" spans="2:2" ht="11.25" customHeight="1" x14ac:dyDescent="0.25">
      <c r="B2927" s="7"/>
    </row>
    <row r="2928" spans="2:2" ht="11.25" customHeight="1" x14ac:dyDescent="0.25">
      <c r="B2928" s="7"/>
    </row>
    <row r="2929" spans="2:2" ht="11.25" customHeight="1" x14ac:dyDescent="0.25">
      <c r="B2929" s="7"/>
    </row>
    <row r="2930" spans="2:2" ht="11.25" customHeight="1" x14ac:dyDescent="0.25">
      <c r="B2930" s="7"/>
    </row>
    <row r="2931" spans="2:2" ht="11.25" customHeight="1" x14ac:dyDescent="0.25">
      <c r="B2931" s="7"/>
    </row>
    <row r="2932" spans="2:2" ht="11.25" customHeight="1" x14ac:dyDescent="0.25">
      <c r="B2932" s="7"/>
    </row>
    <row r="2933" spans="2:2" ht="11.25" customHeight="1" x14ac:dyDescent="0.25">
      <c r="B2933" s="7"/>
    </row>
    <row r="2934" spans="2:2" ht="11.25" customHeight="1" x14ac:dyDescent="0.25">
      <c r="B2934" s="7"/>
    </row>
    <row r="2935" spans="2:2" ht="11.25" customHeight="1" x14ac:dyDescent="0.25">
      <c r="B2935" s="7"/>
    </row>
    <row r="2936" spans="2:2" ht="11.25" customHeight="1" x14ac:dyDescent="0.25">
      <c r="B2936" s="7"/>
    </row>
    <row r="2937" spans="2:2" ht="11.25" customHeight="1" x14ac:dyDescent="0.25">
      <c r="B2937" s="7"/>
    </row>
    <row r="2938" spans="2:2" ht="11.25" customHeight="1" x14ac:dyDescent="0.25">
      <c r="B2938" s="7"/>
    </row>
    <row r="2939" spans="2:2" ht="11.25" customHeight="1" x14ac:dyDescent="0.25">
      <c r="B2939" s="7"/>
    </row>
    <row r="2940" spans="2:2" ht="11.25" customHeight="1" x14ac:dyDescent="0.25">
      <c r="B2940" s="7"/>
    </row>
    <row r="2941" spans="2:2" ht="11.25" customHeight="1" x14ac:dyDescent="0.25">
      <c r="B2941" s="7"/>
    </row>
    <row r="2942" spans="2:2" ht="11.25" customHeight="1" x14ac:dyDescent="0.25">
      <c r="B2942" s="7"/>
    </row>
    <row r="2943" spans="2:2" ht="11.25" customHeight="1" x14ac:dyDescent="0.25">
      <c r="B2943" s="7"/>
    </row>
    <row r="2944" spans="2:2" ht="11.25" customHeight="1" x14ac:dyDescent="0.25">
      <c r="B2944" s="7"/>
    </row>
    <row r="2945" spans="2:2" ht="11.25" customHeight="1" x14ac:dyDescent="0.25">
      <c r="B2945" s="7"/>
    </row>
    <row r="2946" spans="2:2" ht="11.25" customHeight="1" x14ac:dyDescent="0.25">
      <c r="B2946" s="7"/>
    </row>
    <row r="2947" spans="2:2" ht="11.25" customHeight="1" x14ac:dyDescent="0.25">
      <c r="B2947" s="7"/>
    </row>
    <row r="2948" spans="2:2" ht="11.25" customHeight="1" x14ac:dyDescent="0.25">
      <c r="B2948" s="7"/>
    </row>
    <row r="2949" spans="2:2" ht="11.25" customHeight="1" x14ac:dyDescent="0.25">
      <c r="B2949" s="7"/>
    </row>
    <row r="2950" spans="2:2" ht="11.25" customHeight="1" x14ac:dyDescent="0.25">
      <c r="B2950" s="7"/>
    </row>
    <row r="2951" spans="2:2" ht="11.25" customHeight="1" x14ac:dyDescent="0.25">
      <c r="B2951" s="7"/>
    </row>
    <row r="2952" spans="2:2" ht="11.25" customHeight="1" x14ac:dyDescent="0.25">
      <c r="B2952" s="7"/>
    </row>
    <row r="2953" spans="2:2" ht="11.25" customHeight="1" x14ac:dyDescent="0.25">
      <c r="B2953" s="7"/>
    </row>
    <row r="2954" spans="2:2" ht="11.25" customHeight="1" x14ac:dyDescent="0.25">
      <c r="B2954" s="7"/>
    </row>
    <row r="2955" spans="2:2" ht="11.25" customHeight="1" x14ac:dyDescent="0.25">
      <c r="B2955" s="7"/>
    </row>
    <row r="2956" spans="2:2" ht="11.25" customHeight="1" x14ac:dyDescent="0.25">
      <c r="B2956" s="7"/>
    </row>
    <row r="2957" spans="2:2" ht="11.25" customHeight="1" x14ac:dyDescent="0.25">
      <c r="B2957" s="7"/>
    </row>
    <row r="2958" spans="2:2" ht="11.25" customHeight="1" x14ac:dyDescent="0.25">
      <c r="B2958" s="7"/>
    </row>
    <row r="2959" spans="2:2" ht="11.25" customHeight="1" x14ac:dyDescent="0.25">
      <c r="B2959" s="7"/>
    </row>
    <row r="2960" spans="2:2" ht="11.25" customHeight="1" x14ac:dyDescent="0.25">
      <c r="B2960" s="7"/>
    </row>
    <row r="2961" spans="2:2" ht="11.25" customHeight="1" x14ac:dyDescent="0.25">
      <c r="B2961" s="7"/>
    </row>
    <row r="2962" spans="2:2" ht="11.25" customHeight="1" x14ac:dyDescent="0.25">
      <c r="B2962" s="7"/>
    </row>
    <row r="2963" spans="2:2" ht="11.25" customHeight="1" x14ac:dyDescent="0.25">
      <c r="B2963" s="7"/>
    </row>
    <row r="2964" spans="2:2" ht="11.25" customHeight="1" x14ac:dyDescent="0.25">
      <c r="B2964" s="7"/>
    </row>
    <row r="2965" spans="2:2" ht="11.25" customHeight="1" x14ac:dyDescent="0.25">
      <c r="B2965" s="7"/>
    </row>
    <row r="2966" spans="2:2" ht="11.25" customHeight="1" x14ac:dyDescent="0.25">
      <c r="B2966" s="7"/>
    </row>
    <row r="2967" spans="2:2" ht="11.25" customHeight="1" x14ac:dyDescent="0.25">
      <c r="B2967" s="7"/>
    </row>
    <row r="2968" spans="2:2" ht="11.25" customHeight="1" x14ac:dyDescent="0.25">
      <c r="B2968" s="7"/>
    </row>
    <row r="2969" spans="2:2" ht="11.25" customHeight="1" x14ac:dyDescent="0.25">
      <c r="B2969" s="7"/>
    </row>
    <row r="2970" spans="2:2" ht="11.25" customHeight="1" x14ac:dyDescent="0.25">
      <c r="B2970" s="7"/>
    </row>
    <row r="2971" spans="2:2" ht="11.25" customHeight="1" x14ac:dyDescent="0.25">
      <c r="B2971" s="7"/>
    </row>
    <row r="2972" spans="2:2" ht="11.25" customHeight="1" x14ac:dyDescent="0.25">
      <c r="B2972" s="7"/>
    </row>
    <row r="2973" spans="2:2" ht="11.25" customHeight="1" x14ac:dyDescent="0.25">
      <c r="B2973" s="7"/>
    </row>
    <row r="2974" spans="2:2" ht="11.25" customHeight="1" x14ac:dyDescent="0.25">
      <c r="B2974" s="7"/>
    </row>
    <row r="2975" spans="2:2" ht="11.25" customHeight="1" x14ac:dyDescent="0.25">
      <c r="B2975" s="7"/>
    </row>
    <row r="2976" spans="2:2" ht="11.25" customHeight="1" x14ac:dyDescent="0.25">
      <c r="B2976" s="7"/>
    </row>
    <row r="2977" spans="2:2" ht="11.25" customHeight="1" x14ac:dyDescent="0.25">
      <c r="B2977" s="7"/>
    </row>
    <row r="2978" spans="2:2" ht="11.25" customHeight="1" x14ac:dyDescent="0.25">
      <c r="B2978" s="7"/>
    </row>
    <row r="2979" spans="2:2" ht="11.25" customHeight="1" x14ac:dyDescent="0.25">
      <c r="B2979" s="7"/>
    </row>
    <row r="2980" spans="2:2" ht="11.25" customHeight="1" x14ac:dyDescent="0.25">
      <c r="B2980" s="7"/>
    </row>
    <row r="2981" spans="2:2" ht="11.25" customHeight="1" x14ac:dyDescent="0.25">
      <c r="B2981" s="7"/>
    </row>
    <row r="2982" spans="2:2" ht="11.25" customHeight="1" x14ac:dyDescent="0.25">
      <c r="B2982" s="7"/>
    </row>
    <row r="2983" spans="2:2" ht="11.25" customHeight="1" x14ac:dyDescent="0.25">
      <c r="B2983" s="7"/>
    </row>
    <row r="2984" spans="2:2" ht="11.25" customHeight="1" x14ac:dyDescent="0.25">
      <c r="B2984" s="7"/>
    </row>
    <row r="2985" spans="2:2" ht="11.25" customHeight="1" x14ac:dyDescent="0.25">
      <c r="B2985" s="7"/>
    </row>
    <row r="2986" spans="2:2" ht="11.25" customHeight="1" x14ac:dyDescent="0.25">
      <c r="B2986" s="7"/>
    </row>
    <row r="2987" spans="2:2" ht="11.25" customHeight="1" x14ac:dyDescent="0.25">
      <c r="B2987" s="7"/>
    </row>
    <row r="2988" spans="2:2" ht="11.25" customHeight="1" x14ac:dyDescent="0.25">
      <c r="B2988" s="7"/>
    </row>
    <row r="2989" spans="2:2" ht="11.25" customHeight="1" x14ac:dyDescent="0.25">
      <c r="B2989" s="7"/>
    </row>
    <row r="2990" spans="2:2" ht="11.25" customHeight="1" x14ac:dyDescent="0.25">
      <c r="B2990" s="7"/>
    </row>
    <row r="2991" spans="2:2" ht="11.25" customHeight="1" x14ac:dyDescent="0.25">
      <c r="B2991" s="7"/>
    </row>
    <row r="2992" spans="2:2" ht="11.25" customHeight="1" x14ac:dyDescent="0.25">
      <c r="B2992" s="7"/>
    </row>
    <row r="2993" spans="2:2" ht="11.25" customHeight="1" x14ac:dyDescent="0.25">
      <c r="B2993" s="7"/>
    </row>
    <row r="2994" spans="2:2" ht="11.25" customHeight="1" x14ac:dyDescent="0.25">
      <c r="B2994" s="7"/>
    </row>
    <row r="2995" spans="2:2" ht="11.25" customHeight="1" x14ac:dyDescent="0.25">
      <c r="B2995" s="7"/>
    </row>
    <row r="2996" spans="2:2" ht="11.25" customHeight="1" x14ac:dyDescent="0.25">
      <c r="B2996" s="7"/>
    </row>
    <row r="2997" spans="2:2" ht="11.25" customHeight="1" x14ac:dyDescent="0.25">
      <c r="B2997" s="7"/>
    </row>
    <row r="2998" spans="2:2" ht="11.25" customHeight="1" x14ac:dyDescent="0.25">
      <c r="B2998" s="7"/>
    </row>
    <row r="2999" spans="2:2" ht="11.25" customHeight="1" x14ac:dyDescent="0.25">
      <c r="B2999" s="7"/>
    </row>
    <row r="3000" spans="2:2" ht="11.25" customHeight="1" x14ac:dyDescent="0.25">
      <c r="B3000" s="7"/>
    </row>
    <row r="1048576" spans="7:7" ht="11.25" customHeight="1" x14ac:dyDescent="0.35">
      <c r="G1048576" s="21">
        <v>7777</v>
      </c>
    </row>
  </sheetData>
  <autoFilter ref="A1:V2554" xr:uid="{8BD4FC0F-BE5F-413D-971A-01FFC0D327CC}"/>
  <sortState xmlns:xlrd2="http://schemas.microsoft.com/office/spreadsheetml/2017/richdata2" ref="A2:V1712">
    <sortCondition sortBy="fontColor" ref="C2:C1712" dxfId="11"/>
  </sortState>
  <phoneticPr fontId="14" type="noConversion"/>
  <conditionalFormatting sqref="K2:K2259 K2266:K1048576">
    <cfRule type="containsText" dxfId="6" priority="14" operator="containsText" text="BEING CONSUMED">
      <formula>NOT(ISERROR(SEARCH("BEING CONSUMED",K2)))</formula>
    </cfRule>
    <cfRule type="containsText" dxfId="5" priority="15" operator="containsText" text="RECEIVED">
      <formula>NOT(ISERROR(SEARCH("RECEIVED",K2)))</formula>
    </cfRule>
    <cfRule type="containsText" dxfId="4" priority="16" operator="containsText" text="ISSUED">
      <formula>NOT(ISERROR(SEARCH("ISSUED",K2)))</formula>
    </cfRule>
  </conditionalFormatting>
  <conditionalFormatting sqref="K3">
    <cfRule type="expression" dxfId="3" priority="13">
      <formula>#REF!="ISSUED"</formula>
    </cfRule>
  </conditionalFormatting>
  <conditionalFormatting sqref="K1562:K1563">
    <cfRule type="containsText" dxfId="2" priority="7" operator="containsText" text="BEING CONSUMED">
      <formula>NOT(ISERROR(SEARCH("BEING CONSUMED",K1562)))</formula>
    </cfRule>
    <cfRule type="containsText" dxfId="1" priority="8" operator="containsText" text="RECEIVED">
      <formula>NOT(ISERROR(SEARCH("RECEIVED",K1562)))</formula>
    </cfRule>
    <cfRule type="containsText" dxfId="0" priority="9" operator="containsText" text="ISSUED">
      <formula>NOT(ISERROR(SEARCH("ISSUED",K1562)))</formula>
    </cfRule>
  </conditionalFormatting>
  <pageMargins left="0.7" right="0.7" top="0.75" bottom="0.75" header="0.3" footer="0.3"/>
  <pageSetup paperSize="9" fitToWidth="0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85025D4-3515-420B-91FC-2D94582F29A3}">
          <x14:formula1>
            <xm:f>LIST!$J$2:$J$51</xm:f>
          </x14:formula1>
          <xm:sqref>J154:J161 B109:B111 B100:B101</xm:sqref>
        </x14:dataValidation>
        <x14:dataValidation type="list" allowBlank="1" showInputMessage="1" showErrorMessage="1" xr:uid="{D09274F2-54A5-4418-B77B-501AC603B0FE}">
          <x14:formula1>
            <xm:f>LIST!$F$3:$F$11</xm:f>
          </x14:formula1>
          <xm:sqref>A576:A637 A536:A559 A561:A565 A776:A793 A644:A765 A3:A413 A2260:A2291 A2302:A3000</xm:sqref>
        </x14:dataValidation>
        <x14:dataValidation type="list" allowBlank="1" showInputMessage="1" showErrorMessage="1" xr:uid="{E841F657-CF78-4C2B-A4E9-8CA3EA709EE5}">
          <x14:formula1>
            <xm:f>LIST!$L$3:$L$7</xm:f>
          </x14:formula1>
          <xm:sqref>K3:K2259 K2266:K1048576</xm:sqref>
        </x14:dataValidation>
        <x14:dataValidation type="list" allowBlank="1" showInputMessage="1" showErrorMessage="1" xr:uid="{987805C8-6B53-4259-A42E-ECD93D5E1168}">
          <x14:formula1>
            <xm:f>LIST!$J$2:$J$62</xm:f>
          </x14:formula1>
          <xm:sqref>B2277:B2291 B2310:B2334 B2540:B3000 B2350:B2499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B1ED-BDD2-430B-83FC-DFD7C45D20EA}">
  <dimension ref="A1:Q1959"/>
  <sheetViews>
    <sheetView workbookViewId="0">
      <selection activeCell="M62" sqref="M62"/>
    </sheetView>
  </sheetViews>
  <sheetFormatPr defaultColWidth="9.1796875" defaultRowHeight="15" customHeight="1" x14ac:dyDescent="0.35"/>
  <cols>
    <col min="1" max="1" width="14.7265625" style="125" customWidth="1"/>
    <col min="2" max="2" width="4.54296875" style="126" customWidth="1"/>
    <col min="3" max="3" width="7.26953125" style="126" customWidth="1"/>
    <col min="4" max="4" width="9.54296875" style="126" customWidth="1"/>
    <col min="5" max="5" width="12.81640625" style="126" bestFit="1" customWidth="1"/>
    <col min="6" max="6" width="2.26953125" style="126" customWidth="1"/>
    <col min="7" max="7" width="4.1796875" style="126" customWidth="1"/>
    <col min="8" max="9" width="9.1796875" style="126"/>
    <col min="10" max="10" width="13.81640625" style="132" customWidth="1"/>
    <col min="11" max="11" width="12.1796875" style="126" customWidth="1"/>
    <col min="12" max="12" width="16.453125" style="126" bestFit="1" customWidth="1"/>
    <col min="13" max="16384" width="9.1796875" style="126"/>
  </cols>
  <sheetData>
    <row r="1" spans="1:17" ht="15" customHeight="1" x14ac:dyDescent="0.35">
      <c r="A1" s="129"/>
      <c r="B1" s="137"/>
      <c r="C1" s="137"/>
      <c r="D1" s="137"/>
      <c r="E1" s="137"/>
      <c r="F1" s="137"/>
      <c r="G1" s="137"/>
      <c r="H1" s="137"/>
      <c r="I1" s="137"/>
      <c r="J1" s="138"/>
      <c r="K1" s="137"/>
      <c r="L1" s="137"/>
      <c r="M1" s="137"/>
      <c r="N1" s="137"/>
      <c r="O1" s="137"/>
      <c r="P1" s="137"/>
      <c r="Q1" s="137"/>
    </row>
    <row r="2" spans="1:17" ht="15" customHeight="1" x14ac:dyDescent="0.35">
      <c r="A2" s="129" t="s">
        <v>5133</v>
      </c>
      <c r="B2" s="137" t="s">
        <v>541</v>
      </c>
      <c r="C2" s="137"/>
      <c r="D2" s="137"/>
      <c r="E2" s="137"/>
      <c r="F2" s="137"/>
      <c r="G2" s="137"/>
      <c r="H2" s="137"/>
      <c r="I2" s="137"/>
      <c r="J2" s="138" t="s">
        <v>742</v>
      </c>
      <c r="K2" s="137"/>
      <c r="L2" s="137"/>
      <c r="M2" s="127" t="s">
        <v>5151</v>
      </c>
      <c r="N2" s="137"/>
      <c r="O2" s="137"/>
      <c r="P2" s="137"/>
      <c r="Q2" s="137"/>
    </row>
    <row r="3" spans="1:17" ht="15" customHeight="1" x14ac:dyDescent="0.35">
      <c r="A3" s="129" t="s">
        <v>4917</v>
      </c>
      <c r="B3" s="137" t="s">
        <v>102</v>
      </c>
      <c r="C3" s="137"/>
      <c r="D3" s="137"/>
      <c r="E3" s="137" t="s">
        <v>69</v>
      </c>
      <c r="F3" s="128" t="s">
        <v>60</v>
      </c>
      <c r="G3" s="137" t="s">
        <v>8426</v>
      </c>
      <c r="H3" s="137" t="s">
        <v>34</v>
      </c>
      <c r="I3" s="137"/>
      <c r="J3" s="138" t="s">
        <v>71</v>
      </c>
      <c r="K3" s="137" t="s">
        <v>33</v>
      </c>
      <c r="L3" s="137" t="s">
        <v>5365</v>
      </c>
      <c r="M3" s="137" t="s">
        <v>8427</v>
      </c>
      <c r="N3" s="137"/>
      <c r="O3" s="137"/>
      <c r="P3" s="137"/>
      <c r="Q3" s="137"/>
    </row>
    <row r="4" spans="1:17" ht="15" customHeight="1" x14ac:dyDescent="0.35">
      <c r="A4" s="129" t="s">
        <v>8428</v>
      </c>
      <c r="B4" s="137" t="s">
        <v>68</v>
      </c>
      <c r="C4" s="137"/>
      <c r="D4" s="137"/>
      <c r="E4" s="137" t="s">
        <v>32</v>
      </c>
      <c r="F4" s="128" t="s">
        <v>35</v>
      </c>
      <c r="G4" s="137" t="s">
        <v>8429</v>
      </c>
      <c r="H4" s="137" t="s">
        <v>8430</v>
      </c>
      <c r="I4" s="137"/>
      <c r="J4" s="138" t="s">
        <v>83</v>
      </c>
      <c r="K4" s="137" t="s">
        <v>4949</v>
      </c>
      <c r="L4" s="137" t="s">
        <v>5338</v>
      </c>
      <c r="M4" s="137" t="s">
        <v>5042</v>
      </c>
      <c r="N4" s="137"/>
      <c r="O4" s="137"/>
      <c r="P4" s="137"/>
      <c r="Q4" s="137"/>
    </row>
    <row r="5" spans="1:17" ht="15" customHeight="1" x14ac:dyDescent="0.35">
      <c r="A5" s="129" t="s">
        <v>5147</v>
      </c>
      <c r="B5" s="137" t="s">
        <v>46</v>
      </c>
      <c r="C5" s="137"/>
      <c r="D5" s="137"/>
      <c r="E5" s="137"/>
      <c r="F5" s="128" t="s">
        <v>26</v>
      </c>
      <c r="G5" s="137" t="s">
        <v>8431</v>
      </c>
      <c r="H5" s="137" t="s">
        <v>33</v>
      </c>
      <c r="I5" s="137"/>
      <c r="J5" s="138" t="s">
        <v>36</v>
      </c>
      <c r="K5" s="137" t="s">
        <v>8432</v>
      </c>
      <c r="L5" s="137" t="s">
        <v>5511</v>
      </c>
      <c r="M5" s="137"/>
      <c r="N5" s="137"/>
      <c r="O5" s="137"/>
      <c r="P5" s="137"/>
      <c r="Q5" s="137"/>
    </row>
    <row r="6" spans="1:17" ht="15" customHeight="1" x14ac:dyDescent="0.35">
      <c r="A6" s="129" t="s">
        <v>8433</v>
      </c>
      <c r="B6" s="137" t="s">
        <v>265</v>
      </c>
      <c r="C6" s="137"/>
      <c r="D6" s="137"/>
      <c r="E6" s="137"/>
      <c r="F6" s="128" t="s">
        <v>219</v>
      </c>
      <c r="G6" s="137"/>
      <c r="H6" s="137"/>
      <c r="I6" s="137"/>
      <c r="J6" s="138" t="s">
        <v>8434</v>
      </c>
      <c r="K6" s="137"/>
      <c r="L6" s="137"/>
      <c r="M6" s="137"/>
      <c r="N6" s="137"/>
      <c r="O6" s="137"/>
      <c r="P6" s="137"/>
      <c r="Q6" s="137"/>
    </row>
    <row r="7" spans="1:17" ht="15" customHeight="1" x14ac:dyDescent="0.35">
      <c r="A7" s="129" t="s">
        <v>5763</v>
      </c>
      <c r="B7" s="137" t="s">
        <v>31</v>
      </c>
      <c r="C7" s="137"/>
      <c r="D7" s="137"/>
      <c r="E7" s="129" t="str">
        <f>IFERROR(INDEX(D:D, MATCH(#REF!,B:B,0)), "")</f>
        <v/>
      </c>
      <c r="F7" s="128" t="s">
        <v>8435</v>
      </c>
      <c r="G7" s="137"/>
      <c r="H7" s="137"/>
      <c r="I7" s="137"/>
      <c r="J7" s="138" t="s">
        <v>843</v>
      </c>
      <c r="K7" s="137"/>
      <c r="L7" s="137"/>
      <c r="M7" s="137"/>
      <c r="N7" s="137"/>
      <c r="O7" s="137"/>
      <c r="P7" s="137"/>
      <c r="Q7" s="137"/>
    </row>
    <row r="8" spans="1:17" ht="15" customHeight="1" x14ac:dyDescent="0.35">
      <c r="A8" s="129"/>
      <c r="B8" s="137" t="s">
        <v>43</v>
      </c>
      <c r="C8" s="137"/>
      <c r="D8" s="137"/>
      <c r="E8" s="137"/>
      <c r="F8" s="128" t="s">
        <v>8436</v>
      </c>
      <c r="G8" s="137"/>
      <c r="H8" s="137"/>
      <c r="I8" s="137"/>
      <c r="J8" s="138" t="s">
        <v>177</v>
      </c>
      <c r="K8" s="137"/>
      <c r="L8" s="137"/>
      <c r="M8" s="137"/>
      <c r="N8" s="137"/>
      <c r="O8" s="137"/>
      <c r="P8" s="137"/>
      <c r="Q8" s="137"/>
    </row>
    <row r="9" spans="1:17" ht="15" customHeight="1" x14ac:dyDescent="0.35">
      <c r="A9" s="129"/>
      <c r="B9" s="137" t="s">
        <v>1291</v>
      </c>
      <c r="C9" s="137"/>
      <c r="D9" s="137"/>
      <c r="E9" s="137"/>
      <c r="F9" s="128" t="s">
        <v>8437</v>
      </c>
      <c r="G9" s="137"/>
      <c r="H9" s="137"/>
      <c r="I9" s="137"/>
      <c r="J9" s="138" t="s">
        <v>598</v>
      </c>
      <c r="K9" s="137"/>
      <c r="L9" s="137"/>
      <c r="M9" s="137"/>
      <c r="N9" s="137"/>
      <c r="O9" s="137"/>
      <c r="P9" s="137"/>
      <c r="Q9" s="137"/>
    </row>
    <row r="10" spans="1:17" ht="15" customHeight="1" x14ac:dyDescent="0.35">
      <c r="A10" s="129"/>
      <c r="B10" s="137" t="s">
        <v>2627</v>
      </c>
      <c r="C10" s="137"/>
      <c r="D10" s="137"/>
      <c r="E10" s="137"/>
      <c r="F10" s="128" t="s">
        <v>8438</v>
      </c>
      <c r="G10" s="137"/>
      <c r="H10" s="137"/>
      <c r="I10" s="137"/>
      <c r="J10" s="138" t="s">
        <v>2816</v>
      </c>
      <c r="K10" s="137"/>
      <c r="L10" s="137"/>
      <c r="M10" s="137"/>
      <c r="N10" s="137"/>
      <c r="O10" s="137"/>
      <c r="P10" s="137"/>
      <c r="Q10" s="137"/>
    </row>
    <row r="11" spans="1:17" ht="15" customHeight="1" x14ac:dyDescent="0.35">
      <c r="A11" s="129"/>
      <c r="B11" s="137" t="s">
        <v>1813</v>
      </c>
      <c r="C11" s="137"/>
      <c r="D11" s="137"/>
      <c r="E11" s="137"/>
      <c r="F11" s="130" t="s">
        <v>8439</v>
      </c>
      <c r="G11" s="137"/>
      <c r="H11" s="137"/>
      <c r="I11" s="137"/>
      <c r="J11" s="138" t="s">
        <v>849</v>
      </c>
      <c r="K11" s="137"/>
      <c r="L11" s="137"/>
      <c r="M11" s="137"/>
      <c r="N11" s="137"/>
      <c r="O11" s="137"/>
      <c r="P11" s="137"/>
      <c r="Q11" s="137"/>
    </row>
    <row r="12" spans="1:17" ht="15" customHeight="1" x14ac:dyDescent="0.35">
      <c r="A12" s="129"/>
      <c r="B12" s="137" t="s">
        <v>2768</v>
      </c>
      <c r="C12" s="137"/>
      <c r="D12" s="137"/>
      <c r="E12" s="137"/>
      <c r="F12" s="139" t="s">
        <v>3540</v>
      </c>
      <c r="G12" s="137"/>
      <c r="H12" s="137"/>
      <c r="I12" s="137"/>
      <c r="J12" s="138" t="s">
        <v>1148</v>
      </c>
      <c r="K12" s="137"/>
      <c r="L12" s="137"/>
      <c r="M12" s="137"/>
      <c r="N12" s="137"/>
      <c r="O12" s="137"/>
      <c r="P12" s="137"/>
      <c r="Q12" s="137"/>
    </row>
    <row r="13" spans="1:17" ht="15" customHeight="1" x14ac:dyDescent="0.35">
      <c r="A13" s="129"/>
      <c r="B13" s="137" t="s">
        <v>4603</v>
      </c>
      <c r="C13" s="137"/>
      <c r="D13" s="137"/>
      <c r="E13" s="137"/>
      <c r="F13" s="139" t="s">
        <v>3603</v>
      </c>
      <c r="G13" s="137"/>
      <c r="H13" s="137"/>
      <c r="I13" s="137"/>
      <c r="J13" s="138" t="s">
        <v>1100</v>
      </c>
      <c r="K13" s="137"/>
      <c r="L13" s="137"/>
      <c r="M13" s="137"/>
      <c r="N13" s="137"/>
      <c r="O13" s="137"/>
      <c r="P13" s="137"/>
      <c r="Q13" s="137"/>
    </row>
    <row r="14" spans="1:17" ht="15" customHeight="1" x14ac:dyDescent="0.35">
      <c r="A14" s="129"/>
      <c r="B14" s="137" t="s">
        <v>2637</v>
      </c>
      <c r="C14" s="137"/>
      <c r="D14" s="137"/>
      <c r="E14" s="137"/>
      <c r="F14" s="137"/>
      <c r="G14" s="137"/>
      <c r="H14" s="137"/>
      <c r="I14" s="137"/>
      <c r="J14" s="138" t="s">
        <v>1623</v>
      </c>
      <c r="K14" s="137"/>
      <c r="L14" s="137"/>
      <c r="M14" s="137"/>
      <c r="N14" s="137"/>
      <c r="O14" s="137"/>
      <c r="P14" s="137"/>
      <c r="Q14" s="137"/>
    </row>
    <row r="15" spans="1:17" ht="15" customHeight="1" x14ac:dyDescent="0.35">
      <c r="A15" s="129"/>
      <c r="B15" s="137"/>
      <c r="C15" s="137"/>
      <c r="D15" s="137"/>
      <c r="E15" s="137"/>
      <c r="F15" s="137"/>
      <c r="G15" s="137"/>
      <c r="H15" s="137"/>
      <c r="I15" s="137"/>
      <c r="J15" s="138" t="s">
        <v>880</v>
      </c>
      <c r="K15" s="137"/>
      <c r="L15" s="137"/>
      <c r="M15" s="137"/>
      <c r="N15" s="137"/>
      <c r="O15" s="137"/>
      <c r="P15" s="137"/>
      <c r="Q15" s="137"/>
    </row>
    <row r="16" spans="1:17" ht="15" customHeight="1" x14ac:dyDescent="0.35">
      <c r="A16" s="129"/>
      <c r="B16" s="137"/>
      <c r="C16" s="137"/>
      <c r="D16" s="137"/>
      <c r="E16" s="137"/>
      <c r="F16" s="137"/>
      <c r="G16" s="137"/>
      <c r="H16" s="137"/>
      <c r="I16" s="137"/>
      <c r="J16" s="138" t="s">
        <v>1377</v>
      </c>
      <c r="K16" s="137"/>
      <c r="L16" s="137"/>
      <c r="M16" s="137"/>
      <c r="N16" s="137"/>
      <c r="O16" s="137"/>
      <c r="P16" s="137"/>
      <c r="Q16" s="137"/>
    </row>
    <row r="17" spans="2:17" ht="15" customHeight="1" x14ac:dyDescent="0.35">
      <c r="B17" s="137"/>
      <c r="C17" s="137"/>
      <c r="D17" s="137"/>
      <c r="E17" s="137"/>
      <c r="F17" s="137"/>
      <c r="G17" s="137"/>
      <c r="H17" s="137"/>
      <c r="I17" s="137"/>
      <c r="J17" s="138" t="s">
        <v>2631</v>
      </c>
      <c r="K17" s="137"/>
      <c r="L17" s="137"/>
      <c r="M17" s="137"/>
      <c r="N17" s="137"/>
      <c r="O17" s="137"/>
      <c r="P17" s="137"/>
      <c r="Q17" s="137"/>
    </row>
    <row r="18" spans="2:17" ht="15" customHeight="1" x14ac:dyDescent="0.35">
      <c r="B18" s="137"/>
      <c r="C18" s="137"/>
      <c r="D18" s="137"/>
      <c r="E18" s="137"/>
      <c r="F18" s="137"/>
      <c r="G18" s="137"/>
      <c r="H18" s="137"/>
      <c r="I18" s="137"/>
      <c r="J18" s="138" t="s">
        <v>1259</v>
      </c>
      <c r="K18" s="137"/>
      <c r="L18" s="137"/>
      <c r="M18" s="137"/>
      <c r="N18" s="137"/>
      <c r="O18" s="137"/>
      <c r="P18" s="137"/>
      <c r="Q18" s="137"/>
    </row>
    <row r="19" spans="2:17" ht="15" customHeight="1" x14ac:dyDescent="0.35">
      <c r="B19" s="137"/>
      <c r="C19" s="137"/>
      <c r="D19" s="137"/>
      <c r="E19" s="137"/>
      <c r="F19" s="137"/>
      <c r="G19" s="137"/>
      <c r="H19" s="137"/>
      <c r="I19" s="137"/>
      <c r="J19" s="138">
        <v>1216</v>
      </c>
      <c r="K19" s="137"/>
      <c r="L19" s="137"/>
      <c r="M19" s="137"/>
      <c r="N19" s="137"/>
      <c r="O19" s="137"/>
      <c r="P19" s="137"/>
      <c r="Q19" s="137"/>
    </row>
    <row r="20" spans="2:17" ht="15" customHeight="1" x14ac:dyDescent="0.35">
      <c r="B20" s="137"/>
      <c r="C20" s="137"/>
      <c r="D20" s="137"/>
      <c r="E20" s="137"/>
      <c r="F20" s="137"/>
      <c r="G20" s="137"/>
      <c r="H20" s="137"/>
      <c r="I20" s="137"/>
      <c r="J20" s="138">
        <v>2516</v>
      </c>
      <c r="K20" s="137"/>
      <c r="L20" s="137"/>
      <c r="M20" s="137"/>
      <c r="N20" s="137"/>
      <c r="O20" s="137"/>
      <c r="P20" s="137"/>
      <c r="Q20" s="137"/>
    </row>
    <row r="21" spans="2:17" ht="15" customHeight="1" x14ac:dyDescent="0.35">
      <c r="B21" s="137"/>
      <c r="C21" s="137"/>
      <c r="D21" s="137"/>
      <c r="E21" s="137"/>
      <c r="F21" s="137"/>
      <c r="G21" s="137"/>
      <c r="H21" s="137"/>
      <c r="I21" s="137"/>
      <c r="J21" s="138" t="s">
        <v>789</v>
      </c>
      <c r="K21" s="137"/>
      <c r="L21" s="137"/>
      <c r="M21" s="137"/>
      <c r="N21" s="137"/>
      <c r="O21" s="137"/>
      <c r="P21" s="137"/>
      <c r="Q21" s="137"/>
    </row>
    <row r="22" spans="2:17" ht="15" customHeight="1" x14ac:dyDescent="0.35">
      <c r="B22" s="137"/>
      <c r="C22" s="137"/>
      <c r="D22" s="137"/>
      <c r="E22" s="137"/>
      <c r="F22" s="137"/>
      <c r="G22" s="137"/>
      <c r="H22" s="137"/>
      <c r="I22" s="137"/>
      <c r="J22" s="138" t="s">
        <v>810</v>
      </c>
      <c r="K22" s="137"/>
      <c r="L22" s="137"/>
      <c r="M22" s="137"/>
      <c r="N22" s="137"/>
      <c r="O22" s="137"/>
      <c r="P22" s="137"/>
      <c r="Q22" s="137"/>
    </row>
    <row r="23" spans="2:17" ht="15" customHeight="1" x14ac:dyDescent="0.35">
      <c r="B23" s="137"/>
      <c r="C23" s="137"/>
      <c r="D23" s="137"/>
      <c r="E23" s="137"/>
      <c r="F23" s="137"/>
      <c r="G23" s="137"/>
      <c r="H23" s="137"/>
      <c r="I23" s="137"/>
      <c r="J23" s="138" t="s">
        <v>800</v>
      </c>
      <c r="K23" s="137"/>
      <c r="L23" s="137"/>
      <c r="M23" s="137"/>
      <c r="N23" s="137"/>
      <c r="O23" s="137"/>
      <c r="P23" s="137"/>
      <c r="Q23" s="137"/>
    </row>
    <row r="24" spans="2:17" ht="15" customHeight="1" x14ac:dyDescent="0.35">
      <c r="B24" s="137"/>
      <c r="C24" s="137"/>
      <c r="D24" s="137"/>
      <c r="E24" s="137"/>
      <c r="F24" s="137"/>
      <c r="G24" s="137"/>
      <c r="H24" s="137"/>
      <c r="I24" s="137"/>
      <c r="J24" s="138" t="s">
        <v>1479</v>
      </c>
      <c r="K24" s="137"/>
      <c r="L24" s="137"/>
      <c r="M24" s="137"/>
      <c r="N24" s="137"/>
      <c r="O24" s="137"/>
      <c r="P24" s="137"/>
      <c r="Q24" s="137"/>
    </row>
    <row r="25" spans="2:17" ht="15" customHeight="1" x14ac:dyDescent="0.35">
      <c r="B25" s="137"/>
      <c r="C25" s="137"/>
      <c r="D25" s="137"/>
      <c r="E25" s="137"/>
      <c r="F25" s="137"/>
      <c r="G25" s="137"/>
      <c r="H25" s="137"/>
      <c r="I25" s="137"/>
      <c r="J25" s="138" t="s">
        <v>1555</v>
      </c>
      <c r="K25" s="137"/>
      <c r="L25" s="137"/>
      <c r="M25" s="137"/>
      <c r="N25" s="137"/>
      <c r="O25" s="137"/>
      <c r="P25" s="137"/>
      <c r="Q25" s="137"/>
    </row>
    <row r="26" spans="2:17" ht="15" customHeight="1" x14ac:dyDescent="0.35">
      <c r="B26" s="137"/>
      <c r="C26" s="137"/>
      <c r="D26" s="137"/>
      <c r="E26" s="137"/>
      <c r="F26" s="137"/>
      <c r="G26" s="137"/>
      <c r="H26" s="137"/>
      <c r="I26" s="137"/>
      <c r="J26" s="138" t="s">
        <v>3683</v>
      </c>
      <c r="K26" s="137"/>
      <c r="L26" s="137"/>
      <c r="M26" s="137"/>
      <c r="N26" s="137"/>
      <c r="O26" s="137"/>
      <c r="P26" s="137"/>
      <c r="Q26" s="137"/>
    </row>
    <row r="27" spans="2:17" ht="15" customHeight="1" x14ac:dyDescent="0.35">
      <c r="B27" s="137"/>
      <c r="C27" s="137"/>
      <c r="D27" s="137"/>
      <c r="E27" s="137"/>
      <c r="F27" s="137"/>
      <c r="G27" s="137"/>
      <c r="H27" s="137"/>
      <c r="I27" s="137"/>
      <c r="J27" s="138" t="s">
        <v>8440</v>
      </c>
      <c r="K27" s="137"/>
      <c r="L27" s="137"/>
      <c r="M27" s="137"/>
      <c r="N27" s="137"/>
      <c r="O27" s="137"/>
      <c r="P27" s="137"/>
      <c r="Q27" s="137"/>
    </row>
    <row r="28" spans="2:17" ht="15" customHeight="1" x14ac:dyDescent="0.35">
      <c r="B28" s="137"/>
      <c r="C28" s="137"/>
      <c r="D28" s="137"/>
      <c r="E28" s="137"/>
      <c r="F28" s="137"/>
      <c r="G28" s="137"/>
      <c r="H28" s="137"/>
      <c r="I28" s="137"/>
      <c r="J28" s="138" t="s">
        <v>1340</v>
      </c>
      <c r="K28" s="137"/>
      <c r="L28" s="137"/>
      <c r="M28" s="137"/>
      <c r="N28" s="137"/>
      <c r="O28" s="137"/>
      <c r="P28" s="137"/>
      <c r="Q28" s="137"/>
    </row>
    <row r="29" spans="2:17" ht="15" customHeight="1" x14ac:dyDescent="0.35">
      <c r="B29" s="137"/>
      <c r="C29" s="137"/>
      <c r="D29" s="137"/>
      <c r="E29" s="137"/>
      <c r="F29" s="137"/>
      <c r="G29" s="137"/>
      <c r="H29" s="137"/>
      <c r="I29" s="137"/>
      <c r="J29" s="138" t="s">
        <v>1453</v>
      </c>
      <c r="K29" s="137"/>
      <c r="L29" s="137"/>
      <c r="M29" s="137"/>
      <c r="N29" s="137"/>
      <c r="O29" s="137"/>
      <c r="P29" s="137"/>
      <c r="Q29" s="137"/>
    </row>
    <row r="30" spans="2:17" ht="15" customHeight="1" x14ac:dyDescent="0.35">
      <c r="B30" s="137"/>
      <c r="C30" s="137"/>
      <c r="D30" s="137"/>
      <c r="E30" s="137"/>
      <c r="F30" s="137"/>
      <c r="G30" s="137"/>
      <c r="H30" s="137"/>
      <c r="I30" s="137"/>
      <c r="J30" s="138" t="s">
        <v>4615</v>
      </c>
      <c r="K30" s="137"/>
      <c r="L30" s="137"/>
      <c r="M30" s="137"/>
      <c r="N30" s="137"/>
      <c r="O30" s="137"/>
      <c r="P30" s="137"/>
      <c r="Q30" s="137"/>
    </row>
    <row r="31" spans="2:17" ht="15" customHeight="1" x14ac:dyDescent="0.35">
      <c r="B31" s="137"/>
      <c r="C31" s="137"/>
      <c r="D31" s="137"/>
      <c r="E31" s="137"/>
      <c r="F31" s="137"/>
      <c r="G31" s="137"/>
      <c r="H31" s="137"/>
      <c r="I31" s="137"/>
      <c r="J31" s="138" t="s">
        <v>4806</v>
      </c>
      <c r="K31" s="137"/>
      <c r="L31" s="137"/>
      <c r="M31" s="137"/>
      <c r="N31" s="137"/>
      <c r="O31" s="137"/>
      <c r="P31" s="137"/>
      <c r="Q31" s="137"/>
    </row>
    <row r="32" spans="2:17" ht="15" customHeight="1" x14ac:dyDescent="0.35">
      <c r="B32" s="137"/>
      <c r="C32" s="137"/>
      <c r="D32" s="137"/>
      <c r="E32" s="137"/>
      <c r="F32" s="137" t="s">
        <v>8441</v>
      </c>
      <c r="G32" s="137"/>
      <c r="H32" s="137"/>
      <c r="I32" s="137"/>
      <c r="J32" s="138" t="s">
        <v>1618</v>
      </c>
      <c r="K32" s="137"/>
      <c r="L32" s="137"/>
      <c r="M32" s="137"/>
      <c r="N32" s="137"/>
      <c r="O32" s="137"/>
      <c r="P32" s="137"/>
      <c r="Q32" s="137"/>
    </row>
    <row r="33" spans="2:17" ht="15" customHeight="1" x14ac:dyDescent="0.35">
      <c r="B33" s="137"/>
      <c r="C33" s="137"/>
      <c r="D33" s="137"/>
      <c r="E33" s="137"/>
      <c r="F33" s="137" t="s">
        <v>8442</v>
      </c>
      <c r="G33" s="137"/>
      <c r="H33" s="137"/>
      <c r="I33" s="137"/>
      <c r="J33" s="138" t="s">
        <v>1545</v>
      </c>
      <c r="K33" s="137"/>
      <c r="L33" s="137"/>
      <c r="M33" s="137"/>
      <c r="N33" s="137"/>
      <c r="O33" s="137"/>
      <c r="P33" s="137"/>
      <c r="Q33" s="137"/>
    </row>
    <row r="34" spans="2:17" ht="15" customHeight="1" x14ac:dyDescent="0.35">
      <c r="B34" s="137"/>
      <c r="C34" s="137"/>
      <c r="D34" s="137"/>
      <c r="E34" s="137"/>
      <c r="F34" s="137"/>
      <c r="G34" s="137"/>
      <c r="H34" s="137"/>
      <c r="I34" s="137"/>
      <c r="J34" s="138" t="s">
        <v>890</v>
      </c>
      <c r="K34" s="137"/>
      <c r="L34" s="137"/>
      <c r="M34" s="137"/>
      <c r="N34" s="137"/>
      <c r="O34" s="137"/>
      <c r="P34" s="137"/>
      <c r="Q34" s="137"/>
    </row>
    <row r="35" spans="2:17" ht="15" customHeight="1" x14ac:dyDescent="0.35">
      <c r="B35" s="137"/>
      <c r="C35" s="137"/>
      <c r="D35" s="137"/>
      <c r="E35" s="137"/>
      <c r="F35" s="137"/>
      <c r="G35" s="137"/>
      <c r="H35" s="137"/>
      <c r="I35" s="137"/>
      <c r="J35" s="138" t="s">
        <v>1776</v>
      </c>
      <c r="K35" s="137"/>
      <c r="L35" s="137"/>
      <c r="M35" s="137"/>
      <c r="N35" s="137"/>
      <c r="O35" s="137"/>
      <c r="P35" s="137"/>
      <c r="Q35" s="137"/>
    </row>
    <row r="36" spans="2:17" ht="15" customHeight="1" x14ac:dyDescent="0.35">
      <c r="B36" s="144"/>
      <c r="C36" s="144"/>
      <c r="D36" s="144" t="s">
        <v>8443</v>
      </c>
      <c r="E36" s="144">
        <v>1</v>
      </c>
      <c r="F36" s="144">
        <v>374</v>
      </c>
      <c r="G36" s="144" t="s">
        <v>43</v>
      </c>
      <c r="H36" s="137"/>
      <c r="I36" s="137"/>
      <c r="J36" s="138" t="s">
        <v>1007</v>
      </c>
      <c r="K36" s="137"/>
      <c r="L36" s="137"/>
      <c r="M36" s="137"/>
      <c r="N36" s="137"/>
      <c r="O36" s="137"/>
      <c r="P36" s="137"/>
      <c r="Q36" s="137"/>
    </row>
    <row r="37" spans="2:17" ht="15" customHeight="1" x14ac:dyDescent="0.35">
      <c r="B37" s="144"/>
      <c r="C37" s="144" t="s">
        <v>8444</v>
      </c>
      <c r="D37" s="144" t="s">
        <v>8445</v>
      </c>
      <c r="E37" s="144">
        <v>3</v>
      </c>
      <c r="F37" s="144" t="s">
        <v>8446</v>
      </c>
      <c r="G37" s="144"/>
      <c r="H37" s="137"/>
      <c r="I37" s="137"/>
      <c r="J37" s="138" t="s">
        <v>65</v>
      </c>
      <c r="K37" s="137"/>
      <c r="L37" s="137"/>
      <c r="M37" s="137"/>
      <c r="N37" s="137"/>
      <c r="O37" s="137"/>
      <c r="P37" s="137"/>
      <c r="Q37" s="137"/>
    </row>
    <row r="38" spans="2:17" ht="15" customHeight="1" x14ac:dyDescent="0.35">
      <c r="B38" s="144"/>
      <c r="C38" s="144" t="s">
        <v>8447</v>
      </c>
      <c r="D38" s="144" t="s">
        <v>8448</v>
      </c>
      <c r="E38" s="144">
        <v>16</v>
      </c>
      <c r="F38" s="144" t="s">
        <v>8449</v>
      </c>
      <c r="G38" s="144"/>
      <c r="H38" s="137"/>
      <c r="I38" s="137"/>
      <c r="J38" s="138" t="s">
        <v>2496</v>
      </c>
      <c r="K38" s="137"/>
      <c r="L38" s="137"/>
      <c r="M38" s="137"/>
      <c r="N38" s="137"/>
      <c r="O38" s="137"/>
      <c r="P38" s="137"/>
      <c r="Q38" s="137"/>
    </row>
    <row r="39" spans="2:17" ht="15" customHeight="1" x14ac:dyDescent="0.35">
      <c r="B39" s="144"/>
      <c r="C39" s="144" t="s">
        <v>636</v>
      </c>
      <c r="D39" s="144" t="s">
        <v>637</v>
      </c>
      <c r="E39" s="144">
        <v>2</v>
      </c>
      <c r="F39" s="144" t="s">
        <v>8450</v>
      </c>
      <c r="G39" s="144"/>
      <c r="H39" s="137"/>
      <c r="I39" s="137"/>
      <c r="J39" s="138" t="s">
        <v>988</v>
      </c>
      <c r="K39" s="137"/>
      <c r="L39" s="137"/>
      <c r="M39" s="137"/>
      <c r="N39" s="137"/>
      <c r="O39" s="137"/>
      <c r="P39" s="137"/>
      <c r="Q39" s="137"/>
    </row>
    <row r="40" spans="2:17" ht="15" customHeight="1" x14ac:dyDescent="0.35">
      <c r="B40" s="144"/>
      <c r="C40" s="144" t="s">
        <v>639</v>
      </c>
      <c r="D40" s="144" t="s">
        <v>640</v>
      </c>
      <c r="E40" s="144">
        <v>2</v>
      </c>
      <c r="F40" s="144" t="s">
        <v>8450</v>
      </c>
      <c r="G40" s="144"/>
      <c r="H40" s="137"/>
      <c r="I40" s="137"/>
      <c r="J40" s="138" t="s">
        <v>575</v>
      </c>
      <c r="K40" s="137"/>
      <c r="L40" s="137"/>
      <c r="M40" s="137"/>
      <c r="N40" s="137"/>
      <c r="O40" s="137"/>
      <c r="P40" s="137"/>
      <c r="Q40" s="137"/>
    </row>
    <row r="41" spans="2:17" ht="15" customHeight="1" x14ac:dyDescent="0.35">
      <c r="B41" s="144"/>
      <c r="C41" s="144" t="s">
        <v>8451</v>
      </c>
      <c r="D41" s="144" t="s">
        <v>8452</v>
      </c>
      <c r="E41" s="144">
        <v>1</v>
      </c>
      <c r="F41" s="144" t="s">
        <v>8453</v>
      </c>
      <c r="G41" s="144"/>
      <c r="H41" s="137"/>
      <c r="I41" s="137"/>
      <c r="J41" s="138" t="s">
        <v>2659</v>
      </c>
      <c r="K41" s="137"/>
      <c r="L41" s="137"/>
      <c r="M41" s="137"/>
      <c r="N41" s="137"/>
      <c r="O41" s="137"/>
      <c r="P41" s="137"/>
      <c r="Q41" s="137"/>
    </row>
    <row r="42" spans="2:17" ht="15" customHeight="1" x14ac:dyDescent="0.35">
      <c r="B42" s="144"/>
      <c r="C42" s="144" t="s">
        <v>600</v>
      </c>
      <c r="D42" s="144" t="s">
        <v>601</v>
      </c>
      <c r="E42" s="144">
        <v>3</v>
      </c>
      <c r="F42" s="144" t="s">
        <v>8450</v>
      </c>
      <c r="G42" s="144"/>
      <c r="H42" s="137"/>
      <c r="I42" s="137"/>
      <c r="J42" s="138">
        <v>810</v>
      </c>
      <c r="K42" s="137"/>
      <c r="L42" s="137"/>
      <c r="M42" s="137"/>
      <c r="N42" s="137"/>
      <c r="O42" s="137"/>
      <c r="P42" s="137"/>
      <c r="Q42" s="137"/>
    </row>
    <row r="43" spans="2:17" ht="15" customHeight="1" x14ac:dyDescent="0.35">
      <c r="B43" s="144"/>
      <c r="C43" s="144" t="s">
        <v>1634</v>
      </c>
      <c r="D43" s="144" t="s">
        <v>1635</v>
      </c>
      <c r="E43" s="144">
        <v>140</v>
      </c>
      <c r="F43" s="144" t="s">
        <v>8454</v>
      </c>
      <c r="G43" s="144"/>
      <c r="H43" s="137"/>
      <c r="I43" s="137"/>
      <c r="J43" s="138">
        <v>1618</v>
      </c>
      <c r="K43" s="137"/>
      <c r="L43" s="137"/>
      <c r="M43" s="137"/>
      <c r="N43" s="137"/>
      <c r="O43" s="137"/>
      <c r="P43" s="137"/>
      <c r="Q43" s="137"/>
    </row>
    <row r="44" spans="2:17" ht="15" customHeight="1" x14ac:dyDescent="0.35">
      <c r="B44" s="144"/>
      <c r="C44" s="144" t="s">
        <v>1637</v>
      </c>
      <c r="D44" s="144" t="s">
        <v>8455</v>
      </c>
      <c r="E44" s="144">
        <v>4</v>
      </c>
      <c r="F44" s="144" t="s">
        <v>8454</v>
      </c>
      <c r="G44" s="144"/>
      <c r="H44" s="137"/>
      <c r="I44" s="137"/>
      <c r="J44" s="138" t="s">
        <v>1843</v>
      </c>
      <c r="K44" s="137"/>
      <c r="L44" s="137"/>
      <c r="M44" s="137"/>
      <c r="N44" s="137"/>
      <c r="O44" s="137"/>
      <c r="P44" s="137"/>
      <c r="Q44" s="137"/>
    </row>
    <row r="45" spans="2:17" ht="15" customHeight="1" x14ac:dyDescent="0.35">
      <c r="B45" s="144"/>
      <c r="C45" s="144" t="s">
        <v>1656</v>
      </c>
      <c r="D45" s="144" t="s">
        <v>8456</v>
      </c>
      <c r="E45" s="144">
        <v>1</v>
      </c>
      <c r="F45" s="144" t="s">
        <v>8454</v>
      </c>
      <c r="G45" s="144"/>
      <c r="H45" s="137"/>
      <c r="I45" s="137"/>
      <c r="J45" s="138" t="s">
        <v>1506</v>
      </c>
      <c r="K45" s="137"/>
      <c r="L45" s="137"/>
      <c r="M45" s="137"/>
      <c r="N45" s="137"/>
      <c r="O45" s="137"/>
      <c r="P45" s="137"/>
      <c r="Q45" s="137"/>
    </row>
    <row r="46" spans="2:17" ht="15" customHeight="1" x14ac:dyDescent="0.35">
      <c r="B46" s="144"/>
      <c r="C46" s="144" t="s">
        <v>8457</v>
      </c>
      <c r="D46" s="144" t="s">
        <v>8458</v>
      </c>
      <c r="E46" s="144">
        <v>1</v>
      </c>
      <c r="F46" s="144" t="s">
        <v>8454</v>
      </c>
      <c r="G46" s="144"/>
      <c r="H46" s="137"/>
      <c r="I46" s="137"/>
      <c r="J46" s="138" t="s">
        <v>8459</v>
      </c>
      <c r="K46" s="137"/>
      <c r="L46" s="137"/>
      <c r="M46" s="137"/>
      <c r="N46" s="137"/>
      <c r="O46" s="137"/>
      <c r="P46" s="137"/>
      <c r="Q46" s="137"/>
    </row>
    <row r="47" spans="2:17" ht="15" customHeight="1" x14ac:dyDescent="0.35">
      <c r="B47" s="137"/>
      <c r="C47" s="137"/>
      <c r="D47" s="137"/>
      <c r="E47" s="137"/>
      <c r="F47" s="137"/>
      <c r="G47" s="137"/>
      <c r="H47" s="137"/>
      <c r="I47" s="137"/>
      <c r="J47" s="138" t="s">
        <v>3959</v>
      </c>
      <c r="K47" s="137"/>
      <c r="L47" s="137"/>
      <c r="M47" s="137"/>
      <c r="N47" s="137"/>
      <c r="O47" s="137"/>
      <c r="P47" s="137"/>
      <c r="Q47" s="137"/>
    </row>
    <row r="48" spans="2:17" ht="15" customHeight="1" x14ac:dyDescent="0.35">
      <c r="B48" s="137"/>
      <c r="C48" s="137"/>
      <c r="D48" s="137"/>
      <c r="E48" s="137"/>
      <c r="F48" s="137"/>
      <c r="G48" s="137"/>
      <c r="H48" s="137"/>
      <c r="I48" s="137"/>
      <c r="J48" s="138" t="s">
        <v>274</v>
      </c>
      <c r="K48" s="137"/>
      <c r="L48" s="137"/>
      <c r="M48" s="137"/>
      <c r="N48" s="137"/>
      <c r="O48" s="137"/>
      <c r="P48" s="137"/>
      <c r="Q48" s="137"/>
    </row>
    <row r="49" spans="2:17" ht="15" customHeight="1" x14ac:dyDescent="0.35">
      <c r="B49" s="137"/>
      <c r="C49" s="137"/>
      <c r="D49" s="137"/>
      <c r="E49" s="137"/>
      <c r="F49" s="137"/>
      <c r="G49" s="137"/>
      <c r="H49" s="137"/>
      <c r="I49" s="137"/>
      <c r="J49" s="138">
        <v>9016</v>
      </c>
      <c r="K49" s="137"/>
      <c r="L49" s="137"/>
      <c r="M49" s="137"/>
      <c r="N49" s="137"/>
      <c r="O49" s="137"/>
      <c r="P49" s="137"/>
      <c r="Q49" s="137"/>
    </row>
    <row r="50" spans="2:17" ht="15" customHeight="1" x14ac:dyDescent="0.35">
      <c r="B50" s="137"/>
      <c r="C50" s="137"/>
      <c r="D50" s="137"/>
      <c r="E50" s="137"/>
      <c r="F50" s="137"/>
      <c r="G50" s="137"/>
      <c r="H50" s="137"/>
      <c r="I50" s="137"/>
      <c r="J50" s="131" t="s">
        <v>526</v>
      </c>
      <c r="K50" s="137"/>
      <c r="L50" s="137"/>
      <c r="M50" s="137"/>
      <c r="N50" s="137"/>
      <c r="O50" s="137"/>
      <c r="P50" s="137"/>
      <c r="Q50" s="137"/>
    </row>
    <row r="51" spans="2:17" ht="15" customHeight="1" x14ac:dyDescent="0.35">
      <c r="B51" s="137"/>
      <c r="C51" s="137"/>
      <c r="D51" s="137"/>
      <c r="E51" s="137"/>
      <c r="F51" s="137"/>
      <c r="G51" s="137"/>
      <c r="H51" s="137"/>
      <c r="I51" s="137"/>
      <c r="J51" s="138" t="s">
        <v>1125</v>
      </c>
      <c r="K51" s="137"/>
      <c r="L51" s="137"/>
      <c r="M51" s="137"/>
      <c r="N51" s="137"/>
      <c r="O51" s="137"/>
      <c r="P51" s="137"/>
      <c r="Q51" s="137"/>
    </row>
    <row r="52" spans="2:17" ht="15" customHeight="1" x14ac:dyDescent="0.35">
      <c r="B52" s="137"/>
      <c r="C52" s="137"/>
      <c r="D52" s="137"/>
      <c r="E52" s="137"/>
      <c r="F52" s="137"/>
      <c r="G52" s="137"/>
      <c r="H52" s="137"/>
      <c r="I52" s="137"/>
      <c r="J52" s="138" t="s">
        <v>8460</v>
      </c>
      <c r="K52" s="137"/>
      <c r="L52" s="137"/>
      <c r="M52" s="137"/>
      <c r="N52" s="137"/>
      <c r="O52" s="137"/>
      <c r="P52" s="137"/>
      <c r="Q52" s="137"/>
    </row>
    <row r="53" spans="2:17" ht="15" customHeight="1" x14ac:dyDescent="0.35">
      <c r="B53" s="137"/>
      <c r="C53" s="137"/>
      <c r="D53" s="137"/>
      <c r="E53" s="137"/>
      <c r="F53" s="137"/>
      <c r="G53" s="137"/>
      <c r="H53" s="137"/>
      <c r="I53" s="137"/>
      <c r="J53" s="138" t="s">
        <v>838</v>
      </c>
      <c r="K53" s="137"/>
      <c r="L53" s="137"/>
      <c r="M53" s="137"/>
      <c r="N53" s="137"/>
      <c r="O53" s="137"/>
      <c r="P53" s="137"/>
      <c r="Q53" s="137"/>
    </row>
    <row r="54" spans="2:17" ht="15" customHeight="1" x14ac:dyDescent="0.35">
      <c r="B54" s="137"/>
      <c r="C54" s="137"/>
      <c r="D54" s="137"/>
      <c r="E54" s="137"/>
      <c r="F54" s="137"/>
      <c r="G54" s="137"/>
      <c r="H54" s="137"/>
      <c r="I54" s="137"/>
      <c r="J54" s="138">
        <v>2518</v>
      </c>
      <c r="K54" s="137"/>
      <c r="L54" s="137"/>
      <c r="M54" s="137"/>
      <c r="N54" s="137"/>
      <c r="O54" s="137"/>
      <c r="P54" s="137"/>
      <c r="Q54" s="137"/>
    </row>
    <row r="55" spans="2:17" ht="15" customHeight="1" x14ac:dyDescent="0.35">
      <c r="B55" s="137"/>
      <c r="C55" s="137"/>
      <c r="D55" s="137"/>
      <c r="E55" s="137"/>
      <c r="F55" s="137"/>
      <c r="G55" s="137"/>
      <c r="H55" s="137"/>
      <c r="I55" s="137"/>
      <c r="J55" s="138" t="s">
        <v>3189</v>
      </c>
      <c r="K55" s="137"/>
      <c r="L55" s="137"/>
      <c r="M55" s="137"/>
      <c r="N55" s="137"/>
      <c r="O55" s="137"/>
      <c r="P55" s="137"/>
      <c r="Q55" s="137"/>
    </row>
    <row r="56" spans="2:17" ht="15" customHeight="1" x14ac:dyDescent="0.35">
      <c r="B56" s="137"/>
      <c r="C56" s="137"/>
      <c r="D56" s="137"/>
      <c r="E56" s="137"/>
      <c r="F56" s="137"/>
      <c r="G56" s="137"/>
      <c r="H56" s="137"/>
      <c r="I56" s="137"/>
      <c r="J56" s="138" t="s">
        <v>3152</v>
      </c>
      <c r="K56" s="137"/>
      <c r="L56" s="137"/>
      <c r="M56" s="137"/>
      <c r="N56" s="137"/>
      <c r="O56" s="137"/>
      <c r="P56" s="137"/>
      <c r="Q56" s="137"/>
    </row>
    <row r="57" spans="2:17" ht="15" customHeight="1" x14ac:dyDescent="0.35">
      <c r="B57" s="137"/>
      <c r="C57" s="137"/>
      <c r="D57" s="137"/>
      <c r="E57" s="137"/>
      <c r="F57" s="137"/>
      <c r="G57" s="137"/>
      <c r="H57" s="137"/>
      <c r="I57" s="137"/>
      <c r="J57" s="138">
        <v>1918</v>
      </c>
      <c r="K57" s="137"/>
      <c r="L57" s="137"/>
      <c r="M57" s="137"/>
      <c r="N57" s="137"/>
      <c r="O57" s="137"/>
      <c r="P57" s="137"/>
      <c r="Q57" s="137"/>
    </row>
    <row r="58" spans="2:17" ht="15" customHeight="1" x14ac:dyDescent="0.35">
      <c r="B58" s="137"/>
      <c r="C58" s="137"/>
      <c r="D58" s="137"/>
      <c r="E58" s="137"/>
      <c r="F58" s="137"/>
      <c r="G58" s="137"/>
      <c r="H58" s="137"/>
      <c r="I58" s="137"/>
      <c r="J58" s="138" t="s">
        <v>3508</v>
      </c>
      <c r="K58" s="137"/>
      <c r="L58" s="137"/>
      <c r="M58" s="137"/>
      <c r="N58" s="137"/>
      <c r="O58" s="137"/>
      <c r="P58" s="137"/>
      <c r="Q58" s="137"/>
    </row>
    <row r="59" spans="2:17" ht="15" customHeight="1" x14ac:dyDescent="0.35">
      <c r="B59" s="137"/>
      <c r="C59" s="137"/>
      <c r="D59" s="137"/>
      <c r="E59" s="137"/>
      <c r="F59" s="137"/>
      <c r="G59" s="137"/>
      <c r="H59" s="137"/>
      <c r="I59" s="137"/>
      <c r="J59" s="138" t="s">
        <v>3544</v>
      </c>
      <c r="K59" s="137"/>
      <c r="L59" s="137"/>
      <c r="M59" s="137"/>
      <c r="N59" s="137"/>
      <c r="O59" s="137"/>
      <c r="P59" s="137"/>
      <c r="Q59" s="137"/>
    </row>
    <row r="60" spans="2:17" ht="15" customHeight="1" x14ac:dyDescent="0.35">
      <c r="B60" s="137"/>
      <c r="C60" s="137"/>
      <c r="D60" s="137"/>
      <c r="E60" s="137"/>
      <c r="F60" s="137"/>
      <c r="G60" s="137"/>
      <c r="H60" s="137"/>
      <c r="I60" s="137"/>
      <c r="J60" s="138" t="s">
        <v>8461</v>
      </c>
      <c r="K60" s="137"/>
      <c r="L60" s="137"/>
      <c r="M60" s="137"/>
      <c r="N60" s="137"/>
      <c r="O60" s="137"/>
      <c r="P60" s="137"/>
      <c r="Q60" s="137"/>
    </row>
    <row r="61" spans="2:17" ht="15" customHeight="1" x14ac:dyDescent="0.35">
      <c r="B61" s="137"/>
      <c r="C61" s="137"/>
      <c r="D61" s="137"/>
      <c r="E61" s="137"/>
      <c r="F61" s="137"/>
      <c r="G61" s="137"/>
      <c r="H61" s="137"/>
      <c r="I61" s="137"/>
      <c r="J61" s="138" t="s">
        <v>3700</v>
      </c>
      <c r="K61" s="137"/>
      <c r="L61" s="137"/>
      <c r="M61" s="137"/>
      <c r="N61" s="137"/>
      <c r="O61" s="137"/>
      <c r="P61" s="137"/>
      <c r="Q61" s="137"/>
    </row>
    <row r="62" spans="2:17" ht="15" customHeight="1" x14ac:dyDescent="0.35">
      <c r="B62" s="137"/>
      <c r="C62" s="137"/>
      <c r="D62" s="137"/>
      <c r="E62" s="137"/>
      <c r="F62" s="137"/>
      <c r="G62" s="137"/>
      <c r="H62" s="137"/>
      <c r="I62" s="137"/>
      <c r="J62" s="138" t="s">
        <v>4062</v>
      </c>
      <c r="K62" s="137"/>
      <c r="L62" s="137"/>
      <c r="M62" s="137"/>
      <c r="N62" s="137"/>
      <c r="O62" s="137"/>
      <c r="P62" s="137"/>
      <c r="Q62" s="137"/>
    </row>
    <row r="63" spans="2:17" ht="15" customHeight="1" x14ac:dyDescent="0.35">
      <c r="B63" s="137"/>
      <c r="C63" s="137"/>
      <c r="D63" s="137"/>
      <c r="E63" s="137"/>
      <c r="F63" s="137"/>
      <c r="G63" s="137"/>
      <c r="H63" s="137"/>
      <c r="I63" s="137"/>
      <c r="J63" s="138" t="s">
        <v>4443</v>
      </c>
      <c r="K63" s="137"/>
      <c r="L63" s="137"/>
      <c r="M63" s="137"/>
      <c r="N63" s="137"/>
      <c r="O63" s="137"/>
      <c r="P63" s="137"/>
      <c r="Q63" s="137"/>
    </row>
    <row r="64" spans="2:17" ht="15" customHeight="1" x14ac:dyDescent="0.35">
      <c r="B64" s="137"/>
      <c r="C64" s="137"/>
      <c r="D64" s="137"/>
      <c r="E64" s="137"/>
      <c r="F64" s="137"/>
      <c r="G64" s="137"/>
      <c r="H64" s="137"/>
      <c r="I64" s="137"/>
      <c r="J64" s="265" t="s">
        <v>1007</v>
      </c>
      <c r="K64" s="137"/>
      <c r="L64" s="137"/>
      <c r="M64" s="137"/>
      <c r="N64" s="137"/>
      <c r="O64" s="137"/>
      <c r="P64" s="137"/>
      <c r="Q64" s="137"/>
    </row>
    <row r="65" spans="1:17" ht="15" customHeight="1" x14ac:dyDescent="0.35">
      <c r="A65" s="129"/>
      <c r="B65" s="137"/>
      <c r="C65" s="137"/>
      <c r="D65" s="137"/>
      <c r="E65" s="137"/>
      <c r="F65" s="137"/>
      <c r="G65" s="137"/>
      <c r="H65" s="137"/>
      <c r="I65" s="137"/>
      <c r="J65" s="266" t="s">
        <v>1259</v>
      </c>
      <c r="K65" s="137"/>
      <c r="L65" s="137"/>
      <c r="M65" s="137"/>
      <c r="N65" s="137"/>
      <c r="O65" s="137"/>
      <c r="P65" s="137"/>
      <c r="Q65" s="137"/>
    </row>
    <row r="66" spans="1:17" ht="15" customHeight="1" x14ac:dyDescent="0.35">
      <c r="A66" s="129"/>
      <c r="B66" s="137"/>
      <c r="C66" s="137"/>
      <c r="D66" s="137"/>
      <c r="E66" s="137"/>
      <c r="F66" s="137"/>
      <c r="G66" s="137"/>
      <c r="H66" s="137"/>
      <c r="I66" s="137"/>
      <c r="J66" s="266" t="s">
        <v>1259</v>
      </c>
      <c r="K66" s="137"/>
      <c r="L66" s="137"/>
      <c r="M66" s="137"/>
      <c r="N66" s="137"/>
      <c r="O66" s="137"/>
      <c r="P66" s="137"/>
      <c r="Q66" s="137"/>
    </row>
    <row r="67" spans="1:17" ht="15" customHeight="1" x14ac:dyDescent="0.35">
      <c r="A67" s="129"/>
      <c r="B67" s="137"/>
      <c r="C67" s="137"/>
      <c r="D67" s="137"/>
      <c r="E67" s="137"/>
      <c r="F67" s="137"/>
      <c r="G67" s="137"/>
      <c r="H67" s="137"/>
      <c r="I67" s="137"/>
      <c r="J67" s="266" t="s">
        <v>1007</v>
      </c>
      <c r="K67" s="137"/>
      <c r="L67" s="137"/>
      <c r="M67" s="137"/>
      <c r="N67" s="137"/>
      <c r="O67" s="137"/>
      <c r="P67" s="137"/>
      <c r="Q67" s="137"/>
    </row>
    <row r="68" spans="1:17" ht="15" customHeight="1" x14ac:dyDescent="0.35">
      <c r="A68" s="129"/>
      <c r="B68" s="137"/>
      <c r="C68" s="137"/>
      <c r="D68" s="137"/>
      <c r="E68" s="137"/>
      <c r="F68" s="137"/>
      <c r="G68" s="137"/>
      <c r="H68" s="137"/>
      <c r="I68" s="137"/>
      <c r="J68" s="265" t="s">
        <v>1259</v>
      </c>
      <c r="K68" s="137"/>
      <c r="L68" s="137"/>
      <c r="M68" s="137"/>
      <c r="N68" s="137"/>
      <c r="O68" s="137"/>
      <c r="P68" s="137"/>
      <c r="Q68" s="137"/>
    </row>
    <row r="69" spans="1:17" ht="15" customHeight="1" x14ac:dyDescent="0.35">
      <c r="A69" s="129"/>
      <c r="B69" s="137"/>
      <c r="C69" s="137"/>
      <c r="D69" s="137"/>
      <c r="E69" s="137"/>
      <c r="F69" s="137"/>
      <c r="G69" s="137"/>
      <c r="H69" s="137"/>
      <c r="I69" s="137"/>
      <c r="J69" s="266" t="s">
        <v>988</v>
      </c>
      <c r="K69" s="137"/>
      <c r="L69" s="137"/>
      <c r="M69" s="137"/>
      <c r="N69" s="137"/>
      <c r="O69" s="137"/>
      <c r="P69" s="137"/>
      <c r="Q69" s="137"/>
    </row>
    <row r="70" spans="1:17" ht="15" customHeight="1" x14ac:dyDescent="0.35">
      <c r="A70" s="129"/>
      <c r="B70" s="137"/>
      <c r="C70" s="137"/>
      <c r="D70" s="137"/>
      <c r="E70" s="137"/>
      <c r="F70" s="137"/>
      <c r="G70" s="137"/>
      <c r="H70" s="137"/>
      <c r="I70" s="137"/>
      <c r="J70" s="269" t="s">
        <v>1007</v>
      </c>
      <c r="K70" s="137"/>
      <c r="L70" s="137"/>
      <c r="M70" s="137"/>
      <c r="N70" s="137"/>
      <c r="O70" s="137"/>
      <c r="P70" s="137"/>
      <c r="Q70" s="137"/>
    </row>
    <row r="71" spans="1:17" ht="15" customHeight="1" x14ac:dyDescent="0.35">
      <c r="A71" s="129"/>
      <c r="B71" s="137"/>
      <c r="C71" s="137"/>
      <c r="D71" s="137"/>
      <c r="E71" s="137"/>
      <c r="F71" s="137"/>
      <c r="G71" s="137"/>
      <c r="H71" s="137"/>
      <c r="I71" s="137"/>
      <c r="J71" s="267"/>
      <c r="K71" s="137"/>
      <c r="L71" s="137"/>
      <c r="M71" s="137"/>
      <c r="N71" s="137"/>
      <c r="O71" s="137"/>
      <c r="P71" s="137"/>
      <c r="Q71" s="137"/>
    </row>
    <row r="72" spans="1:17" ht="15" customHeight="1" x14ac:dyDescent="0.35">
      <c r="A72" s="129"/>
      <c r="B72" s="137"/>
      <c r="C72" s="137"/>
      <c r="D72" s="137"/>
      <c r="E72" s="137"/>
      <c r="F72" s="137"/>
      <c r="G72" s="137"/>
      <c r="H72" s="137"/>
      <c r="I72" s="137"/>
      <c r="J72" s="268"/>
      <c r="K72" s="137"/>
      <c r="L72" s="137"/>
      <c r="M72" s="137"/>
      <c r="N72" s="137"/>
      <c r="O72" s="137"/>
      <c r="P72" s="137"/>
      <c r="Q72" s="137"/>
    </row>
    <row r="73" spans="1:17" ht="15" customHeight="1" x14ac:dyDescent="0.35">
      <c r="A73" s="129"/>
      <c r="B73" s="137"/>
      <c r="C73" s="137"/>
      <c r="D73" s="137"/>
      <c r="E73" s="137"/>
      <c r="F73" s="137"/>
      <c r="G73" s="137"/>
      <c r="H73" s="137"/>
      <c r="I73" s="137"/>
      <c r="J73" s="138"/>
      <c r="K73" s="137"/>
      <c r="L73" s="137"/>
      <c r="M73" s="137"/>
      <c r="N73" s="137"/>
      <c r="O73" s="137"/>
      <c r="P73" s="137"/>
      <c r="Q73" s="137"/>
    </row>
    <row r="74" spans="1:17" ht="15" customHeight="1" x14ac:dyDescent="0.35">
      <c r="A74" s="129"/>
      <c r="B74" s="137"/>
      <c r="C74" s="137"/>
      <c r="D74" s="137"/>
      <c r="E74" s="137"/>
      <c r="F74" s="137"/>
      <c r="G74" s="137"/>
      <c r="H74" s="137"/>
      <c r="I74" s="137"/>
      <c r="J74" s="138"/>
      <c r="K74" s="137"/>
      <c r="L74" s="137"/>
      <c r="M74" s="137"/>
      <c r="N74" s="137"/>
      <c r="O74" s="137"/>
      <c r="P74" s="137"/>
      <c r="Q74" s="137"/>
    </row>
    <row r="75" spans="1:17" ht="15" customHeight="1" x14ac:dyDescent="0.35">
      <c r="A75" s="129"/>
      <c r="B75" s="137"/>
      <c r="C75" s="137"/>
      <c r="D75" s="137"/>
      <c r="E75" s="137"/>
      <c r="F75" s="137"/>
      <c r="G75" s="137"/>
      <c r="H75" s="137"/>
      <c r="I75" s="137"/>
      <c r="J75" s="138"/>
      <c r="K75" s="137"/>
      <c r="L75" s="137"/>
      <c r="M75" s="137"/>
      <c r="N75" s="137"/>
      <c r="O75" s="137"/>
      <c r="P75" s="137"/>
      <c r="Q75" s="137"/>
    </row>
    <row r="76" spans="1:17" ht="15" customHeight="1" x14ac:dyDescent="0.35">
      <c r="A76" s="129"/>
      <c r="B76" s="137"/>
      <c r="C76" s="137"/>
      <c r="D76" s="137"/>
      <c r="E76" s="137"/>
      <c r="F76" s="137"/>
      <c r="G76" s="137"/>
      <c r="H76" s="137"/>
      <c r="I76" s="137"/>
      <c r="J76" s="138"/>
      <c r="K76" s="137"/>
      <c r="L76" s="137"/>
      <c r="M76" s="137"/>
      <c r="N76" s="137"/>
      <c r="O76" s="137"/>
      <c r="P76" s="137"/>
      <c r="Q76" s="137"/>
    </row>
    <row r="77" spans="1:17" ht="15" customHeight="1" x14ac:dyDescent="0.35">
      <c r="A77" s="129"/>
      <c r="B77" s="137"/>
      <c r="C77" s="137"/>
      <c r="D77" s="137"/>
      <c r="E77" s="137"/>
      <c r="F77" s="137"/>
      <c r="G77" s="137"/>
      <c r="H77" s="137"/>
      <c r="I77" s="137"/>
      <c r="J77" s="138"/>
      <c r="K77" s="137"/>
      <c r="L77" s="137"/>
      <c r="M77" s="137"/>
      <c r="N77" s="137"/>
      <c r="O77" s="137"/>
      <c r="P77" s="137"/>
      <c r="Q77" s="137"/>
    </row>
    <row r="78" spans="1:17" ht="15" customHeight="1" x14ac:dyDescent="0.35">
      <c r="A78" s="129"/>
      <c r="B78" s="137"/>
      <c r="C78" s="137"/>
      <c r="D78" s="137"/>
      <c r="E78" s="137"/>
      <c r="F78" s="137"/>
      <c r="G78" s="137"/>
      <c r="H78" s="137"/>
      <c r="I78" s="137"/>
      <c r="J78" s="138"/>
      <c r="K78" s="137"/>
      <c r="L78" s="137"/>
      <c r="M78" s="137"/>
      <c r="N78" s="137"/>
      <c r="O78" s="137"/>
      <c r="P78" s="137"/>
      <c r="Q78" s="137"/>
    </row>
    <row r="79" spans="1:17" ht="15" customHeight="1" x14ac:dyDescent="0.35">
      <c r="A79" s="129"/>
      <c r="B79" s="137"/>
      <c r="C79" s="137"/>
      <c r="D79" s="137"/>
      <c r="E79" s="137"/>
      <c r="F79" s="137"/>
      <c r="G79" s="137"/>
      <c r="H79" s="137"/>
      <c r="I79" s="137"/>
      <c r="J79" s="138"/>
      <c r="K79" s="137"/>
      <c r="L79" s="137"/>
      <c r="M79" s="137"/>
      <c r="N79" s="137"/>
      <c r="O79" s="137"/>
      <c r="P79" s="137"/>
      <c r="Q79" s="137"/>
    </row>
    <row r="80" spans="1:17" ht="15" customHeight="1" x14ac:dyDescent="0.35">
      <c r="A80" s="129"/>
      <c r="B80" s="137"/>
      <c r="C80" s="137"/>
      <c r="D80" s="137"/>
      <c r="E80" s="137"/>
      <c r="F80" s="137"/>
      <c r="G80" s="137"/>
      <c r="H80" s="137"/>
      <c r="I80" s="137"/>
      <c r="J80" s="138"/>
      <c r="K80" s="137"/>
      <c r="L80" s="137"/>
      <c r="M80" s="137"/>
      <c r="N80" s="137"/>
      <c r="O80" s="137"/>
      <c r="P80" s="137"/>
      <c r="Q80" s="137"/>
    </row>
    <row r="81" spans="1:17" ht="15" customHeight="1" x14ac:dyDescent="0.35">
      <c r="A81" s="129"/>
      <c r="B81" s="137"/>
      <c r="C81" s="137"/>
      <c r="D81" s="137"/>
      <c r="E81" s="137"/>
      <c r="F81" s="137"/>
      <c r="G81" s="137"/>
      <c r="H81" s="137"/>
      <c r="I81" s="137"/>
      <c r="J81" s="138"/>
      <c r="K81" s="137"/>
      <c r="L81" s="137"/>
      <c r="M81" s="137"/>
      <c r="N81" s="137"/>
      <c r="O81" s="137"/>
      <c r="P81" s="137"/>
      <c r="Q81" s="137"/>
    </row>
    <row r="82" spans="1:17" ht="15" customHeight="1" x14ac:dyDescent="0.35">
      <c r="A82" s="129"/>
      <c r="B82" s="137"/>
      <c r="C82" s="137"/>
      <c r="D82" s="137"/>
      <c r="E82" s="137"/>
      <c r="F82" s="137"/>
      <c r="G82" s="137"/>
      <c r="H82" s="137"/>
      <c r="I82" s="137"/>
      <c r="J82" s="138"/>
      <c r="K82" s="137"/>
      <c r="L82" s="137"/>
      <c r="M82" s="137"/>
      <c r="N82" s="137"/>
      <c r="O82" s="137"/>
      <c r="P82" s="137"/>
      <c r="Q82" s="137"/>
    </row>
    <row r="83" spans="1:17" ht="15" customHeight="1" x14ac:dyDescent="0.35">
      <c r="A83" s="129"/>
      <c r="B83" s="137"/>
      <c r="C83" s="137"/>
      <c r="D83" s="137"/>
      <c r="E83" s="137"/>
      <c r="F83" s="137"/>
      <c r="G83" s="137"/>
      <c r="H83" s="137"/>
      <c r="I83" s="137"/>
      <c r="J83" s="138"/>
      <c r="K83" s="137"/>
      <c r="L83" s="137"/>
      <c r="M83" s="137"/>
      <c r="N83" s="137"/>
      <c r="O83" s="137"/>
      <c r="P83" s="137"/>
      <c r="Q83" s="137"/>
    </row>
    <row r="84" spans="1:17" ht="15" customHeight="1" x14ac:dyDescent="0.35">
      <c r="A84" s="129"/>
      <c r="B84" s="137"/>
      <c r="C84" s="137"/>
      <c r="D84" s="137"/>
      <c r="E84" s="137"/>
      <c r="F84" s="137"/>
      <c r="G84" s="137"/>
      <c r="H84" s="137"/>
      <c r="I84" s="137"/>
      <c r="J84" s="138"/>
      <c r="K84" s="137"/>
      <c r="L84" s="137"/>
      <c r="M84" s="137"/>
      <c r="N84" s="137"/>
      <c r="O84" s="137"/>
      <c r="P84" s="137"/>
      <c r="Q84" s="137"/>
    </row>
    <row r="85" spans="1:17" ht="15" customHeight="1" x14ac:dyDescent="0.35">
      <c r="A85" s="129"/>
      <c r="B85" s="137"/>
      <c r="C85" s="137"/>
      <c r="D85" s="137"/>
      <c r="E85" s="137"/>
      <c r="F85" s="137"/>
      <c r="G85" s="137"/>
      <c r="H85" s="137"/>
      <c r="I85" s="137"/>
      <c r="J85" s="138"/>
      <c r="K85" s="137"/>
      <c r="L85" s="137"/>
      <c r="M85" s="137"/>
      <c r="N85" s="137"/>
      <c r="O85" s="137"/>
      <c r="P85" s="137"/>
      <c r="Q85" s="137"/>
    </row>
    <row r="86" spans="1:17" ht="15" customHeight="1" x14ac:dyDescent="0.35">
      <c r="A86" s="129"/>
      <c r="B86" s="137"/>
      <c r="C86" s="137"/>
      <c r="D86" s="137"/>
      <c r="E86" s="137"/>
      <c r="F86" s="137"/>
      <c r="G86" s="137"/>
      <c r="H86" s="137"/>
      <c r="I86" s="137"/>
      <c r="J86" s="138"/>
      <c r="K86" s="137"/>
      <c r="L86" s="137"/>
      <c r="M86" s="137"/>
      <c r="N86" s="137"/>
      <c r="O86" s="137"/>
      <c r="P86" s="137"/>
      <c r="Q86" s="137"/>
    </row>
    <row r="87" spans="1:17" ht="15" customHeight="1" x14ac:dyDescent="0.35">
      <c r="A87" s="129"/>
      <c r="B87" s="137"/>
      <c r="C87" s="137"/>
      <c r="D87" s="137"/>
      <c r="E87" s="137"/>
      <c r="F87" s="137"/>
      <c r="G87" s="137"/>
      <c r="H87" s="137"/>
      <c r="I87" s="137"/>
      <c r="J87" s="138"/>
      <c r="K87" s="137"/>
      <c r="L87" s="137"/>
      <c r="M87" s="137"/>
      <c r="N87" s="137"/>
      <c r="O87" s="137"/>
      <c r="P87" s="137"/>
      <c r="Q87" s="137"/>
    </row>
    <row r="88" spans="1:17" ht="15" customHeight="1" x14ac:dyDescent="0.35">
      <c r="A88" s="129"/>
      <c r="B88" s="137"/>
      <c r="C88" s="137"/>
      <c r="D88" s="137"/>
      <c r="E88" s="137"/>
      <c r="F88" s="137"/>
      <c r="G88" s="137"/>
      <c r="H88" s="137"/>
      <c r="I88" s="137"/>
      <c r="J88" s="138"/>
      <c r="K88" s="137"/>
      <c r="L88" s="137"/>
      <c r="M88" s="137"/>
      <c r="N88" s="137"/>
      <c r="O88" s="137"/>
      <c r="P88" s="137"/>
      <c r="Q88" s="137"/>
    </row>
    <row r="89" spans="1:17" ht="15" customHeight="1" x14ac:dyDescent="0.35">
      <c r="A89" s="129"/>
      <c r="B89" s="137"/>
      <c r="C89" s="137"/>
      <c r="D89" s="137"/>
      <c r="E89" s="137"/>
      <c r="F89" s="137"/>
      <c r="G89" s="137"/>
      <c r="H89" s="137"/>
      <c r="I89" s="137"/>
      <c r="J89" s="138"/>
      <c r="K89" s="137"/>
      <c r="L89" s="137"/>
      <c r="M89" s="137"/>
      <c r="N89" s="137"/>
      <c r="O89" s="137"/>
      <c r="P89" s="137"/>
      <c r="Q89" s="137"/>
    </row>
    <row r="90" spans="1:17" ht="15" customHeight="1" x14ac:dyDescent="0.35">
      <c r="A90" s="129"/>
      <c r="B90" s="137"/>
      <c r="C90" s="137"/>
      <c r="D90" s="137"/>
      <c r="E90" s="137"/>
      <c r="F90" s="137"/>
      <c r="G90" s="137"/>
      <c r="H90" s="137"/>
      <c r="I90" s="137"/>
      <c r="J90" s="138"/>
      <c r="K90" s="137"/>
      <c r="L90" s="137"/>
      <c r="M90" s="137"/>
      <c r="N90" s="137"/>
      <c r="O90" s="137"/>
      <c r="P90" s="137"/>
      <c r="Q90" s="137"/>
    </row>
    <row r="91" spans="1:17" ht="15" customHeight="1" x14ac:dyDescent="0.35">
      <c r="A91" s="129"/>
      <c r="B91" s="137"/>
      <c r="C91" s="137"/>
      <c r="D91" s="137"/>
      <c r="E91" s="137"/>
      <c r="F91" s="137"/>
      <c r="G91" s="137"/>
      <c r="H91" s="137"/>
      <c r="I91" s="137"/>
      <c r="J91" s="138"/>
      <c r="K91" s="137"/>
      <c r="L91" s="137"/>
      <c r="M91" s="137"/>
      <c r="N91" s="137"/>
      <c r="O91" s="137"/>
      <c r="P91" s="137"/>
      <c r="Q91" s="137"/>
    </row>
    <row r="92" spans="1:17" ht="15" customHeight="1" x14ac:dyDescent="0.35">
      <c r="A92" s="129"/>
      <c r="B92" s="137"/>
      <c r="C92" s="137"/>
      <c r="D92" s="137"/>
      <c r="E92" s="137"/>
      <c r="F92" s="137"/>
      <c r="G92" s="137"/>
      <c r="H92" s="137"/>
      <c r="I92" s="137"/>
      <c r="J92" s="138"/>
      <c r="K92" s="137"/>
      <c r="L92" s="137"/>
      <c r="M92" s="137"/>
      <c r="N92" s="137"/>
      <c r="O92" s="137"/>
      <c r="P92" s="137"/>
      <c r="Q92" s="137"/>
    </row>
    <row r="93" spans="1:17" ht="15" customHeight="1" x14ac:dyDescent="0.35">
      <c r="A93" s="129"/>
      <c r="B93" s="137"/>
      <c r="C93" s="137"/>
      <c r="D93" s="137"/>
      <c r="E93" s="137"/>
      <c r="F93" s="137"/>
      <c r="G93" s="137"/>
      <c r="H93" s="137"/>
      <c r="I93" s="137"/>
      <c r="J93" s="138"/>
      <c r="K93" s="137"/>
      <c r="L93" s="137"/>
      <c r="M93" s="137"/>
      <c r="N93" s="137"/>
      <c r="O93" s="137"/>
      <c r="P93" s="137"/>
      <c r="Q93" s="137"/>
    </row>
    <row r="94" spans="1:17" ht="15" customHeight="1" x14ac:dyDescent="0.35">
      <c r="A94" s="129"/>
      <c r="B94" s="137"/>
      <c r="C94" s="137"/>
      <c r="D94" s="137"/>
      <c r="E94" s="137"/>
      <c r="F94" s="137"/>
      <c r="G94" s="137"/>
      <c r="H94" s="137"/>
      <c r="I94" s="137"/>
      <c r="J94" s="138"/>
      <c r="K94" s="137"/>
      <c r="L94" s="137"/>
      <c r="M94" s="137"/>
      <c r="N94" s="137"/>
      <c r="O94" s="137"/>
      <c r="P94" s="137"/>
      <c r="Q94" s="137"/>
    </row>
    <row r="95" spans="1:17" ht="15" customHeight="1" x14ac:dyDescent="0.35">
      <c r="A95" s="129"/>
      <c r="B95" s="137"/>
      <c r="C95" s="137"/>
      <c r="D95" s="137"/>
      <c r="E95" s="137"/>
      <c r="F95" s="137"/>
      <c r="G95" s="137"/>
      <c r="H95" s="137"/>
      <c r="I95" s="137"/>
      <c r="J95" s="138"/>
      <c r="K95" s="137"/>
      <c r="L95" s="137"/>
      <c r="M95" s="137"/>
      <c r="N95" s="137"/>
      <c r="O95" s="137"/>
      <c r="P95" s="137"/>
      <c r="Q95" s="137"/>
    </row>
    <row r="96" spans="1:17" ht="15" customHeight="1" x14ac:dyDescent="0.35">
      <c r="A96" s="129"/>
      <c r="B96" s="137"/>
      <c r="C96" s="137"/>
      <c r="D96" s="137"/>
      <c r="E96" s="137"/>
      <c r="F96" s="137"/>
      <c r="G96" s="137"/>
      <c r="H96" s="137"/>
      <c r="I96" s="137"/>
      <c r="J96" s="138"/>
      <c r="K96" s="137"/>
      <c r="L96" s="137"/>
      <c r="M96" s="137"/>
      <c r="N96" s="137"/>
      <c r="O96" s="137"/>
      <c r="P96" s="137"/>
      <c r="Q96" s="137"/>
    </row>
    <row r="97" spans="1:17" ht="15" customHeight="1" x14ac:dyDescent="0.35">
      <c r="A97" s="129"/>
      <c r="B97" s="137"/>
      <c r="C97" s="137"/>
      <c r="D97" s="137"/>
      <c r="E97" s="137"/>
      <c r="F97" s="137"/>
      <c r="G97" s="137"/>
      <c r="H97" s="137"/>
      <c r="I97" s="137"/>
      <c r="J97" s="138"/>
      <c r="K97" s="137"/>
      <c r="L97" s="137"/>
      <c r="M97" s="137"/>
      <c r="N97" s="137"/>
      <c r="O97" s="137"/>
      <c r="P97" s="137"/>
      <c r="Q97" s="137"/>
    </row>
    <row r="98" spans="1:17" ht="15" customHeight="1" x14ac:dyDescent="0.35">
      <c r="A98" s="129"/>
      <c r="B98" s="137"/>
      <c r="C98" s="137"/>
      <c r="D98" s="137"/>
      <c r="E98" s="137"/>
      <c r="F98" s="137"/>
      <c r="G98" s="137"/>
      <c r="H98" s="137"/>
      <c r="I98" s="137"/>
      <c r="J98" s="138"/>
      <c r="K98" s="137"/>
      <c r="L98" s="137"/>
      <c r="M98" s="137"/>
      <c r="N98" s="137"/>
      <c r="O98" s="137"/>
      <c r="P98" s="137"/>
      <c r="Q98" s="137"/>
    </row>
    <row r="99" spans="1:17" ht="15" customHeight="1" x14ac:dyDescent="0.35">
      <c r="A99" s="129"/>
      <c r="B99" s="137"/>
      <c r="C99" s="137"/>
      <c r="D99" s="137"/>
      <c r="E99" s="137"/>
      <c r="F99" s="137"/>
      <c r="G99" s="137"/>
      <c r="H99" s="137"/>
      <c r="I99" s="137"/>
      <c r="J99" s="138"/>
      <c r="K99" s="137"/>
      <c r="L99" s="137"/>
      <c r="M99" s="137"/>
      <c r="N99" s="137"/>
      <c r="O99" s="137"/>
      <c r="P99" s="137"/>
      <c r="Q99" s="137"/>
    </row>
    <row r="100" spans="1:17" ht="15" customHeight="1" x14ac:dyDescent="0.35">
      <c r="A100" s="129"/>
      <c r="B100" s="137"/>
      <c r="C100" s="137"/>
      <c r="D100" s="137"/>
      <c r="E100" s="137"/>
      <c r="F100" s="137"/>
      <c r="G100" s="137"/>
      <c r="H100" s="137"/>
      <c r="I100" s="137"/>
      <c r="J100" s="138"/>
      <c r="K100" s="137"/>
      <c r="L100" s="137"/>
      <c r="M100" s="137"/>
      <c r="N100" s="137"/>
      <c r="O100" s="137"/>
      <c r="P100" s="137"/>
      <c r="Q100" s="137"/>
    </row>
    <row r="101" spans="1:17" ht="15" customHeight="1" x14ac:dyDescent="0.35">
      <c r="A101" s="129"/>
      <c r="B101" s="137"/>
      <c r="C101" s="137"/>
      <c r="D101" s="137"/>
      <c r="E101" s="137"/>
      <c r="F101" s="137"/>
      <c r="G101" s="137"/>
      <c r="H101" s="137"/>
      <c r="I101" s="137"/>
      <c r="J101" s="138"/>
      <c r="K101" s="137"/>
      <c r="L101" s="137"/>
      <c r="M101" s="137"/>
      <c r="N101" s="137"/>
      <c r="O101" s="137"/>
      <c r="P101" s="137"/>
      <c r="Q101" s="137"/>
    </row>
    <row r="102" spans="1:17" ht="15" customHeight="1" x14ac:dyDescent="0.35">
      <c r="A102" s="129"/>
      <c r="B102" s="137"/>
      <c r="C102" s="137"/>
      <c r="D102" s="137"/>
      <c r="E102" s="137"/>
      <c r="F102" s="137"/>
      <c r="G102" s="137"/>
      <c r="H102" s="137"/>
      <c r="I102" s="137"/>
      <c r="J102" s="138"/>
      <c r="K102" s="137"/>
      <c r="L102" s="137"/>
      <c r="M102" s="137"/>
      <c r="N102" s="137"/>
      <c r="O102" s="137"/>
      <c r="P102" s="137"/>
      <c r="Q102" s="137"/>
    </row>
    <row r="103" spans="1:17" ht="15" customHeight="1" x14ac:dyDescent="0.35">
      <c r="A103" s="129"/>
      <c r="B103" s="137"/>
      <c r="C103" s="137"/>
      <c r="D103" s="137"/>
      <c r="E103" s="137"/>
      <c r="F103" s="137"/>
      <c r="G103" s="137"/>
      <c r="H103" s="137"/>
      <c r="I103" s="137"/>
      <c r="J103" s="138"/>
      <c r="K103" s="137"/>
      <c r="L103" s="137"/>
      <c r="M103" s="137"/>
      <c r="N103" s="137"/>
      <c r="O103" s="137"/>
      <c r="P103" s="137"/>
      <c r="Q103" s="137"/>
    </row>
    <row r="104" spans="1:17" ht="15" customHeight="1" x14ac:dyDescent="0.35">
      <c r="A104" s="129"/>
      <c r="B104" s="137"/>
      <c r="C104" s="137"/>
      <c r="D104" s="137"/>
      <c r="E104" s="137"/>
      <c r="F104" s="137"/>
      <c r="G104" s="137"/>
      <c r="H104" s="137"/>
      <c r="I104" s="137"/>
      <c r="J104" s="138"/>
      <c r="K104" s="137"/>
      <c r="L104" s="137"/>
      <c r="M104" s="137"/>
      <c r="N104" s="137"/>
      <c r="O104" s="137"/>
      <c r="P104" s="137"/>
      <c r="Q104" s="137"/>
    </row>
    <row r="105" spans="1:17" ht="15" customHeight="1" x14ac:dyDescent="0.35">
      <c r="A105" s="129"/>
      <c r="B105" s="137"/>
      <c r="C105" s="137"/>
      <c r="D105" s="137"/>
      <c r="E105" s="137"/>
      <c r="F105" s="137"/>
      <c r="G105" s="137"/>
      <c r="H105" s="137"/>
      <c r="I105" s="137"/>
      <c r="J105" s="138"/>
      <c r="K105" s="137"/>
      <c r="L105" s="137"/>
      <c r="M105" s="137"/>
      <c r="N105" s="137"/>
      <c r="O105" s="137"/>
      <c r="P105" s="137"/>
      <c r="Q105" s="137"/>
    </row>
    <row r="106" spans="1:17" ht="15" customHeight="1" x14ac:dyDescent="0.35">
      <c r="A106" s="129"/>
      <c r="B106" s="137"/>
      <c r="C106" s="137"/>
      <c r="D106" s="137"/>
      <c r="E106" s="137"/>
      <c r="F106" s="137"/>
      <c r="G106" s="137"/>
      <c r="H106" s="137"/>
      <c r="I106" s="137"/>
      <c r="J106" s="138"/>
      <c r="K106" s="137"/>
      <c r="L106" s="137"/>
      <c r="M106" s="137"/>
      <c r="N106" s="137"/>
      <c r="O106" s="137"/>
      <c r="P106" s="137"/>
      <c r="Q106" s="137"/>
    </row>
    <row r="107" spans="1:17" ht="15" customHeight="1" x14ac:dyDescent="0.35">
      <c r="A107" s="129"/>
      <c r="B107" s="137"/>
      <c r="C107" s="137"/>
      <c r="D107" s="137"/>
      <c r="E107" s="137"/>
      <c r="F107" s="137"/>
      <c r="G107" s="137"/>
      <c r="H107" s="137"/>
      <c r="I107" s="137"/>
      <c r="J107" s="138"/>
      <c r="K107" s="137"/>
      <c r="L107" s="137"/>
      <c r="M107" s="137"/>
      <c r="N107" s="137"/>
      <c r="O107" s="137"/>
      <c r="P107" s="137"/>
      <c r="Q107" s="137"/>
    </row>
    <row r="108" spans="1:17" ht="15" customHeight="1" x14ac:dyDescent="0.35">
      <c r="A108" s="129"/>
      <c r="B108" s="137"/>
      <c r="C108" s="137"/>
      <c r="D108" s="137"/>
      <c r="E108" s="137"/>
      <c r="F108" s="137"/>
      <c r="G108" s="137"/>
      <c r="H108" s="137"/>
      <c r="I108" s="137"/>
      <c r="J108" s="138"/>
      <c r="K108" s="137"/>
      <c r="L108" s="137"/>
      <c r="M108" s="137"/>
      <c r="N108" s="137"/>
      <c r="O108" s="137"/>
      <c r="P108" s="137"/>
      <c r="Q108" s="137"/>
    </row>
    <row r="109" spans="1:17" ht="15" customHeight="1" x14ac:dyDescent="0.35">
      <c r="A109" s="129"/>
      <c r="B109" s="137"/>
      <c r="C109" s="137"/>
      <c r="D109" s="137"/>
      <c r="E109" s="137"/>
      <c r="F109" s="137"/>
      <c r="G109" s="137"/>
      <c r="H109" s="137"/>
      <c r="I109" s="137"/>
      <c r="J109" s="138"/>
      <c r="K109" s="137"/>
      <c r="L109" s="137"/>
      <c r="M109" s="137"/>
      <c r="N109" s="137"/>
      <c r="O109" s="137"/>
      <c r="P109" s="137"/>
      <c r="Q109" s="137"/>
    </row>
    <row r="110" spans="1:17" ht="15" customHeight="1" x14ac:dyDescent="0.35">
      <c r="A110" s="129"/>
      <c r="B110" s="137"/>
      <c r="C110" s="137"/>
      <c r="D110" s="137"/>
      <c r="E110" s="137"/>
      <c r="F110" s="137"/>
      <c r="G110" s="137"/>
      <c r="H110" s="137"/>
      <c r="I110" s="137"/>
      <c r="J110" s="138"/>
      <c r="K110" s="137"/>
      <c r="L110" s="137"/>
      <c r="M110" s="137"/>
      <c r="N110" s="137"/>
      <c r="O110" s="137"/>
      <c r="P110" s="137"/>
      <c r="Q110" s="137"/>
    </row>
    <row r="111" spans="1:17" ht="15" customHeight="1" x14ac:dyDescent="0.35">
      <c r="A111" s="129"/>
      <c r="B111" s="137"/>
      <c r="C111" s="137"/>
      <c r="D111" s="137"/>
      <c r="E111" s="137"/>
      <c r="F111" s="137"/>
      <c r="G111" s="137"/>
      <c r="H111" s="137"/>
      <c r="I111" s="137"/>
      <c r="J111" s="138"/>
      <c r="K111" s="137"/>
      <c r="L111" s="137"/>
      <c r="M111" s="137"/>
      <c r="N111" s="137"/>
      <c r="O111" s="137"/>
      <c r="P111" s="137"/>
      <c r="Q111" s="137"/>
    </row>
    <row r="112" spans="1:17" ht="15" customHeight="1" x14ac:dyDescent="0.35">
      <c r="A112" s="129"/>
      <c r="B112" s="137"/>
      <c r="C112" s="137"/>
      <c r="D112" s="137"/>
      <c r="E112" s="137"/>
      <c r="F112" s="137"/>
      <c r="G112" s="137"/>
      <c r="H112" s="137"/>
      <c r="I112" s="137"/>
      <c r="J112" s="138"/>
      <c r="K112" s="137"/>
      <c r="L112" s="137"/>
      <c r="M112" s="137"/>
      <c r="N112" s="137"/>
      <c r="O112" s="137"/>
      <c r="P112" s="137"/>
      <c r="Q112" s="137"/>
    </row>
    <row r="113" spans="1:17" ht="15" customHeight="1" x14ac:dyDescent="0.35">
      <c r="A113" s="129"/>
      <c r="B113" s="137"/>
      <c r="C113" s="137"/>
      <c r="D113" s="137"/>
      <c r="E113" s="137"/>
      <c r="F113" s="137"/>
      <c r="G113" s="137"/>
      <c r="H113" s="137"/>
      <c r="I113" s="137"/>
      <c r="J113" s="138"/>
      <c r="K113" s="137"/>
      <c r="L113" s="137"/>
      <c r="M113" s="137"/>
      <c r="N113" s="137"/>
      <c r="O113" s="137"/>
      <c r="P113" s="137"/>
      <c r="Q113" s="137"/>
    </row>
    <row r="114" spans="1:17" ht="15" customHeight="1" x14ac:dyDescent="0.35">
      <c r="A114" s="129"/>
      <c r="B114" s="137"/>
      <c r="C114" s="137"/>
      <c r="D114" s="137"/>
      <c r="E114" s="137"/>
      <c r="F114" s="137"/>
      <c r="G114" s="137"/>
      <c r="H114" s="137"/>
      <c r="I114" s="137"/>
      <c r="J114" s="138"/>
      <c r="K114" s="137"/>
      <c r="L114" s="137"/>
      <c r="M114" s="137"/>
      <c r="N114" s="137"/>
      <c r="O114" s="137"/>
      <c r="P114" s="137"/>
      <c r="Q114" s="137"/>
    </row>
    <row r="115" spans="1:17" ht="15" customHeight="1" x14ac:dyDescent="0.35">
      <c r="A115" s="129"/>
      <c r="B115" s="137"/>
      <c r="C115" s="137"/>
      <c r="D115" s="137"/>
      <c r="E115" s="137"/>
      <c r="F115" s="137"/>
      <c r="G115" s="137"/>
      <c r="H115" s="137"/>
      <c r="I115" s="137"/>
      <c r="J115" s="138"/>
      <c r="K115" s="137"/>
      <c r="L115" s="137"/>
      <c r="M115" s="137"/>
      <c r="N115" s="137"/>
      <c r="O115" s="137"/>
      <c r="P115" s="137"/>
      <c r="Q115" s="137"/>
    </row>
    <row r="116" spans="1:17" ht="15" customHeight="1" x14ac:dyDescent="0.35">
      <c r="A116" s="129"/>
      <c r="B116" s="137"/>
      <c r="C116" s="137"/>
      <c r="D116" s="137"/>
      <c r="E116" s="137"/>
      <c r="F116" s="137"/>
      <c r="G116" s="137"/>
      <c r="H116" s="137"/>
      <c r="I116" s="137"/>
      <c r="J116" s="138"/>
      <c r="K116" s="137"/>
      <c r="L116" s="137"/>
      <c r="M116" s="137"/>
      <c r="N116" s="137"/>
      <c r="O116" s="137"/>
      <c r="P116" s="137"/>
      <c r="Q116" s="137"/>
    </row>
    <row r="117" spans="1:17" ht="15" customHeight="1" x14ac:dyDescent="0.35">
      <c r="A117" s="129"/>
      <c r="B117" s="137"/>
      <c r="C117" s="137"/>
      <c r="D117" s="137"/>
      <c r="E117" s="137"/>
      <c r="F117" s="137"/>
      <c r="G117" s="137"/>
      <c r="H117" s="137"/>
      <c r="I117" s="137"/>
      <c r="J117" s="138"/>
      <c r="K117" s="137"/>
      <c r="L117" s="137"/>
      <c r="M117" s="137"/>
      <c r="N117" s="137"/>
      <c r="O117" s="137"/>
      <c r="P117" s="137"/>
      <c r="Q117" s="137"/>
    </row>
    <row r="118" spans="1:17" ht="15" customHeight="1" x14ac:dyDescent="0.35">
      <c r="A118" s="129"/>
      <c r="B118" s="137"/>
      <c r="C118" s="137"/>
      <c r="D118" s="137"/>
      <c r="E118" s="137"/>
      <c r="F118" s="137"/>
      <c r="G118" s="137"/>
      <c r="H118" s="137"/>
      <c r="I118" s="137"/>
      <c r="J118" s="138"/>
      <c r="K118" s="137"/>
      <c r="L118" s="137"/>
      <c r="M118" s="137"/>
      <c r="N118" s="137"/>
      <c r="O118" s="137"/>
      <c r="P118" s="137"/>
      <c r="Q118" s="137"/>
    </row>
    <row r="119" spans="1:17" ht="15" customHeight="1" x14ac:dyDescent="0.35">
      <c r="A119" s="129"/>
      <c r="B119" s="137"/>
      <c r="C119" s="137"/>
      <c r="D119" s="137"/>
      <c r="E119" s="137"/>
      <c r="F119" s="137"/>
      <c r="G119" s="137"/>
      <c r="H119" s="137"/>
      <c r="I119" s="137"/>
      <c r="J119" s="138"/>
      <c r="K119" s="137"/>
      <c r="L119" s="137"/>
      <c r="M119" s="137"/>
      <c r="N119" s="137"/>
      <c r="O119" s="137"/>
      <c r="P119" s="137"/>
      <c r="Q119" s="137"/>
    </row>
    <row r="120" spans="1:17" ht="15" customHeight="1" x14ac:dyDescent="0.35">
      <c r="A120" s="129"/>
      <c r="B120" s="137"/>
      <c r="C120" s="137"/>
      <c r="D120" s="137"/>
      <c r="E120" s="137"/>
      <c r="F120" s="137"/>
      <c r="G120" s="137"/>
      <c r="H120" s="137"/>
      <c r="I120" s="137"/>
      <c r="J120" s="138"/>
      <c r="K120" s="137"/>
      <c r="L120" s="137"/>
      <c r="M120" s="137"/>
      <c r="N120" s="137"/>
      <c r="O120" s="137"/>
      <c r="P120" s="137"/>
      <c r="Q120" s="137"/>
    </row>
    <row r="121" spans="1:17" ht="15" customHeight="1" x14ac:dyDescent="0.35">
      <c r="A121" s="129"/>
      <c r="B121" s="137"/>
      <c r="C121" s="137"/>
      <c r="D121" s="137"/>
      <c r="E121" s="137"/>
      <c r="F121" s="137"/>
      <c r="G121" s="137"/>
      <c r="H121" s="137"/>
      <c r="I121" s="137"/>
      <c r="J121" s="138"/>
      <c r="K121" s="137"/>
      <c r="L121" s="137"/>
      <c r="M121" s="137"/>
      <c r="N121" s="137"/>
      <c r="O121" s="137"/>
      <c r="P121" s="137"/>
      <c r="Q121" s="137"/>
    </row>
    <row r="122" spans="1:17" ht="15" customHeight="1" x14ac:dyDescent="0.35">
      <c r="A122" s="129"/>
      <c r="B122" s="137"/>
      <c r="C122" s="137"/>
      <c r="D122" s="137"/>
      <c r="E122" s="137"/>
      <c r="F122" s="137"/>
      <c r="G122" s="137"/>
      <c r="H122" s="137"/>
      <c r="I122" s="137"/>
      <c r="J122" s="138"/>
      <c r="K122" s="137"/>
      <c r="L122" s="137"/>
      <c r="M122" s="137"/>
      <c r="N122" s="137"/>
      <c r="O122" s="137"/>
      <c r="P122" s="137"/>
      <c r="Q122" s="137"/>
    </row>
    <row r="123" spans="1:17" ht="15" customHeight="1" x14ac:dyDescent="0.35">
      <c r="A123" s="129"/>
      <c r="B123" s="137"/>
      <c r="C123" s="137"/>
      <c r="D123" s="137"/>
      <c r="E123" s="137"/>
      <c r="F123" s="137"/>
      <c r="G123" s="137"/>
      <c r="H123" s="137"/>
      <c r="I123" s="137"/>
      <c r="J123" s="138"/>
      <c r="K123" s="137"/>
      <c r="L123" s="137"/>
      <c r="M123" s="137"/>
      <c r="N123" s="137"/>
      <c r="O123" s="137"/>
      <c r="P123" s="137"/>
      <c r="Q123" s="137"/>
    </row>
    <row r="124" spans="1:17" ht="15" customHeight="1" x14ac:dyDescent="0.35">
      <c r="A124" s="129"/>
      <c r="B124" s="137"/>
      <c r="C124" s="137"/>
      <c r="D124" s="137"/>
      <c r="E124" s="137"/>
      <c r="F124" s="137"/>
      <c r="G124" s="137"/>
      <c r="H124" s="137"/>
      <c r="I124" s="137"/>
      <c r="J124" s="138"/>
      <c r="K124" s="137"/>
      <c r="L124" s="137"/>
      <c r="M124" s="137"/>
      <c r="N124" s="137"/>
      <c r="O124" s="137"/>
      <c r="P124" s="137"/>
      <c r="Q124" s="137"/>
    </row>
    <row r="125" spans="1:17" ht="15" customHeight="1" x14ac:dyDescent="0.35">
      <c r="A125" s="129"/>
      <c r="B125" s="137"/>
      <c r="C125" s="137"/>
      <c r="D125" s="137"/>
      <c r="E125" s="137"/>
      <c r="F125" s="137"/>
      <c r="G125" s="137"/>
      <c r="H125" s="137"/>
      <c r="I125" s="137"/>
      <c r="J125" s="138"/>
      <c r="K125" s="137"/>
      <c r="L125" s="137"/>
      <c r="M125" s="137"/>
      <c r="N125" s="137"/>
      <c r="O125" s="137"/>
      <c r="P125" s="137"/>
      <c r="Q125" s="137"/>
    </row>
    <row r="126" spans="1:17" ht="15" customHeight="1" x14ac:dyDescent="0.35">
      <c r="A126" s="129"/>
      <c r="B126" s="137"/>
      <c r="C126" s="137"/>
      <c r="D126" s="137"/>
      <c r="E126" s="137"/>
      <c r="F126" s="137"/>
      <c r="G126" s="137"/>
      <c r="H126" s="137"/>
      <c r="I126" s="137"/>
      <c r="J126" s="138"/>
      <c r="K126" s="137"/>
      <c r="L126" s="137"/>
      <c r="M126" s="137"/>
      <c r="N126" s="137"/>
      <c r="O126" s="137"/>
      <c r="P126" s="137"/>
      <c r="Q126" s="137"/>
    </row>
    <row r="127" spans="1:17" ht="15" customHeight="1" x14ac:dyDescent="0.35">
      <c r="A127" s="129"/>
      <c r="B127" s="137"/>
      <c r="C127" s="137"/>
      <c r="D127" s="137"/>
      <c r="E127" s="137"/>
      <c r="F127" s="137"/>
      <c r="G127" s="137"/>
      <c r="H127" s="137"/>
      <c r="I127" s="137"/>
      <c r="J127" s="138"/>
      <c r="K127" s="137"/>
      <c r="L127" s="137"/>
      <c r="M127" s="137"/>
      <c r="N127" s="137"/>
      <c r="O127" s="137"/>
      <c r="P127" s="137"/>
      <c r="Q127" s="137"/>
    </row>
    <row r="128" spans="1:17" ht="15" customHeight="1" x14ac:dyDescent="0.35">
      <c r="A128" s="129"/>
      <c r="B128" s="137"/>
      <c r="C128" s="137"/>
      <c r="D128" s="137"/>
      <c r="E128" s="137"/>
      <c r="F128" s="137"/>
      <c r="G128" s="137"/>
      <c r="H128" s="137"/>
      <c r="I128" s="137"/>
      <c r="J128" s="138"/>
      <c r="K128" s="137"/>
      <c r="L128" s="137"/>
      <c r="M128" s="137"/>
      <c r="N128" s="137"/>
      <c r="O128" s="137"/>
      <c r="P128" s="137"/>
      <c r="Q128" s="137"/>
    </row>
    <row r="129" spans="1:17" ht="15" customHeight="1" x14ac:dyDescent="0.35">
      <c r="A129" s="129"/>
      <c r="B129" s="137"/>
      <c r="C129" s="137"/>
      <c r="D129" s="137"/>
      <c r="E129" s="137"/>
      <c r="F129" s="137"/>
      <c r="G129" s="137"/>
      <c r="H129" s="137"/>
      <c r="I129" s="137"/>
      <c r="J129" s="138"/>
      <c r="K129" s="137"/>
      <c r="L129" s="137"/>
      <c r="M129" s="137"/>
      <c r="N129" s="137"/>
      <c r="O129" s="137"/>
      <c r="P129" s="137"/>
      <c r="Q129" s="137"/>
    </row>
    <row r="130" spans="1:17" ht="15" customHeight="1" x14ac:dyDescent="0.35">
      <c r="A130" s="129"/>
      <c r="B130" s="137"/>
      <c r="C130" s="137"/>
      <c r="D130" s="137"/>
      <c r="E130" s="137"/>
      <c r="F130" s="137"/>
      <c r="G130" s="137"/>
      <c r="H130" s="137"/>
      <c r="I130" s="137"/>
      <c r="J130" s="138"/>
      <c r="K130" s="137"/>
      <c r="L130" s="137"/>
      <c r="M130" s="137"/>
      <c r="N130" s="137"/>
      <c r="O130" s="137"/>
      <c r="P130" s="137"/>
      <c r="Q130" s="137"/>
    </row>
    <row r="131" spans="1:17" ht="15" customHeight="1" x14ac:dyDescent="0.35">
      <c r="A131" s="129"/>
      <c r="B131" s="137"/>
      <c r="C131" s="137"/>
      <c r="D131" s="137"/>
      <c r="E131" s="137"/>
      <c r="F131" s="137"/>
      <c r="G131" s="137"/>
      <c r="H131" s="137"/>
      <c r="I131" s="137"/>
      <c r="J131" s="138"/>
      <c r="K131" s="137"/>
      <c r="L131" s="137"/>
      <c r="M131" s="137"/>
      <c r="N131" s="137"/>
      <c r="O131" s="137"/>
      <c r="P131" s="137"/>
      <c r="Q131" s="137"/>
    </row>
    <row r="132" spans="1:17" ht="15" customHeight="1" x14ac:dyDescent="0.35">
      <c r="A132" s="129"/>
      <c r="B132" s="137"/>
      <c r="C132" s="137"/>
      <c r="D132" s="137"/>
      <c r="E132" s="137"/>
      <c r="F132" s="137"/>
      <c r="G132" s="137"/>
      <c r="H132" s="137"/>
      <c r="I132" s="137"/>
      <c r="J132" s="138"/>
      <c r="K132" s="137"/>
      <c r="L132" s="137"/>
      <c r="M132" s="137"/>
      <c r="N132" s="137"/>
      <c r="O132" s="137"/>
      <c r="P132" s="137"/>
      <c r="Q132" s="137"/>
    </row>
    <row r="133" spans="1:17" ht="15" customHeight="1" x14ac:dyDescent="0.35">
      <c r="A133" s="129"/>
      <c r="B133" s="137"/>
      <c r="C133" s="137"/>
      <c r="D133" s="137"/>
      <c r="E133" s="137"/>
      <c r="F133" s="137"/>
      <c r="G133" s="137"/>
      <c r="H133" s="137"/>
      <c r="I133" s="137"/>
      <c r="J133" s="138"/>
      <c r="K133" s="137"/>
      <c r="L133" s="137"/>
      <c r="M133" s="137"/>
      <c r="N133" s="137"/>
      <c r="O133" s="137"/>
      <c r="P133" s="137"/>
      <c r="Q133" s="137"/>
    </row>
    <row r="134" spans="1:17" ht="15" customHeight="1" x14ac:dyDescent="0.35">
      <c r="A134" s="129"/>
      <c r="B134" s="137"/>
      <c r="C134" s="137"/>
      <c r="D134" s="137"/>
      <c r="E134" s="137"/>
      <c r="F134" s="137"/>
      <c r="G134" s="137"/>
      <c r="H134" s="137"/>
      <c r="I134" s="137"/>
      <c r="J134" s="138"/>
      <c r="K134" s="137"/>
      <c r="L134" s="137"/>
      <c r="M134" s="137"/>
      <c r="N134" s="137"/>
      <c r="O134" s="137"/>
      <c r="P134" s="137"/>
      <c r="Q134" s="137"/>
    </row>
    <row r="135" spans="1:17" ht="15" customHeight="1" x14ac:dyDescent="0.35">
      <c r="A135" s="129"/>
      <c r="B135" s="137"/>
      <c r="C135" s="137"/>
      <c r="D135" s="137"/>
      <c r="E135" s="137"/>
      <c r="F135" s="137"/>
      <c r="G135" s="137"/>
      <c r="H135" s="137"/>
      <c r="I135" s="137"/>
      <c r="J135" s="138"/>
      <c r="K135" s="137"/>
      <c r="L135" s="137"/>
      <c r="M135" s="137"/>
      <c r="N135" s="137"/>
      <c r="O135" s="137"/>
      <c r="P135" s="137"/>
      <c r="Q135" s="137"/>
    </row>
    <row r="136" spans="1:17" ht="15" customHeight="1" x14ac:dyDescent="0.35">
      <c r="A136" s="129"/>
      <c r="B136" s="137"/>
      <c r="C136" s="137"/>
      <c r="D136" s="137"/>
      <c r="E136" s="137"/>
      <c r="F136" s="137"/>
      <c r="G136" s="137"/>
      <c r="H136" s="137"/>
      <c r="I136" s="137"/>
      <c r="J136" s="138"/>
      <c r="K136" s="137"/>
      <c r="L136" s="137"/>
      <c r="M136" s="137"/>
      <c r="N136" s="137"/>
      <c r="O136" s="137"/>
      <c r="P136" s="137"/>
      <c r="Q136" s="137"/>
    </row>
    <row r="137" spans="1:17" ht="15" customHeight="1" x14ac:dyDescent="0.35">
      <c r="A137" s="129"/>
      <c r="B137" s="137"/>
      <c r="C137" s="137"/>
      <c r="D137" s="137"/>
      <c r="E137" s="137"/>
      <c r="F137" s="137"/>
      <c r="G137" s="137"/>
      <c r="H137" s="137"/>
      <c r="I137" s="137"/>
      <c r="J137" s="138"/>
      <c r="K137" s="137"/>
      <c r="L137" s="137"/>
      <c r="M137" s="137"/>
      <c r="N137" s="137"/>
      <c r="O137" s="137"/>
      <c r="P137" s="137"/>
      <c r="Q137" s="137"/>
    </row>
    <row r="138" spans="1:17" ht="15" customHeight="1" x14ac:dyDescent="0.35">
      <c r="A138" s="129"/>
      <c r="B138" s="137"/>
      <c r="C138" s="137"/>
      <c r="D138" s="137"/>
      <c r="E138" s="137"/>
      <c r="F138" s="137"/>
      <c r="G138" s="137"/>
      <c r="H138" s="137"/>
      <c r="I138" s="137"/>
      <c r="J138" s="138"/>
      <c r="K138" s="137"/>
      <c r="L138" s="137"/>
      <c r="M138" s="137"/>
      <c r="N138" s="137"/>
      <c r="O138" s="137"/>
      <c r="P138" s="137"/>
      <c r="Q138" s="137"/>
    </row>
    <row r="139" spans="1:17" ht="15" customHeight="1" x14ac:dyDescent="0.35">
      <c r="A139" s="129"/>
      <c r="B139" s="137"/>
      <c r="C139" s="137"/>
      <c r="D139" s="137"/>
      <c r="E139" s="137"/>
      <c r="F139" s="137"/>
      <c r="G139" s="137"/>
      <c r="H139" s="137"/>
      <c r="I139" s="137"/>
      <c r="J139" s="138"/>
      <c r="K139" s="137"/>
      <c r="L139" s="137"/>
      <c r="M139" s="137"/>
      <c r="N139" s="137"/>
      <c r="O139" s="137"/>
      <c r="P139" s="137"/>
      <c r="Q139" s="137"/>
    </row>
    <row r="140" spans="1:17" ht="15" customHeight="1" x14ac:dyDescent="0.35">
      <c r="A140" s="129"/>
      <c r="B140" s="137"/>
      <c r="C140" s="137"/>
      <c r="D140" s="137"/>
      <c r="E140" s="137"/>
      <c r="F140" s="137"/>
      <c r="G140" s="137"/>
      <c r="H140" s="137"/>
      <c r="I140" s="137"/>
      <c r="J140" s="138"/>
      <c r="K140" s="137"/>
      <c r="L140" s="137"/>
      <c r="M140" s="137"/>
      <c r="N140" s="137"/>
      <c r="O140" s="137"/>
      <c r="P140" s="137"/>
      <c r="Q140" s="137"/>
    </row>
    <row r="141" spans="1:17" ht="15" customHeight="1" x14ac:dyDescent="0.35">
      <c r="A141" s="129"/>
      <c r="B141" s="137"/>
      <c r="C141" s="137"/>
      <c r="D141" s="137"/>
      <c r="E141" s="137"/>
      <c r="F141" s="137"/>
      <c r="G141" s="137"/>
      <c r="H141" s="137"/>
      <c r="I141" s="137"/>
      <c r="J141" s="138"/>
      <c r="K141" s="137"/>
      <c r="L141" s="137"/>
      <c r="M141" s="137"/>
      <c r="N141" s="137"/>
      <c r="O141" s="137"/>
      <c r="P141" s="137"/>
      <c r="Q141" s="137"/>
    </row>
    <row r="142" spans="1:17" ht="15" customHeight="1" x14ac:dyDescent="0.35">
      <c r="A142" s="129"/>
      <c r="B142" s="137"/>
      <c r="C142" s="137"/>
      <c r="D142" s="137"/>
      <c r="E142" s="137"/>
      <c r="F142" s="137"/>
      <c r="G142" s="137"/>
      <c r="H142" s="137"/>
      <c r="I142" s="137"/>
      <c r="J142" s="138"/>
      <c r="K142" s="137"/>
      <c r="L142" s="137"/>
      <c r="M142" s="137"/>
      <c r="N142" s="137"/>
      <c r="O142" s="137"/>
      <c r="P142" s="137"/>
      <c r="Q142" s="137"/>
    </row>
    <row r="143" spans="1:17" ht="15" customHeight="1" x14ac:dyDescent="0.35">
      <c r="A143" s="129"/>
      <c r="B143" s="137"/>
      <c r="C143" s="137"/>
      <c r="D143" s="137"/>
      <c r="E143" s="137"/>
      <c r="F143" s="137"/>
      <c r="G143" s="137"/>
      <c r="H143" s="137"/>
      <c r="I143" s="137"/>
      <c r="J143" s="138"/>
      <c r="K143" s="137"/>
      <c r="L143" s="137"/>
      <c r="M143" s="137"/>
      <c r="N143" s="137"/>
      <c r="O143" s="137"/>
      <c r="P143" s="137"/>
      <c r="Q143" s="137"/>
    </row>
    <row r="144" spans="1:17" ht="15" customHeight="1" x14ac:dyDescent="0.35">
      <c r="A144" s="129"/>
      <c r="B144" s="137"/>
      <c r="C144" s="137"/>
      <c r="D144" s="137"/>
      <c r="E144" s="137"/>
      <c r="F144" s="137"/>
      <c r="G144" s="137"/>
      <c r="H144" s="137"/>
      <c r="I144" s="137"/>
      <c r="J144" s="138"/>
      <c r="K144" s="137"/>
      <c r="L144" s="137"/>
      <c r="M144" s="137"/>
      <c r="N144" s="137"/>
      <c r="O144" s="137"/>
      <c r="P144" s="137"/>
      <c r="Q144" s="137"/>
    </row>
    <row r="145" spans="1:17" ht="15" customHeight="1" x14ac:dyDescent="0.35">
      <c r="A145" s="129"/>
      <c r="B145" s="137"/>
      <c r="C145" s="137"/>
      <c r="D145" s="137"/>
      <c r="E145" s="137"/>
      <c r="F145" s="137"/>
      <c r="G145" s="137"/>
      <c r="H145" s="137"/>
      <c r="I145" s="137"/>
      <c r="J145" s="138"/>
      <c r="K145" s="137"/>
      <c r="L145" s="137"/>
      <c r="M145" s="137"/>
      <c r="N145" s="137"/>
      <c r="O145" s="137"/>
      <c r="P145" s="137"/>
      <c r="Q145" s="137"/>
    </row>
    <row r="146" spans="1:17" ht="15" customHeight="1" x14ac:dyDescent="0.35">
      <c r="A146" s="129"/>
      <c r="B146" s="137"/>
      <c r="C146" s="137"/>
      <c r="D146" s="137"/>
      <c r="E146" s="137"/>
      <c r="F146" s="137"/>
      <c r="G146" s="137"/>
      <c r="H146" s="137"/>
      <c r="I146" s="137"/>
      <c r="J146" s="138"/>
      <c r="K146" s="137"/>
      <c r="L146" s="137"/>
      <c r="M146" s="137"/>
      <c r="N146" s="137"/>
      <c r="O146" s="137"/>
      <c r="P146" s="137"/>
      <c r="Q146" s="137"/>
    </row>
    <row r="147" spans="1:17" ht="15" customHeight="1" x14ac:dyDescent="0.35">
      <c r="A147" s="129"/>
      <c r="B147" s="137"/>
      <c r="C147" s="137"/>
      <c r="D147" s="137"/>
      <c r="E147" s="137"/>
      <c r="F147" s="137"/>
      <c r="G147" s="137"/>
      <c r="H147" s="137"/>
      <c r="I147" s="137"/>
      <c r="J147" s="138"/>
      <c r="K147" s="137"/>
      <c r="L147" s="137"/>
      <c r="M147" s="137"/>
      <c r="N147" s="137"/>
      <c r="O147" s="137"/>
      <c r="P147" s="137"/>
      <c r="Q147" s="137"/>
    </row>
    <row r="148" spans="1:17" ht="15" customHeight="1" x14ac:dyDescent="0.35">
      <c r="A148" s="129"/>
      <c r="B148" s="137"/>
      <c r="C148" s="137"/>
      <c r="D148" s="137"/>
      <c r="E148" s="137"/>
      <c r="F148" s="137"/>
      <c r="G148" s="137"/>
      <c r="H148" s="137"/>
      <c r="I148" s="137"/>
      <c r="J148" s="138"/>
      <c r="K148" s="137"/>
      <c r="L148" s="137"/>
      <c r="M148" s="137"/>
      <c r="N148" s="137"/>
      <c r="O148" s="137"/>
      <c r="P148" s="137"/>
      <c r="Q148" s="137"/>
    </row>
    <row r="149" spans="1:17" ht="15" customHeight="1" x14ac:dyDescent="0.35">
      <c r="A149" s="129"/>
      <c r="B149" s="137"/>
      <c r="C149" s="137"/>
      <c r="D149" s="137"/>
      <c r="E149" s="137"/>
      <c r="F149" s="137"/>
      <c r="G149" s="137"/>
      <c r="H149" s="137"/>
      <c r="I149" s="137"/>
      <c r="J149" s="138"/>
      <c r="K149" s="137"/>
      <c r="L149" s="137"/>
      <c r="M149" s="137"/>
      <c r="N149" s="137"/>
      <c r="O149" s="137"/>
      <c r="P149" s="137"/>
      <c r="Q149" s="137"/>
    </row>
    <row r="150" spans="1:17" ht="15" customHeight="1" x14ac:dyDescent="0.35">
      <c r="A150" s="129"/>
      <c r="B150" s="137"/>
      <c r="C150" s="137"/>
      <c r="D150" s="137"/>
      <c r="E150" s="137"/>
      <c r="F150" s="137"/>
      <c r="G150" s="137"/>
      <c r="H150" s="137"/>
      <c r="I150" s="137"/>
      <c r="J150" s="138"/>
      <c r="K150" s="137"/>
      <c r="L150" s="137"/>
      <c r="M150" s="137"/>
      <c r="N150" s="137"/>
      <c r="O150" s="137"/>
      <c r="P150" s="137"/>
      <c r="Q150" s="137"/>
    </row>
    <row r="151" spans="1:17" ht="15" customHeight="1" x14ac:dyDescent="0.35">
      <c r="A151" s="129"/>
      <c r="B151" s="137"/>
      <c r="C151" s="137"/>
      <c r="D151" s="137"/>
      <c r="E151" s="137"/>
      <c r="F151" s="137"/>
      <c r="G151" s="137"/>
      <c r="H151" s="137"/>
      <c r="I151" s="137"/>
      <c r="J151" s="138"/>
      <c r="K151" s="137"/>
      <c r="L151" s="137"/>
      <c r="M151" s="137"/>
      <c r="N151" s="137"/>
      <c r="O151" s="137"/>
      <c r="P151" s="137"/>
      <c r="Q151" s="137"/>
    </row>
    <row r="152" spans="1:17" ht="15" customHeight="1" x14ac:dyDescent="0.35">
      <c r="A152" s="129"/>
      <c r="B152" s="137"/>
      <c r="C152" s="137"/>
      <c r="D152" s="137"/>
      <c r="E152" s="137"/>
      <c r="F152" s="137"/>
      <c r="G152" s="137"/>
      <c r="H152" s="137"/>
      <c r="I152" s="137"/>
      <c r="J152" s="138"/>
      <c r="K152" s="137"/>
      <c r="L152" s="137"/>
      <c r="M152" s="137"/>
      <c r="N152" s="137"/>
      <c r="O152" s="137"/>
      <c r="P152" s="137"/>
      <c r="Q152" s="137"/>
    </row>
    <row r="153" spans="1:17" ht="15" customHeight="1" x14ac:dyDescent="0.35">
      <c r="A153" s="129"/>
      <c r="B153" s="137"/>
      <c r="C153" s="137"/>
      <c r="D153" s="137"/>
      <c r="E153" s="137"/>
      <c r="F153" s="137"/>
      <c r="G153" s="137"/>
      <c r="H153" s="137"/>
      <c r="I153" s="137"/>
      <c r="J153" s="138"/>
      <c r="K153" s="137"/>
      <c r="L153" s="137"/>
      <c r="M153" s="137"/>
      <c r="N153" s="137"/>
      <c r="O153" s="137"/>
      <c r="P153" s="137"/>
      <c r="Q153" s="137"/>
    </row>
    <row r="154" spans="1:17" ht="15" customHeight="1" x14ac:dyDescent="0.35">
      <c r="A154" s="129"/>
      <c r="B154" s="137"/>
      <c r="C154" s="137"/>
      <c r="D154" s="137"/>
      <c r="E154" s="137"/>
      <c r="F154" s="137"/>
      <c r="G154" s="137"/>
      <c r="H154" s="137"/>
      <c r="I154" s="137"/>
      <c r="J154" s="138"/>
      <c r="K154" s="137"/>
      <c r="L154" s="137"/>
      <c r="M154" s="137"/>
      <c r="N154" s="137"/>
      <c r="O154" s="137"/>
      <c r="P154" s="137"/>
      <c r="Q154" s="137"/>
    </row>
    <row r="155" spans="1:17" ht="15" customHeight="1" x14ac:dyDescent="0.35">
      <c r="A155" s="129"/>
      <c r="B155" s="137"/>
      <c r="C155" s="137"/>
      <c r="D155" s="137"/>
      <c r="E155" s="137"/>
      <c r="F155" s="137"/>
      <c r="G155" s="137"/>
      <c r="H155" s="137"/>
      <c r="I155" s="137"/>
      <c r="J155" s="138"/>
      <c r="K155" s="137"/>
      <c r="L155" s="137"/>
      <c r="M155" s="137"/>
      <c r="N155" s="137"/>
      <c r="O155" s="137"/>
      <c r="P155" s="137"/>
      <c r="Q155" s="137"/>
    </row>
    <row r="156" spans="1:17" ht="15" customHeight="1" x14ac:dyDescent="0.35">
      <c r="A156" s="129"/>
      <c r="B156" s="137"/>
      <c r="C156" s="137"/>
      <c r="D156" s="137"/>
      <c r="E156" s="137"/>
      <c r="F156" s="137"/>
      <c r="G156" s="137"/>
      <c r="H156" s="137"/>
      <c r="I156" s="137"/>
      <c r="J156" s="138"/>
      <c r="K156" s="137"/>
      <c r="L156" s="137"/>
      <c r="M156" s="137"/>
      <c r="N156" s="137"/>
      <c r="O156" s="137"/>
      <c r="P156" s="137"/>
      <c r="Q156" s="137"/>
    </row>
    <row r="157" spans="1:17" ht="15" customHeight="1" x14ac:dyDescent="0.35">
      <c r="A157" s="129"/>
      <c r="B157" s="137"/>
      <c r="C157" s="137"/>
      <c r="D157" s="137"/>
      <c r="E157" s="137"/>
      <c r="F157" s="137"/>
      <c r="G157" s="137"/>
      <c r="H157" s="137"/>
      <c r="I157" s="137"/>
      <c r="J157" s="138"/>
      <c r="K157" s="137"/>
      <c r="L157" s="137"/>
      <c r="M157" s="137"/>
      <c r="N157" s="137"/>
      <c r="O157" s="137"/>
      <c r="P157" s="137"/>
      <c r="Q157" s="137"/>
    </row>
    <row r="158" spans="1:17" ht="15" customHeight="1" x14ac:dyDescent="0.35">
      <c r="A158" s="129"/>
      <c r="B158" s="137"/>
      <c r="C158" s="137"/>
      <c r="D158" s="137"/>
      <c r="E158" s="137"/>
      <c r="F158" s="137"/>
      <c r="G158" s="137"/>
      <c r="H158" s="137"/>
      <c r="I158" s="137"/>
      <c r="J158" s="138"/>
      <c r="K158" s="137"/>
      <c r="L158" s="137"/>
      <c r="M158" s="137"/>
      <c r="N158" s="137"/>
      <c r="O158" s="137"/>
      <c r="P158" s="137"/>
      <c r="Q158" s="137"/>
    </row>
    <row r="159" spans="1:17" ht="15" customHeight="1" x14ac:dyDescent="0.35">
      <c r="A159" s="129"/>
      <c r="B159" s="137"/>
      <c r="C159" s="137"/>
      <c r="D159" s="137"/>
      <c r="E159" s="137"/>
      <c r="F159" s="137"/>
      <c r="G159" s="137"/>
      <c r="H159" s="137"/>
      <c r="I159" s="137"/>
      <c r="J159" s="138"/>
      <c r="K159" s="137"/>
      <c r="L159" s="137"/>
      <c r="M159" s="137"/>
      <c r="N159" s="137"/>
      <c r="O159" s="137"/>
      <c r="P159" s="137"/>
      <c r="Q159" s="137"/>
    </row>
    <row r="160" spans="1:17" ht="15" customHeight="1" x14ac:dyDescent="0.35">
      <c r="A160" s="129"/>
      <c r="B160" s="137"/>
      <c r="C160" s="137"/>
      <c r="D160" s="137"/>
      <c r="E160" s="137"/>
      <c r="F160" s="137"/>
      <c r="G160" s="137"/>
      <c r="H160" s="137"/>
      <c r="I160" s="137"/>
      <c r="J160" s="138"/>
      <c r="K160" s="137"/>
      <c r="L160" s="137"/>
      <c r="M160" s="137"/>
      <c r="N160" s="137"/>
      <c r="O160" s="137"/>
      <c r="P160" s="137"/>
      <c r="Q160" s="137"/>
    </row>
    <row r="161" spans="1:17" ht="15" customHeight="1" x14ac:dyDescent="0.35">
      <c r="A161" s="129"/>
      <c r="B161" s="137"/>
      <c r="C161" s="137"/>
      <c r="D161" s="137"/>
      <c r="E161" s="137"/>
      <c r="F161" s="137"/>
      <c r="G161" s="137"/>
      <c r="H161" s="137"/>
      <c r="I161" s="137"/>
      <c r="J161" s="138"/>
      <c r="K161" s="137"/>
      <c r="L161" s="137"/>
      <c r="M161" s="137"/>
      <c r="N161" s="137"/>
      <c r="O161" s="137"/>
      <c r="P161" s="137"/>
      <c r="Q161" s="137"/>
    </row>
    <row r="162" spans="1:17" ht="15" customHeight="1" x14ac:dyDescent="0.35">
      <c r="A162" s="129"/>
      <c r="B162" s="137"/>
      <c r="C162" s="137"/>
      <c r="D162" s="137"/>
      <c r="E162" s="137"/>
      <c r="F162" s="137"/>
      <c r="G162" s="137"/>
      <c r="H162" s="137"/>
      <c r="I162" s="137"/>
      <c r="J162" s="138"/>
      <c r="K162" s="137"/>
      <c r="L162" s="137"/>
      <c r="M162" s="137"/>
      <c r="N162" s="137"/>
      <c r="O162" s="137"/>
      <c r="P162" s="137"/>
      <c r="Q162" s="137"/>
    </row>
    <row r="163" spans="1:17" ht="15" customHeight="1" x14ac:dyDescent="0.35">
      <c r="A163" s="129"/>
      <c r="B163" s="137"/>
      <c r="C163" s="137"/>
      <c r="D163" s="137"/>
      <c r="E163" s="137"/>
      <c r="F163" s="137"/>
      <c r="G163" s="137"/>
      <c r="H163" s="137"/>
      <c r="I163" s="137"/>
      <c r="J163" s="138"/>
      <c r="K163" s="137"/>
      <c r="L163" s="137"/>
      <c r="M163" s="137"/>
      <c r="N163" s="137"/>
      <c r="O163" s="137"/>
      <c r="P163" s="137"/>
      <c r="Q163" s="137"/>
    </row>
    <row r="164" spans="1:17" ht="15" customHeight="1" x14ac:dyDescent="0.35">
      <c r="A164" s="129"/>
      <c r="B164" s="137"/>
      <c r="C164" s="137"/>
      <c r="D164" s="137"/>
      <c r="E164" s="137"/>
      <c r="F164" s="137"/>
      <c r="G164" s="137"/>
      <c r="H164" s="137"/>
      <c r="I164" s="137"/>
      <c r="J164" s="138"/>
      <c r="K164" s="137"/>
      <c r="L164" s="137"/>
      <c r="M164" s="137"/>
      <c r="N164" s="137"/>
      <c r="O164" s="137"/>
      <c r="P164" s="137"/>
      <c r="Q164" s="137"/>
    </row>
    <row r="165" spans="1:17" ht="15" customHeight="1" x14ac:dyDescent="0.35">
      <c r="A165" s="129"/>
      <c r="B165" s="137"/>
      <c r="C165" s="137"/>
      <c r="D165" s="137"/>
      <c r="E165" s="137"/>
      <c r="F165" s="137"/>
      <c r="G165" s="137"/>
      <c r="H165" s="137"/>
      <c r="I165" s="137"/>
      <c r="J165" s="138"/>
      <c r="K165" s="137"/>
      <c r="L165" s="137"/>
      <c r="M165" s="137"/>
      <c r="N165" s="137"/>
      <c r="O165" s="137"/>
      <c r="P165" s="137"/>
      <c r="Q165" s="137"/>
    </row>
    <row r="166" spans="1:17" ht="15" customHeight="1" x14ac:dyDescent="0.35">
      <c r="A166" s="129"/>
      <c r="B166" s="137"/>
      <c r="C166" s="137"/>
      <c r="D166" s="137"/>
      <c r="E166" s="137"/>
      <c r="F166" s="137"/>
      <c r="G166" s="137"/>
      <c r="H166" s="137"/>
      <c r="I166" s="137"/>
      <c r="J166" s="138"/>
      <c r="K166" s="137"/>
      <c r="L166" s="137"/>
      <c r="M166" s="137"/>
      <c r="N166" s="137"/>
      <c r="O166" s="137"/>
      <c r="P166" s="137"/>
      <c r="Q166" s="137"/>
    </row>
    <row r="167" spans="1:17" ht="15" customHeight="1" x14ac:dyDescent="0.35">
      <c r="A167" s="129"/>
      <c r="B167" s="137"/>
      <c r="C167" s="137"/>
      <c r="D167" s="137"/>
      <c r="E167" s="137"/>
      <c r="F167" s="137"/>
      <c r="G167" s="137"/>
      <c r="H167" s="137"/>
      <c r="I167" s="137"/>
      <c r="J167" s="138"/>
      <c r="K167" s="137"/>
      <c r="L167" s="137"/>
      <c r="M167" s="137"/>
      <c r="N167" s="137"/>
      <c r="O167" s="137"/>
      <c r="P167" s="137"/>
      <c r="Q167" s="137"/>
    </row>
    <row r="168" spans="1:17" ht="15" customHeight="1" x14ac:dyDescent="0.35">
      <c r="A168" s="129"/>
      <c r="B168" s="137"/>
      <c r="C168" s="137"/>
      <c r="D168" s="137"/>
      <c r="E168" s="137"/>
      <c r="F168" s="137"/>
      <c r="G168" s="137"/>
      <c r="H168" s="137"/>
      <c r="I168" s="137"/>
      <c r="J168" s="138"/>
      <c r="K168" s="137"/>
      <c r="L168" s="137"/>
      <c r="M168" s="137"/>
      <c r="N168" s="137"/>
      <c r="O168" s="137"/>
      <c r="P168" s="137"/>
      <c r="Q168" s="137"/>
    </row>
    <row r="169" spans="1:17" ht="15" customHeight="1" x14ac:dyDescent="0.35">
      <c r="A169" s="129"/>
      <c r="B169" s="137"/>
      <c r="C169" s="137"/>
      <c r="D169" s="137"/>
      <c r="E169" s="137"/>
      <c r="F169" s="137"/>
      <c r="G169" s="137"/>
      <c r="H169" s="137"/>
      <c r="I169" s="137"/>
      <c r="J169" s="138"/>
      <c r="K169" s="137"/>
      <c r="L169" s="137"/>
      <c r="M169" s="137"/>
      <c r="N169" s="137"/>
      <c r="O169" s="137"/>
      <c r="P169" s="137"/>
      <c r="Q169" s="137"/>
    </row>
    <row r="170" spans="1:17" ht="15" customHeight="1" x14ac:dyDescent="0.35">
      <c r="A170" s="129"/>
      <c r="B170" s="137"/>
      <c r="C170" s="137"/>
      <c r="D170" s="137"/>
      <c r="E170" s="137"/>
      <c r="F170" s="137"/>
      <c r="G170" s="137"/>
      <c r="H170" s="137"/>
      <c r="I170" s="137"/>
      <c r="J170" s="138"/>
      <c r="K170" s="137"/>
      <c r="L170" s="137"/>
      <c r="M170" s="137"/>
      <c r="N170" s="137"/>
      <c r="O170" s="137"/>
      <c r="P170" s="137"/>
      <c r="Q170" s="137"/>
    </row>
    <row r="171" spans="1:17" ht="15" customHeight="1" x14ac:dyDescent="0.35">
      <c r="A171" s="129"/>
      <c r="B171" s="137"/>
      <c r="C171" s="137"/>
      <c r="D171" s="137"/>
      <c r="E171" s="137"/>
      <c r="F171" s="137"/>
      <c r="G171" s="137"/>
      <c r="H171" s="137"/>
      <c r="I171" s="137"/>
      <c r="J171" s="138"/>
      <c r="K171" s="137"/>
      <c r="L171" s="137"/>
      <c r="M171" s="137"/>
      <c r="N171" s="137"/>
      <c r="O171" s="137"/>
      <c r="P171" s="137"/>
      <c r="Q171" s="137"/>
    </row>
    <row r="172" spans="1:17" ht="15" customHeight="1" x14ac:dyDescent="0.35">
      <c r="A172" s="129"/>
      <c r="B172" s="137"/>
      <c r="C172" s="137"/>
      <c r="D172" s="137"/>
      <c r="E172" s="137"/>
      <c r="F172" s="137"/>
      <c r="G172" s="137"/>
      <c r="H172" s="137"/>
      <c r="I172" s="137"/>
      <c r="J172" s="138"/>
      <c r="K172" s="137"/>
      <c r="L172" s="137"/>
      <c r="M172" s="137"/>
      <c r="N172" s="137"/>
      <c r="O172" s="137"/>
      <c r="P172" s="137"/>
      <c r="Q172" s="137"/>
    </row>
    <row r="173" spans="1:17" ht="15" customHeight="1" x14ac:dyDescent="0.35">
      <c r="A173" s="129"/>
      <c r="B173" s="137"/>
      <c r="C173" s="137"/>
      <c r="D173" s="137"/>
      <c r="E173" s="137"/>
      <c r="F173" s="137"/>
      <c r="G173" s="137"/>
      <c r="H173" s="137"/>
      <c r="I173" s="137"/>
      <c r="J173" s="138"/>
      <c r="K173" s="137"/>
      <c r="L173" s="137"/>
      <c r="M173" s="137"/>
      <c r="N173" s="137"/>
      <c r="O173" s="137"/>
      <c r="P173" s="137"/>
      <c r="Q173" s="137"/>
    </row>
    <row r="174" spans="1:17" ht="15" customHeight="1" x14ac:dyDescent="0.35">
      <c r="A174" s="129"/>
      <c r="B174" s="137"/>
      <c r="C174" s="137"/>
      <c r="D174" s="137"/>
      <c r="E174" s="137"/>
      <c r="F174" s="137"/>
      <c r="G174" s="137"/>
      <c r="H174" s="137"/>
      <c r="I174" s="137"/>
      <c r="J174" s="138"/>
      <c r="K174" s="137"/>
      <c r="L174" s="137"/>
      <c r="M174" s="137"/>
      <c r="N174" s="137"/>
      <c r="O174" s="137"/>
      <c r="P174" s="137"/>
      <c r="Q174" s="137"/>
    </row>
    <row r="175" spans="1:17" ht="15" customHeight="1" x14ac:dyDescent="0.35">
      <c r="A175" s="129"/>
      <c r="B175" s="137"/>
      <c r="C175" s="137"/>
      <c r="D175" s="137"/>
      <c r="E175" s="137"/>
      <c r="F175" s="137"/>
      <c r="G175" s="137"/>
      <c r="H175" s="137"/>
      <c r="I175" s="137"/>
      <c r="J175" s="138"/>
      <c r="K175" s="137"/>
      <c r="L175" s="137"/>
      <c r="M175" s="137"/>
      <c r="N175" s="137"/>
      <c r="O175" s="137"/>
      <c r="P175" s="137"/>
      <c r="Q175" s="137"/>
    </row>
    <row r="176" spans="1:17" ht="15" customHeight="1" x14ac:dyDescent="0.35">
      <c r="A176" s="129"/>
      <c r="B176" s="137"/>
      <c r="C176" s="137"/>
      <c r="D176" s="137"/>
      <c r="E176" s="137"/>
      <c r="F176" s="137"/>
      <c r="G176" s="137"/>
      <c r="H176" s="137"/>
      <c r="I176" s="137"/>
      <c r="J176" s="138"/>
      <c r="K176" s="137"/>
      <c r="L176" s="137"/>
      <c r="M176" s="137"/>
      <c r="N176" s="137"/>
      <c r="O176" s="137"/>
      <c r="P176" s="137"/>
      <c r="Q176" s="137"/>
    </row>
    <row r="177" spans="1:17" ht="15" customHeight="1" x14ac:dyDescent="0.35">
      <c r="A177" s="129"/>
      <c r="B177" s="137"/>
      <c r="C177" s="137"/>
      <c r="D177" s="137"/>
      <c r="E177" s="137"/>
      <c r="F177" s="137"/>
      <c r="G177" s="137"/>
      <c r="H177" s="137"/>
      <c r="I177" s="137"/>
      <c r="J177" s="138"/>
      <c r="K177" s="137"/>
      <c r="L177" s="137"/>
      <c r="M177" s="137"/>
      <c r="N177" s="137"/>
      <c r="O177" s="137"/>
      <c r="P177" s="137"/>
      <c r="Q177" s="137"/>
    </row>
    <row r="178" spans="1:17" ht="15" customHeight="1" x14ac:dyDescent="0.35">
      <c r="A178" s="129"/>
      <c r="B178" s="137"/>
      <c r="C178" s="137"/>
      <c r="D178" s="137"/>
      <c r="E178" s="137"/>
      <c r="F178" s="137"/>
      <c r="G178" s="137"/>
      <c r="H178" s="137"/>
      <c r="I178" s="137"/>
      <c r="J178" s="138"/>
      <c r="K178" s="137"/>
      <c r="L178" s="137"/>
      <c r="M178" s="137"/>
      <c r="N178" s="137"/>
      <c r="O178" s="137"/>
      <c r="P178" s="137"/>
      <c r="Q178" s="137"/>
    </row>
    <row r="179" spans="1:17" ht="15" customHeight="1" x14ac:dyDescent="0.35">
      <c r="A179" s="129"/>
      <c r="B179" s="137"/>
      <c r="C179" s="137"/>
      <c r="D179" s="137"/>
      <c r="E179" s="137"/>
      <c r="F179" s="137"/>
      <c r="G179" s="137"/>
      <c r="H179" s="137"/>
      <c r="I179" s="137"/>
      <c r="J179" s="138"/>
      <c r="K179" s="137"/>
      <c r="L179" s="137"/>
      <c r="M179" s="137"/>
      <c r="N179" s="137"/>
      <c r="O179" s="137"/>
      <c r="P179" s="137"/>
      <c r="Q179" s="137"/>
    </row>
    <row r="180" spans="1:17" ht="15" customHeight="1" x14ac:dyDescent="0.35">
      <c r="A180" s="129"/>
      <c r="B180" s="137"/>
      <c r="C180" s="137"/>
      <c r="D180" s="137"/>
      <c r="E180" s="137"/>
      <c r="F180" s="137"/>
      <c r="G180" s="137"/>
      <c r="H180" s="137"/>
      <c r="I180" s="137"/>
      <c r="J180" s="138"/>
      <c r="K180" s="137"/>
      <c r="L180" s="137"/>
      <c r="M180" s="137"/>
      <c r="N180" s="137"/>
      <c r="O180" s="137"/>
      <c r="P180" s="137"/>
      <c r="Q180" s="137"/>
    </row>
    <row r="181" spans="1:17" ht="15" customHeight="1" x14ac:dyDescent="0.35">
      <c r="A181" s="129"/>
      <c r="B181" s="137"/>
      <c r="C181" s="137"/>
      <c r="D181" s="137"/>
      <c r="E181" s="137"/>
      <c r="F181" s="137"/>
      <c r="G181" s="137"/>
      <c r="H181" s="137"/>
      <c r="I181" s="137"/>
      <c r="J181" s="138"/>
      <c r="K181" s="137"/>
      <c r="L181" s="137"/>
      <c r="M181" s="137"/>
      <c r="N181" s="137"/>
      <c r="O181" s="137"/>
      <c r="P181" s="137"/>
      <c r="Q181" s="137"/>
    </row>
    <row r="182" spans="1:17" ht="15" customHeight="1" x14ac:dyDescent="0.35">
      <c r="A182" s="129"/>
      <c r="B182" s="137"/>
      <c r="C182" s="137"/>
      <c r="D182" s="137"/>
      <c r="E182" s="137"/>
      <c r="F182" s="137"/>
      <c r="G182" s="137"/>
      <c r="H182" s="137"/>
      <c r="I182" s="137"/>
      <c r="J182" s="138"/>
      <c r="K182" s="137"/>
      <c r="L182" s="137"/>
      <c r="M182" s="137"/>
      <c r="N182" s="137"/>
      <c r="O182" s="137"/>
      <c r="P182" s="137"/>
      <c r="Q182" s="137"/>
    </row>
    <row r="183" spans="1:17" ht="15" customHeight="1" x14ac:dyDescent="0.35">
      <c r="A183" s="129"/>
      <c r="B183" s="137"/>
      <c r="C183" s="137"/>
      <c r="D183" s="137"/>
      <c r="E183" s="137"/>
      <c r="F183" s="137"/>
      <c r="G183" s="137"/>
      <c r="H183" s="137"/>
      <c r="I183" s="137"/>
      <c r="J183" s="138"/>
      <c r="K183" s="137"/>
      <c r="L183" s="137"/>
      <c r="M183" s="137"/>
      <c r="N183" s="137"/>
      <c r="O183" s="137"/>
      <c r="P183" s="137"/>
      <c r="Q183" s="137"/>
    </row>
    <row r="184" spans="1:17" ht="15" customHeight="1" x14ac:dyDescent="0.35">
      <c r="A184" s="129"/>
      <c r="B184" s="137"/>
      <c r="C184" s="137"/>
      <c r="D184" s="137"/>
      <c r="E184" s="137"/>
      <c r="F184" s="137"/>
      <c r="G184" s="137"/>
      <c r="H184" s="137"/>
      <c r="I184" s="137"/>
      <c r="J184" s="138"/>
      <c r="K184" s="137"/>
      <c r="L184" s="137"/>
      <c r="M184" s="137"/>
      <c r="N184" s="137"/>
      <c r="O184" s="137"/>
      <c r="P184" s="137"/>
      <c r="Q184" s="137"/>
    </row>
    <row r="185" spans="1:17" ht="15" customHeight="1" x14ac:dyDescent="0.35">
      <c r="A185" s="129"/>
      <c r="B185" s="137"/>
      <c r="C185" s="137"/>
      <c r="D185" s="137"/>
      <c r="E185" s="137"/>
      <c r="F185" s="137"/>
      <c r="G185" s="137"/>
      <c r="H185" s="137"/>
      <c r="I185" s="137"/>
      <c r="J185" s="138"/>
      <c r="K185" s="137"/>
      <c r="L185" s="137"/>
      <c r="M185" s="137"/>
      <c r="N185" s="137"/>
      <c r="O185" s="137"/>
      <c r="P185" s="137"/>
      <c r="Q185" s="137"/>
    </row>
    <row r="186" spans="1:17" ht="15" customHeight="1" x14ac:dyDescent="0.35">
      <c r="A186" s="129"/>
      <c r="B186" s="137"/>
      <c r="C186" s="137"/>
      <c r="D186" s="137"/>
      <c r="E186" s="137"/>
      <c r="F186" s="137"/>
      <c r="G186" s="137"/>
      <c r="H186" s="137"/>
      <c r="I186" s="137"/>
      <c r="J186" s="138"/>
      <c r="K186" s="137"/>
      <c r="L186" s="137"/>
      <c r="M186" s="137"/>
      <c r="N186" s="137"/>
      <c r="O186" s="137"/>
      <c r="P186" s="137"/>
      <c r="Q186" s="137"/>
    </row>
    <row r="187" spans="1:17" ht="15" customHeight="1" x14ac:dyDescent="0.35">
      <c r="A187" s="129"/>
      <c r="B187" s="137"/>
      <c r="C187" s="137"/>
      <c r="D187" s="137"/>
      <c r="E187" s="137"/>
      <c r="F187" s="137"/>
      <c r="G187" s="137"/>
      <c r="H187" s="137"/>
      <c r="I187" s="137"/>
      <c r="J187" s="138"/>
      <c r="K187" s="137"/>
      <c r="L187" s="137"/>
      <c r="M187" s="137"/>
      <c r="N187" s="137"/>
      <c r="O187" s="137"/>
      <c r="P187" s="137"/>
      <c r="Q187" s="137"/>
    </row>
    <row r="188" spans="1:17" ht="15" customHeight="1" x14ac:dyDescent="0.35">
      <c r="A188" s="129"/>
      <c r="B188" s="137"/>
      <c r="C188" s="137"/>
      <c r="D188" s="137"/>
      <c r="E188" s="137"/>
      <c r="F188" s="137"/>
      <c r="G188" s="137"/>
      <c r="H188" s="137"/>
      <c r="I188" s="137"/>
      <c r="J188" s="138"/>
      <c r="K188" s="137"/>
      <c r="L188" s="137"/>
      <c r="M188" s="137"/>
      <c r="N188" s="137"/>
      <c r="O188" s="137"/>
      <c r="P188" s="137"/>
      <c r="Q188" s="137"/>
    </row>
    <row r="189" spans="1:17" ht="15" customHeight="1" x14ac:dyDescent="0.35">
      <c r="A189" s="129"/>
      <c r="B189" s="137"/>
      <c r="C189" s="137"/>
      <c r="D189" s="137"/>
      <c r="E189" s="137"/>
      <c r="F189" s="137"/>
      <c r="G189" s="137"/>
      <c r="H189" s="137"/>
      <c r="I189" s="137"/>
      <c r="J189" s="138"/>
      <c r="K189" s="137"/>
      <c r="L189" s="137"/>
      <c r="M189" s="137"/>
      <c r="N189" s="137"/>
      <c r="O189" s="137"/>
      <c r="P189" s="137"/>
      <c r="Q189" s="137"/>
    </row>
    <row r="190" spans="1:17" ht="15" customHeight="1" x14ac:dyDescent="0.35">
      <c r="A190" s="129"/>
      <c r="B190" s="137"/>
      <c r="C190" s="137"/>
      <c r="D190" s="137"/>
      <c r="E190" s="137"/>
      <c r="F190" s="137"/>
      <c r="G190" s="137"/>
      <c r="H190" s="137"/>
      <c r="I190" s="137"/>
      <c r="J190" s="138"/>
      <c r="K190" s="137"/>
      <c r="L190" s="137"/>
      <c r="M190" s="137"/>
      <c r="N190" s="137"/>
      <c r="O190" s="137"/>
      <c r="P190" s="137"/>
      <c r="Q190" s="137"/>
    </row>
    <row r="191" spans="1:17" ht="15" customHeight="1" x14ac:dyDescent="0.35">
      <c r="A191" s="129"/>
      <c r="B191" s="137"/>
      <c r="C191" s="137"/>
      <c r="D191" s="137"/>
      <c r="E191" s="137"/>
      <c r="F191" s="137"/>
      <c r="G191" s="137"/>
      <c r="H191" s="137"/>
      <c r="I191" s="137"/>
      <c r="J191" s="138"/>
      <c r="K191" s="137"/>
      <c r="L191" s="137"/>
      <c r="M191" s="137"/>
      <c r="N191" s="137"/>
      <c r="O191" s="137"/>
      <c r="P191" s="137"/>
      <c r="Q191" s="137"/>
    </row>
    <row r="192" spans="1:17" ht="15" customHeight="1" x14ac:dyDescent="0.35">
      <c r="A192" s="129"/>
      <c r="B192" s="137"/>
      <c r="C192" s="137"/>
      <c r="D192" s="137"/>
      <c r="E192" s="137"/>
      <c r="F192" s="137"/>
      <c r="G192" s="137"/>
      <c r="H192" s="137"/>
      <c r="I192" s="137"/>
      <c r="J192" s="138"/>
      <c r="K192" s="137"/>
      <c r="L192" s="137"/>
      <c r="M192" s="137"/>
      <c r="N192" s="137"/>
      <c r="O192" s="137"/>
      <c r="P192" s="137"/>
      <c r="Q192" s="137"/>
    </row>
    <row r="193" spans="1:17" ht="15" customHeight="1" x14ac:dyDescent="0.35">
      <c r="A193" s="129"/>
      <c r="B193" s="137"/>
      <c r="C193" s="137"/>
      <c r="D193" s="137"/>
      <c r="E193" s="137"/>
      <c r="F193" s="137"/>
      <c r="G193" s="137"/>
      <c r="H193" s="137"/>
      <c r="I193" s="137"/>
      <c r="J193" s="138"/>
      <c r="K193" s="137"/>
      <c r="L193" s="137"/>
      <c r="M193" s="137"/>
      <c r="N193" s="137"/>
      <c r="O193" s="137"/>
      <c r="P193" s="137"/>
      <c r="Q193" s="137"/>
    </row>
    <row r="194" spans="1:17" ht="15" customHeight="1" x14ac:dyDescent="0.35">
      <c r="A194" s="129"/>
      <c r="B194" s="137"/>
      <c r="C194" s="137"/>
      <c r="D194" s="137"/>
      <c r="E194" s="137"/>
      <c r="F194" s="137"/>
      <c r="G194" s="137"/>
      <c r="H194" s="137"/>
      <c r="I194" s="137"/>
      <c r="J194" s="138"/>
      <c r="K194" s="137"/>
      <c r="L194" s="137"/>
      <c r="M194" s="137"/>
      <c r="N194" s="137"/>
      <c r="O194" s="137"/>
      <c r="P194" s="137"/>
      <c r="Q194" s="137"/>
    </row>
    <row r="195" spans="1:17" ht="15" customHeight="1" x14ac:dyDescent="0.35">
      <c r="A195" s="129"/>
      <c r="B195" s="137"/>
      <c r="C195" s="137"/>
      <c r="D195" s="137"/>
      <c r="E195" s="137"/>
      <c r="F195" s="137"/>
      <c r="G195" s="137"/>
      <c r="H195" s="137"/>
      <c r="I195" s="137"/>
      <c r="J195" s="138"/>
      <c r="K195" s="137"/>
      <c r="L195" s="137"/>
      <c r="M195" s="137"/>
      <c r="N195" s="137"/>
      <c r="O195" s="137"/>
      <c r="P195" s="137"/>
      <c r="Q195" s="137"/>
    </row>
    <row r="196" spans="1:17" ht="15" customHeight="1" x14ac:dyDescent="0.35">
      <c r="A196" s="129"/>
      <c r="B196" s="137"/>
      <c r="C196" s="137"/>
      <c r="D196" s="137"/>
      <c r="E196" s="137"/>
      <c r="F196" s="137"/>
      <c r="G196" s="137"/>
      <c r="H196" s="137"/>
      <c r="I196" s="137"/>
      <c r="J196" s="138"/>
      <c r="K196" s="137"/>
      <c r="L196" s="137"/>
      <c r="M196" s="137"/>
      <c r="N196" s="137"/>
      <c r="O196" s="137"/>
      <c r="P196" s="137"/>
      <c r="Q196" s="137"/>
    </row>
    <row r="197" spans="1:17" ht="15" customHeight="1" x14ac:dyDescent="0.35">
      <c r="A197" s="129"/>
      <c r="B197" s="137"/>
      <c r="C197" s="137"/>
      <c r="D197" s="137"/>
      <c r="E197" s="137"/>
      <c r="F197" s="137"/>
      <c r="G197" s="137"/>
      <c r="H197" s="137"/>
      <c r="I197" s="137"/>
      <c r="J197" s="138"/>
      <c r="K197" s="137"/>
      <c r="L197" s="137"/>
      <c r="M197" s="137"/>
      <c r="N197" s="137"/>
      <c r="O197" s="137"/>
      <c r="P197" s="137"/>
      <c r="Q197" s="137"/>
    </row>
    <row r="198" spans="1:17" ht="15" customHeight="1" x14ac:dyDescent="0.35">
      <c r="A198" s="129"/>
      <c r="B198" s="137"/>
      <c r="C198" s="137"/>
      <c r="D198" s="137"/>
      <c r="E198" s="137"/>
      <c r="F198" s="137"/>
      <c r="G198" s="137"/>
      <c r="H198" s="137"/>
      <c r="I198" s="137"/>
      <c r="J198" s="138"/>
      <c r="K198" s="137"/>
      <c r="L198" s="137"/>
      <c r="M198" s="137"/>
      <c r="N198" s="137"/>
      <c r="O198" s="137"/>
      <c r="P198" s="137"/>
      <c r="Q198" s="137"/>
    </row>
    <row r="199" spans="1:17" ht="15" customHeight="1" x14ac:dyDescent="0.35">
      <c r="A199" s="129"/>
      <c r="B199" s="137"/>
      <c r="C199" s="137"/>
      <c r="D199" s="137"/>
      <c r="E199" s="137"/>
      <c r="F199" s="137"/>
      <c r="G199" s="137"/>
      <c r="H199" s="137"/>
      <c r="I199" s="137"/>
      <c r="J199" s="138"/>
      <c r="K199" s="137"/>
      <c r="L199" s="137"/>
      <c r="M199" s="137"/>
      <c r="N199" s="137"/>
      <c r="O199" s="137"/>
      <c r="P199" s="137"/>
      <c r="Q199" s="137"/>
    </row>
    <row r="200" spans="1:17" ht="15" customHeight="1" x14ac:dyDescent="0.35">
      <c r="A200" s="129"/>
      <c r="B200" s="137"/>
      <c r="C200" s="137"/>
      <c r="D200" s="137"/>
      <c r="E200" s="137"/>
      <c r="F200" s="137"/>
      <c r="G200" s="137"/>
      <c r="H200" s="137"/>
      <c r="I200" s="137"/>
      <c r="J200" s="138"/>
      <c r="K200" s="137"/>
      <c r="L200" s="137"/>
      <c r="M200" s="137"/>
      <c r="N200" s="137"/>
      <c r="O200" s="137"/>
      <c r="P200" s="137"/>
      <c r="Q200" s="137"/>
    </row>
    <row r="201" spans="1:17" ht="15" customHeight="1" x14ac:dyDescent="0.35">
      <c r="A201" s="129"/>
      <c r="B201" s="137"/>
      <c r="C201" s="137"/>
      <c r="D201" s="137"/>
      <c r="E201" s="137"/>
      <c r="F201" s="137"/>
      <c r="G201" s="137"/>
      <c r="H201" s="137"/>
      <c r="I201" s="137"/>
      <c r="J201" s="138"/>
      <c r="K201" s="137"/>
      <c r="L201" s="137"/>
      <c r="M201" s="137"/>
      <c r="N201" s="137"/>
      <c r="O201" s="137"/>
      <c r="P201" s="137"/>
      <c r="Q201" s="137"/>
    </row>
    <row r="202" spans="1:17" ht="15" customHeight="1" x14ac:dyDescent="0.35">
      <c r="A202" s="129"/>
      <c r="B202" s="137"/>
      <c r="C202" s="137"/>
      <c r="D202" s="137"/>
      <c r="E202" s="137"/>
      <c r="F202" s="137"/>
      <c r="G202" s="137"/>
      <c r="H202" s="137"/>
      <c r="I202" s="137"/>
      <c r="J202" s="138"/>
      <c r="K202" s="137"/>
      <c r="L202" s="137"/>
      <c r="M202" s="137"/>
      <c r="N202" s="137"/>
      <c r="O202" s="137"/>
      <c r="P202" s="137"/>
      <c r="Q202" s="137"/>
    </row>
    <row r="203" spans="1:17" ht="15" customHeight="1" x14ac:dyDescent="0.35">
      <c r="A203" s="129"/>
      <c r="B203" s="137"/>
      <c r="C203" s="137"/>
      <c r="D203" s="137"/>
      <c r="E203" s="137"/>
      <c r="F203" s="137"/>
      <c r="G203" s="137"/>
      <c r="H203" s="137"/>
      <c r="I203" s="137"/>
      <c r="J203" s="138"/>
      <c r="K203" s="137"/>
      <c r="L203" s="137"/>
      <c r="M203" s="137"/>
      <c r="N203" s="137"/>
      <c r="O203" s="137"/>
      <c r="P203" s="137"/>
      <c r="Q203" s="137"/>
    </row>
    <row r="204" spans="1:17" ht="15" customHeight="1" x14ac:dyDescent="0.35">
      <c r="A204" s="129"/>
      <c r="B204" s="137"/>
      <c r="C204" s="137"/>
      <c r="D204" s="137"/>
      <c r="E204" s="137"/>
      <c r="F204" s="137"/>
      <c r="G204" s="137"/>
      <c r="H204" s="137"/>
      <c r="I204" s="137"/>
      <c r="J204" s="138"/>
      <c r="K204" s="137"/>
      <c r="L204" s="137"/>
      <c r="M204" s="137"/>
      <c r="N204" s="137"/>
      <c r="O204" s="137"/>
      <c r="P204" s="137"/>
      <c r="Q204" s="137"/>
    </row>
    <row r="205" spans="1:17" ht="15" customHeight="1" x14ac:dyDescent="0.35">
      <c r="A205" s="129"/>
      <c r="B205" s="137"/>
      <c r="C205" s="137"/>
      <c r="D205" s="137"/>
      <c r="E205" s="137"/>
      <c r="F205" s="137"/>
      <c r="G205" s="137"/>
      <c r="H205" s="137"/>
      <c r="I205" s="137"/>
      <c r="J205" s="138"/>
      <c r="K205" s="137"/>
      <c r="L205" s="137"/>
      <c r="M205" s="137"/>
      <c r="N205" s="137"/>
      <c r="O205" s="137"/>
      <c r="P205" s="137"/>
      <c r="Q205" s="137"/>
    </row>
    <row r="206" spans="1:17" ht="15" customHeight="1" x14ac:dyDescent="0.35">
      <c r="A206" s="129"/>
      <c r="B206" s="137"/>
      <c r="C206" s="137"/>
      <c r="D206" s="137"/>
      <c r="E206" s="137"/>
      <c r="F206" s="137"/>
      <c r="G206" s="137"/>
      <c r="H206" s="137"/>
      <c r="I206" s="137"/>
      <c r="J206" s="138"/>
      <c r="K206" s="137"/>
      <c r="L206" s="137"/>
      <c r="M206" s="137"/>
      <c r="N206" s="137"/>
      <c r="O206" s="137"/>
      <c r="P206" s="137"/>
      <c r="Q206" s="137"/>
    </row>
    <row r="207" spans="1:17" ht="15" customHeight="1" x14ac:dyDescent="0.35">
      <c r="A207" s="129"/>
      <c r="B207" s="137"/>
      <c r="C207" s="137"/>
      <c r="D207" s="137"/>
      <c r="E207" s="137"/>
      <c r="F207" s="137"/>
      <c r="G207" s="137"/>
      <c r="H207" s="137"/>
      <c r="I207" s="137"/>
      <c r="J207" s="138"/>
      <c r="K207" s="137"/>
      <c r="L207" s="137"/>
      <c r="M207" s="137"/>
      <c r="N207" s="137"/>
      <c r="O207" s="137"/>
      <c r="P207" s="137"/>
      <c r="Q207" s="137"/>
    </row>
    <row r="208" spans="1:17" ht="15" customHeight="1" x14ac:dyDescent="0.35">
      <c r="A208" s="129"/>
      <c r="B208" s="137"/>
      <c r="C208" s="137"/>
      <c r="D208" s="137"/>
      <c r="E208" s="137"/>
      <c r="F208" s="137"/>
      <c r="G208" s="137"/>
      <c r="H208" s="137"/>
      <c r="I208" s="137"/>
      <c r="J208" s="138"/>
      <c r="K208" s="137"/>
      <c r="L208" s="137"/>
      <c r="M208" s="137"/>
      <c r="N208" s="137"/>
      <c r="O208" s="137"/>
      <c r="P208" s="137"/>
      <c r="Q208" s="137"/>
    </row>
    <row r="209" spans="1:17" ht="15" customHeight="1" x14ac:dyDescent="0.35">
      <c r="A209" s="129"/>
      <c r="B209" s="137"/>
      <c r="C209" s="137"/>
      <c r="D209" s="137"/>
      <c r="E209" s="137"/>
      <c r="F209" s="137"/>
      <c r="G209" s="137"/>
      <c r="H209" s="137"/>
      <c r="I209" s="137"/>
      <c r="J209" s="138"/>
      <c r="K209" s="137"/>
      <c r="L209" s="137"/>
      <c r="M209" s="137"/>
      <c r="N209" s="137"/>
      <c r="O209" s="137"/>
      <c r="P209" s="137"/>
      <c r="Q209" s="137"/>
    </row>
    <row r="210" spans="1:17" ht="15" customHeight="1" x14ac:dyDescent="0.35">
      <c r="A210" s="129"/>
      <c r="B210" s="137"/>
      <c r="C210" s="137"/>
      <c r="D210" s="137"/>
      <c r="E210" s="137"/>
      <c r="F210" s="137"/>
      <c r="G210" s="137"/>
      <c r="H210" s="137"/>
      <c r="I210" s="137"/>
      <c r="J210" s="138"/>
      <c r="K210" s="137"/>
      <c r="L210" s="137"/>
      <c r="M210" s="137"/>
      <c r="N210" s="137"/>
      <c r="O210" s="137"/>
      <c r="P210" s="137"/>
      <c r="Q210" s="137"/>
    </row>
    <row r="211" spans="1:17" ht="15" customHeight="1" x14ac:dyDescent="0.35">
      <c r="A211" s="129"/>
      <c r="B211" s="137"/>
      <c r="C211" s="137"/>
      <c r="D211" s="137"/>
      <c r="E211" s="137"/>
      <c r="F211" s="137"/>
      <c r="G211" s="137"/>
      <c r="H211" s="137"/>
      <c r="I211" s="137"/>
      <c r="J211" s="138"/>
      <c r="K211" s="137"/>
      <c r="L211" s="137"/>
      <c r="M211" s="137"/>
      <c r="N211" s="137"/>
      <c r="O211" s="137"/>
      <c r="P211" s="137"/>
      <c r="Q211" s="137"/>
    </row>
    <row r="212" spans="1:17" ht="15" customHeight="1" x14ac:dyDescent="0.35">
      <c r="A212" s="129"/>
      <c r="B212" s="137"/>
      <c r="C212" s="137"/>
      <c r="D212" s="137"/>
      <c r="E212" s="137"/>
      <c r="F212" s="137"/>
      <c r="G212" s="137"/>
      <c r="H212" s="137"/>
      <c r="I212" s="137"/>
      <c r="J212" s="138"/>
      <c r="K212" s="137"/>
      <c r="L212" s="137"/>
      <c r="M212" s="137"/>
      <c r="N212" s="137"/>
      <c r="O212" s="137"/>
      <c r="P212" s="137"/>
      <c r="Q212" s="137"/>
    </row>
    <row r="213" spans="1:17" ht="15" customHeight="1" x14ac:dyDescent="0.35">
      <c r="A213" s="129"/>
      <c r="B213" s="137"/>
      <c r="C213" s="137"/>
      <c r="D213" s="137"/>
      <c r="E213" s="137"/>
      <c r="F213" s="137"/>
      <c r="G213" s="137"/>
      <c r="H213" s="137"/>
      <c r="I213" s="137"/>
      <c r="J213" s="138"/>
      <c r="K213" s="137"/>
      <c r="L213" s="137"/>
      <c r="M213" s="137"/>
      <c r="N213" s="137"/>
      <c r="O213" s="137"/>
      <c r="P213" s="137"/>
      <c r="Q213" s="137"/>
    </row>
    <row r="214" spans="1:17" ht="15" customHeight="1" x14ac:dyDescent="0.35">
      <c r="A214" s="129"/>
      <c r="B214" s="137"/>
      <c r="C214" s="137"/>
      <c r="D214" s="137"/>
      <c r="E214" s="137"/>
      <c r="F214" s="137"/>
      <c r="G214" s="137"/>
      <c r="H214" s="137"/>
      <c r="I214" s="137"/>
      <c r="J214" s="138"/>
      <c r="K214" s="137"/>
      <c r="L214" s="137"/>
      <c r="M214" s="137"/>
      <c r="N214" s="137"/>
      <c r="O214" s="137"/>
      <c r="P214" s="137"/>
      <c r="Q214" s="137"/>
    </row>
    <row r="215" spans="1:17" ht="15" customHeight="1" x14ac:dyDescent="0.35">
      <c r="A215" s="129"/>
      <c r="B215" s="137"/>
      <c r="C215" s="137"/>
      <c r="D215" s="137"/>
      <c r="E215" s="137"/>
      <c r="F215" s="137"/>
      <c r="G215" s="137"/>
      <c r="H215" s="137"/>
      <c r="I215" s="137"/>
      <c r="J215" s="138"/>
      <c r="K215" s="137"/>
      <c r="L215" s="137"/>
      <c r="M215" s="137"/>
      <c r="N215" s="137"/>
      <c r="O215" s="137"/>
      <c r="P215" s="137"/>
      <c r="Q215" s="137"/>
    </row>
    <row r="216" spans="1:17" ht="15" customHeight="1" x14ac:dyDescent="0.35">
      <c r="A216" s="129"/>
      <c r="B216" s="137"/>
      <c r="C216" s="137"/>
      <c r="D216" s="137"/>
      <c r="E216" s="137"/>
      <c r="F216" s="137"/>
      <c r="G216" s="137"/>
      <c r="H216" s="137"/>
      <c r="I216" s="137"/>
      <c r="J216" s="138"/>
      <c r="K216" s="137"/>
      <c r="L216" s="137"/>
      <c r="M216" s="137"/>
      <c r="N216" s="137"/>
      <c r="O216" s="137"/>
      <c r="P216" s="137"/>
      <c r="Q216" s="137"/>
    </row>
    <row r="217" spans="1:17" ht="15" customHeight="1" x14ac:dyDescent="0.35">
      <c r="A217" s="129"/>
      <c r="B217" s="137"/>
      <c r="C217" s="137"/>
      <c r="D217" s="137"/>
      <c r="E217" s="137"/>
      <c r="F217" s="137"/>
      <c r="G217" s="137"/>
      <c r="H217" s="137"/>
      <c r="I217" s="137"/>
      <c r="J217" s="138"/>
      <c r="K217" s="137"/>
      <c r="L217" s="137"/>
      <c r="M217" s="137"/>
      <c r="N217" s="137"/>
      <c r="O217" s="137"/>
      <c r="P217" s="137"/>
      <c r="Q217" s="137"/>
    </row>
    <row r="218" spans="1:17" ht="15" customHeight="1" x14ac:dyDescent="0.35">
      <c r="A218" s="129"/>
      <c r="B218" s="137"/>
      <c r="C218" s="137"/>
      <c r="D218" s="137"/>
      <c r="E218" s="137"/>
      <c r="F218" s="137"/>
      <c r="G218" s="137"/>
      <c r="H218" s="137"/>
      <c r="I218" s="137"/>
      <c r="J218" s="138"/>
      <c r="K218" s="137"/>
      <c r="L218" s="137"/>
      <c r="M218" s="137"/>
      <c r="N218" s="137"/>
      <c r="O218" s="137"/>
      <c r="P218" s="137"/>
      <c r="Q218" s="137"/>
    </row>
    <row r="219" spans="1:17" ht="15" customHeight="1" x14ac:dyDescent="0.35">
      <c r="A219" s="129"/>
      <c r="B219" s="137"/>
      <c r="C219" s="137"/>
      <c r="D219" s="137"/>
      <c r="E219" s="137"/>
      <c r="F219" s="137"/>
      <c r="G219" s="137"/>
      <c r="H219" s="137"/>
      <c r="I219" s="137"/>
      <c r="J219" s="138"/>
      <c r="K219" s="137"/>
      <c r="L219" s="137"/>
      <c r="M219" s="137"/>
      <c r="N219" s="137"/>
      <c r="O219" s="137"/>
      <c r="P219" s="137"/>
      <c r="Q219" s="137"/>
    </row>
    <row r="220" spans="1:17" ht="15" customHeight="1" x14ac:dyDescent="0.35">
      <c r="A220" s="129"/>
      <c r="B220" s="137"/>
      <c r="C220" s="137"/>
      <c r="D220" s="137"/>
      <c r="E220" s="137"/>
      <c r="F220" s="137"/>
      <c r="G220" s="137"/>
      <c r="H220" s="137"/>
      <c r="I220" s="137"/>
      <c r="J220" s="138"/>
      <c r="K220" s="137"/>
      <c r="L220" s="137"/>
      <c r="M220" s="137"/>
      <c r="N220" s="137"/>
      <c r="O220" s="137"/>
      <c r="P220" s="137"/>
      <c r="Q220" s="137"/>
    </row>
    <row r="221" spans="1:17" ht="15" customHeight="1" x14ac:dyDescent="0.35">
      <c r="A221" s="129"/>
      <c r="B221" s="137"/>
      <c r="C221" s="137"/>
      <c r="D221" s="137"/>
      <c r="E221" s="137"/>
      <c r="F221" s="137"/>
      <c r="G221" s="137"/>
      <c r="H221" s="137"/>
      <c r="I221" s="137"/>
      <c r="J221" s="138"/>
      <c r="K221" s="137"/>
      <c r="L221" s="137"/>
      <c r="M221" s="137"/>
      <c r="N221" s="137"/>
      <c r="O221" s="137"/>
      <c r="P221" s="137"/>
      <c r="Q221" s="137"/>
    </row>
    <row r="222" spans="1:17" ht="15" customHeight="1" x14ac:dyDescent="0.35">
      <c r="A222" s="129"/>
      <c r="B222" s="137"/>
      <c r="C222" s="137"/>
      <c r="D222" s="137"/>
      <c r="E222" s="137"/>
      <c r="F222" s="137"/>
      <c r="G222" s="137"/>
      <c r="H222" s="137"/>
      <c r="I222" s="137"/>
      <c r="J222" s="138"/>
      <c r="K222" s="137"/>
      <c r="L222" s="137"/>
      <c r="M222" s="137"/>
      <c r="N222" s="137"/>
      <c r="O222" s="137"/>
      <c r="P222" s="137"/>
      <c r="Q222" s="137"/>
    </row>
    <row r="223" spans="1:17" ht="15" customHeight="1" x14ac:dyDescent="0.35">
      <c r="A223" s="129"/>
      <c r="B223" s="137"/>
      <c r="C223" s="137"/>
      <c r="D223" s="137"/>
      <c r="E223" s="137"/>
      <c r="F223" s="137"/>
      <c r="G223" s="137"/>
      <c r="H223" s="137"/>
      <c r="I223" s="137"/>
      <c r="J223" s="138"/>
      <c r="K223" s="137"/>
      <c r="L223" s="137"/>
      <c r="M223" s="137"/>
      <c r="N223" s="137"/>
      <c r="O223" s="137"/>
      <c r="P223" s="137"/>
      <c r="Q223" s="137"/>
    </row>
    <row r="224" spans="1:17" ht="15" customHeight="1" x14ac:dyDescent="0.35">
      <c r="A224" s="129"/>
      <c r="B224" s="137"/>
      <c r="C224" s="137"/>
      <c r="D224" s="137"/>
      <c r="E224" s="137"/>
      <c r="F224" s="137"/>
      <c r="G224" s="137"/>
      <c r="H224" s="137"/>
      <c r="I224" s="137"/>
      <c r="J224" s="138"/>
      <c r="K224" s="137"/>
      <c r="L224" s="137"/>
      <c r="M224" s="137"/>
      <c r="N224" s="137"/>
      <c r="O224" s="137"/>
      <c r="P224" s="137"/>
      <c r="Q224" s="137"/>
    </row>
    <row r="225" spans="1:17" ht="15" customHeight="1" x14ac:dyDescent="0.35">
      <c r="A225" s="129"/>
      <c r="B225" s="137"/>
      <c r="C225" s="137"/>
      <c r="D225" s="137"/>
      <c r="E225" s="137"/>
      <c r="F225" s="137"/>
      <c r="G225" s="137"/>
      <c r="H225" s="137"/>
      <c r="I225" s="137"/>
      <c r="J225" s="138"/>
      <c r="K225" s="137"/>
      <c r="L225" s="137"/>
      <c r="M225" s="137"/>
      <c r="N225" s="137"/>
      <c r="O225" s="137"/>
      <c r="P225" s="137"/>
      <c r="Q225" s="137"/>
    </row>
    <row r="226" spans="1:17" ht="15" customHeight="1" x14ac:dyDescent="0.35">
      <c r="A226" s="129"/>
      <c r="B226" s="137"/>
      <c r="C226" s="137"/>
      <c r="D226" s="137"/>
      <c r="E226" s="137"/>
      <c r="F226" s="137"/>
      <c r="G226" s="137"/>
      <c r="H226" s="137"/>
      <c r="I226" s="137"/>
      <c r="J226" s="138"/>
      <c r="K226" s="137"/>
      <c r="L226" s="137"/>
      <c r="M226" s="137"/>
      <c r="N226" s="137"/>
      <c r="O226" s="137"/>
      <c r="P226" s="137"/>
      <c r="Q226" s="137"/>
    </row>
    <row r="227" spans="1:17" ht="15" customHeight="1" x14ac:dyDescent="0.35">
      <c r="A227" s="129"/>
      <c r="B227" s="137"/>
      <c r="C227" s="137"/>
      <c r="D227" s="137"/>
      <c r="E227" s="137"/>
      <c r="F227" s="137"/>
      <c r="G227" s="137"/>
      <c r="H227" s="137"/>
      <c r="I227" s="137"/>
      <c r="J227" s="138"/>
      <c r="K227" s="137"/>
      <c r="L227" s="137"/>
      <c r="M227" s="137"/>
      <c r="N227" s="137"/>
      <c r="O227" s="137"/>
      <c r="P227" s="137"/>
      <c r="Q227" s="137"/>
    </row>
    <row r="228" spans="1:17" ht="15" customHeight="1" x14ac:dyDescent="0.35">
      <c r="A228" s="129"/>
      <c r="B228" s="137"/>
      <c r="C228" s="137"/>
      <c r="D228" s="137"/>
      <c r="E228" s="137"/>
      <c r="F228" s="137"/>
      <c r="G228" s="137"/>
      <c r="H228" s="137"/>
      <c r="I228" s="137"/>
      <c r="J228" s="138"/>
      <c r="K228" s="137"/>
      <c r="L228" s="137"/>
      <c r="M228" s="137"/>
      <c r="N228" s="137"/>
      <c r="O228" s="137"/>
      <c r="P228" s="137"/>
      <c r="Q228" s="137"/>
    </row>
    <row r="229" spans="1:17" ht="15" customHeight="1" x14ac:dyDescent="0.35">
      <c r="A229" s="129"/>
      <c r="B229" s="137"/>
      <c r="C229" s="137"/>
      <c r="D229" s="137"/>
      <c r="E229" s="137"/>
      <c r="F229" s="137"/>
      <c r="G229" s="137"/>
      <c r="H229" s="137"/>
      <c r="I229" s="137"/>
      <c r="J229" s="138"/>
      <c r="K229" s="137"/>
      <c r="L229" s="137"/>
      <c r="M229" s="137"/>
      <c r="N229" s="137"/>
      <c r="O229" s="137"/>
      <c r="P229" s="137"/>
      <c r="Q229" s="137"/>
    </row>
    <row r="230" spans="1:17" ht="15" customHeight="1" x14ac:dyDescent="0.35">
      <c r="A230" s="129"/>
      <c r="B230" s="137"/>
      <c r="C230" s="137"/>
      <c r="D230" s="137"/>
      <c r="E230" s="137"/>
      <c r="F230" s="137"/>
      <c r="G230" s="137"/>
      <c r="H230" s="137"/>
      <c r="I230" s="137"/>
      <c r="J230" s="138"/>
      <c r="K230" s="137"/>
      <c r="L230" s="137"/>
      <c r="M230" s="137"/>
      <c r="N230" s="137"/>
      <c r="O230" s="137"/>
      <c r="P230" s="137"/>
      <c r="Q230" s="137"/>
    </row>
    <row r="231" spans="1:17" ht="15" customHeight="1" x14ac:dyDescent="0.35">
      <c r="A231" s="129"/>
      <c r="B231" s="137"/>
      <c r="C231" s="137"/>
      <c r="D231" s="137"/>
      <c r="E231" s="137"/>
      <c r="F231" s="137"/>
      <c r="G231" s="137"/>
      <c r="H231" s="137"/>
      <c r="I231" s="137"/>
      <c r="J231" s="138"/>
      <c r="K231" s="137"/>
      <c r="L231" s="137"/>
      <c r="M231" s="137"/>
      <c r="N231" s="137"/>
      <c r="O231" s="137"/>
      <c r="P231" s="137"/>
      <c r="Q231" s="137"/>
    </row>
    <row r="232" spans="1:17" ht="15" customHeight="1" x14ac:dyDescent="0.35">
      <c r="A232" s="129"/>
      <c r="B232" s="137"/>
      <c r="C232" s="137"/>
      <c r="D232" s="137"/>
      <c r="E232" s="137"/>
      <c r="F232" s="137"/>
      <c r="G232" s="137"/>
      <c r="H232" s="137"/>
      <c r="I232" s="137"/>
      <c r="J232" s="138"/>
      <c r="K232" s="137"/>
      <c r="L232" s="137"/>
      <c r="M232" s="137"/>
      <c r="N232" s="137"/>
      <c r="O232" s="137"/>
      <c r="P232" s="137"/>
      <c r="Q232" s="137"/>
    </row>
    <row r="233" spans="1:17" ht="15" customHeight="1" x14ac:dyDescent="0.35">
      <c r="A233" s="129"/>
      <c r="B233" s="137"/>
      <c r="C233" s="137"/>
      <c r="D233" s="137"/>
      <c r="E233" s="137"/>
      <c r="F233" s="137"/>
      <c r="G233" s="137"/>
      <c r="H233" s="137"/>
      <c r="I233" s="137"/>
      <c r="J233" s="138"/>
      <c r="K233" s="137"/>
      <c r="L233" s="137"/>
      <c r="M233" s="137"/>
      <c r="N233" s="137"/>
      <c r="O233" s="137"/>
      <c r="P233" s="137"/>
      <c r="Q233" s="137"/>
    </row>
    <row r="234" spans="1:17" ht="15" customHeight="1" x14ac:dyDescent="0.35">
      <c r="A234" s="129"/>
      <c r="B234" s="137"/>
      <c r="C234" s="137"/>
      <c r="D234" s="137"/>
      <c r="E234" s="137"/>
      <c r="F234" s="137"/>
      <c r="G234" s="137"/>
      <c r="H234" s="137"/>
      <c r="I234" s="137"/>
      <c r="J234" s="138"/>
      <c r="K234" s="137"/>
      <c r="L234" s="137"/>
      <c r="M234" s="137"/>
      <c r="N234" s="137"/>
      <c r="O234" s="137"/>
      <c r="P234" s="137"/>
      <c r="Q234" s="137"/>
    </row>
    <row r="235" spans="1:17" ht="15" customHeight="1" x14ac:dyDescent="0.35">
      <c r="A235" s="129"/>
      <c r="B235" s="137"/>
      <c r="C235" s="137"/>
      <c r="D235" s="137"/>
      <c r="E235" s="137"/>
      <c r="F235" s="137"/>
      <c r="G235" s="137"/>
      <c r="H235" s="137"/>
      <c r="I235" s="137"/>
      <c r="J235" s="138"/>
      <c r="K235" s="137"/>
      <c r="L235" s="137"/>
      <c r="M235" s="137"/>
      <c r="N235" s="137"/>
      <c r="O235" s="137"/>
      <c r="P235" s="137"/>
      <c r="Q235" s="137"/>
    </row>
    <row r="236" spans="1:17" ht="15" customHeight="1" x14ac:dyDescent="0.35">
      <c r="A236" s="129"/>
      <c r="B236" s="137"/>
      <c r="C236" s="137"/>
      <c r="D236" s="137"/>
      <c r="E236" s="137"/>
      <c r="F236" s="137"/>
      <c r="G236" s="137"/>
      <c r="H236" s="137"/>
      <c r="I236" s="137"/>
      <c r="J236" s="138"/>
      <c r="K236" s="137"/>
      <c r="L236" s="137"/>
      <c r="M236" s="137"/>
      <c r="N236" s="137"/>
      <c r="O236" s="137"/>
      <c r="P236" s="137"/>
      <c r="Q236" s="137"/>
    </row>
    <row r="237" spans="1:17" ht="15" customHeight="1" x14ac:dyDescent="0.35">
      <c r="A237" s="129"/>
      <c r="B237" s="137"/>
      <c r="C237" s="137"/>
      <c r="D237" s="137"/>
      <c r="E237" s="137"/>
      <c r="F237" s="137"/>
      <c r="G237" s="137"/>
      <c r="H237" s="137"/>
      <c r="I237" s="137"/>
      <c r="J237" s="138"/>
      <c r="K237" s="137"/>
      <c r="L237" s="137"/>
      <c r="M237" s="137"/>
      <c r="N237" s="137"/>
      <c r="O237" s="137"/>
      <c r="P237" s="137"/>
      <c r="Q237" s="137"/>
    </row>
    <row r="238" spans="1:17" ht="15" customHeight="1" x14ac:dyDescent="0.35">
      <c r="A238" s="129"/>
      <c r="B238" s="137"/>
      <c r="C238" s="137"/>
      <c r="D238" s="137"/>
      <c r="E238" s="137"/>
      <c r="F238" s="137"/>
      <c r="G238" s="137"/>
      <c r="H238" s="137"/>
      <c r="I238" s="137"/>
      <c r="J238" s="138"/>
      <c r="K238" s="137"/>
      <c r="L238" s="137"/>
      <c r="M238" s="137"/>
      <c r="N238" s="137"/>
      <c r="O238" s="137"/>
      <c r="P238" s="137"/>
      <c r="Q238" s="137"/>
    </row>
    <row r="239" spans="1:17" ht="15" customHeight="1" x14ac:dyDescent="0.35">
      <c r="A239" s="129"/>
      <c r="B239" s="137"/>
      <c r="C239" s="137"/>
      <c r="D239" s="137"/>
      <c r="E239" s="137"/>
      <c r="F239" s="137"/>
      <c r="G239" s="137"/>
      <c r="H239" s="137"/>
      <c r="I239" s="137"/>
      <c r="J239" s="138"/>
      <c r="K239" s="137"/>
      <c r="L239" s="137"/>
      <c r="M239" s="137"/>
      <c r="N239" s="137"/>
      <c r="O239" s="137"/>
      <c r="P239" s="137"/>
      <c r="Q239" s="137"/>
    </row>
    <row r="240" spans="1:17" ht="15" customHeight="1" x14ac:dyDescent="0.35">
      <c r="A240" s="129"/>
      <c r="B240" s="137"/>
      <c r="C240" s="137"/>
      <c r="D240" s="137"/>
      <c r="E240" s="137"/>
      <c r="F240" s="137"/>
      <c r="G240" s="137"/>
      <c r="H240" s="137"/>
      <c r="I240" s="137"/>
      <c r="J240" s="138"/>
      <c r="K240" s="137"/>
      <c r="L240" s="137"/>
      <c r="M240" s="137"/>
      <c r="N240" s="137"/>
      <c r="O240" s="137"/>
      <c r="P240" s="137"/>
      <c r="Q240" s="137"/>
    </row>
    <row r="241" spans="1:17" ht="15" customHeight="1" x14ac:dyDescent="0.35">
      <c r="A241" s="129"/>
      <c r="B241" s="137"/>
      <c r="C241" s="137"/>
      <c r="D241" s="137"/>
      <c r="E241" s="137"/>
      <c r="F241" s="137"/>
      <c r="G241" s="137"/>
      <c r="H241" s="137"/>
      <c r="I241" s="137"/>
      <c r="J241" s="138"/>
      <c r="K241" s="137"/>
      <c r="L241" s="137"/>
      <c r="M241" s="137"/>
      <c r="N241" s="137"/>
      <c r="O241" s="137"/>
      <c r="P241" s="137"/>
      <c r="Q241" s="137"/>
    </row>
    <row r="242" spans="1:17" ht="15" customHeight="1" x14ac:dyDescent="0.35">
      <c r="A242" s="129"/>
      <c r="B242" s="137"/>
      <c r="C242" s="137"/>
      <c r="D242" s="137"/>
      <c r="E242" s="137"/>
      <c r="F242" s="137"/>
      <c r="G242" s="137"/>
      <c r="H242" s="137"/>
      <c r="I242" s="137"/>
      <c r="J242" s="138"/>
      <c r="K242" s="137"/>
      <c r="L242" s="137"/>
      <c r="M242" s="137"/>
      <c r="N242" s="137"/>
      <c r="O242" s="137"/>
      <c r="P242" s="137"/>
      <c r="Q242" s="137"/>
    </row>
    <row r="243" spans="1:17" ht="15" customHeight="1" x14ac:dyDescent="0.35">
      <c r="A243" s="129"/>
      <c r="B243" s="137"/>
      <c r="C243" s="137"/>
      <c r="D243" s="137"/>
      <c r="E243" s="137"/>
      <c r="F243" s="137"/>
      <c r="G243" s="137"/>
      <c r="H243" s="137"/>
      <c r="I243" s="137"/>
      <c r="J243" s="138"/>
      <c r="K243" s="137"/>
      <c r="L243" s="137"/>
      <c r="M243" s="137"/>
      <c r="N243" s="137"/>
      <c r="O243" s="137"/>
      <c r="P243" s="137"/>
      <c r="Q243" s="137"/>
    </row>
    <row r="244" spans="1:17" ht="15" customHeight="1" x14ac:dyDescent="0.35">
      <c r="A244" s="129"/>
      <c r="B244" s="137"/>
      <c r="C244" s="137"/>
      <c r="D244" s="137"/>
      <c r="E244" s="137"/>
      <c r="F244" s="137"/>
      <c r="G244" s="137"/>
      <c r="H244" s="137"/>
      <c r="I244" s="137"/>
      <c r="J244" s="138"/>
      <c r="K244" s="137"/>
      <c r="L244" s="137"/>
      <c r="M244" s="137"/>
      <c r="N244" s="137"/>
      <c r="O244" s="137"/>
      <c r="P244" s="137"/>
      <c r="Q244" s="137"/>
    </row>
    <row r="245" spans="1:17" ht="15" customHeight="1" x14ac:dyDescent="0.35">
      <c r="A245" s="129"/>
      <c r="B245" s="137"/>
      <c r="C245" s="137"/>
      <c r="D245" s="137"/>
      <c r="E245" s="137"/>
      <c r="F245" s="137"/>
      <c r="G245" s="137"/>
      <c r="H245" s="137"/>
      <c r="I245" s="137"/>
      <c r="J245" s="138"/>
      <c r="K245" s="137"/>
      <c r="L245" s="137"/>
      <c r="M245" s="137"/>
      <c r="N245" s="137"/>
      <c r="O245" s="137"/>
      <c r="P245" s="137"/>
      <c r="Q245" s="137"/>
    </row>
    <row r="246" spans="1:17" ht="15" customHeight="1" x14ac:dyDescent="0.35">
      <c r="A246" s="129"/>
      <c r="B246" s="137"/>
      <c r="C246" s="137"/>
      <c r="D246" s="137"/>
      <c r="E246" s="137"/>
      <c r="F246" s="137"/>
      <c r="G246" s="137"/>
      <c r="H246" s="137"/>
      <c r="I246" s="137"/>
      <c r="J246" s="138"/>
      <c r="K246" s="137"/>
      <c r="L246" s="137"/>
      <c r="M246" s="137"/>
      <c r="N246" s="137"/>
      <c r="O246" s="137"/>
      <c r="P246" s="137"/>
      <c r="Q246" s="137"/>
    </row>
    <row r="247" spans="1:17" ht="15" customHeight="1" x14ac:dyDescent="0.35">
      <c r="A247" s="129"/>
      <c r="B247" s="137"/>
      <c r="C247" s="137"/>
      <c r="D247" s="137"/>
      <c r="E247" s="137"/>
      <c r="F247" s="137"/>
      <c r="G247" s="137"/>
      <c r="H247" s="137"/>
      <c r="I247" s="137"/>
      <c r="J247" s="138"/>
      <c r="K247" s="137"/>
      <c r="L247" s="137"/>
      <c r="M247" s="137"/>
      <c r="N247" s="137"/>
      <c r="O247" s="137"/>
      <c r="P247" s="137"/>
      <c r="Q247" s="137"/>
    </row>
    <row r="248" spans="1:17" ht="15" customHeight="1" x14ac:dyDescent="0.35">
      <c r="A248" s="129"/>
      <c r="B248" s="137"/>
      <c r="C248" s="137"/>
      <c r="D248" s="137"/>
      <c r="E248" s="137"/>
      <c r="F248" s="137"/>
      <c r="G248" s="137"/>
      <c r="H248" s="137"/>
      <c r="I248" s="137"/>
      <c r="J248" s="138"/>
      <c r="K248" s="137"/>
      <c r="L248" s="137"/>
      <c r="M248" s="137"/>
      <c r="N248" s="137"/>
      <c r="O248" s="137"/>
      <c r="P248" s="137"/>
      <c r="Q248" s="137"/>
    </row>
    <row r="249" spans="1:17" ht="15" customHeight="1" x14ac:dyDescent="0.35">
      <c r="A249" s="129"/>
      <c r="B249" s="137"/>
      <c r="C249" s="137"/>
      <c r="D249" s="137"/>
      <c r="E249" s="137"/>
      <c r="F249" s="137"/>
      <c r="G249" s="137"/>
      <c r="H249" s="137"/>
      <c r="I249" s="137"/>
      <c r="J249" s="138"/>
      <c r="K249" s="137"/>
      <c r="L249" s="137"/>
      <c r="M249" s="137"/>
      <c r="N249" s="137"/>
      <c r="O249" s="137"/>
      <c r="P249" s="137"/>
      <c r="Q249" s="137"/>
    </row>
    <row r="250" spans="1:17" ht="15" customHeight="1" x14ac:dyDescent="0.35">
      <c r="A250" s="129"/>
      <c r="B250" s="137"/>
      <c r="C250" s="137"/>
      <c r="D250" s="137"/>
      <c r="E250" s="137"/>
      <c r="F250" s="137"/>
      <c r="G250" s="137"/>
      <c r="H250" s="137"/>
      <c r="I250" s="137"/>
      <c r="J250" s="138"/>
      <c r="K250" s="137"/>
      <c r="L250" s="137"/>
      <c r="M250" s="137"/>
      <c r="N250" s="137"/>
      <c r="O250" s="137"/>
      <c r="P250" s="137"/>
      <c r="Q250" s="137"/>
    </row>
    <row r="251" spans="1:17" ht="15" customHeight="1" x14ac:dyDescent="0.35">
      <c r="A251" s="129"/>
      <c r="B251" s="137"/>
      <c r="C251" s="137"/>
      <c r="D251" s="137"/>
      <c r="E251" s="137"/>
      <c r="F251" s="137"/>
      <c r="G251" s="137"/>
      <c r="H251" s="137"/>
      <c r="I251" s="137"/>
      <c r="J251" s="138"/>
      <c r="K251" s="137"/>
      <c r="L251" s="137"/>
      <c r="M251" s="137"/>
      <c r="N251" s="137"/>
      <c r="O251" s="137"/>
      <c r="P251" s="137"/>
      <c r="Q251" s="137"/>
    </row>
    <row r="252" spans="1:17" ht="15" customHeight="1" x14ac:dyDescent="0.35">
      <c r="A252" s="129"/>
      <c r="B252" s="137"/>
      <c r="C252" s="137"/>
      <c r="D252" s="137"/>
      <c r="E252" s="137"/>
      <c r="F252" s="137"/>
      <c r="G252" s="137"/>
      <c r="H252" s="137"/>
      <c r="I252" s="137"/>
      <c r="J252" s="138"/>
      <c r="K252" s="137"/>
      <c r="L252" s="137"/>
      <c r="M252" s="137"/>
      <c r="N252" s="137"/>
      <c r="O252" s="137"/>
      <c r="P252" s="137"/>
      <c r="Q252" s="137"/>
    </row>
    <row r="253" spans="1:17" ht="15" customHeight="1" x14ac:dyDescent="0.35">
      <c r="A253" s="129"/>
      <c r="B253" s="137"/>
      <c r="C253" s="137"/>
      <c r="D253" s="137"/>
      <c r="E253" s="137"/>
      <c r="F253" s="137"/>
      <c r="G253" s="137"/>
      <c r="H253" s="137"/>
      <c r="I253" s="137"/>
      <c r="J253" s="138"/>
      <c r="K253" s="137"/>
      <c r="L253" s="137"/>
      <c r="M253" s="137"/>
      <c r="N253" s="137"/>
      <c r="O253" s="137"/>
      <c r="P253" s="137"/>
      <c r="Q253" s="137"/>
    </row>
    <row r="254" spans="1:17" ht="15" customHeight="1" x14ac:dyDescent="0.35">
      <c r="A254" s="129"/>
      <c r="B254" s="137"/>
      <c r="C254" s="137"/>
      <c r="D254" s="137"/>
      <c r="E254" s="137"/>
      <c r="F254" s="137"/>
      <c r="G254" s="137"/>
      <c r="H254" s="137"/>
      <c r="I254" s="137"/>
      <c r="J254" s="138"/>
      <c r="K254" s="137"/>
      <c r="L254" s="137"/>
      <c r="M254" s="137"/>
      <c r="N254" s="137"/>
      <c r="O254" s="137"/>
      <c r="P254" s="137"/>
      <c r="Q254" s="137"/>
    </row>
    <row r="255" spans="1:17" ht="15" customHeight="1" x14ac:dyDescent="0.35">
      <c r="A255" s="129"/>
      <c r="B255" s="137"/>
      <c r="C255" s="137"/>
      <c r="D255" s="137"/>
      <c r="E255" s="137"/>
      <c r="F255" s="137"/>
      <c r="G255" s="137"/>
      <c r="H255" s="137"/>
      <c r="I255" s="137"/>
      <c r="J255" s="138"/>
      <c r="K255" s="137"/>
      <c r="L255" s="137"/>
      <c r="M255" s="137"/>
      <c r="N255" s="137"/>
      <c r="O255" s="137"/>
      <c r="P255" s="137"/>
      <c r="Q255" s="137"/>
    </row>
    <row r="256" spans="1:17" ht="15" customHeight="1" x14ac:dyDescent="0.35">
      <c r="A256" s="129"/>
      <c r="B256" s="137"/>
      <c r="C256" s="137"/>
      <c r="D256" s="137"/>
      <c r="E256" s="137"/>
      <c r="F256" s="137"/>
      <c r="G256" s="137"/>
      <c r="H256" s="137"/>
      <c r="I256" s="137"/>
      <c r="J256" s="138"/>
      <c r="K256" s="137"/>
      <c r="L256" s="137"/>
      <c r="M256" s="137"/>
      <c r="N256" s="137"/>
      <c r="O256" s="137"/>
      <c r="P256" s="137"/>
      <c r="Q256" s="137"/>
    </row>
    <row r="257" spans="1:17" ht="15" customHeight="1" x14ac:dyDescent="0.35">
      <c r="A257" s="129"/>
      <c r="B257" s="137"/>
      <c r="C257" s="137"/>
      <c r="D257" s="137"/>
      <c r="E257" s="137"/>
      <c r="F257" s="137"/>
      <c r="G257" s="137"/>
      <c r="H257" s="137"/>
      <c r="I257" s="137"/>
      <c r="J257" s="138"/>
      <c r="K257" s="137"/>
      <c r="L257" s="137"/>
      <c r="M257" s="137"/>
      <c r="N257" s="137"/>
      <c r="O257" s="137"/>
      <c r="P257" s="137"/>
      <c r="Q257" s="137"/>
    </row>
    <row r="258" spans="1:17" ht="15" customHeight="1" x14ac:dyDescent="0.35">
      <c r="A258" s="129"/>
      <c r="B258" s="137"/>
      <c r="C258" s="137"/>
      <c r="D258" s="137"/>
      <c r="E258" s="137"/>
      <c r="F258" s="137"/>
      <c r="G258" s="137"/>
      <c r="H258" s="137"/>
      <c r="I258" s="137"/>
      <c r="J258" s="138"/>
      <c r="K258" s="137"/>
      <c r="L258" s="137"/>
      <c r="M258" s="137"/>
      <c r="N258" s="137"/>
      <c r="O258" s="137"/>
      <c r="P258" s="137"/>
      <c r="Q258" s="137"/>
    </row>
    <row r="259" spans="1:17" ht="15" customHeight="1" x14ac:dyDescent="0.35">
      <c r="A259" s="129"/>
      <c r="B259" s="137"/>
      <c r="C259" s="137"/>
      <c r="D259" s="137"/>
      <c r="E259" s="137"/>
      <c r="F259" s="137"/>
      <c r="G259" s="137"/>
      <c r="H259" s="137"/>
      <c r="I259" s="137"/>
      <c r="J259" s="138"/>
      <c r="K259" s="137"/>
      <c r="L259" s="137"/>
      <c r="M259" s="137"/>
      <c r="N259" s="137"/>
      <c r="O259" s="137"/>
      <c r="P259" s="137"/>
      <c r="Q259" s="137"/>
    </row>
    <row r="260" spans="1:17" ht="15" customHeight="1" x14ac:dyDescent="0.35">
      <c r="A260" s="129"/>
      <c r="B260" s="137"/>
      <c r="C260" s="137"/>
      <c r="D260" s="137"/>
      <c r="E260" s="137"/>
      <c r="F260" s="137"/>
      <c r="G260" s="137"/>
      <c r="H260" s="137"/>
      <c r="I260" s="137"/>
      <c r="J260" s="138"/>
      <c r="K260" s="137"/>
      <c r="L260" s="137"/>
      <c r="M260" s="137"/>
      <c r="N260" s="137"/>
      <c r="O260" s="137"/>
      <c r="P260" s="137"/>
      <c r="Q260" s="137"/>
    </row>
    <row r="261" spans="1:17" ht="15" customHeight="1" x14ac:dyDescent="0.35">
      <c r="A261" s="129"/>
      <c r="B261" s="137"/>
      <c r="C261" s="137"/>
      <c r="D261" s="137"/>
      <c r="E261" s="137"/>
      <c r="F261" s="137"/>
      <c r="G261" s="137"/>
      <c r="H261" s="137"/>
      <c r="I261" s="137"/>
      <c r="J261" s="138"/>
      <c r="K261" s="137"/>
      <c r="L261" s="137"/>
      <c r="M261" s="137"/>
      <c r="N261" s="137"/>
      <c r="O261" s="137"/>
      <c r="P261" s="137"/>
      <c r="Q261" s="137"/>
    </row>
    <row r="262" spans="1:17" ht="15" customHeight="1" x14ac:dyDescent="0.35">
      <c r="A262" s="129"/>
      <c r="B262" s="137"/>
      <c r="C262" s="137"/>
      <c r="D262" s="137"/>
      <c r="E262" s="137"/>
      <c r="F262" s="137"/>
      <c r="G262" s="137"/>
      <c r="H262" s="137"/>
      <c r="I262" s="137"/>
      <c r="J262" s="138"/>
      <c r="K262" s="137"/>
      <c r="L262" s="137"/>
      <c r="M262" s="137"/>
      <c r="N262" s="137"/>
      <c r="O262" s="137"/>
      <c r="P262" s="137"/>
      <c r="Q262" s="137"/>
    </row>
    <row r="263" spans="1:17" ht="15" customHeight="1" x14ac:dyDescent="0.35">
      <c r="A263" s="129"/>
      <c r="B263" s="137"/>
      <c r="C263" s="137"/>
      <c r="D263" s="137"/>
      <c r="E263" s="137"/>
      <c r="F263" s="137"/>
      <c r="G263" s="137"/>
      <c r="H263" s="137"/>
      <c r="I263" s="137"/>
      <c r="J263" s="138"/>
      <c r="K263" s="137"/>
      <c r="L263" s="137"/>
      <c r="M263" s="137"/>
      <c r="N263" s="137"/>
      <c r="O263" s="137"/>
      <c r="P263" s="137"/>
      <c r="Q263" s="137"/>
    </row>
    <row r="264" spans="1:17" ht="15" customHeight="1" x14ac:dyDescent="0.35">
      <c r="A264" s="129"/>
      <c r="B264" s="137"/>
      <c r="C264" s="137"/>
      <c r="D264" s="137"/>
      <c r="E264" s="137"/>
      <c r="F264" s="137"/>
      <c r="G264" s="137"/>
      <c r="H264" s="137"/>
      <c r="I264" s="137"/>
      <c r="J264" s="138"/>
      <c r="K264" s="137"/>
      <c r="L264" s="137"/>
      <c r="M264" s="137"/>
      <c r="N264" s="137"/>
      <c r="O264" s="137"/>
      <c r="P264" s="137"/>
      <c r="Q264" s="137"/>
    </row>
    <row r="265" spans="1:17" ht="15" customHeight="1" x14ac:dyDescent="0.35">
      <c r="A265" s="129"/>
      <c r="B265" s="137"/>
      <c r="C265" s="137"/>
      <c r="D265" s="137"/>
      <c r="E265" s="137"/>
      <c r="F265" s="137"/>
      <c r="G265" s="137"/>
      <c r="H265" s="137"/>
      <c r="I265" s="137"/>
      <c r="J265" s="138"/>
      <c r="K265" s="137"/>
      <c r="L265" s="137"/>
      <c r="M265" s="137"/>
      <c r="N265" s="137"/>
      <c r="O265" s="137"/>
      <c r="P265" s="137"/>
      <c r="Q265" s="137"/>
    </row>
    <row r="266" spans="1:17" ht="15" customHeight="1" x14ac:dyDescent="0.35">
      <c r="A266" s="129"/>
      <c r="B266" s="137"/>
      <c r="C266" s="137"/>
      <c r="D266" s="137"/>
      <c r="E266" s="137"/>
      <c r="F266" s="137"/>
      <c r="G266" s="137"/>
      <c r="H266" s="137"/>
      <c r="I266" s="137"/>
      <c r="J266" s="138"/>
      <c r="K266" s="137"/>
      <c r="L266" s="137"/>
      <c r="M266" s="137"/>
      <c r="N266" s="137"/>
      <c r="O266" s="137"/>
      <c r="P266" s="137"/>
      <c r="Q266" s="137"/>
    </row>
    <row r="267" spans="1:17" ht="15" customHeight="1" x14ac:dyDescent="0.35">
      <c r="A267" s="129"/>
      <c r="B267" s="137"/>
      <c r="C267" s="137"/>
      <c r="D267" s="137"/>
      <c r="E267" s="137"/>
      <c r="F267" s="137"/>
      <c r="G267" s="137"/>
      <c r="H267" s="137"/>
      <c r="I267" s="137"/>
      <c r="J267" s="138"/>
      <c r="K267" s="137"/>
      <c r="L267" s="137"/>
      <c r="M267" s="137"/>
      <c r="N267" s="137"/>
      <c r="O267" s="137"/>
      <c r="P267" s="137"/>
      <c r="Q267" s="137"/>
    </row>
    <row r="268" spans="1:17" ht="15" customHeight="1" x14ac:dyDescent="0.35">
      <c r="A268" s="129"/>
      <c r="B268" s="137"/>
      <c r="C268" s="137"/>
      <c r="D268" s="137"/>
      <c r="E268" s="137"/>
      <c r="F268" s="137"/>
      <c r="G268" s="137"/>
      <c r="H268" s="137"/>
      <c r="I268" s="137"/>
      <c r="J268" s="138"/>
      <c r="K268" s="137"/>
      <c r="L268" s="137"/>
      <c r="M268" s="137"/>
      <c r="N268" s="137"/>
      <c r="O268" s="137"/>
      <c r="P268" s="137"/>
      <c r="Q268" s="137"/>
    </row>
    <row r="269" spans="1:17" ht="15" customHeight="1" x14ac:dyDescent="0.35">
      <c r="A269" s="129"/>
      <c r="B269" s="137"/>
      <c r="C269" s="137"/>
      <c r="D269" s="137"/>
      <c r="E269" s="137"/>
      <c r="F269" s="137"/>
      <c r="G269" s="137"/>
      <c r="H269" s="137"/>
      <c r="I269" s="137"/>
      <c r="J269" s="138"/>
      <c r="K269" s="137"/>
      <c r="L269" s="137"/>
      <c r="M269" s="137"/>
      <c r="N269" s="137"/>
      <c r="O269" s="137"/>
      <c r="P269" s="137"/>
      <c r="Q269" s="137"/>
    </row>
    <row r="270" spans="1:17" ht="15" customHeight="1" x14ac:dyDescent="0.35">
      <c r="A270" s="129"/>
      <c r="B270" s="137"/>
      <c r="C270" s="137"/>
      <c r="D270" s="137"/>
      <c r="E270" s="137"/>
      <c r="F270" s="137"/>
      <c r="G270" s="137"/>
      <c r="H270" s="137"/>
      <c r="I270" s="137"/>
      <c r="J270" s="138"/>
      <c r="K270" s="137"/>
      <c r="L270" s="137"/>
      <c r="M270" s="137"/>
      <c r="N270" s="137"/>
      <c r="O270" s="137"/>
      <c r="P270" s="137"/>
      <c r="Q270" s="137"/>
    </row>
    <row r="271" spans="1:17" ht="15" customHeight="1" x14ac:dyDescent="0.35">
      <c r="A271" s="129"/>
      <c r="B271" s="137"/>
      <c r="C271" s="137"/>
      <c r="D271" s="137"/>
      <c r="E271" s="137"/>
      <c r="F271" s="137"/>
      <c r="G271" s="137"/>
      <c r="H271" s="137"/>
      <c r="I271" s="137"/>
      <c r="J271" s="138"/>
      <c r="K271" s="137"/>
      <c r="L271" s="137"/>
      <c r="M271" s="137"/>
      <c r="N271" s="137"/>
      <c r="O271" s="137"/>
      <c r="P271" s="137"/>
      <c r="Q271" s="137"/>
    </row>
    <row r="272" spans="1:17" ht="15" customHeight="1" x14ac:dyDescent="0.35">
      <c r="A272" s="129"/>
      <c r="B272" s="137"/>
      <c r="C272" s="137"/>
      <c r="D272" s="137"/>
      <c r="E272" s="137"/>
      <c r="F272" s="137"/>
      <c r="G272" s="137"/>
      <c r="H272" s="137"/>
      <c r="I272" s="137"/>
      <c r="J272" s="138"/>
      <c r="K272" s="137"/>
      <c r="L272" s="137"/>
      <c r="M272" s="137"/>
      <c r="N272" s="137"/>
      <c r="O272" s="137"/>
      <c r="P272" s="137"/>
      <c r="Q272" s="137"/>
    </row>
    <row r="273" spans="1:17" ht="15" customHeight="1" x14ac:dyDescent="0.35">
      <c r="A273" s="129"/>
      <c r="B273" s="137"/>
      <c r="C273" s="137"/>
      <c r="D273" s="137"/>
      <c r="E273" s="137"/>
      <c r="F273" s="137"/>
      <c r="G273" s="137"/>
      <c r="H273" s="137"/>
      <c r="I273" s="137"/>
      <c r="J273" s="138"/>
      <c r="K273" s="137"/>
      <c r="L273" s="137"/>
      <c r="M273" s="137"/>
      <c r="N273" s="137"/>
      <c r="O273" s="137"/>
      <c r="P273" s="137"/>
      <c r="Q273" s="137"/>
    </row>
    <row r="274" spans="1:17" ht="15" customHeight="1" x14ac:dyDescent="0.35">
      <c r="A274" s="129"/>
      <c r="B274" s="137"/>
      <c r="C274" s="137"/>
      <c r="D274" s="137"/>
      <c r="E274" s="137"/>
      <c r="F274" s="137"/>
      <c r="G274" s="137"/>
      <c r="H274" s="137"/>
      <c r="I274" s="137"/>
      <c r="J274" s="138"/>
      <c r="K274" s="137"/>
      <c r="L274" s="137"/>
      <c r="M274" s="137"/>
      <c r="N274" s="137"/>
      <c r="O274" s="137"/>
      <c r="P274" s="137"/>
      <c r="Q274" s="137"/>
    </row>
    <row r="275" spans="1:17" ht="15" customHeight="1" x14ac:dyDescent="0.35">
      <c r="A275" s="129"/>
      <c r="B275" s="137"/>
      <c r="C275" s="137"/>
      <c r="D275" s="137"/>
      <c r="E275" s="137"/>
      <c r="F275" s="137"/>
      <c r="G275" s="137"/>
      <c r="H275" s="137"/>
      <c r="I275" s="137"/>
      <c r="J275" s="138"/>
      <c r="K275" s="137"/>
      <c r="L275" s="137"/>
      <c r="M275" s="137"/>
      <c r="N275" s="137"/>
      <c r="O275" s="137"/>
      <c r="P275" s="137"/>
      <c r="Q275" s="137"/>
    </row>
    <row r="276" spans="1:17" ht="15" customHeight="1" x14ac:dyDescent="0.35">
      <c r="A276" s="129"/>
      <c r="B276" s="137"/>
      <c r="C276" s="137"/>
      <c r="D276" s="137"/>
      <c r="E276" s="137"/>
      <c r="F276" s="137"/>
      <c r="G276" s="137"/>
      <c r="H276" s="137"/>
      <c r="I276" s="137"/>
      <c r="J276" s="138"/>
      <c r="K276" s="137"/>
      <c r="L276" s="137"/>
      <c r="M276" s="137"/>
      <c r="N276" s="137"/>
      <c r="O276" s="137"/>
      <c r="P276" s="137"/>
      <c r="Q276" s="137"/>
    </row>
    <row r="277" spans="1:17" ht="15" customHeight="1" x14ac:dyDescent="0.35">
      <c r="A277" s="129"/>
      <c r="B277" s="137"/>
      <c r="C277" s="137"/>
      <c r="D277" s="137"/>
      <c r="E277" s="137"/>
      <c r="F277" s="137"/>
      <c r="G277" s="137"/>
      <c r="H277" s="137"/>
      <c r="I277" s="137"/>
      <c r="J277" s="138"/>
      <c r="K277" s="137"/>
      <c r="L277" s="137"/>
      <c r="M277" s="137"/>
      <c r="N277" s="137"/>
      <c r="O277" s="137"/>
      <c r="P277" s="137"/>
      <c r="Q277" s="137"/>
    </row>
    <row r="278" spans="1:17" ht="15" customHeight="1" x14ac:dyDescent="0.35">
      <c r="A278" s="129"/>
      <c r="B278" s="137"/>
      <c r="C278" s="137"/>
      <c r="D278" s="137"/>
      <c r="E278" s="137"/>
      <c r="F278" s="137"/>
      <c r="G278" s="137"/>
      <c r="H278" s="137"/>
      <c r="I278" s="137"/>
      <c r="J278" s="138"/>
      <c r="K278" s="137"/>
      <c r="L278" s="137"/>
      <c r="M278" s="137"/>
      <c r="N278" s="137"/>
      <c r="O278" s="137"/>
      <c r="P278" s="137"/>
      <c r="Q278" s="137"/>
    </row>
    <row r="279" spans="1:17" ht="15" customHeight="1" x14ac:dyDescent="0.35">
      <c r="A279" s="129"/>
      <c r="B279" s="137"/>
      <c r="C279" s="137"/>
      <c r="D279" s="137"/>
      <c r="E279" s="137"/>
      <c r="F279" s="137"/>
      <c r="G279" s="137"/>
      <c r="H279" s="137"/>
      <c r="I279" s="137"/>
      <c r="J279" s="138"/>
      <c r="K279" s="137"/>
      <c r="L279" s="137"/>
      <c r="M279" s="137"/>
      <c r="N279" s="137"/>
      <c r="O279" s="137"/>
      <c r="P279" s="137"/>
      <c r="Q279" s="137"/>
    </row>
    <row r="280" spans="1:17" ht="15" customHeight="1" x14ac:dyDescent="0.35">
      <c r="A280" s="129"/>
      <c r="B280" s="137"/>
      <c r="C280" s="137"/>
      <c r="D280" s="137"/>
      <c r="E280" s="137"/>
      <c r="F280" s="137"/>
      <c r="G280" s="137"/>
      <c r="H280" s="137"/>
      <c r="I280" s="137"/>
      <c r="J280" s="138"/>
      <c r="K280" s="137"/>
      <c r="L280" s="137"/>
      <c r="M280" s="137"/>
      <c r="N280" s="137"/>
      <c r="O280" s="137"/>
      <c r="P280" s="137"/>
      <c r="Q280" s="137"/>
    </row>
    <row r="281" spans="1:17" ht="15" customHeight="1" x14ac:dyDescent="0.35">
      <c r="A281" s="129"/>
      <c r="B281" s="137"/>
      <c r="C281" s="137"/>
      <c r="D281" s="137"/>
      <c r="E281" s="137"/>
      <c r="F281" s="137"/>
      <c r="G281" s="137"/>
      <c r="H281" s="137"/>
      <c r="I281" s="137"/>
      <c r="J281" s="138"/>
      <c r="K281" s="137"/>
      <c r="L281" s="137"/>
      <c r="M281" s="137"/>
      <c r="N281" s="137"/>
      <c r="O281" s="137"/>
      <c r="P281" s="137"/>
      <c r="Q281" s="137"/>
    </row>
    <row r="282" spans="1:17" ht="15" customHeight="1" x14ac:dyDescent="0.35">
      <c r="A282" s="129"/>
      <c r="B282" s="137"/>
      <c r="C282" s="137"/>
      <c r="D282" s="137"/>
      <c r="E282" s="137"/>
      <c r="F282" s="137"/>
      <c r="G282" s="137"/>
      <c r="H282" s="137"/>
      <c r="I282" s="137"/>
      <c r="J282" s="138"/>
      <c r="K282" s="137"/>
      <c r="L282" s="137"/>
      <c r="M282" s="137"/>
      <c r="N282" s="137"/>
      <c r="O282" s="137"/>
      <c r="P282" s="137"/>
      <c r="Q282" s="137"/>
    </row>
    <row r="283" spans="1:17" ht="15" customHeight="1" x14ac:dyDescent="0.35">
      <c r="A283" s="129"/>
      <c r="B283" s="137"/>
      <c r="C283" s="137"/>
      <c r="D283" s="137"/>
      <c r="E283" s="137"/>
      <c r="F283" s="137"/>
      <c r="G283" s="137"/>
      <c r="H283" s="137"/>
      <c r="I283" s="137"/>
      <c r="J283" s="138"/>
      <c r="K283" s="137"/>
      <c r="L283" s="137"/>
      <c r="M283" s="137"/>
      <c r="N283" s="137"/>
      <c r="O283" s="137"/>
      <c r="P283" s="137"/>
      <c r="Q283" s="137"/>
    </row>
    <row r="284" spans="1:17" ht="15" customHeight="1" x14ac:dyDescent="0.35">
      <c r="A284" s="129"/>
      <c r="B284" s="137"/>
      <c r="C284" s="137"/>
      <c r="D284" s="137"/>
      <c r="E284" s="137"/>
      <c r="F284" s="137"/>
      <c r="G284" s="137"/>
      <c r="H284" s="137"/>
      <c r="I284" s="137"/>
      <c r="J284" s="138"/>
      <c r="K284" s="137"/>
      <c r="L284" s="137"/>
      <c r="M284" s="137"/>
      <c r="N284" s="137"/>
      <c r="O284" s="137"/>
      <c r="P284" s="137"/>
      <c r="Q284" s="137"/>
    </row>
    <row r="285" spans="1:17" ht="15" customHeight="1" x14ac:dyDescent="0.35">
      <c r="A285" s="129"/>
      <c r="B285" s="137"/>
      <c r="C285" s="137"/>
      <c r="D285" s="137"/>
      <c r="E285" s="137"/>
      <c r="F285" s="137"/>
      <c r="G285" s="137"/>
      <c r="H285" s="137"/>
      <c r="I285" s="137"/>
      <c r="J285" s="138"/>
      <c r="K285" s="137"/>
      <c r="L285" s="137"/>
      <c r="M285" s="137"/>
      <c r="N285" s="137"/>
      <c r="O285" s="137"/>
      <c r="P285" s="137"/>
      <c r="Q285" s="137"/>
    </row>
    <row r="286" spans="1:17" ht="15" customHeight="1" x14ac:dyDescent="0.35">
      <c r="A286" s="129"/>
      <c r="B286" s="137"/>
      <c r="C286" s="137"/>
      <c r="D286" s="137"/>
      <c r="E286" s="137"/>
      <c r="F286" s="137"/>
      <c r="G286" s="137"/>
      <c r="H286" s="137"/>
      <c r="I286" s="137"/>
      <c r="J286" s="138"/>
      <c r="K286" s="137"/>
      <c r="L286" s="137"/>
      <c r="M286" s="137"/>
      <c r="N286" s="137"/>
      <c r="O286" s="137"/>
      <c r="P286" s="137"/>
      <c r="Q286" s="137"/>
    </row>
    <row r="287" spans="1:17" ht="15" customHeight="1" x14ac:dyDescent="0.35">
      <c r="A287" s="129"/>
      <c r="B287" s="137"/>
      <c r="C287" s="137"/>
      <c r="D287" s="137"/>
      <c r="E287" s="137"/>
      <c r="F287" s="137"/>
      <c r="G287" s="137"/>
      <c r="H287" s="137"/>
      <c r="I287" s="137"/>
      <c r="J287" s="138"/>
      <c r="K287" s="137"/>
      <c r="L287" s="137"/>
      <c r="M287" s="137"/>
      <c r="N287" s="137"/>
      <c r="O287" s="137"/>
      <c r="P287" s="137"/>
      <c r="Q287" s="137"/>
    </row>
    <row r="288" spans="1:17" ht="15" customHeight="1" x14ac:dyDescent="0.35">
      <c r="A288" s="129"/>
      <c r="B288" s="137"/>
      <c r="C288" s="137"/>
      <c r="D288" s="137"/>
      <c r="E288" s="137"/>
      <c r="F288" s="137"/>
      <c r="G288" s="137"/>
      <c r="H288" s="137"/>
      <c r="I288" s="137"/>
      <c r="J288" s="138"/>
      <c r="K288" s="137"/>
      <c r="L288" s="137"/>
      <c r="M288" s="137"/>
      <c r="N288" s="137"/>
      <c r="O288" s="137"/>
      <c r="P288" s="137"/>
      <c r="Q288" s="137"/>
    </row>
    <row r="289" spans="1:17" ht="15" customHeight="1" x14ac:dyDescent="0.35">
      <c r="A289" s="129"/>
      <c r="B289" s="137"/>
      <c r="C289" s="137"/>
      <c r="D289" s="137"/>
      <c r="E289" s="137"/>
      <c r="F289" s="137"/>
      <c r="G289" s="137"/>
      <c r="H289" s="137"/>
      <c r="I289" s="137"/>
      <c r="J289" s="138"/>
      <c r="K289" s="137"/>
      <c r="L289" s="137"/>
      <c r="M289" s="137"/>
      <c r="N289" s="137"/>
      <c r="O289" s="137"/>
      <c r="P289" s="137"/>
      <c r="Q289" s="137"/>
    </row>
    <row r="290" spans="1:17" ht="15" customHeight="1" x14ac:dyDescent="0.35">
      <c r="A290" s="129"/>
      <c r="B290" s="137"/>
      <c r="C290" s="137"/>
      <c r="D290" s="137"/>
      <c r="E290" s="137"/>
      <c r="F290" s="137"/>
      <c r="G290" s="137"/>
      <c r="H290" s="137"/>
      <c r="I290" s="137"/>
      <c r="J290" s="138"/>
      <c r="K290" s="137"/>
      <c r="L290" s="137"/>
      <c r="M290" s="137"/>
      <c r="N290" s="137"/>
      <c r="O290" s="137"/>
      <c r="P290" s="137"/>
      <c r="Q290" s="137"/>
    </row>
    <row r="291" spans="1:17" ht="15" customHeight="1" x14ac:dyDescent="0.35">
      <c r="A291" s="129"/>
      <c r="B291" s="137"/>
      <c r="C291" s="137"/>
      <c r="D291" s="137"/>
      <c r="E291" s="137"/>
      <c r="F291" s="137"/>
      <c r="G291" s="137"/>
      <c r="H291" s="137"/>
      <c r="I291" s="137"/>
      <c r="J291" s="138"/>
      <c r="K291" s="137"/>
      <c r="L291" s="137"/>
      <c r="M291" s="137"/>
      <c r="N291" s="137"/>
      <c r="O291" s="137"/>
      <c r="P291" s="137"/>
      <c r="Q291" s="137"/>
    </row>
    <row r="292" spans="1:17" ht="15" customHeight="1" x14ac:dyDescent="0.35">
      <c r="A292" s="129"/>
      <c r="B292" s="137"/>
      <c r="C292" s="137"/>
      <c r="D292" s="137"/>
      <c r="E292" s="137"/>
      <c r="F292" s="137"/>
      <c r="G292" s="137"/>
      <c r="H292" s="137"/>
      <c r="I292" s="137"/>
      <c r="J292" s="138"/>
      <c r="K292" s="137"/>
      <c r="L292" s="137"/>
      <c r="M292" s="137"/>
      <c r="N292" s="137"/>
      <c r="O292" s="137"/>
      <c r="P292" s="137"/>
      <c r="Q292" s="137"/>
    </row>
    <row r="293" spans="1:17" ht="15" customHeight="1" x14ac:dyDescent="0.35">
      <c r="A293" s="129"/>
      <c r="B293" s="137"/>
      <c r="C293" s="137"/>
      <c r="D293" s="137"/>
      <c r="E293" s="137"/>
      <c r="F293" s="137"/>
      <c r="G293" s="137"/>
      <c r="H293" s="137"/>
      <c r="I293" s="137"/>
      <c r="J293" s="138"/>
      <c r="K293" s="137"/>
      <c r="L293" s="137"/>
      <c r="M293" s="137"/>
      <c r="N293" s="137"/>
      <c r="O293" s="137"/>
      <c r="P293" s="137"/>
      <c r="Q293" s="137"/>
    </row>
    <row r="294" spans="1:17" ht="15" customHeight="1" x14ac:dyDescent="0.35">
      <c r="A294" s="129"/>
      <c r="B294" s="137"/>
      <c r="C294" s="137"/>
      <c r="D294" s="137"/>
      <c r="E294" s="137"/>
      <c r="F294" s="137"/>
      <c r="G294" s="137"/>
      <c r="H294" s="137"/>
      <c r="I294" s="137"/>
      <c r="J294" s="138"/>
      <c r="K294" s="137"/>
      <c r="L294" s="137"/>
      <c r="M294" s="137"/>
      <c r="N294" s="137"/>
      <c r="O294" s="137"/>
      <c r="P294" s="137"/>
      <c r="Q294" s="137"/>
    </row>
    <row r="295" spans="1:17" ht="15" customHeight="1" x14ac:dyDescent="0.35">
      <c r="A295" s="129"/>
      <c r="B295" s="137"/>
      <c r="C295" s="137"/>
      <c r="D295" s="137"/>
      <c r="E295" s="137"/>
      <c r="F295" s="137"/>
      <c r="G295" s="137"/>
      <c r="H295" s="137"/>
      <c r="I295" s="137"/>
      <c r="J295" s="138"/>
      <c r="K295" s="137"/>
      <c r="L295" s="137"/>
      <c r="M295" s="137"/>
      <c r="N295" s="137"/>
      <c r="O295" s="137"/>
      <c r="P295" s="137"/>
      <c r="Q295" s="137"/>
    </row>
    <row r="296" spans="1:17" ht="15" customHeight="1" x14ac:dyDescent="0.35">
      <c r="A296" s="129"/>
      <c r="B296" s="137"/>
      <c r="C296" s="137"/>
      <c r="D296" s="137"/>
      <c r="E296" s="137"/>
      <c r="F296" s="137"/>
      <c r="G296" s="137"/>
      <c r="H296" s="137"/>
      <c r="I296" s="137"/>
      <c r="J296" s="138"/>
      <c r="K296" s="137"/>
      <c r="L296" s="137"/>
      <c r="M296" s="137"/>
      <c r="N296" s="137"/>
      <c r="O296" s="137"/>
      <c r="P296" s="137"/>
      <c r="Q296" s="137"/>
    </row>
    <row r="297" spans="1:17" ht="15" customHeight="1" x14ac:dyDescent="0.35">
      <c r="A297" s="129"/>
      <c r="B297" s="137"/>
      <c r="C297" s="137"/>
      <c r="D297" s="137"/>
      <c r="E297" s="137"/>
      <c r="F297" s="137"/>
      <c r="G297" s="137"/>
      <c r="H297" s="137"/>
      <c r="I297" s="137"/>
      <c r="J297" s="138"/>
      <c r="K297" s="137"/>
      <c r="L297" s="137"/>
      <c r="M297" s="137"/>
      <c r="N297" s="137"/>
      <c r="O297" s="137"/>
      <c r="P297" s="137"/>
      <c r="Q297" s="137"/>
    </row>
    <row r="298" spans="1:17" ht="15" customHeight="1" x14ac:dyDescent="0.35">
      <c r="A298" s="129"/>
      <c r="B298" s="137"/>
      <c r="C298" s="137"/>
      <c r="D298" s="137"/>
      <c r="E298" s="137"/>
      <c r="F298" s="137"/>
      <c r="G298" s="137"/>
      <c r="H298" s="137"/>
      <c r="I298" s="137"/>
      <c r="J298" s="138"/>
      <c r="K298" s="137"/>
      <c r="L298" s="137"/>
      <c r="M298" s="137"/>
      <c r="N298" s="137"/>
      <c r="O298" s="137"/>
      <c r="P298" s="137"/>
      <c r="Q298" s="137"/>
    </row>
    <row r="299" spans="1:17" ht="15" customHeight="1" x14ac:dyDescent="0.35">
      <c r="A299" s="129"/>
      <c r="B299" s="137"/>
      <c r="C299" s="137"/>
      <c r="D299" s="137"/>
      <c r="E299" s="137"/>
      <c r="F299" s="137"/>
      <c r="G299" s="137"/>
      <c r="H299" s="137"/>
      <c r="I299" s="137"/>
      <c r="J299" s="138"/>
      <c r="K299" s="137"/>
      <c r="L299" s="137"/>
      <c r="M299" s="137"/>
      <c r="N299" s="137"/>
      <c r="O299" s="137"/>
      <c r="P299" s="137"/>
      <c r="Q299" s="137"/>
    </row>
    <row r="300" spans="1:17" ht="15" customHeight="1" x14ac:dyDescent="0.35">
      <c r="A300" s="129"/>
      <c r="B300" s="137"/>
      <c r="C300" s="137"/>
      <c r="D300" s="137"/>
      <c r="E300" s="137"/>
      <c r="F300" s="137"/>
      <c r="G300" s="137"/>
      <c r="H300" s="137"/>
      <c r="I300" s="137"/>
      <c r="J300" s="138"/>
      <c r="K300" s="137"/>
      <c r="L300" s="137"/>
      <c r="M300" s="137"/>
      <c r="N300" s="137"/>
      <c r="O300" s="137"/>
      <c r="P300" s="137"/>
      <c r="Q300" s="137"/>
    </row>
    <row r="301" spans="1:17" ht="15" customHeight="1" x14ac:dyDescent="0.35">
      <c r="A301" s="129"/>
      <c r="B301" s="137"/>
      <c r="C301" s="137"/>
      <c r="D301" s="137"/>
      <c r="E301" s="137"/>
      <c r="F301" s="137"/>
      <c r="G301" s="137"/>
      <c r="H301" s="137"/>
      <c r="I301" s="137"/>
      <c r="J301" s="138"/>
      <c r="K301" s="137"/>
      <c r="L301" s="137"/>
      <c r="M301" s="137"/>
      <c r="N301" s="137"/>
      <c r="O301" s="137"/>
      <c r="P301" s="137"/>
      <c r="Q301" s="137"/>
    </row>
    <row r="302" spans="1:17" ht="15" customHeight="1" x14ac:dyDescent="0.35">
      <c r="A302" s="129"/>
      <c r="B302" s="137"/>
      <c r="C302" s="137"/>
      <c r="D302" s="137"/>
      <c r="E302" s="137"/>
      <c r="F302" s="137"/>
      <c r="G302" s="137"/>
      <c r="H302" s="137"/>
      <c r="I302" s="137"/>
      <c r="J302" s="138"/>
      <c r="K302" s="137"/>
      <c r="L302" s="137"/>
      <c r="M302" s="137"/>
      <c r="N302" s="137"/>
      <c r="O302" s="137"/>
      <c r="P302" s="137"/>
      <c r="Q302" s="137"/>
    </row>
    <row r="303" spans="1:17" ht="15" customHeight="1" x14ac:dyDescent="0.35">
      <c r="A303" s="129"/>
      <c r="B303" s="137"/>
      <c r="C303" s="137"/>
      <c r="D303" s="137"/>
      <c r="E303" s="137"/>
      <c r="F303" s="137"/>
      <c r="G303" s="137"/>
      <c r="H303" s="137"/>
      <c r="I303" s="137"/>
      <c r="J303" s="138"/>
      <c r="K303" s="137"/>
      <c r="L303" s="137"/>
      <c r="M303" s="137"/>
      <c r="N303" s="137"/>
      <c r="O303" s="137"/>
      <c r="P303" s="137"/>
      <c r="Q303" s="137"/>
    </row>
    <row r="304" spans="1:17" ht="15" customHeight="1" x14ac:dyDescent="0.35">
      <c r="A304" s="129"/>
      <c r="B304" s="137"/>
      <c r="C304" s="137"/>
      <c r="D304" s="137"/>
      <c r="E304" s="137"/>
      <c r="F304" s="137"/>
      <c r="G304" s="137"/>
      <c r="H304" s="137"/>
      <c r="I304" s="137"/>
      <c r="J304" s="138"/>
      <c r="K304" s="137"/>
      <c r="L304" s="137"/>
      <c r="M304" s="137"/>
      <c r="N304" s="137"/>
      <c r="O304" s="137"/>
      <c r="P304" s="137"/>
      <c r="Q304" s="137"/>
    </row>
    <row r="305" spans="1:17" ht="15" customHeight="1" x14ac:dyDescent="0.35">
      <c r="A305" s="129"/>
      <c r="B305" s="137"/>
      <c r="C305" s="137"/>
      <c r="D305" s="137"/>
      <c r="E305" s="137"/>
      <c r="F305" s="137"/>
      <c r="G305" s="137"/>
      <c r="H305" s="137"/>
      <c r="I305" s="137"/>
      <c r="J305" s="138"/>
      <c r="K305" s="137"/>
      <c r="L305" s="137"/>
      <c r="M305" s="137"/>
      <c r="N305" s="137"/>
      <c r="O305" s="137"/>
      <c r="P305" s="137"/>
      <c r="Q305" s="137"/>
    </row>
    <row r="306" spans="1:17" ht="15" customHeight="1" x14ac:dyDescent="0.35">
      <c r="A306" s="129"/>
      <c r="B306" s="137"/>
      <c r="C306" s="137"/>
      <c r="D306" s="137"/>
      <c r="E306" s="137"/>
      <c r="F306" s="137"/>
      <c r="G306" s="137"/>
      <c r="H306" s="137"/>
      <c r="I306" s="137"/>
      <c r="J306" s="138"/>
      <c r="K306" s="137"/>
      <c r="L306" s="137"/>
      <c r="M306" s="137"/>
      <c r="N306" s="137"/>
      <c r="O306" s="137"/>
      <c r="P306" s="137"/>
      <c r="Q306" s="137"/>
    </row>
    <row r="307" spans="1:17" ht="15" customHeight="1" x14ac:dyDescent="0.35">
      <c r="A307" s="129"/>
      <c r="B307" s="137"/>
      <c r="C307" s="137"/>
      <c r="D307" s="137"/>
      <c r="E307" s="137"/>
      <c r="F307" s="137"/>
      <c r="G307" s="137"/>
      <c r="H307" s="137"/>
      <c r="I307" s="137"/>
      <c r="J307" s="138"/>
      <c r="K307" s="137"/>
      <c r="L307" s="137"/>
      <c r="M307" s="137"/>
      <c r="N307" s="137"/>
      <c r="O307" s="137"/>
      <c r="P307" s="137"/>
      <c r="Q307" s="137"/>
    </row>
    <row r="308" spans="1:17" ht="15" customHeight="1" x14ac:dyDescent="0.35">
      <c r="A308" s="129"/>
      <c r="B308" s="137"/>
      <c r="C308" s="137"/>
      <c r="D308" s="137"/>
      <c r="E308" s="137"/>
      <c r="F308" s="137"/>
      <c r="G308" s="137"/>
      <c r="H308" s="137"/>
      <c r="I308" s="137"/>
      <c r="J308" s="138"/>
      <c r="K308" s="137"/>
      <c r="L308" s="137"/>
      <c r="M308" s="137"/>
      <c r="N308" s="137"/>
      <c r="O308" s="137"/>
      <c r="P308" s="137"/>
      <c r="Q308" s="137"/>
    </row>
    <row r="309" spans="1:17" ht="15" customHeight="1" x14ac:dyDescent="0.35">
      <c r="A309" s="129"/>
      <c r="B309" s="137"/>
      <c r="C309" s="137"/>
      <c r="D309" s="137"/>
      <c r="E309" s="137"/>
      <c r="F309" s="137"/>
      <c r="G309" s="137"/>
      <c r="H309" s="137"/>
      <c r="I309" s="137"/>
      <c r="J309" s="138"/>
      <c r="K309" s="137"/>
      <c r="L309" s="137"/>
      <c r="M309" s="137"/>
      <c r="N309" s="137"/>
      <c r="O309" s="137"/>
      <c r="P309" s="137"/>
      <c r="Q309" s="137"/>
    </row>
    <row r="310" spans="1:17" ht="15" customHeight="1" x14ac:dyDescent="0.35">
      <c r="A310" s="129"/>
      <c r="B310" s="137"/>
      <c r="C310" s="137"/>
      <c r="D310" s="137"/>
      <c r="E310" s="137"/>
      <c r="F310" s="137"/>
      <c r="G310" s="137"/>
      <c r="H310" s="137"/>
      <c r="I310" s="137"/>
      <c r="J310" s="138"/>
      <c r="K310" s="137"/>
      <c r="L310" s="137"/>
      <c r="M310" s="137"/>
      <c r="N310" s="137"/>
      <c r="O310" s="137"/>
      <c r="P310" s="137"/>
      <c r="Q310" s="137"/>
    </row>
    <row r="311" spans="1:17" ht="15" customHeight="1" x14ac:dyDescent="0.35">
      <c r="A311" s="129"/>
      <c r="B311" s="137"/>
      <c r="C311" s="137"/>
      <c r="D311" s="137"/>
      <c r="E311" s="137"/>
      <c r="F311" s="137"/>
      <c r="G311" s="137"/>
      <c r="H311" s="137"/>
      <c r="I311" s="137"/>
      <c r="J311" s="138"/>
      <c r="K311" s="137"/>
      <c r="L311" s="137"/>
      <c r="M311" s="137"/>
      <c r="N311" s="137"/>
      <c r="O311" s="137"/>
      <c r="P311" s="137"/>
      <c r="Q311" s="137"/>
    </row>
    <row r="312" spans="1:17" ht="15" customHeight="1" x14ac:dyDescent="0.35">
      <c r="A312" s="129"/>
      <c r="B312" s="137"/>
      <c r="C312" s="137"/>
      <c r="D312" s="137"/>
      <c r="E312" s="137"/>
      <c r="F312" s="137"/>
      <c r="G312" s="137"/>
      <c r="H312" s="137"/>
      <c r="I312" s="137"/>
      <c r="J312" s="138"/>
      <c r="K312" s="137"/>
      <c r="L312" s="137"/>
      <c r="M312" s="137"/>
      <c r="N312" s="137"/>
      <c r="O312" s="137"/>
      <c r="P312" s="137"/>
      <c r="Q312" s="137"/>
    </row>
    <row r="313" spans="1:17" ht="15" customHeight="1" x14ac:dyDescent="0.35">
      <c r="A313" s="129"/>
      <c r="B313" s="137"/>
      <c r="C313" s="137"/>
      <c r="D313" s="137"/>
      <c r="E313" s="137"/>
      <c r="F313" s="137"/>
      <c r="G313" s="137"/>
      <c r="H313" s="137"/>
      <c r="I313" s="137"/>
      <c r="J313" s="138"/>
      <c r="K313" s="137"/>
      <c r="L313" s="137"/>
      <c r="M313" s="137"/>
      <c r="N313" s="137"/>
      <c r="O313" s="137"/>
      <c r="P313" s="137"/>
      <c r="Q313" s="137"/>
    </row>
    <row r="314" spans="1:17" ht="15" customHeight="1" x14ac:dyDescent="0.35">
      <c r="A314" s="129"/>
      <c r="B314" s="137"/>
      <c r="C314" s="137"/>
      <c r="D314" s="137"/>
      <c r="E314" s="137"/>
      <c r="F314" s="137"/>
      <c r="G314" s="137"/>
      <c r="H314" s="137"/>
      <c r="I314" s="137"/>
      <c r="J314" s="138"/>
      <c r="K314" s="137"/>
      <c r="L314" s="137"/>
      <c r="M314" s="137"/>
      <c r="N314" s="137"/>
      <c r="O314" s="137"/>
      <c r="P314" s="137"/>
      <c r="Q314" s="137"/>
    </row>
    <row r="315" spans="1:17" ht="15" customHeight="1" x14ac:dyDescent="0.35">
      <c r="A315" s="129"/>
      <c r="B315" s="137"/>
      <c r="C315" s="137"/>
      <c r="D315" s="137"/>
      <c r="E315" s="137"/>
      <c r="F315" s="137"/>
      <c r="G315" s="137"/>
      <c r="H315" s="137"/>
      <c r="I315" s="137"/>
      <c r="J315" s="138"/>
      <c r="K315" s="137"/>
      <c r="L315" s="137"/>
      <c r="M315" s="137"/>
      <c r="N315" s="137"/>
      <c r="O315" s="137"/>
      <c r="P315" s="137"/>
      <c r="Q315" s="137"/>
    </row>
    <row r="316" spans="1:17" ht="15" customHeight="1" x14ac:dyDescent="0.35">
      <c r="A316" s="129"/>
      <c r="B316" s="137"/>
      <c r="C316" s="137"/>
      <c r="D316" s="137"/>
      <c r="E316" s="137"/>
      <c r="F316" s="137"/>
      <c r="G316" s="137"/>
      <c r="H316" s="137"/>
      <c r="I316" s="137"/>
      <c r="J316" s="138"/>
      <c r="K316" s="137"/>
      <c r="L316" s="137"/>
      <c r="M316" s="137"/>
      <c r="N316" s="137"/>
      <c r="O316" s="137"/>
      <c r="P316" s="137"/>
      <c r="Q316" s="137"/>
    </row>
    <row r="317" spans="1:17" ht="15" customHeight="1" x14ac:dyDescent="0.35">
      <c r="A317" s="129"/>
      <c r="B317" s="137"/>
      <c r="C317" s="137"/>
      <c r="D317" s="137"/>
      <c r="E317" s="137"/>
      <c r="F317" s="137"/>
      <c r="G317" s="137"/>
      <c r="H317" s="137"/>
      <c r="I317" s="137"/>
      <c r="J317" s="138"/>
      <c r="K317" s="137"/>
      <c r="L317" s="137"/>
      <c r="M317" s="137"/>
      <c r="N317" s="137"/>
      <c r="O317" s="137"/>
      <c r="P317" s="137"/>
      <c r="Q317" s="137"/>
    </row>
    <row r="318" spans="1:17" ht="15" customHeight="1" x14ac:dyDescent="0.35">
      <c r="A318" s="129"/>
      <c r="B318" s="137"/>
      <c r="C318" s="137"/>
      <c r="D318" s="137"/>
      <c r="E318" s="137"/>
      <c r="F318" s="137"/>
      <c r="G318" s="137"/>
      <c r="H318" s="137"/>
      <c r="I318" s="137"/>
      <c r="J318" s="138"/>
      <c r="K318" s="137"/>
      <c r="L318" s="137"/>
      <c r="M318" s="137"/>
      <c r="N318" s="137"/>
      <c r="O318" s="137"/>
      <c r="P318" s="137"/>
      <c r="Q318" s="137"/>
    </row>
    <row r="319" spans="1:17" ht="15" customHeight="1" x14ac:dyDescent="0.35">
      <c r="A319" s="129"/>
      <c r="B319" s="137"/>
      <c r="C319" s="137"/>
      <c r="D319" s="137"/>
      <c r="E319" s="137"/>
      <c r="F319" s="137"/>
      <c r="G319" s="137"/>
      <c r="H319" s="137"/>
      <c r="I319" s="137"/>
      <c r="J319" s="138"/>
      <c r="K319" s="137"/>
      <c r="L319" s="137"/>
      <c r="M319" s="137"/>
      <c r="N319" s="137"/>
      <c r="O319" s="137"/>
      <c r="P319" s="137"/>
      <c r="Q319" s="137"/>
    </row>
    <row r="320" spans="1:17" ht="15" customHeight="1" x14ac:dyDescent="0.35">
      <c r="A320" s="129"/>
      <c r="B320" s="137"/>
      <c r="C320" s="137"/>
      <c r="D320" s="137"/>
      <c r="E320" s="137"/>
      <c r="F320" s="137"/>
      <c r="G320" s="137"/>
      <c r="H320" s="137"/>
      <c r="I320" s="137"/>
      <c r="J320" s="138"/>
      <c r="K320" s="137"/>
      <c r="L320" s="137"/>
      <c r="M320" s="137"/>
      <c r="N320" s="137"/>
      <c r="O320" s="137"/>
      <c r="P320" s="137"/>
      <c r="Q320" s="137"/>
    </row>
    <row r="321" spans="1:17" ht="15" customHeight="1" x14ac:dyDescent="0.35">
      <c r="A321" s="129"/>
      <c r="B321" s="137"/>
      <c r="C321" s="137"/>
      <c r="D321" s="137"/>
      <c r="E321" s="137"/>
      <c r="F321" s="137"/>
      <c r="G321" s="137"/>
      <c r="H321" s="137"/>
      <c r="I321" s="137"/>
      <c r="J321" s="138"/>
      <c r="K321" s="137"/>
      <c r="L321" s="137"/>
      <c r="M321" s="137"/>
      <c r="N321" s="137"/>
      <c r="O321" s="137"/>
      <c r="P321" s="137"/>
      <c r="Q321" s="137"/>
    </row>
    <row r="322" spans="1:17" ht="15" customHeight="1" x14ac:dyDescent="0.35">
      <c r="A322" s="129"/>
      <c r="B322" s="137"/>
      <c r="C322" s="137"/>
      <c r="D322" s="137"/>
      <c r="E322" s="137"/>
      <c r="F322" s="137"/>
      <c r="G322" s="137"/>
      <c r="H322" s="137"/>
      <c r="I322" s="137"/>
      <c r="J322" s="138"/>
      <c r="K322" s="137"/>
      <c r="L322" s="137"/>
      <c r="M322" s="137"/>
      <c r="N322" s="137"/>
      <c r="O322" s="137"/>
      <c r="P322" s="137"/>
      <c r="Q322" s="137"/>
    </row>
    <row r="323" spans="1:17" ht="15" customHeight="1" x14ac:dyDescent="0.35">
      <c r="A323" s="129"/>
      <c r="B323" s="137"/>
      <c r="C323" s="137"/>
      <c r="D323" s="137"/>
      <c r="E323" s="137"/>
      <c r="F323" s="137"/>
      <c r="G323" s="137"/>
      <c r="H323" s="137"/>
      <c r="I323" s="137"/>
      <c r="J323" s="138"/>
      <c r="K323" s="137"/>
      <c r="L323" s="137"/>
      <c r="M323" s="137"/>
      <c r="N323" s="137"/>
      <c r="O323" s="137"/>
      <c r="P323" s="137"/>
      <c r="Q323" s="137"/>
    </row>
    <row r="324" spans="1:17" ht="15" customHeight="1" x14ac:dyDescent="0.35">
      <c r="A324" s="129"/>
      <c r="B324" s="137"/>
      <c r="C324" s="137"/>
      <c r="D324" s="137"/>
      <c r="E324" s="137"/>
      <c r="F324" s="137"/>
      <c r="G324" s="137"/>
      <c r="H324" s="137"/>
      <c r="I324" s="137"/>
      <c r="J324" s="138"/>
      <c r="K324" s="137"/>
      <c r="L324" s="137"/>
      <c r="M324" s="137"/>
      <c r="N324" s="137"/>
      <c r="O324" s="137"/>
      <c r="P324" s="137"/>
      <c r="Q324" s="137"/>
    </row>
    <row r="325" spans="1:17" ht="15" customHeight="1" x14ac:dyDescent="0.35">
      <c r="A325" s="129"/>
      <c r="B325" s="137"/>
      <c r="C325" s="137"/>
      <c r="D325" s="137"/>
      <c r="E325" s="137"/>
      <c r="F325" s="137"/>
      <c r="G325" s="137"/>
      <c r="H325" s="137"/>
      <c r="I325" s="137"/>
      <c r="J325" s="138"/>
      <c r="K325" s="137"/>
      <c r="L325" s="137"/>
      <c r="M325" s="137"/>
      <c r="N325" s="137"/>
      <c r="O325" s="137"/>
      <c r="P325" s="137"/>
      <c r="Q325" s="137"/>
    </row>
    <row r="326" spans="1:17" ht="15" customHeight="1" x14ac:dyDescent="0.35">
      <c r="A326" s="129"/>
      <c r="B326" s="137"/>
      <c r="C326" s="137"/>
      <c r="D326" s="137"/>
      <c r="E326" s="137"/>
      <c r="F326" s="137"/>
      <c r="G326" s="137"/>
      <c r="H326" s="137"/>
      <c r="I326" s="137"/>
      <c r="J326" s="138"/>
      <c r="K326" s="137"/>
      <c r="L326" s="137"/>
      <c r="M326" s="137"/>
      <c r="N326" s="137"/>
      <c r="O326" s="137"/>
      <c r="P326" s="137"/>
      <c r="Q326" s="137"/>
    </row>
    <row r="327" spans="1:17" ht="15" customHeight="1" x14ac:dyDescent="0.35">
      <c r="A327" s="129"/>
      <c r="B327" s="137"/>
      <c r="C327" s="137"/>
      <c r="D327" s="137"/>
      <c r="E327" s="137"/>
      <c r="F327" s="137"/>
      <c r="G327" s="137"/>
      <c r="H327" s="137"/>
      <c r="I327" s="137"/>
      <c r="J327" s="138"/>
      <c r="K327" s="137"/>
      <c r="L327" s="137"/>
      <c r="M327" s="137"/>
      <c r="N327" s="137"/>
      <c r="O327" s="137"/>
      <c r="P327" s="137"/>
      <c r="Q327" s="137"/>
    </row>
    <row r="328" spans="1:17" ht="15" customHeight="1" x14ac:dyDescent="0.35">
      <c r="A328" s="129"/>
      <c r="B328" s="137"/>
      <c r="C328" s="137"/>
      <c r="D328" s="137"/>
      <c r="E328" s="137"/>
      <c r="F328" s="137"/>
      <c r="G328" s="137"/>
      <c r="H328" s="137"/>
      <c r="I328" s="137"/>
      <c r="J328" s="138"/>
      <c r="K328" s="137"/>
      <c r="L328" s="137"/>
      <c r="M328" s="137"/>
      <c r="N328" s="137"/>
      <c r="O328" s="137"/>
      <c r="P328" s="137"/>
      <c r="Q328" s="137"/>
    </row>
    <row r="329" spans="1:17" ht="15" customHeight="1" x14ac:dyDescent="0.35">
      <c r="A329" s="129"/>
      <c r="B329" s="137"/>
      <c r="C329" s="137"/>
      <c r="D329" s="137"/>
      <c r="E329" s="137"/>
      <c r="F329" s="137"/>
      <c r="G329" s="137"/>
      <c r="H329" s="137"/>
      <c r="I329" s="137"/>
      <c r="J329" s="138"/>
      <c r="K329" s="137"/>
      <c r="L329" s="137"/>
      <c r="M329" s="137"/>
      <c r="N329" s="137"/>
      <c r="O329" s="137"/>
      <c r="P329" s="137"/>
      <c r="Q329" s="137"/>
    </row>
    <row r="330" spans="1:17" ht="15" customHeight="1" x14ac:dyDescent="0.35">
      <c r="A330" s="129"/>
      <c r="B330" s="137"/>
      <c r="C330" s="137"/>
      <c r="D330" s="137"/>
      <c r="E330" s="137"/>
      <c r="F330" s="137"/>
      <c r="G330" s="137"/>
      <c r="H330" s="137"/>
      <c r="I330" s="137"/>
      <c r="J330" s="138"/>
      <c r="K330" s="137"/>
      <c r="L330" s="137"/>
      <c r="M330" s="137"/>
      <c r="N330" s="137"/>
      <c r="O330" s="137"/>
      <c r="P330" s="137"/>
      <c r="Q330" s="137"/>
    </row>
    <row r="331" spans="1:17" ht="15" customHeight="1" x14ac:dyDescent="0.35">
      <c r="A331" s="129"/>
      <c r="B331" s="137"/>
      <c r="C331" s="137"/>
      <c r="D331" s="137"/>
      <c r="E331" s="137"/>
      <c r="F331" s="137"/>
      <c r="G331" s="137"/>
      <c r="H331" s="137"/>
      <c r="I331" s="137"/>
      <c r="J331" s="138"/>
      <c r="K331" s="137"/>
      <c r="L331" s="137"/>
      <c r="M331" s="137"/>
      <c r="N331" s="137"/>
      <c r="O331" s="137"/>
      <c r="P331" s="137"/>
      <c r="Q331" s="137"/>
    </row>
    <row r="332" spans="1:17" ht="15" customHeight="1" x14ac:dyDescent="0.35">
      <c r="A332" s="129"/>
      <c r="B332" s="137"/>
      <c r="C332" s="137"/>
      <c r="D332" s="137"/>
      <c r="E332" s="137"/>
      <c r="F332" s="137"/>
      <c r="G332" s="137"/>
      <c r="H332" s="137"/>
      <c r="I332" s="137"/>
      <c r="J332" s="138"/>
      <c r="K332" s="137"/>
      <c r="L332" s="137"/>
      <c r="M332" s="137"/>
      <c r="N332" s="137"/>
      <c r="O332" s="137"/>
      <c r="P332" s="137"/>
      <c r="Q332" s="137"/>
    </row>
    <row r="333" spans="1:17" ht="15" customHeight="1" x14ac:dyDescent="0.35">
      <c r="A333" s="129"/>
      <c r="B333" s="137"/>
      <c r="C333" s="137"/>
      <c r="D333" s="137"/>
      <c r="E333" s="137"/>
      <c r="F333" s="137"/>
      <c r="G333" s="137"/>
      <c r="H333" s="137"/>
      <c r="I333" s="137"/>
      <c r="J333" s="138"/>
      <c r="K333" s="137"/>
      <c r="L333" s="137"/>
      <c r="M333" s="137"/>
      <c r="N333" s="137"/>
      <c r="O333" s="137"/>
      <c r="P333" s="137"/>
      <c r="Q333" s="137"/>
    </row>
    <row r="334" spans="1:17" ht="15" customHeight="1" x14ac:dyDescent="0.35">
      <c r="A334" s="129"/>
      <c r="B334" s="137"/>
      <c r="C334" s="137"/>
      <c r="D334" s="137"/>
      <c r="E334" s="137"/>
      <c r="F334" s="137"/>
      <c r="G334" s="137"/>
      <c r="H334" s="137"/>
      <c r="I334" s="137"/>
      <c r="J334" s="138"/>
      <c r="K334" s="137"/>
      <c r="L334" s="137"/>
      <c r="M334" s="137"/>
      <c r="N334" s="137"/>
      <c r="O334" s="137"/>
      <c r="P334" s="137"/>
      <c r="Q334" s="137"/>
    </row>
    <row r="335" spans="1:17" ht="15" customHeight="1" x14ac:dyDescent="0.35">
      <c r="A335" s="129"/>
      <c r="B335" s="137"/>
      <c r="C335" s="137"/>
      <c r="D335" s="137"/>
      <c r="E335" s="137"/>
      <c r="F335" s="137"/>
      <c r="G335" s="137"/>
      <c r="H335" s="137"/>
      <c r="I335" s="137"/>
      <c r="J335" s="138"/>
      <c r="K335" s="137"/>
      <c r="L335" s="137"/>
      <c r="M335" s="137"/>
      <c r="N335" s="137"/>
      <c r="O335" s="137"/>
      <c r="P335" s="137"/>
      <c r="Q335" s="137"/>
    </row>
    <row r="336" spans="1:17" ht="15" customHeight="1" x14ac:dyDescent="0.35">
      <c r="A336" s="129"/>
      <c r="B336" s="137"/>
      <c r="C336" s="137"/>
      <c r="D336" s="137"/>
      <c r="E336" s="137"/>
      <c r="F336" s="137"/>
      <c r="G336" s="137"/>
      <c r="H336" s="137"/>
      <c r="I336" s="137"/>
      <c r="J336" s="138"/>
      <c r="K336" s="137"/>
      <c r="L336" s="137"/>
      <c r="M336" s="137"/>
      <c r="N336" s="137"/>
      <c r="O336" s="137"/>
      <c r="P336" s="137"/>
      <c r="Q336" s="137"/>
    </row>
    <row r="337" spans="1:17" ht="15" customHeight="1" x14ac:dyDescent="0.35">
      <c r="A337" s="129"/>
      <c r="B337" s="137"/>
      <c r="C337" s="137"/>
      <c r="D337" s="137"/>
      <c r="E337" s="137"/>
      <c r="F337" s="137"/>
      <c r="G337" s="137"/>
      <c r="H337" s="137"/>
      <c r="I337" s="137"/>
      <c r="J337" s="138"/>
      <c r="K337" s="137"/>
      <c r="L337" s="137"/>
      <c r="M337" s="137"/>
      <c r="N337" s="137"/>
      <c r="O337" s="137"/>
      <c r="P337" s="137"/>
      <c r="Q337" s="137"/>
    </row>
    <row r="338" spans="1:17" ht="15" customHeight="1" x14ac:dyDescent="0.35">
      <c r="A338" s="129"/>
      <c r="B338" s="137"/>
      <c r="C338" s="137"/>
      <c r="D338" s="137"/>
      <c r="E338" s="137"/>
      <c r="F338" s="137"/>
      <c r="G338" s="137"/>
      <c r="H338" s="137"/>
      <c r="I338" s="137"/>
      <c r="J338" s="138"/>
      <c r="K338" s="137"/>
      <c r="L338" s="137"/>
      <c r="M338" s="137"/>
      <c r="N338" s="137"/>
      <c r="O338" s="137"/>
      <c r="P338" s="137"/>
      <c r="Q338" s="137"/>
    </row>
    <row r="339" spans="1:17" ht="15" customHeight="1" x14ac:dyDescent="0.35">
      <c r="A339" s="129"/>
      <c r="B339" s="137"/>
      <c r="C339" s="137"/>
      <c r="D339" s="137"/>
      <c r="E339" s="137"/>
      <c r="F339" s="137"/>
      <c r="G339" s="137"/>
      <c r="H339" s="137"/>
      <c r="I339" s="137"/>
      <c r="J339" s="138"/>
      <c r="K339" s="137"/>
      <c r="L339" s="137"/>
      <c r="M339" s="137"/>
      <c r="N339" s="137"/>
      <c r="O339" s="137"/>
      <c r="P339" s="137"/>
      <c r="Q339" s="137"/>
    </row>
    <row r="340" spans="1:17" ht="15" customHeight="1" x14ac:dyDescent="0.35">
      <c r="A340" s="129"/>
      <c r="B340" s="137"/>
      <c r="C340" s="137"/>
      <c r="D340" s="137"/>
      <c r="E340" s="137"/>
      <c r="F340" s="137"/>
      <c r="G340" s="137"/>
      <c r="H340" s="137"/>
      <c r="I340" s="137"/>
      <c r="J340" s="138"/>
      <c r="K340" s="137"/>
      <c r="L340" s="137"/>
      <c r="M340" s="137"/>
      <c r="N340" s="137"/>
      <c r="O340" s="137"/>
      <c r="P340" s="137"/>
      <c r="Q340" s="137"/>
    </row>
    <row r="341" spans="1:17" ht="15" customHeight="1" x14ac:dyDescent="0.35">
      <c r="A341" s="129"/>
      <c r="B341" s="137"/>
      <c r="C341" s="137"/>
      <c r="D341" s="137"/>
      <c r="E341" s="137"/>
      <c r="F341" s="137"/>
      <c r="G341" s="137"/>
      <c r="H341" s="137"/>
      <c r="I341" s="137"/>
      <c r="J341" s="138"/>
      <c r="K341" s="137"/>
      <c r="L341" s="137"/>
      <c r="M341" s="137"/>
      <c r="N341" s="137"/>
      <c r="O341" s="137"/>
      <c r="P341" s="137"/>
      <c r="Q341" s="137"/>
    </row>
    <row r="342" spans="1:17" ht="15" customHeight="1" x14ac:dyDescent="0.35">
      <c r="A342" s="129"/>
      <c r="B342" s="137"/>
      <c r="C342" s="137"/>
      <c r="D342" s="137"/>
      <c r="E342" s="137"/>
      <c r="F342" s="137"/>
      <c r="G342" s="137"/>
      <c r="H342" s="137"/>
      <c r="I342" s="137"/>
      <c r="J342" s="138"/>
      <c r="K342" s="137"/>
      <c r="L342" s="137"/>
      <c r="M342" s="137"/>
      <c r="N342" s="137"/>
      <c r="O342" s="137"/>
      <c r="P342" s="137"/>
      <c r="Q342" s="137"/>
    </row>
    <row r="343" spans="1:17" ht="15" customHeight="1" x14ac:dyDescent="0.35">
      <c r="A343" s="129"/>
      <c r="B343" s="137"/>
      <c r="C343" s="137"/>
      <c r="D343" s="137"/>
      <c r="E343" s="137"/>
      <c r="F343" s="137"/>
      <c r="G343" s="137"/>
      <c r="H343" s="137"/>
      <c r="I343" s="137"/>
      <c r="J343" s="138"/>
      <c r="K343" s="137"/>
      <c r="L343" s="137"/>
      <c r="M343" s="137"/>
      <c r="N343" s="137"/>
      <c r="O343" s="137"/>
      <c r="P343" s="137"/>
      <c r="Q343" s="137"/>
    </row>
    <row r="344" spans="1:17" ht="15" customHeight="1" x14ac:dyDescent="0.35">
      <c r="A344" s="129"/>
      <c r="B344" s="137"/>
      <c r="C344" s="137"/>
      <c r="D344" s="137"/>
      <c r="E344" s="137"/>
      <c r="F344" s="137"/>
      <c r="G344" s="137"/>
      <c r="H344" s="137"/>
      <c r="I344" s="137"/>
      <c r="J344" s="138"/>
      <c r="K344" s="137"/>
      <c r="L344" s="137"/>
      <c r="M344" s="137"/>
      <c r="N344" s="137"/>
      <c r="O344" s="137"/>
      <c r="P344" s="137"/>
      <c r="Q344" s="137"/>
    </row>
    <row r="345" spans="1:17" ht="15" customHeight="1" x14ac:dyDescent="0.35">
      <c r="A345" s="129"/>
      <c r="B345" s="137"/>
      <c r="C345" s="137"/>
      <c r="D345" s="137"/>
      <c r="E345" s="137"/>
      <c r="F345" s="137"/>
      <c r="G345" s="137"/>
      <c r="H345" s="137"/>
      <c r="I345" s="137"/>
      <c r="J345" s="138"/>
      <c r="K345" s="137"/>
      <c r="L345" s="137"/>
      <c r="M345" s="137"/>
      <c r="N345" s="137"/>
      <c r="O345" s="137"/>
      <c r="P345" s="137"/>
      <c r="Q345" s="137"/>
    </row>
    <row r="346" spans="1:17" ht="15" customHeight="1" x14ac:dyDescent="0.35">
      <c r="A346" s="129"/>
      <c r="B346" s="137"/>
      <c r="C346" s="137"/>
      <c r="D346" s="137"/>
      <c r="E346" s="137"/>
      <c r="F346" s="137"/>
      <c r="G346" s="137"/>
      <c r="H346" s="137"/>
      <c r="I346" s="137"/>
      <c r="J346" s="138"/>
      <c r="K346" s="137"/>
      <c r="L346" s="137"/>
      <c r="M346" s="137"/>
      <c r="N346" s="137"/>
      <c r="O346" s="137"/>
      <c r="P346" s="137"/>
      <c r="Q346" s="137"/>
    </row>
    <row r="347" spans="1:17" ht="15" customHeight="1" x14ac:dyDescent="0.35">
      <c r="A347" s="129"/>
      <c r="B347" s="137"/>
      <c r="C347" s="137"/>
      <c r="D347" s="137"/>
      <c r="E347" s="137"/>
      <c r="F347" s="137"/>
      <c r="G347" s="137"/>
      <c r="H347" s="137"/>
      <c r="I347" s="137"/>
      <c r="J347" s="138"/>
      <c r="K347" s="137"/>
      <c r="L347" s="137"/>
      <c r="M347" s="137"/>
      <c r="N347" s="137"/>
      <c r="O347" s="137"/>
      <c r="P347" s="137"/>
      <c r="Q347" s="137"/>
    </row>
    <row r="348" spans="1:17" ht="15" customHeight="1" x14ac:dyDescent="0.35">
      <c r="A348" s="129"/>
      <c r="B348" s="137"/>
      <c r="C348" s="137"/>
      <c r="D348" s="137"/>
      <c r="E348" s="137"/>
      <c r="F348" s="137"/>
      <c r="G348" s="137"/>
      <c r="H348" s="137"/>
      <c r="I348" s="137"/>
      <c r="J348" s="138"/>
      <c r="K348" s="137"/>
      <c r="L348" s="137"/>
      <c r="M348" s="137"/>
      <c r="N348" s="137"/>
      <c r="O348" s="137"/>
      <c r="P348" s="137"/>
      <c r="Q348" s="137"/>
    </row>
    <row r="349" spans="1:17" ht="15" customHeight="1" x14ac:dyDescent="0.35">
      <c r="A349" s="129"/>
      <c r="B349" s="137"/>
      <c r="C349" s="137"/>
      <c r="D349" s="137"/>
      <c r="E349" s="137"/>
      <c r="F349" s="137"/>
      <c r="G349" s="137"/>
      <c r="H349" s="137"/>
      <c r="I349" s="137"/>
      <c r="J349" s="138"/>
      <c r="K349" s="137"/>
      <c r="L349" s="137"/>
      <c r="M349" s="137"/>
      <c r="N349" s="137"/>
      <c r="O349" s="137"/>
      <c r="P349" s="137"/>
      <c r="Q349" s="137"/>
    </row>
    <row r="350" spans="1:17" ht="15" customHeight="1" x14ac:dyDescent="0.35">
      <c r="A350" s="129"/>
      <c r="B350" s="137"/>
      <c r="C350" s="137"/>
      <c r="D350" s="137"/>
      <c r="E350" s="137"/>
      <c r="F350" s="137"/>
      <c r="G350" s="137"/>
      <c r="H350" s="137"/>
      <c r="I350" s="137"/>
      <c r="J350" s="138"/>
      <c r="K350" s="137"/>
      <c r="L350" s="137"/>
      <c r="M350" s="137"/>
      <c r="N350" s="137"/>
      <c r="O350" s="137"/>
      <c r="P350" s="137"/>
      <c r="Q350" s="137"/>
    </row>
    <row r="351" spans="1:17" ht="15" customHeight="1" x14ac:dyDescent="0.35">
      <c r="A351" s="129"/>
      <c r="B351" s="137"/>
      <c r="C351" s="137"/>
      <c r="D351" s="137"/>
      <c r="E351" s="137"/>
      <c r="F351" s="137"/>
      <c r="G351" s="137"/>
      <c r="H351" s="137"/>
      <c r="I351" s="137"/>
      <c r="J351" s="138"/>
      <c r="K351" s="137"/>
      <c r="L351" s="137"/>
      <c r="M351" s="137"/>
      <c r="N351" s="137"/>
      <c r="O351" s="137"/>
      <c r="P351" s="137"/>
      <c r="Q351" s="137"/>
    </row>
    <row r="352" spans="1:17" ht="15" customHeight="1" x14ac:dyDescent="0.35">
      <c r="A352" s="129"/>
      <c r="B352" s="137"/>
      <c r="C352" s="137"/>
      <c r="D352" s="137"/>
      <c r="E352" s="137"/>
      <c r="F352" s="137"/>
      <c r="G352" s="137"/>
      <c r="H352" s="137"/>
      <c r="I352" s="137"/>
      <c r="J352" s="138"/>
      <c r="K352" s="137"/>
      <c r="L352" s="137"/>
      <c r="M352" s="137"/>
      <c r="N352" s="137"/>
      <c r="O352" s="137"/>
      <c r="P352" s="137"/>
      <c r="Q352" s="137"/>
    </row>
    <row r="353" spans="1:17" ht="15" customHeight="1" x14ac:dyDescent="0.35">
      <c r="A353" s="129"/>
      <c r="B353" s="137"/>
      <c r="C353" s="137"/>
      <c r="D353" s="137"/>
      <c r="E353" s="137"/>
      <c r="F353" s="137"/>
      <c r="G353" s="137"/>
      <c r="H353" s="137"/>
      <c r="I353" s="137"/>
      <c r="J353" s="138"/>
      <c r="K353" s="137"/>
      <c r="L353" s="137"/>
      <c r="M353" s="137"/>
      <c r="N353" s="137"/>
      <c r="O353" s="137"/>
      <c r="P353" s="137"/>
      <c r="Q353" s="137"/>
    </row>
    <row r="354" spans="1:17" ht="15" customHeight="1" x14ac:dyDescent="0.35">
      <c r="A354" s="129"/>
      <c r="B354" s="137"/>
      <c r="C354" s="137"/>
      <c r="D354" s="137"/>
      <c r="E354" s="137"/>
      <c r="F354" s="137"/>
      <c r="G354" s="137"/>
      <c r="H354" s="137"/>
      <c r="I354" s="137"/>
      <c r="J354" s="138"/>
      <c r="K354" s="137"/>
      <c r="L354" s="137"/>
      <c r="M354" s="137"/>
      <c r="N354" s="137"/>
      <c r="O354" s="137"/>
      <c r="P354" s="137"/>
      <c r="Q354" s="137"/>
    </row>
    <row r="355" spans="1:17" ht="15" customHeight="1" x14ac:dyDescent="0.35">
      <c r="A355" s="129"/>
      <c r="B355" s="137"/>
      <c r="C355" s="137"/>
      <c r="D355" s="137"/>
      <c r="E355" s="137"/>
      <c r="F355" s="137"/>
      <c r="G355" s="137"/>
      <c r="H355" s="137"/>
      <c r="I355" s="137"/>
      <c r="J355" s="138"/>
      <c r="K355" s="137"/>
      <c r="L355" s="137"/>
      <c r="M355" s="137"/>
      <c r="N355" s="137"/>
      <c r="O355" s="137"/>
      <c r="P355" s="137"/>
      <c r="Q355" s="137"/>
    </row>
    <row r="356" spans="1:17" ht="15" customHeight="1" x14ac:dyDescent="0.35">
      <c r="A356" s="129"/>
      <c r="B356" s="137"/>
      <c r="C356" s="137"/>
      <c r="D356" s="137"/>
      <c r="E356" s="137"/>
      <c r="F356" s="137"/>
      <c r="G356" s="137"/>
      <c r="H356" s="137"/>
      <c r="I356" s="137"/>
      <c r="J356" s="138"/>
      <c r="K356" s="137"/>
      <c r="L356" s="137"/>
      <c r="M356" s="137"/>
      <c r="N356" s="137"/>
      <c r="O356" s="137"/>
      <c r="P356" s="137"/>
      <c r="Q356" s="137"/>
    </row>
    <row r="357" spans="1:17" ht="15" customHeight="1" x14ac:dyDescent="0.35">
      <c r="A357" s="129"/>
      <c r="B357" s="137"/>
      <c r="C357" s="137"/>
      <c r="D357" s="137"/>
      <c r="E357" s="137"/>
      <c r="F357" s="137"/>
      <c r="G357" s="137"/>
      <c r="H357" s="137"/>
      <c r="I357" s="137"/>
      <c r="J357" s="138"/>
      <c r="K357" s="137"/>
      <c r="L357" s="137"/>
      <c r="M357" s="137"/>
      <c r="N357" s="137"/>
      <c r="O357" s="137"/>
      <c r="P357" s="137"/>
      <c r="Q357" s="137"/>
    </row>
    <row r="358" spans="1:17" ht="15" customHeight="1" x14ac:dyDescent="0.35">
      <c r="A358" s="129"/>
      <c r="B358" s="137"/>
      <c r="C358" s="137"/>
      <c r="D358" s="137"/>
      <c r="E358" s="137"/>
      <c r="F358" s="137"/>
      <c r="G358" s="137"/>
      <c r="H358" s="137"/>
      <c r="I358" s="137"/>
      <c r="J358" s="138"/>
      <c r="K358" s="137"/>
      <c r="L358" s="137"/>
      <c r="M358" s="137"/>
      <c r="N358" s="137"/>
      <c r="O358" s="137"/>
      <c r="P358" s="137"/>
      <c r="Q358" s="137"/>
    </row>
    <row r="359" spans="1:17" ht="15" customHeight="1" x14ac:dyDescent="0.35">
      <c r="A359" s="129"/>
      <c r="B359" s="137"/>
      <c r="C359" s="137"/>
      <c r="D359" s="137"/>
      <c r="E359" s="137"/>
      <c r="F359" s="137"/>
      <c r="G359" s="137"/>
      <c r="H359" s="137"/>
      <c r="I359" s="137"/>
      <c r="J359" s="138"/>
      <c r="K359" s="137"/>
      <c r="L359" s="137"/>
      <c r="M359" s="137"/>
      <c r="N359" s="137"/>
      <c r="O359" s="137"/>
      <c r="P359" s="137"/>
      <c r="Q359" s="137"/>
    </row>
    <row r="360" spans="1:17" ht="15" customHeight="1" x14ac:dyDescent="0.35">
      <c r="A360" s="129"/>
      <c r="B360" s="137"/>
      <c r="C360" s="137"/>
      <c r="D360" s="137"/>
      <c r="E360" s="137"/>
      <c r="F360" s="137"/>
      <c r="G360" s="137"/>
      <c r="H360" s="137"/>
      <c r="I360" s="137"/>
      <c r="J360" s="138"/>
      <c r="K360" s="137"/>
      <c r="L360" s="137"/>
      <c r="M360" s="137"/>
      <c r="N360" s="137"/>
      <c r="O360" s="137"/>
      <c r="P360" s="137"/>
      <c r="Q360" s="137"/>
    </row>
    <row r="361" spans="1:17" ht="15" customHeight="1" x14ac:dyDescent="0.35">
      <c r="A361" s="129"/>
      <c r="B361" s="137"/>
      <c r="C361" s="137"/>
      <c r="D361" s="137"/>
      <c r="E361" s="137"/>
      <c r="F361" s="137"/>
      <c r="G361" s="137"/>
      <c r="H361" s="137"/>
      <c r="I361" s="137"/>
      <c r="J361" s="138"/>
      <c r="K361" s="137"/>
      <c r="L361" s="137"/>
      <c r="M361" s="137"/>
      <c r="N361" s="137"/>
      <c r="O361" s="137"/>
      <c r="P361" s="137"/>
      <c r="Q361" s="137"/>
    </row>
    <row r="362" spans="1:17" ht="15" customHeight="1" x14ac:dyDescent="0.35">
      <c r="A362" s="129"/>
      <c r="B362" s="137"/>
      <c r="C362" s="137"/>
      <c r="D362" s="137"/>
      <c r="E362" s="137"/>
      <c r="F362" s="137"/>
      <c r="G362" s="137"/>
      <c r="H362" s="137"/>
      <c r="I362" s="137"/>
      <c r="J362" s="138"/>
      <c r="K362" s="137"/>
      <c r="L362" s="137"/>
      <c r="M362" s="137"/>
      <c r="N362" s="137"/>
      <c r="O362" s="137"/>
      <c r="P362" s="137"/>
      <c r="Q362" s="137"/>
    </row>
    <row r="363" spans="1:17" ht="15" customHeight="1" x14ac:dyDescent="0.35">
      <c r="A363" s="129"/>
      <c r="B363" s="137"/>
      <c r="C363" s="137"/>
      <c r="D363" s="137"/>
      <c r="E363" s="137"/>
      <c r="F363" s="137"/>
      <c r="G363" s="137"/>
      <c r="H363" s="137"/>
      <c r="I363" s="137"/>
      <c r="J363" s="138"/>
      <c r="K363" s="137"/>
      <c r="L363" s="137"/>
      <c r="M363" s="137"/>
      <c r="N363" s="137"/>
      <c r="O363" s="137"/>
      <c r="P363" s="137"/>
      <c r="Q363" s="137"/>
    </row>
    <row r="364" spans="1:17" ht="15" customHeight="1" x14ac:dyDescent="0.35">
      <c r="A364" s="129"/>
      <c r="B364" s="137"/>
      <c r="C364" s="137"/>
      <c r="D364" s="137"/>
      <c r="E364" s="137"/>
      <c r="F364" s="137"/>
      <c r="G364" s="137"/>
      <c r="H364" s="137"/>
      <c r="I364" s="137"/>
      <c r="J364" s="138"/>
      <c r="K364" s="137"/>
      <c r="L364" s="137"/>
      <c r="M364" s="137"/>
      <c r="N364" s="137"/>
      <c r="O364" s="137"/>
      <c r="P364" s="137"/>
      <c r="Q364" s="137"/>
    </row>
    <row r="365" spans="1:17" ht="15" customHeight="1" x14ac:dyDescent="0.35">
      <c r="A365" s="129"/>
      <c r="B365" s="137"/>
      <c r="C365" s="137"/>
      <c r="D365" s="137"/>
      <c r="E365" s="137"/>
      <c r="F365" s="137"/>
      <c r="G365" s="137"/>
      <c r="H365" s="137"/>
      <c r="I365" s="137"/>
      <c r="J365" s="138"/>
      <c r="K365" s="137"/>
      <c r="L365" s="137"/>
      <c r="M365" s="137"/>
      <c r="N365" s="137"/>
      <c r="O365" s="137"/>
      <c r="P365" s="137"/>
      <c r="Q365" s="137"/>
    </row>
    <row r="366" spans="1:17" ht="15" customHeight="1" x14ac:dyDescent="0.35">
      <c r="A366" s="129"/>
      <c r="B366" s="137"/>
      <c r="C366" s="137"/>
      <c r="D366" s="137"/>
      <c r="E366" s="137"/>
      <c r="F366" s="137"/>
      <c r="G366" s="137"/>
      <c r="H366" s="137"/>
      <c r="I366" s="137"/>
      <c r="J366" s="138"/>
      <c r="K366" s="137"/>
      <c r="L366" s="137"/>
      <c r="M366" s="137"/>
      <c r="N366" s="137"/>
      <c r="O366" s="137"/>
      <c r="P366" s="137"/>
      <c r="Q366" s="137"/>
    </row>
    <row r="367" spans="1:17" ht="15" customHeight="1" x14ac:dyDescent="0.35">
      <c r="A367" s="129"/>
      <c r="B367" s="137"/>
      <c r="C367" s="137"/>
      <c r="D367" s="137"/>
      <c r="E367" s="137"/>
      <c r="F367" s="137"/>
      <c r="G367" s="137"/>
      <c r="H367" s="137"/>
      <c r="I367" s="137"/>
      <c r="J367" s="138"/>
      <c r="K367" s="137"/>
      <c r="L367" s="137"/>
      <c r="M367" s="137"/>
      <c r="N367" s="137"/>
      <c r="O367" s="137"/>
      <c r="P367" s="137"/>
      <c r="Q367" s="137"/>
    </row>
    <row r="368" spans="1:17" ht="15" customHeight="1" x14ac:dyDescent="0.35">
      <c r="A368" s="129"/>
      <c r="B368" s="137"/>
      <c r="C368" s="137"/>
      <c r="D368" s="137"/>
      <c r="E368" s="137"/>
      <c r="F368" s="137"/>
      <c r="G368" s="137"/>
      <c r="H368" s="137"/>
      <c r="I368" s="137"/>
      <c r="J368" s="138"/>
      <c r="K368" s="137"/>
      <c r="L368" s="137"/>
      <c r="M368" s="137"/>
      <c r="N368" s="137"/>
      <c r="O368" s="137"/>
      <c r="P368" s="137"/>
      <c r="Q368" s="137"/>
    </row>
    <row r="369" spans="1:17" ht="15" customHeight="1" x14ac:dyDescent="0.35">
      <c r="A369" s="129"/>
      <c r="B369" s="137"/>
      <c r="C369" s="137"/>
      <c r="D369" s="137"/>
      <c r="E369" s="137"/>
      <c r="F369" s="137"/>
      <c r="G369" s="137"/>
      <c r="H369" s="137"/>
      <c r="I369" s="137"/>
      <c r="J369" s="138"/>
      <c r="K369" s="137"/>
      <c r="L369" s="137"/>
      <c r="M369" s="137"/>
      <c r="N369" s="137"/>
      <c r="O369" s="137"/>
      <c r="P369" s="137"/>
      <c r="Q369" s="137"/>
    </row>
    <row r="370" spans="1:17" ht="15" customHeight="1" x14ac:dyDescent="0.35">
      <c r="A370" s="129"/>
      <c r="B370" s="137"/>
      <c r="C370" s="137"/>
      <c r="D370" s="137"/>
      <c r="E370" s="137"/>
      <c r="F370" s="137"/>
      <c r="G370" s="137"/>
      <c r="H370" s="137"/>
      <c r="I370" s="137"/>
      <c r="J370" s="138"/>
      <c r="K370" s="137"/>
      <c r="L370" s="137"/>
      <c r="M370" s="137"/>
      <c r="N370" s="137"/>
      <c r="O370" s="137"/>
      <c r="P370" s="137"/>
      <c r="Q370" s="137"/>
    </row>
    <row r="371" spans="1:17" ht="15" customHeight="1" x14ac:dyDescent="0.35">
      <c r="A371" s="129"/>
      <c r="B371" s="137"/>
      <c r="C371" s="137"/>
      <c r="D371" s="137"/>
      <c r="E371" s="137"/>
      <c r="F371" s="137"/>
      <c r="G371" s="137"/>
      <c r="H371" s="137"/>
      <c r="I371" s="137"/>
      <c r="J371" s="138"/>
      <c r="K371" s="137"/>
      <c r="L371" s="137"/>
      <c r="M371" s="137"/>
      <c r="N371" s="137"/>
      <c r="O371" s="137"/>
      <c r="P371" s="137"/>
      <c r="Q371" s="137"/>
    </row>
    <row r="372" spans="1:17" ht="15" customHeight="1" x14ac:dyDescent="0.35">
      <c r="A372" s="129"/>
      <c r="B372" s="137"/>
      <c r="C372" s="137"/>
      <c r="D372" s="137"/>
      <c r="E372" s="137"/>
      <c r="F372" s="137"/>
      <c r="G372" s="137"/>
      <c r="H372" s="137"/>
      <c r="I372" s="137"/>
      <c r="J372" s="138"/>
      <c r="K372" s="137"/>
      <c r="L372" s="137"/>
      <c r="M372" s="137"/>
      <c r="N372" s="137"/>
      <c r="O372" s="137"/>
      <c r="P372" s="137"/>
      <c r="Q372" s="137"/>
    </row>
    <row r="373" spans="1:17" ht="15" customHeight="1" x14ac:dyDescent="0.35">
      <c r="A373" s="129"/>
      <c r="B373" s="137"/>
      <c r="C373" s="137"/>
      <c r="D373" s="137"/>
      <c r="E373" s="137"/>
      <c r="F373" s="137"/>
      <c r="G373" s="137"/>
      <c r="H373" s="137"/>
      <c r="I373" s="137"/>
      <c r="J373" s="138"/>
      <c r="K373" s="137"/>
      <c r="L373" s="137"/>
      <c r="M373" s="137"/>
      <c r="N373" s="137"/>
      <c r="O373" s="137"/>
      <c r="P373" s="137"/>
      <c r="Q373" s="137"/>
    </row>
    <row r="374" spans="1:17" ht="15" customHeight="1" x14ac:dyDescent="0.35">
      <c r="A374" s="129"/>
      <c r="B374" s="137"/>
      <c r="C374" s="137"/>
      <c r="D374" s="137"/>
      <c r="E374" s="137"/>
      <c r="F374" s="137"/>
      <c r="G374" s="137"/>
      <c r="H374" s="137"/>
      <c r="I374" s="137"/>
      <c r="J374" s="138"/>
      <c r="K374" s="137"/>
      <c r="L374" s="137"/>
      <c r="M374" s="137"/>
      <c r="N374" s="137"/>
      <c r="O374" s="137"/>
      <c r="P374" s="137"/>
      <c r="Q374" s="137"/>
    </row>
    <row r="375" spans="1:17" ht="15" customHeight="1" x14ac:dyDescent="0.35">
      <c r="A375" s="129"/>
      <c r="B375" s="137"/>
      <c r="C375" s="137"/>
      <c r="D375" s="137"/>
      <c r="E375" s="137"/>
      <c r="F375" s="137"/>
      <c r="G375" s="137"/>
      <c r="H375" s="137"/>
      <c r="I375" s="137"/>
      <c r="J375" s="138"/>
      <c r="K375" s="137"/>
      <c r="L375" s="137"/>
      <c r="M375" s="137"/>
      <c r="N375" s="137"/>
      <c r="O375" s="137"/>
      <c r="P375" s="137"/>
      <c r="Q375" s="137"/>
    </row>
    <row r="376" spans="1:17" ht="15" customHeight="1" x14ac:dyDescent="0.35">
      <c r="A376" s="129"/>
      <c r="B376" s="137"/>
      <c r="C376" s="137"/>
      <c r="D376" s="137"/>
      <c r="E376" s="137"/>
      <c r="F376" s="137"/>
      <c r="G376" s="137"/>
      <c r="H376" s="137"/>
      <c r="I376" s="137"/>
      <c r="J376" s="138"/>
      <c r="K376" s="137"/>
      <c r="L376" s="137"/>
      <c r="M376" s="137"/>
      <c r="N376" s="137"/>
      <c r="O376" s="137"/>
      <c r="P376" s="137"/>
      <c r="Q376" s="137"/>
    </row>
    <row r="377" spans="1:17" ht="15" customHeight="1" x14ac:dyDescent="0.35">
      <c r="A377" s="129"/>
      <c r="B377" s="137"/>
      <c r="C377" s="137"/>
      <c r="D377" s="137"/>
      <c r="E377" s="137"/>
      <c r="F377" s="137"/>
      <c r="G377" s="137"/>
      <c r="H377" s="137"/>
      <c r="I377" s="137"/>
      <c r="J377" s="138"/>
      <c r="K377" s="137"/>
      <c r="L377" s="137"/>
      <c r="M377" s="137"/>
      <c r="N377" s="137"/>
      <c r="O377" s="137"/>
      <c r="P377" s="137"/>
      <c r="Q377" s="137"/>
    </row>
    <row r="378" spans="1:17" ht="15" customHeight="1" x14ac:dyDescent="0.35">
      <c r="A378" s="129"/>
      <c r="B378" s="137"/>
      <c r="C378" s="137"/>
      <c r="D378" s="137"/>
      <c r="E378" s="137"/>
      <c r="F378" s="137"/>
      <c r="G378" s="137"/>
      <c r="H378" s="137"/>
      <c r="I378" s="137"/>
      <c r="J378" s="138"/>
      <c r="K378" s="137"/>
      <c r="L378" s="137"/>
      <c r="M378" s="137"/>
      <c r="N378" s="137"/>
      <c r="O378" s="137"/>
      <c r="P378" s="137"/>
      <c r="Q378" s="137"/>
    </row>
    <row r="379" spans="1:17" ht="15" customHeight="1" x14ac:dyDescent="0.35">
      <c r="A379" s="129"/>
      <c r="B379" s="137"/>
      <c r="C379" s="137"/>
      <c r="D379" s="137"/>
      <c r="E379" s="137"/>
      <c r="F379" s="137"/>
      <c r="G379" s="137"/>
      <c r="H379" s="137"/>
      <c r="I379" s="137"/>
      <c r="J379" s="138"/>
      <c r="K379" s="137"/>
      <c r="L379" s="137"/>
      <c r="M379" s="137"/>
      <c r="N379" s="137"/>
      <c r="O379" s="137"/>
      <c r="P379" s="137"/>
      <c r="Q379" s="137"/>
    </row>
    <row r="380" spans="1:17" ht="15" customHeight="1" x14ac:dyDescent="0.35">
      <c r="A380" s="129"/>
      <c r="B380" s="137"/>
      <c r="C380" s="137"/>
      <c r="D380" s="137"/>
      <c r="E380" s="137"/>
      <c r="F380" s="137"/>
      <c r="G380" s="137"/>
      <c r="H380" s="137"/>
      <c r="I380" s="137"/>
      <c r="J380" s="138"/>
      <c r="K380" s="137"/>
      <c r="L380" s="137"/>
      <c r="M380" s="137"/>
      <c r="N380" s="137"/>
      <c r="O380" s="137"/>
      <c r="P380" s="137"/>
      <c r="Q380" s="137"/>
    </row>
    <row r="381" spans="1:17" ht="15" customHeight="1" x14ac:dyDescent="0.35">
      <c r="A381" s="129"/>
      <c r="B381" s="137"/>
      <c r="C381" s="137"/>
      <c r="D381" s="137"/>
      <c r="E381" s="137"/>
      <c r="F381" s="137"/>
      <c r="G381" s="137"/>
      <c r="H381" s="137"/>
      <c r="I381" s="137"/>
      <c r="J381" s="138"/>
      <c r="K381" s="137"/>
      <c r="L381" s="137"/>
      <c r="M381" s="137"/>
      <c r="N381" s="137"/>
      <c r="O381" s="137"/>
      <c r="P381" s="137"/>
      <c r="Q381" s="137"/>
    </row>
    <row r="382" spans="1:17" ht="15" customHeight="1" x14ac:dyDescent="0.35">
      <c r="A382" s="129"/>
      <c r="B382" s="137"/>
      <c r="C382" s="137"/>
      <c r="D382" s="137"/>
      <c r="E382" s="137"/>
      <c r="F382" s="137"/>
      <c r="G382" s="137"/>
      <c r="H382" s="137"/>
      <c r="I382" s="137"/>
      <c r="J382" s="138"/>
      <c r="K382" s="137"/>
      <c r="L382" s="137"/>
      <c r="M382" s="137"/>
      <c r="N382" s="137"/>
      <c r="O382" s="137"/>
      <c r="P382" s="137"/>
      <c r="Q382" s="137"/>
    </row>
    <row r="383" spans="1:17" ht="15" customHeight="1" x14ac:dyDescent="0.35">
      <c r="A383" s="129"/>
      <c r="B383" s="137"/>
      <c r="C383" s="137"/>
      <c r="D383" s="137"/>
      <c r="E383" s="137"/>
      <c r="F383" s="137"/>
      <c r="G383" s="137"/>
      <c r="H383" s="137"/>
      <c r="I383" s="137"/>
      <c r="J383" s="138"/>
      <c r="K383" s="137"/>
      <c r="L383" s="137"/>
      <c r="M383" s="137"/>
      <c r="N383" s="137"/>
      <c r="O383" s="137"/>
      <c r="P383" s="137"/>
      <c r="Q383" s="137"/>
    </row>
    <row r="384" spans="1:17" ht="15" customHeight="1" x14ac:dyDescent="0.35">
      <c r="A384" s="129"/>
      <c r="B384" s="137"/>
      <c r="C384" s="137"/>
      <c r="D384" s="137"/>
      <c r="E384" s="137"/>
      <c r="F384" s="137"/>
      <c r="G384" s="137"/>
      <c r="H384" s="137"/>
      <c r="I384" s="137"/>
      <c r="J384" s="138"/>
      <c r="K384" s="137"/>
      <c r="L384" s="137"/>
      <c r="M384" s="137"/>
      <c r="N384" s="137"/>
      <c r="O384" s="137"/>
      <c r="P384" s="137"/>
      <c r="Q384" s="137"/>
    </row>
    <row r="385" spans="1:17" ht="15" customHeight="1" x14ac:dyDescent="0.35">
      <c r="A385" s="129"/>
      <c r="B385" s="137"/>
      <c r="C385" s="137"/>
      <c r="D385" s="137"/>
      <c r="E385" s="137"/>
      <c r="F385" s="137"/>
      <c r="G385" s="137"/>
      <c r="H385" s="137"/>
      <c r="I385" s="137"/>
      <c r="J385" s="138"/>
      <c r="K385" s="137"/>
      <c r="L385" s="137"/>
      <c r="M385" s="137"/>
      <c r="N385" s="137"/>
      <c r="O385" s="137"/>
      <c r="P385" s="137"/>
      <c r="Q385" s="137"/>
    </row>
    <row r="386" spans="1:17" ht="15" customHeight="1" x14ac:dyDescent="0.35">
      <c r="A386" s="129"/>
      <c r="B386" s="137"/>
      <c r="C386" s="137"/>
      <c r="D386" s="137"/>
      <c r="E386" s="137"/>
      <c r="F386" s="137"/>
      <c r="G386" s="137"/>
      <c r="H386" s="137"/>
      <c r="I386" s="137"/>
      <c r="J386" s="138"/>
      <c r="K386" s="137"/>
      <c r="L386" s="137"/>
      <c r="M386" s="137"/>
      <c r="N386" s="137"/>
      <c r="O386" s="137"/>
      <c r="P386" s="137"/>
      <c r="Q386" s="137"/>
    </row>
    <row r="387" spans="1:17" ht="15" customHeight="1" x14ac:dyDescent="0.35">
      <c r="A387" s="129"/>
      <c r="B387" s="137"/>
      <c r="C387" s="137"/>
      <c r="D387" s="137"/>
      <c r="E387" s="137"/>
      <c r="F387" s="137"/>
      <c r="G387" s="137"/>
      <c r="H387" s="137"/>
      <c r="I387" s="137"/>
      <c r="J387" s="138"/>
      <c r="K387" s="137"/>
      <c r="L387" s="137"/>
      <c r="M387" s="137"/>
      <c r="N387" s="137"/>
      <c r="O387" s="137"/>
      <c r="P387" s="137"/>
      <c r="Q387" s="137"/>
    </row>
    <row r="388" spans="1:17" ht="15" customHeight="1" x14ac:dyDescent="0.35">
      <c r="A388" s="129"/>
      <c r="B388" s="137"/>
      <c r="C388" s="137"/>
      <c r="D388" s="137"/>
      <c r="E388" s="137"/>
      <c r="F388" s="137"/>
      <c r="G388" s="137"/>
      <c r="H388" s="137"/>
      <c r="I388" s="137"/>
      <c r="J388" s="138"/>
      <c r="K388" s="137"/>
      <c r="L388" s="137"/>
      <c r="M388" s="137"/>
      <c r="N388" s="137"/>
      <c r="O388" s="137"/>
      <c r="P388" s="137"/>
      <c r="Q388" s="137"/>
    </row>
    <row r="389" spans="1:17" ht="15" customHeight="1" x14ac:dyDescent="0.35">
      <c r="A389" s="129"/>
      <c r="B389" s="137"/>
      <c r="C389" s="137"/>
      <c r="D389" s="137"/>
      <c r="E389" s="137"/>
      <c r="F389" s="137"/>
      <c r="G389" s="137"/>
      <c r="H389" s="137"/>
      <c r="I389" s="137"/>
      <c r="J389" s="138"/>
      <c r="K389" s="137"/>
      <c r="L389" s="137"/>
      <c r="M389" s="137"/>
      <c r="N389" s="137"/>
      <c r="O389" s="137"/>
      <c r="P389" s="137"/>
      <c r="Q389" s="137"/>
    </row>
    <row r="390" spans="1:17" ht="15" customHeight="1" x14ac:dyDescent="0.35">
      <c r="A390" s="129"/>
      <c r="B390" s="137"/>
      <c r="C390" s="137"/>
      <c r="D390" s="137"/>
      <c r="E390" s="137"/>
      <c r="F390" s="137"/>
      <c r="G390" s="137"/>
      <c r="H390" s="137"/>
      <c r="I390" s="137"/>
      <c r="J390" s="138"/>
      <c r="K390" s="137"/>
      <c r="L390" s="137"/>
      <c r="M390" s="137"/>
      <c r="N390" s="137"/>
      <c r="O390" s="137"/>
      <c r="P390" s="137"/>
      <c r="Q390" s="137"/>
    </row>
    <row r="391" spans="1:17" ht="15" customHeight="1" x14ac:dyDescent="0.35">
      <c r="A391" s="129"/>
      <c r="B391" s="137"/>
      <c r="C391" s="137"/>
      <c r="D391" s="137"/>
      <c r="E391" s="137"/>
      <c r="F391" s="137"/>
      <c r="G391" s="137"/>
      <c r="H391" s="137"/>
      <c r="I391" s="137"/>
      <c r="J391" s="138"/>
      <c r="K391" s="137"/>
      <c r="L391" s="137"/>
      <c r="M391" s="137"/>
      <c r="N391" s="137"/>
      <c r="O391" s="137"/>
      <c r="P391" s="137"/>
      <c r="Q391" s="137"/>
    </row>
    <row r="392" spans="1:17" ht="15" customHeight="1" x14ac:dyDescent="0.35">
      <c r="A392" s="129"/>
      <c r="B392" s="137"/>
      <c r="C392" s="137"/>
      <c r="D392" s="137"/>
      <c r="E392" s="137"/>
      <c r="F392" s="137"/>
      <c r="G392" s="137"/>
      <c r="H392" s="137"/>
      <c r="I392" s="137"/>
      <c r="J392" s="138"/>
      <c r="K392" s="137"/>
      <c r="L392" s="137"/>
      <c r="M392" s="137"/>
      <c r="N392" s="137"/>
      <c r="O392" s="137"/>
      <c r="P392" s="137"/>
      <c r="Q392" s="137"/>
    </row>
    <row r="393" spans="1:17" ht="15" customHeight="1" x14ac:dyDescent="0.35">
      <c r="A393" s="129"/>
      <c r="B393" s="137"/>
      <c r="C393" s="137"/>
      <c r="D393" s="137"/>
      <c r="E393" s="137"/>
      <c r="F393" s="137"/>
      <c r="G393" s="137"/>
      <c r="H393" s="137"/>
      <c r="I393" s="137"/>
      <c r="J393" s="138"/>
      <c r="K393" s="137"/>
      <c r="L393" s="137"/>
      <c r="M393" s="137"/>
      <c r="N393" s="137"/>
      <c r="O393" s="137"/>
      <c r="P393" s="137"/>
      <c r="Q393" s="137"/>
    </row>
    <row r="394" spans="1:17" ht="15" customHeight="1" x14ac:dyDescent="0.35">
      <c r="A394" s="129"/>
      <c r="B394" s="137"/>
      <c r="C394" s="137"/>
      <c r="D394" s="137"/>
      <c r="E394" s="137"/>
      <c r="F394" s="137"/>
      <c r="G394" s="137"/>
      <c r="H394" s="137"/>
      <c r="I394" s="137"/>
      <c r="J394" s="138"/>
      <c r="K394" s="137"/>
      <c r="L394" s="137"/>
      <c r="M394" s="137"/>
      <c r="N394" s="137"/>
      <c r="O394" s="137"/>
      <c r="P394" s="137"/>
      <c r="Q394" s="137"/>
    </row>
    <row r="395" spans="1:17" ht="15" customHeight="1" x14ac:dyDescent="0.35">
      <c r="A395" s="129"/>
      <c r="B395" s="137"/>
      <c r="C395" s="137"/>
      <c r="D395" s="137"/>
      <c r="E395" s="137"/>
      <c r="F395" s="137"/>
      <c r="G395" s="137"/>
      <c r="H395" s="137"/>
      <c r="I395" s="137"/>
      <c r="J395" s="138"/>
      <c r="K395" s="137"/>
      <c r="L395" s="137"/>
      <c r="M395" s="137"/>
      <c r="N395" s="137"/>
      <c r="O395" s="137"/>
      <c r="P395" s="137"/>
      <c r="Q395" s="137"/>
    </row>
    <row r="396" spans="1:17" ht="15" customHeight="1" x14ac:dyDescent="0.35">
      <c r="A396" s="129"/>
      <c r="B396" s="137"/>
      <c r="C396" s="137"/>
      <c r="D396" s="137"/>
      <c r="E396" s="137"/>
      <c r="F396" s="137"/>
      <c r="G396" s="137"/>
      <c r="H396" s="137"/>
      <c r="I396" s="137"/>
      <c r="J396" s="138"/>
      <c r="K396" s="137"/>
      <c r="L396" s="137"/>
      <c r="M396" s="137"/>
      <c r="N396" s="137"/>
      <c r="O396" s="137"/>
      <c r="P396" s="137"/>
      <c r="Q396" s="137"/>
    </row>
    <row r="397" spans="1:17" ht="15" customHeight="1" x14ac:dyDescent="0.35">
      <c r="A397" s="129"/>
      <c r="B397" s="137"/>
      <c r="C397" s="137"/>
      <c r="D397" s="137"/>
      <c r="E397" s="137"/>
      <c r="F397" s="137"/>
      <c r="G397" s="137"/>
      <c r="H397" s="137"/>
      <c r="I397" s="137"/>
      <c r="J397" s="138"/>
      <c r="K397" s="137"/>
      <c r="L397" s="137"/>
      <c r="M397" s="137"/>
      <c r="N397" s="137"/>
      <c r="O397" s="137"/>
      <c r="P397" s="137"/>
      <c r="Q397" s="137"/>
    </row>
    <row r="398" spans="1:17" ht="15" customHeight="1" x14ac:dyDescent="0.35">
      <c r="A398" s="129"/>
      <c r="B398" s="137"/>
      <c r="C398" s="137"/>
      <c r="D398" s="137"/>
      <c r="E398" s="137"/>
      <c r="F398" s="137"/>
      <c r="G398" s="137"/>
      <c r="H398" s="137"/>
      <c r="I398" s="137"/>
      <c r="J398" s="138"/>
      <c r="K398" s="137"/>
      <c r="L398" s="137"/>
      <c r="M398" s="137"/>
      <c r="N398" s="137"/>
      <c r="O398" s="137"/>
      <c r="P398" s="137"/>
      <c r="Q398" s="137"/>
    </row>
    <row r="399" spans="1:17" ht="15" customHeight="1" x14ac:dyDescent="0.35">
      <c r="A399" s="129"/>
      <c r="B399" s="137"/>
      <c r="C399" s="137"/>
      <c r="D399" s="137"/>
      <c r="E399" s="137"/>
      <c r="F399" s="137"/>
      <c r="G399" s="137"/>
      <c r="H399" s="137"/>
      <c r="I399" s="137"/>
      <c r="J399" s="138"/>
      <c r="K399" s="137"/>
      <c r="L399" s="137"/>
      <c r="M399" s="137"/>
      <c r="N399" s="137"/>
      <c r="O399" s="137"/>
      <c r="P399" s="137"/>
      <c r="Q399" s="137"/>
    </row>
    <row r="400" spans="1:17" ht="15" customHeight="1" x14ac:dyDescent="0.35">
      <c r="A400" s="129"/>
      <c r="B400" s="137"/>
      <c r="C400" s="137"/>
      <c r="D400" s="137"/>
      <c r="E400" s="137"/>
      <c r="F400" s="137"/>
      <c r="G400" s="137"/>
      <c r="H400" s="137"/>
      <c r="I400" s="137"/>
      <c r="J400" s="138"/>
      <c r="K400" s="137"/>
      <c r="L400" s="137"/>
      <c r="M400" s="137"/>
      <c r="N400" s="137"/>
      <c r="O400" s="137"/>
      <c r="P400" s="137"/>
      <c r="Q400" s="137"/>
    </row>
    <row r="401" spans="1:17" ht="15" customHeight="1" x14ac:dyDescent="0.35">
      <c r="A401" s="129"/>
      <c r="B401" s="137"/>
      <c r="C401" s="137"/>
      <c r="D401" s="137"/>
      <c r="E401" s="137"/>
      <c r="F401" s="137"/>
      <c r="G401" s="137"/>
      <c r="H401" s="137"/>
      <c r="I401" s="137"/>
      <c r="J401" s="138"/>
      <c r="K401" s="137"/>
      <c r="L401" s="137"/>
      <c r="M401" s="137"/>
      <c r="N401" s="137"/>
      <c r="O401" s="137"/>
      <c r="P401" s="137"/>
      <c r="Q401" s="137"/>
    </row>
    <row r="402" spans="1:17" ht="15" customHeight="1" x14ac:dyDescent="0.35">
      <c r="A402" s="129"/>
      <c r="B402" s="137"/>
      <c r="C402" s="137"/>
      <c r="D402" s="137"/>
      <c r="E402" s="137"/>
      <c r="F402" s="137"/>
      <c r="G402" s="137"/>
      <c r="H402" s="137"/>
      <c r="I402" s="137"/>
      <c r="J402" s="138"/>
      <c r="K402" s="137"/>
      <c r="L402" s="137"/>
      <c r="M402" s="137"/>
      <c r="N402" s="137"/>
      <c r="O402" s="137"/>
      <c r="P402" s="137"/>
      <c r="Q402" s="137"/>
    </row>
    <row r="403" spans="1:17" ht="15" customHeight="1" x14ac:dyDescent="0.35">
      <c r="A403" s="129"/>
      <c r="B403" s="137"/>
      <c r="C403" s="137"/>
      <c r="D403" s="137"/>
      <c r="E403" s="137"/>
      <c r="F403" s="137"/>
      <c r="G403" s="137"/>
      <c r="H403" s="137"/>
      <c r="I403" s="137"/>
      <c r="J403" s="138"/>
      <c r="K403" s="137"/>
      <c r="L403" s="137"/>
      <c r="M403" s="137"/>
      <c r="N403" s="137"/>
      <c r="O403" s="137"/>
      <c r="P403" s="137"/>
      <c r="Q403" s="137"/>
    </row>
    <row r="404" spans="1:17" ht="15" customHeight="1" x14ac:dyDescent="0.35">
      <c r="A404" s="129"/>
      <c r="B404" s="137"/>
      <c r="C404" s="137"/>
      <c r="D404" s="137"/>
      <c r="E404" s="137"/>
      <c r="F404" s="137"/>
      <c r="G404" s="137"/>
      <c r="H404" s="137"/>
      <c r="I404" s="137"/>
      <c r="J404" s="138"/>
      <c r="K404" s="137"/>
      <c r="L404" s="137"/>
      <c r="M404" s="137"/>
      <c r="N404" s="137"/>
      <c r="O404" s="137"/>
      <c r="P404" s="137"/>
      <c r="Q404" s="137"/>
    </row>
    <row r="405" spans="1:17" ht="15" customHeight="1" x14ac:dyDescent="0.35">
      <c r="A405" s="129"/>
      <c r="B405" s="137"/>
      <c r="C405" s="137"/>
      <c r="D405" s="137"/>
      <c r="E405" s="137"/>
      <c r="F405" s="137"/>
      <c r="G405" s="137"/>
      <c r="H405" s="137"/>
      <c r="I405" s="137"/>
      <c r="J405" s="138"/>
      <c r="K405" s="137"/>
      <c r="L405" s="137"/>
      <c r="M405" s="137"/>
      <c r="N405" s="137"/>
      <c r="O405" s="137"/>
      <c r="P405" s="137"/>
      <c r="Q405" s="137"/>
    </row>
    <row r="406" spans="1:17" ht="15" customHeight="1" x14ac:dyDescent="0.35">
      <c r="A406" s="129"/>
      <c r="B406" s="137"/>
      <c r="C406" s="137"/>
      <c r="D406" s="137"/>
      <c r="E406" s="137"/>
      <c r="F406" s="137"/>
      <c r="G406" s="137"/>
      <c r="H406" s="137"/>
      <c r="I406" s="137"/>
      <c r="J406" s="138"/>
      <c r="K406" s="137"/>
      <c r="L406" s="137"/>
      <c r="M406" s="137"/>
      <c r="N406" s="137"/>
      <c r="O406" s="137"/>
      <c r="P406" s="137"/>
      <c r="Q406" s="137"/>
    </row>
    <row r="407" spans="1:17" ht="15" customHeight="1" x14ac:dyDescent="0.35">
      <c r="A407" s="129"/>
      <c r="B407" s="137"/>
      <c r="C407" s="137"/>
      <c r="D407" s="137"/>
      <c r="E407" s="137"/>
      <c r="F407" s="137"/>
      <c r="G407" s="137"/>
      <c r="H407" s="137"/>
      <c r="I407" s="137"/>
      <c r="J407" s="138"/>
      <c r="K407" s="137"/>
      <c r="L407" s="137"/>
      <c r="M407" s="137"/>
      <c r="N407" s="137"/>
      <c r="O407" s="137"/>
      <c r="P407" s="137"/>
      <c r="Q407" s="137"/>
    </row>
    <row r="408" spans="1:17" ht="15" customHeight="1" x14ac:dyDescent="0.35">
      <c r="A408" s="129"/>
      <c r="B408" s="137"/>
      <c r="C408" s="137"/>
      <c r="D408" s="137"/>
      <c r="E408" s="137"/>
      <c r="F408" s="137"/>
      <c r="G408" s="137"/>
      <c r="H408" s="137"/>
      <c r="I408" s="137"/>
      <c r="J408" s="138"/>
      <c r="K408" s="137"/>
      <c r="L408" s="137"/>
      <c r="M408" s="137"/>
      <c r="N408" s="137"/>
      <c r="O408" s="137"/>
      <c r="P408" s="137"/>
      <c r="Q408" s="137"/>
    </row>
    <row r="409" spans="1:17" ht="15" customHeight="1" x14ac:dyDescent="0.35">
      <c r="A409" s="129"/>
      <c r="B409" s="137"/>
      <c r="C409" s="137"/>
      <c r="D409" s="137"/>
      <c r="E409" s="137"/>
      <c r="F409" s="137"/>
      <c r="G409" s="137"/>
      <c r="H409" s="137"/>
      <c r="I409" s="137"/>
      <c r="J409" s="138"/>
      <c r="K409" s="137"/>
      <c r="L409" s="137"/>
      <c r="M409" s="137"/>
      <c r="N409" s="137"/>
      <c r="O409" s="137"/>
      <c r="P409" s="137"/>
      <c r="Q409" s="137"/>
    </row>
    <row r="410" spans="1:17" ht="15" customHeight="1" x14ac:dyDescent="0.35">
      <c r="A410" s="129"/>
      <c r="B410" s="137"/>
      <c r="C410" s="137"/>
      <c r="D410" s="137"/>
      <c r="E410" s="137"/>
      <c r="F410" s="137"/>
      <c r="G410" s="137"/>
      <c r="H410" s="137"/>
      <c r="I410" s="137"/>
      <c r="J410" s="138"/>
      <c r="K410" s="137"/>
      <c r="L410" s="137"/>
      <c r="M410" s="137"/>
      <c r="N410" s="137"/>
      <c r="O410" s="137"/>
      <c r="P410" s="137"/>
      <c r="Q410" s="137"/>
    </row>
    <row r="411" spans="1:17" ht="15" customHeight="1" x14ac:dyDescent="0.35">
      <c r="A411" s="129"/>
      <c r="B411" s="137"/>
      <c r="C411" s="137"/>
      <c r="D411" s="137"/>
      <c r="E411" s="137"/>
      <c r="F411" s="137"/>
      <c r="G411" s="137"/>
      <c r="H411" s="137"/>
      <c r="I411" s="137"/>
      <c r="J411" s="138"/>
      <c r="K411" s="137"/>
      <c r="L411" s="137"/>
      <c r="M411" s="137"/>
      <c r="N411" s="137"/>
      <c r="O411" s="137"/>
      <c r="P411" s="137"/>
      <c r="Q411" s="137"/>
    </row>
    <row r="412" spans="1:17" ht="15" customHeight="1" x14ac:dyDescent="0.35">
      <c r="A412" s="129"/>
      <c r="B412" s="137"/>
      <c r="C412" s="137"/>
      <c r="D412" s="137"/>
      <c r="E412" s="137"/>
      <c r="F412" s="137"/>
      <c r="G412" s="137"/>
      <c r="H412" s="137"/>
      <c r="I412" s="137"/>
      <c r="J412" s="138"/>
      <c r="K412" s="137"/>
      <c r="L412" s="137"/>
      <c r="M412" s="137"/>
      <c r="N412" s="137"/>
      <c r="O412" s="137"/>
      <c r="P412" s="137"/>
      <c r="Q412" s="137"/>
    </row>
    <row r="413" spans="1:17" ht="15" customHeight="1" x14ac:dyDescent="0.35">
      <c r="A413" s="129"/>
      <c r="B413" s="137"/>
      <c r="C413" s="137"/>
      <c r="D413" s="137"/>
      <c r="E413" s="137"/>
      <c r="F413" s="137"/>
      <c r="G413" s="137"/>
      <c r="H413" s="137"/>
      <c r="I413" s="137"/>
      <c r="J413" s="138"/>
      <c r="K413" s="137"/>
      <c r="L413" s="137"/>
      <c r="M413" s="137"/>
      <c r="N413" s="137"/>
      <c r="O413" s="137"/>
      <c r="P413" s="137"/>
      <c r="Q413" s="137"/>
    </row>
    <row r="414" spans="1:17" ht="15" customHeight="1" x14ac:dyDescent="0.35">
      <c r="A414" s="129"/>
      <c r="B414" s="137"/>
      <c r="C414" s="137"/>
      <c r="D414" s="137"/>
      <c r="E414" s="137"/>
      <c r="F414" s="137"/>
      <c r="G414" s="137"/>
      <c r="H414" s="137"/>
      <c r="I414" s="137"/>
      <c r="J414" s="138"/>
      <c r="K414" s="137"/>
      <c r="L414" s="137"/>
      <c r="M414" s="137"/>
      <c r="N414" s="137"/>
      <c r="O414" s="137"/>
      <c r="P414" s="137"/>
      <c r="Q414" s="137"/>
    </row>
    <row r="415" spans="1:17" ht="15" customHeight="1" x14ac:dyDescent="0.35">
      <c r="A415" s="129"/>
      <c r="B415" s="137"/>
      <c r="C415" s="137"/>
      <c r="D415" s="137"/>
      <c r="E415" s="137"/>
      <c r="F415" s="137"/>
      <c r="G415" s="137"/>
      <c r="H415" s="137"/>
      <c r="I415" s="137"/>
      <c r="J415" s="138"/>
      <c r="K415" s="137"/>
      <c r="L415" s="137"/>
      <c r="M415" s="137"/>
      <c r="N415" s="137"/>
      <c r="O415" s="137"/>
      <c r="P415" s="137"/>
      <c r="Q415" s="137"/>
    </row>
    <row r="416" spans="1:17" ht="15" customHeight="1" x14ac:dyDescent="0.35">
      <c r="A416" s="129"/>
      <c r="B416" s="137"/>
      <c r="C416" s="137"/>
      <c r="D416" s="137"/>
      <c r="E416" s="137"/>
      <c r="F416" s="137"/>
      <c r="G416" s="137"/>
      <c r="H416" s="137"/>
      <c r="I416" s="137"/>
      <c r="J416" s="138"/>
      <c r="K416" s="137"/>
      <c r="L416" s="137"/>
      <c r="M416" s="137"/>
      <c r="N416" s="137"/>
      <c r="O416" s="137"/>
      <c r="P416" s="137"/>
      <c r="Q416" s="137"/>
    </row>
    <row r="417" spans="1:17" ht="15" customHeight="1" x14ac:dyDescent="0.35">
      <c r="A417" s="129"/>
      <c r="B417" s="137"/>
      <c r="C417" s="137"/>
      <c r="D417" s="137"/>
      <c r="E417" s="137"/>
      <c r="F417" s="137"/>
      <c r="G417" s="137"/>
      <c r="H417" s="137"/>
      <c r="I417" s="137"/>
      <c r="J417" s="138"/>
      <c r="K417" s="137"/>
      <c r="L417" s="137"/>
      <c r="M417" s="137"/>
      <c r="N417" s="137"/>
      <c r="O417" s="137"/>
      <c r="P417" s="137"/>
      <c r="Q417" s="137"/>
    </row>
    <row r="418" spans="1:17" ht="15" customHeight="1" x14ac:dyDescent="0.35">
      <c r="A418" s="129"/>
      <c r="B418" s="137"/>
      <c r="C418" s="137"/>
      <c r="D418" s="137"/>
      <c r="E418" s="137"/>
      <c r="F418" s="137"/>
      <c r="G418" s="137"/>
      <c r="H418" s="137"/>
      <c r="I418" s="137"/>
      <c r="J418" s="138"/>
      <c r="K418" s="137"/>
      <c r="L418" s="137"/>
      <c r="M418" s="137"/>
      <c r="N418" s="137"/>
      <c r="O418" s="137"/>
      <c r="P418" s="137"/>
      <c r="Q418" s="137"/>
    </row>
    <row r="419" spans="1:17" ht="15" customHeight="1" x14ac:dyDescent="0.35">
      <c r="A419" s="129"/>
      <c r="B419" s="137"/>
      <c r="C419" s="137"/>
      <c r="D419" s="137"/>
      <c r="E419" s="137"/>
      <c r="F419" s="137"/>
      <c r="G419" s="137"/>
      <c r="H419" s="137"/>
      <c r="I419" s="137"/>
      <c r="J419" s="138"/>
      <c r="K419" s="137"/>
      <c r="L419" s="137"/>
      <c r="M419" s="137"/>
      <c r="N419" s="137"/>
      <c r="O419" s="137"/>
      <c r="P419" s="137"/>
      <c r="Q419" s="137"/>
    </row>
    <row r="420" spans="1:17" ht="15" customHeight="1" x14ac:dyDescent="0.35">
      <c r="A420" s="129"/>
      <c r="B420" s="137"/>
      <c r="C420" s="137"/>
      <c r="D420" s="137"/>
      <c r="E420" s="137"/>
      <c r="F420" s="137"/>
      <c r="G420" s="137"/>
      <c r="H420" s="137"/>
      <c r="I420" s="137"/>
      <c r="J420" s="138"/>
      <c r="K420" s="137"/>
      <c r="L420" s="137"/>
      <c r="M420" s="137"/>
      <c r="N420" s="137"/>
      <c r="O420" s="137"/>
      <c r="P420" s="137"/>
      <c r="Q420" s="137"/>
    </row>
    <row r="421" spans="1:17" ht="15" customHeight="1" x14ac:dyDescent="0.35">
      <c r="A421" s="129"/>
      <c r="B421" s="137"/>
      <c r="C421" s="137"/>
      <c r="D421" s="137"/>
      <c r="E421" s="137"/>
      <c r="F421" s="137"/>
      <c r="G421" s="137"/>
      <c r="H421" s="137"/>
      <c r="I421" s="137"/>
      <c r="J421" s="138"/>
      <c r="K421" s="137"/>
      <c r="L421" s="137"/>
      <c r="M421" s="137"/>
      <c r="N421" s="137"/>
      <c r="O421" s="137"/>
      <c r="P421" s="137"/>
      <c r="Q421" s="137"/>
    </row>
    <row r="422" spans="1:17" ht="15" customHeight="1" x14ac:dyDescent="0.35">
      <c r="A422" s="129"/>
      <c r="B422" s="137"/>
      <c r="C422" s="137"/>
      <c r="D422" s="137"/>
      <c r="E422" s="137"/>
      <c r="F422" s="137"/>
      <c r="G422" s="137"/>
      <c r="H422" s="137"/>
      <c r="I422" s="137"/>
      <c r="J422" s="138"/>
      <c r="K422" s="137"/>
      <c r="L422" s="137"/>
      <c r="M422" s="137"/>
      <c r="N422" s="137"/>
      <c r="O422" s="137"/>
      <c r="P422" s="137"/>
      <c r="Q422" s="137"/>
    </row>
    <row r="423" spans="1:17" ht="15" customHeight="1" x14ac:dyDescent="0.35">
      <c r="A423" s="129"/>
      <c r="B423" s="137"/>
      <c r="C423" s="137"/>
      <c r="D423" s="137"/>
      <c r="E423" s="137"/>
      <c r="F423" s="137"/>
      <c r="G423" s="137"/>
      <c r="H423" s="137"/>
      <c r="I423" s="137"/>
      <c r="J423" s="138"/>
      <c r="K423" s="137"/>
      <c r="L423" s="137"/>
      <c r="M423" s="137"/>
      <c r="N423" s="137"/>
      <c r="O423" s="137"/>
      <c r="P423" s="137"/>
      <c r="Q423" s="137"/>
    </row>
    <row r="424" spans="1:17" ht="15" customHeight="1" x14ac:dyDescent="0.35">
      <c r="A424" s="129"/>
      <c r="B424" s="137"/>
      <c r="C424" s="137"/>
      <c r="D424" s="137"/>
      <c r="E424" s="137"/>
      <c r="F424" s="137"/>
      <c r="G424" s="137"/>
      <c r="H424" s="137"/>
      <c r="I424" s="137"/>
      <c r="J424" s="138"/>
      <c r="K424" s="137"/>
      <c r="L424" s="137"/>
      <c r="M424" s="137"/>
      <c r="N424" s="137"/>
      <c r="O424" s="137"/>
      <c r="P424" s="137"/>
      <c r="Q424" s="137"/>
    </row>
    <row r="425" spans="1:17" ht="15" customHeight="1" x14ac:dyDescent="0.35">
      <c r="A425" s="129"/>
      <c r="B425" s="137"/>
      <c r="C425" s="137"/>
      <c r="D425" s="137"/>
      <c r="E425" s="137"/>
      <c r="F425" s="137"/>
      <c r="G425" s="137"/>
      <c r="H425" s="137"/>
      <c r="I425" s="137"/>
      <c r="J425" s="138"/>
      <c r="K425" s="137"/>
      <c r="L425" s="137"/>
      <c r="M425" s="137"/>
      <c r="N425" s="137"/>
      <c r="O425" s="137"/>
      <c r="P425" s="137"/>
      <c r="Q425" s="137"/>
    </row>
    <row r="426" spans="1:17" ht="15" customHeight="1" x14ac:dyDescent="0.35">
      <c r="A426" s="129"/>
      <c r="B426" s="137"/>
      <c r="C426" s="137"/>
      <c r="D426" s="137"/>
      <c r="E426" s="137"/>
      <c r="F426" s="137"/>
      <c r="G426" s="137"/>
      <c r="H426" s="137"/>
      <c r="I426" s="137"/>
      <c r="J426" s="138"/>
      <c r="K426" s="137"/>
      <c r="L426" s="137"/>
      <c r="M426" s="137"/>
      <c r="N426" s="137"/>
      <c r="O426" s="137"/>
      <c r="P426" s="137"/>
      <c r="Q426" s="137"/>
    </row>
    <row r="427" spans="1:17" ht="15" customHeight="1" x14ac:dyDescent="0.35">
      <c r="A427" s="129"/>
      <c r="B427" s="137"/>
      <c r="C427" s="137"/>
      <c r="D427" s="137"/>
      <c r="E427" s="137"/>
      <c r="F427" s="137"/>
      <c r="G427" s="137"/>
      <c r="H427" s="137"/>
      <c r="I427" s="137"/>
      <c r="J427" s="138"/>
      <c r="K427" s="137"/>
      <c r="L427" s="137"/>
      <c r="M427" s="137"/>
      <c r="N427" s="137"/>
      <c r="O427" s="137"/>
      <c r="P427" s="137"/>
      <c r="Q427" s="137"/>
    </row>
    <row r="428" spans="1:17" ht="15" customHeight="1" x14ac:dyDescent="0.35">
      <c r="A428" s="129"/>
      <c r="B428" s="137"/>
      <c r="C428" s="137"/>
      <c r="D428" s="137"/>
      <c r="E428" s="137"/>
      <c r="F428" s="137"/>
      <c r="G428" s="137"/>
      <c r="H428" s="137"/>
      <c r="I428" s="137"/>
      <c r="J428" s="138"/>
      <c r="K428" s="137"/>
      <c r="L428" s="137"/>
      <c r="M428" s="137"/>
      <c r="N428" s="137"/>
      <c r="O428" s="137"/>
      <c r="P428" s="137"/>
      <c r="Q428" s="137"/>
    </row>
    <row r="429" spans="1:17" ht="15" customHeight="1" x14ac:dyDescent="0.35">
      <c r="A429" s="129"/>
      <c r="B429" s="137"/>
      <c r="C429" s="137"/>
      <c r="D429" s="137"/>
      <c r="E429" s="137"/>
      <c r="F429" s="137"/>
      <c r="G429" s="137"/>
      <c r="H429" s="137"/>
      <c r="I429" s="137"/>
      <c r="J429" s="138"/>
      <c r="K429" s="137"/>
      <c r="L429" s="137"/>
      <c r="M429" s="137"/>
      <c r="N429" s="137"/>
      <c r="O429" s="137"/>
      <c r="P429" s="137"/>
      <c r="Q429" s="137"/>
    </row>
    <row r="430" spans="1:17" ht="15" customHeight="1" x14ac:dyDescent="0.35">
      <c r="A430" s="129"/>
      <c r="B430" s="137"/>
      <c r="C430" s="137"/>
      <c r="D430" s="137"/>
      <c r="E430" s="137"/>
      <c r="F430" s="137"/>
      <c r="G430" s="137"/>
      <c r="H430" s="137"/>
      <c r="I430" s="137"/>
      <c r="J430" s="138"/>
      <c r="K430" s="137"/>
      <c r="L430" s="137"/>
      <c r="M430" s="137"/>
      <c r="N430" s="137"/>
      <c r="O430" s="137"/>
      <c r="P430" s="137"/>
      <c r="Q430" s="137"/>
    </row>
    <row r="431" spans="1:17" ht="15" customHeight="1" x14ac:dyDescent="0.35">
      <c r="A431" s="129"/>
      <c r="B431" s="137"/>
      <c r="C431" s="137"/>
      <c r="D431" s="137"/>
      <c r="E431" s="137"/>
      <c r="F431" s="137"/>
      <c r="G431" s="137"/>
      <c r="H431" s="137"/>
      <c r="I431" s="137"/>
      <c r="J431" s="138"/>
      <c r="K431" s="137"/>
      <c r="L431" s="137"/>
      <c r="M431" s="137"/>
      <c r="N431" s="137"/>
      <c r="O431" s="137"/>
      <c r="P431" s="137"/>
      <c r="Q431" s="137"/>
    </row>
    <row r="432" spans="1:17" ht="15" customHeight="1" x14ac:dyDescent="0.35">
      <c r="A432" s="129"/>
      <c r="B432" s="137"/>
      <c r="C432" s="137"/>
      <c r="D432" s="137"/>
      <c r="E432" s="137"/>
      <c r="F432" s="137"/>
      <c r="G432" s="137"/>
      <c r="H432" s="137"/>
      <c r="I432" s="137"/>
      <c r="J432" s="138"/>
      <c r="K432" s="137"/>
      <c r="L432" s="137"/>
      <c r="M432" s="137"/>
      <c r="N432" s="137"/>
      <c r="O432" s="137"/>
      <c r="P432" s="137"/>
      <c r="Q432" s="137"/>
    </row>
    <row r="433" spans="1:17" ht="15" customHeight="1" x14ac:dyDescent="0.35">
      <c r="A433" s="129"/>
      <c r="B433" s="137"/>
      <c r="C433" s="137"/>
      <c r="D433" s="137"/>
      <c r="E433" s="137"/>
      <c r="F433" s="137"/>
      <c r="G433" s="137"/>
      <c r="H433" s="137"/>
      <c r="I433" s="137"/>
      <c r="J433" s="138"/>
      <c r="K433" s="137"/>
      <c r="L433" s="137"/>
      <c r="M433" s="137"/>
      <c r="N433" s="137"/>
      <c r="O433" s="137"/>
      <c r="P433" s="137"/>
      <c r="Q433" s="137"/>
    </row>
    <row r="434" spans="1:17" ht="15" customHeight="1" x14ac:dyDescent="0.35">
      <c r="A434" s="129"/>
      <c r="B434" s="137"/>
      <c r="C434" s="137"/>
      <c r="D434" s="137"/>
      <c r="E434" s="137"/>
      <c r="F434" s="137"/>
      <c r="G434" s="137"/>
      <c r="H434" s="137"/>
      <c r="I434" s="137"/>
      <c r="J434" s="138"/>
      <c r="K434" s="137"/>
      <c r="L434" s="137"/>
      <c r="M434" s="137"/>
      <c r="N434" s="137"/>
      <c r="O434" s="137"/>
      <c r="P434" s="137"/>
      <c r="Q434" s="137"/>
    </row>
    <row r="435" spans="1:17" ht="15" customHeight="1" x14ac:dyDescent="0.35">
      <c r="A435" s="129"/>
      <c r="B435" s="137"/>
      <c r="C435" s="137"/>
      <c r="D435" s="137"/>
      <c r="E435" s="137"/>
      <c r="F435" s="137"/>
      <c r="G435" s="137"/>
      <c r="H435" s="137"/>
      <c r="I435" s="137"/>
      <c r="J435" s="138"/>
      <c r="K435" s="137"/>
      <c r="L435" s="137"/>
      <c r="M435" s="137"/>
      <c r="N435" s="137"/>
      <c r="O435" s="137"/>
      <c r="P435" s="137"/>
      <c r="Q435" s="137"/>
    </row>
    <row r="436" spans="1:17" ht="15" customHeight="1" x14ac:dyDescent="0.35">
      <c r="A436" s="129"/>
      <c r="B436" s="137"/>
      <c r="C436" s="137"/>
      <c r="D436" s="137"/>
      <c r="E436" s="137"/>
      <c r="F436" s="137"/>
      <c r="G436" s="137"/>
      <c r="H436" s="137"/>
      <c r="I436" s="137"/>
      <c r="J436" s="138"/>
      <c r="K436" s="137"/>
      <c r="L436" s="137"/>
      <c r="M436" s="137"/>
      <c r="N436" s="137"/>
      <c r="O436" s="137"/>
      <c r="P436" s="137"/>
      <c r="Q436" s="137"/>
    </row>
    <row r="437" spans="1:17" ht="15" customHeight="1" x14ac:dyDescent="0.35">
      <c r="A437" s="129"/>
      <c r="B437" s="137"/>
      <c r="C437" s="137"/>
      <c r="D437" s="137"/>
      <c r="E437" s="137"/>
      <c r="F437" s="137"/>
      <c r="G437" s="137"/>
      <c r="H437" s="137"/>
      <c r="I437" s="137"/>
      <c r="J437" s="138"/>
      <c r="K437" s="137"/>
      <c r="L437" s="137"/>
      <c r="M437" s="137"/>
      <c r="N437" s="137"/>
      <c r="O437" s="137"/>
      <c r="P437" s="137"/>
      <c r="Q437" s="137"/>
    </row>
    <row r="438" spans="1:17" ht="15" customHeight="1" x14ac:dyDescent="0.35">
      <c r="A438" s="129"/>
      <c r="B438" s="137"/>
      <c r="C438" s="137"/>
      <c r="D438" s="137"/>
      <c r="E438" s="137"/>
      <c r="F438" s="137"/>
      <c r="G438" s="137"/>
      <c r="H438" s="137"/>
      <c r="I438" s="137"/>
      <c r="J438" s="138"/>
      <c r="K438" s="137"/>
      <c r="L438" s="137"/>
      <c r="M438" s="137"/>
      <c r="N438" s="137"/>
      <c r="O438" s="137"/>
      <c r="P438" s="137"/>
      <c r="Q438" s="137"/>
    </row>
    <row r="439" spans="1:17" ht="15" customHeight="1" x14ac:dyDescent="0.35">
      <c r="A439" s="129"/>
      <c r="B439" s="137"/>
      <c r="C439" s="137"/>
      <c r="D439" s="137"/>
      <c r="E439" s="137"/>
      <c r="F439" s="137"/>
      <c r="G439" s="137"/>
      <c r="H439" s="137"/>
      <c r="I439" s="137"/>
      <c r="J439" s="138"/>
      <c r="K439" s="137"/>
      <c r="L439" s="137"/>
      <c r="M439" s="137"/>
      <c r="N439" s="137"/>
      <c r="O439" s="137"/>
      <c r="P439" s="137"/>
      <c r="Q439" s="137"/>
    </row>
    <row r="440" spans="1:17" ht="15" customHeight="1" x14ac:dyDescent="0.35">
      <c r="A440" s="129"/>
      <c r="B440" s="137"/>
      <c r="C440" s="137"/>
      <c r="D440" s="137"/>
      <c r="E440" s="137"/>
      <c r="F440" s="137"/>
      <c r="G440" s="137"/>
      <c r="H440" s="137"/>
      <c r="I440" s="137"/>
      <c r="J440" s="138"/>
      <c r="K440" s="137"/>
      <c r="L440" s="137"/>
      <c r="M440" s="137"/>
      <c r="N440" s="137"/>
      <c r="O440" s="137"/>
      <c r="P440" s="137"/>
      <c r="Q440" s="137"/>
    </row>
    <row r="441" spans="1:17" ht="15" customHeight="1" x14ac:dyDescent="0.35">
      <c r="A441" s="129"/>
      <c r="B441" s="137"/>
      <c r="C441" s="137"/>
      <c r="D441" s="137"/>
      <c r="E441" s="137"/>
      <c r="F441" s="137"/>
      <c r="G441" s="137"/>
      <c r="H441" s="137"/>
      <c r="I441" s="137"/>
      <c r="J441" s="138"/>
      <c r="K441" s="137"/>
      <c r="L441" s="137"/>
      <c r="M441" s="137"/>
      <c r="N441" s="137"/>
      <c r="O441" s="137"/>
      <c r="P441" s="137"/>
      <c r="Q441" s="137"/>
    </row>
    <row r="442" spans="1:17" ht="15" customHeight="1" x14ac:dyDescent="0.35">
      <c r="A442" s="129"/>
      <c r="B442" s="137"/>
      <c r="C442" s="137"/>
      <c r="D442" s="137"/>
      <c r="E442" s="137"/>
      <c r="F442" s="137"/>
      <c r="G442" s="137"/>
      <c r="H442" s="137"/>
      <c r="I442" s="137"/>
      <c r="J442" s="138"/>
      <c r="K442" s="137"/>
      <c r="L442" s="137"/>
      <c r="M442" s="137"/>
      <c r="N442" s="137"/>
      <c r="O442" s="137"/>
      <c r="P442" s="137"/>
      <c r="Q442" s="137"/>
    </row>
    <row r="443" spans="1:17" ht="15" customHeight="1" x14ac:dyDescent="0.35">
      <c r="A443" s="129"/>
      <c r="B443" s="137"/>
      <c r="C443" s="137"/>
      <c r="D443" s="137"/>
      <c r="E443" s="137"/>
      <c r="F443" s="137"/>
      <c r="G443" s="137"/>
      <c r="H443" s="137"/>
      <c r="I443" s="137"/>
      <c r="J443" s="138"/>
      <c r="K443" s="137"/>
      <c r="L443" s="137"/>
      <c r="M443" s="137"/>
      <c r="N443" s="137"/>
      <c r="O443" s="137"/>
      <c r="P443" s="137"/>
      <c r="Q443" s="137"/>
    </row>
    <row r="444" spans="1:17" ht="15" customHeight="1" x14ac:dyDescent="0.35">
      <c r="A444" s="129"/>
      <c r="B444" s="137"/>
      <c r="C444" s="137"/>
      <c r="D444" s="137"/>
      <c r="E444" s="137"/>
      <c r="F444" s="137"/>
      <c r="G444" s="137"/>
      <c r="H444" s="137"/>
      <c r="I444" s="137"/>
      <c r="J444" s="138"/>
      <c r="K444" s="137"/>
      <c r="L444" s="137"/>
      <c r="M444" s="137"/>
      <c r="N444" s="137"/>
      <c r="O444" s="137"/>
      <c r="P444" s="137"/>
      <c r="Q444" s="137"/>
    </row>
    <row r="445" spans="1:17" ht="15" customHeight="1" x14ac:dyDescent="0.35">
      <c r="A445" s="129"/>
      <c r="B445" s="137"/>
      <c r="C445" s="137"/>
      <c r="D445" s="137"/>
      <c r="E445" s="137"/>
      <c r="F445" s="137"/>
      <c r="G445" s="137"/>
      <c r="H445" s="137"/>
      <c r="I445" s="137"/>
      <c r="J445" s="138"/>
      <c r="K445" s="137"/>
      <c r="L445" s="137"/>
      <c r="M445" s="137"/>
      <c r="N445" s="137"/>
      <c r="O445" s="137"/>
      <c r="P445" s="137"/>
      <c r="Q445" s="137"/>
    </row>
    <row r="446" spans="1:17" ht="15" customHeight="1" x14ac:dyDescent="0.35">
      <c r="A446" s="129"/>
      <c r="B446" s="137"/>
      <c r="C446" s="137"/>
      <c r="D446" s="137"/>
      <c r="E446" s="137"/>
      <c r="F446" s="137"/>
      <c r="G446" s="137"/>
      <c r="H446" s="137"/>
      <c r="I446" s="137"/>
      <c r="J446" s="138"/>
      <c r="K446" s="137"/>
      <c r="L446" s="137"/>
      <c r="M446" s="137"/>
      <c r="N446" s="137"/>
      <c r="O446" s="137"/>
      <c r="P446" s="137"/>
      <c r="Q446" s="137"/>
    </row>
    <row r="447" spans="1:17" ht="15" customHeight="1" x14ac:dyDescent="0.35">
      <c r="A447" s="129"/>
      <c r="B447" s="137"/>
      <c r="C447" s="137"/>
      <c r="D447" s="137"/>
      <c r="E447" s="137"/>
      <c r="F447" s="137"/>
      <c r="G447" s="137"/>
      <c r="H447" s="137"/>
      <c r="I447" s="137"/>
      <c r="J447" s="138"/>
      <c r="K447" s="137"/>
      <c r="L447" s="137"/>
      <c r="M447" s="137"/>
      <c r="N447" s="137"/>
      <c r="O447" s="137"/>
      <c r="P447" s="137"/>
      <c r="Q447" s="137"/>
    </row>
    <row r="448" spans="1:17" ht="15" customHeight="1" x14ac:dyDescent="0.35">
      <c r="A448" s="129"/>
      <c r="B448" s="137"/>
      <c r="C448" s="137"/>
      <c r="D448" s="137"/>
      <c r="E448" s="137"/>
      <c r="F448" s="137"/>
      <c r="G448" s="137"/>
      <c r="H448" s="137"/>
      <c r="I448" s="137"/>
      <c r="J448" s="138"/>
      <c r="K448" s="137"/>
      <c r="L448" s="137"/>
      <c r="M448" s="137"/>
      <c r="N448" s="137"/>
      <c r="O448" s="137"/>
      <c r="P448" s="137"/>
      <c r="Q448" s="137"/>
    </row>
    <row r="449" spans="1:17" ht="15" customHeight="1" x14ac:dyDescent="0.35">
      <c r="A449" s="129"/>
      <c r="B449" s="137"/>
      <c r="C449" s="137"/>
      <c r="D449" s="137"/>
      <c r="E449" s="137"/>
      <c r="F449" s="137"/>
      <c r="G449" s="137"/>
      <c r="H449" s="137"/>
      <c r="I449" s="137"/>
      <c r="J449" s="138"/>
      <c r="K449" s="137"/>
      <c r="L449" s="137"/>
      <c r="M449" s="137"/>
      <c r="N449" s="137"/>
      <c r="O449" s="137"/>
      <c r="P449" s="137"/>
      <c r="Q449" s="137"/>
    </row>
    <row r="450" spans="1:17" ht="15" customHeight="1" x14ac:dyDescent="0.35">
      <c r="A450" s="129"/>
      <c r="B450" s="137"/>
      <c r="C450" s="137"/>
      <c r="D450" s="137"/>
      <c r="E450" s="137"/>
      <c r="F450" s="137"/>
      <c r="G450" s="137"/>
      <c r="H450" s="137"/>
      <c r="I450" s="137"/>
      <c r="J450" s="138"/>
      <c r="K450" s="137"/>
      <c r="L450" s="137"/>
      <c r="M450" s="137"/>
      <c r="N450" s="137"/>
      <c r="O450" s="137"/>
      <c r="P450" s="137"/>
      <c r="Q450" s="137"/>
    </row>
    <row r="451" spans="1:17" ht="15" customHeight="1" x14ac:dyDescent="0.35">
      <c r="A451" s="129"/>
      <c r="B451" s="137"/>
      <c r="C451" s="137"/>
      <c r="D451" s="137"/>
      <c r="E451" s="137"/>
      <c r="F451" s="137"/>
      <c r="G451" s="137"/>
      <c r="H451" s="137"/>
      <c r="I451" s="137"/>
      <c r="J451" s="138"/>
      <c r="K451" s="137"/>
      <c r="L451" s="137"/>
      <c r="M451" s="137"/>
      <c r="N451" s="137"/>
      <c r="O451" s="137"/>
      <c r="P451" s="137"/>
      <c r="Q451" s="137"/>
    </row>
    <row r="452" spans="1:17" ht="15" customHeight="1" x14ac:dyDescent="0.35">
      <c r="A452" s="129"/>
      <c r="B452" s="137"/>
      <c r="C452" s="137"/>
      <c r="D452" s="137"/>
      <c r="E452" s="137"/>
      <c r="F452" s="137"/>
      <c r="G452" s="137"/>
      <c r="H452" s="137"/>
      <c r="I452" s="137"/>
      <c r="J452" s="138"/>
      <c r="K452" s="137"/>
      <c r="L452" s="137"/>
      <c r="M452" s="137"/>
      <c r="N452" s="137"/>
      <c r="O452" s="137"/>
      <c r="P452" s="137"/>
      <c r="Q452" s="137"/>
    </row>
    <row r="453" spans="1:17" ht="15" customHeight="1" x14ac:dyDescent="0.35">
      <c r="A453" s="129"/>
      <c r="B453" s="137"/>
      <c r="C453" s="137"/>
      <c r="D453" s="137"/>
      <c r="E453" s="137"/>
      <c r="F453" s="137"/>
      <c r="G453" s="137"/>
      <c r="H453" s="137"/>
      <c r="I453" s="137"/>
      <c r="J453" s="138"/>
      <c r="K453" s="137"/>
      <c r="L453" s="137"/>
      <c r="M453" s="137"/>
      <c r="N453" s="137"/>
      <c r="O453" s="137"/>
      <c r="P453" s="137"/>
      <c r="Q453" s="137"/>
    </row>
    <row r="454" spans="1:17" ht="15" customHeight="1" x14ac:dyDescent="0.35">
      <c r="A454" s="129"/>
      <c r="B454" s="137"/>
      <c r="C454" s="137"/>
      <c r="D454" s="137"/>
      <c r="E454" s="137"/>
      <c r="F454" s="137"/>
      <c r="G454" s="137"/>
      <c r="H454" s="137"/>
      <c r="I454" s="137"/>
      <c r="J454" s="138"/>
      <c r="K454" s="137"/>
      <c r="L454" s="137"/>
      <c r="M454" s="137"/>
      <c r="N454" s="137"/>
      <c r="O454" s="137"/>
      <c r="P454" s="137"/>
      <c r="Q454" s="137"/>
    </row>
    <row r="455" spans="1:17" ht="15" customHeight="1" x14ac:dyDescent="0.35">
      <c r="A455" s="129"/>
      <c r="B455" s="137"/>
      <c r="C455" s="137"/>
      <c r="D455" s="137"/>
      <c r="E455" s="137"/>
      <c r="F455" s="137"/>
      <c r="G455" s="137"/>
      <c r="H455" s="137"/>
      <c r="I455" s="137"/>
      <c r="J455" s="138"/>
      <c r="K455" s="137"/>
      <c r="L455" s="137"/>
      <c r="M455" s="137"/>
      <c r="N455" s="137"/>
      <c r="O455" s="137"/>
      <c r="P455" s="137"/>
      <c r="Q455" s="137"/>
    </row>
    <row r="456" spans="1:17" ht="15" customHeight="1" x14ac:dyDescent="0.35">
      <c r="A456" s="129"/>
      <c r="B456" s="137"/>
      <c r="C456" s="137"/>
      <c r="D456" s="137"/>
      <c r="E456" s="137"/>
      <c r="F456" s="137"/>
      <c r="G456" s="137"/>
      <c r="H456" s="137"/>
      <c r="I456" s="137"/>
      <c r="J456" s="138"/>
      <c r="K456" s="137"/>
      <c r="L456" s="137"/>
      <c r="M456" s="137"/>
      <c r="N456" s="137"/>
      <c r="O456" s="137"/>
      <c r="P456" s="137"/>
      <c r="Q456" s="137"/>
    </row>
    <row r="457" spans="1:17" ht="15" customHeight="1" x14ac:dyDescent="0.35">
      <c r="A457" s="129"/>
      <c r="B457" s="137"/>
      <c r="C457" s="137"/>
      <c r="D457" s="137"/>
      <c r="E457" s="137"/>
      <c r="F457" s="137"/>
      <c r="G457" s="137"/>
      <c r="H457" s="137"/>
      <c r="I457" s="137"/>
      <c r="J457" s="138"/>
      <c r="K457" s="137"/>
      <c r="L457" s="137"/>
      <c r="M457" s="137"/>
      <c r="N457" s="137"/>
      <c r="O457" s="137"/>
      <c r="P457" s="137"/>
      <c r="Q457" s="137"/>
    </row>
    <row r="458" spans="1:17" ht="15" customHeight="1" x14ac:dyDescent="0.35">
      <c r="A458" s="129"/>
      <c r="B458" s="137"/>
      <c r="C458" s="137"/>
      <c r="D458" s="137"/>
      <c r="E458" s="137"/>
      <c r="F458" s="137"/>
      <c r="G458" s="137"/>
      <c r="H458" s="137"/>
      <c r="I458" s="137"/>
      <c r="J458" s="138"/>
      <c r="K458" s="137"/>
      <c r="L458" s="137"/>
      <c r="M458" s="137"/>
      <c r="N458" s="137"/>
      <c r="O458" s="137"/>
      <c r="P458" s="137"/>
      <c r="Q458" s="137"/>
    </row>
    <row r="459" spans="1:17" ht="15" customHeight="1" x14ac:dyDescent="0.35">
      <c r="A459" s="129"/>
      <c r="B459" s="137"/>
      <c r="C459" s="137"/>
      <c r="D459" s="137"/>
      <c r="E459" s="137"/>
      <c r="F459" s="137"/>
      <c r="G459" s="137"/>
      <c r="H459" s="137"/>
      <c r="I459" s="137"/>
      <c r="J459" s="138"/>
      <c r="K459" s="137"/>
      <c r="L459" s="137"/>
      <c r="M459" s="137"/>
      <c r="N459" s="137"/>
      <c r="O459" s="137"/>
      <c r="P459" s="137"/>
      <c r="Q459" s="137"/>
    </row>
    <row r="460" spans="1:17" ht="15" customHeight="1" x14ac:dyDescent="0.35">
      <c r="A460" s="129"/>
      <c r="B460" s="137"/>
      <c r="C460" s="137"/>
      <c r="D460" s="137"/>
      <c r="E460" s="137"/>
      <c r="F460" s="137"/>
      <c r="G460" s="137"/>
      <c r="H460" s="137"/>
      <c r="I460" s="137"/>
      <c r="J460" s="138"/>
      <c r="K460" s="137"/>
      <c r="L460" s="137"/>
      <c r="M460" s="137"/>
      <c r="N460" s="137"/>
      <c r="O460" s="137"/>
      <c r="P460" s="137"/>
      <c r="Q460" s="137"/>
    </row>
    <row r="461" spans="1:17" ht="15" customHeight="1" x14ac:dyDescent="0.35">
      <c r="A461" s="129"/>
      <c r="B461" s="137"/>
      <c r="C461" s="137"/>
      <c r="D461" s="137"/>
      <c r="E461" s="137"/>
      <c r="F461" s="137"/>
      <c r="G461" s="137"/>
      <c r="H461" s="137"/>
      <c r="I461" s="137"/>
      <c r="J461" s="138"/>
      <c r="K461" s="137"/>
      <c r="L461" s="137"/>
      <c r="M461" s="137"/>
      <c r="N461" s="137"/>
      <c r="O461" s="137"/>
      <c r="P461" s="137"/>
      <c r="Q461" s="137"/>
    </row>
    <row r="462" spans="1:17" ht="15" customHeight="1" x14ac:dyDescent="0.35">
      <c r="A462" s="129"/>
      <c r="B462" s="137"/>
      <c r="C462" s="137"/>
      <c r="D462" s="137"/>
      <c r="E462" s="137"/>
      <c r="F462" s="137"/>
      <c r="G462" s="137"/>
      <c r="H462" s="137"/>
      <c r="I462" s="137"/>
      <c r="J462" s="138"/>
      <c r="K462" s="137"/>
      <c r="L462" s="137"/>
      <c r="M462" s="137"/>
      <c r="N462" s="137"/>
      <c r="O462" s="137"/>
      <c r="P462" s="137"/>
      <c r="Q462" s="137"/>
    </row>
    <row r="463" spans="1:17" ht="15" customHeight="1" x14ac:dyDescent="0.35">
      <c r="A463" s="129"/>
      <c r="B463" s="137"/>
      <c r="C463" s="137"/>
      <c r="D463" s="137"/>
      <c r="E463" s="137"/>
      <c r="F463" s="137"/>
      <c r="G463" s="137"/>
      <c r="H463" s="137"/>
      <c r="I463" s="137"/>
      <c r="J463" s="138"/>
      <c r="K463" s="137"/>
      <c r="L463" s="137"/>
      <c r="M463" s="137"/>
      <c r="N463" s="137"/>
      <c r="O463" s="137"/>
      <c r="P463" s="137"/>
      <c r="Q463" s="137"/>
    </row>
    <row r="464" spans="1:17" ht="15" customHeight="1" x14ac:dyDescent="0.35">
      <c r="A464" s="129"/>
      <c r="B464" s="137"/>
      <c r="C464" s="137"/>
      <c r="D464" s="137"/>
      <c r="E464" s="137"/>
      <c r="F464" s="137"/>
      <c r="G464" s="137"/>
      <c r="H464" s="137"/>
      <c r="I464" s="137"/>
      <c r="J464" s="138"/>
      <c r="K464" s="137"/>
      <c r="L464" s="137"/>
      <c r="M464" s="137"/>
      <c r="N464" s="137"/>
      <c r="O464" s="137"/>
      <c r="P464" s="137"/>
      <c r="Q464" s="137"/>
    </row>
    <row r="465" spans="1:17" ht="15" customHeight="1" x14ac:dyDescent="0.35">
      <c r="A465" s="129"/>
      <c r="B465" s="137"/>
      <c r="C465" s="137"/>
      <c r="D465" s="137"/>
      <c r="E465" s="137"/>
      <c r="F465" s="137"/>
      <c r="G465" s="137"/>
      <c r="H465" s="137"/>
      <c r="I465" s="137"/>
      <c r="J465" s="138"/>
      <c r="K465" s="137"/>
      <c r="L465" s="137"/>
      <c r="M465" s="137"/>
      <c r="N465" s="137"/>
      <c r="O465" s="137"/>
      <c r="P465" s="137"/>
      <c r="Q465" s="137"/>
    </row>
    <row r="466" spans="1:17" ht="15" customHeight="1" x14ac:dyDescent="0.35">
      <c r="A466" s="129"/>
      <c r="B466" s="137"/>
      <c r="C466" s="137"/>
      <c r="D466" s="137"/>
      <c r="E466" s="137"/>
      <c r="F466" s="137"/>
      <c r="G466" s="137"/>
      <c r="H466" s="137"/>
      <c r="I466" s="137"/>
      <c r="J466" s="138"/>
      <c r="K466" s="137"/>
      <c r="L466" s="137"/>
      <c r="M466" s="137"/>
      <c r="N466" s="137"/>
      <c r="O466" s="137"/>
      <c r="P466" s="137"/>
      <c r="Q466" s="137"/>
    </row>
    <row r="467" spans="1:17" ht="15" customHeight="1" x14ac:dyDescent="0.35">
      <c r="A467" s="129"/>
      <c r="B467" s="137"/>
      <c r="C467" s="137"/>
      <c r="D467" s="137"/>
      <c r="E467" s="137"/>
      <c r="F467" s="137"/>
      <c r="G467" s="137"/>
      <c r="H467" s="137"/>
      <c r="I467" s="137"/>
      <c r="J467" s="138"/>
      <c r="K467" s="137"/>
      <c r="L467" s="137"/>
      <c r="M467" s="137"/>
      <c r="N467" s="137"/>
      <c r="O467" s="137"/>
      <c r="P467" s="137"/>
      <c r="Q467" s="137"/>
    </row>
    <row r="468" spans="1:17" ht="15" customHeight="1" x14ac:dyDescent="0.35">
      <c r="A468" s="129"/>
      <c r="B468" s="137"/>
      <c r="C468" s="137"/>
      <c r="D468" s="137"/>
      <c r="E468" s="137"/>
      <c r="F468" s="137"/>
      <c r="G468" s="137"/>
      <c r="H468" s="137"/>
      <c r="I468" s="137"/>
      <c r="J468" s="138"/>
      <c r="K468" s="137"/>
      <c r="L468" s="137"/>
      <c r="M468" s="137"/>
      <c r="N468" s="137"/>
      <c r="O468" s="137"/>
      <c r="P468" s="137"/>
      <c r="Q468" s="137"/>
    </row>
    <row r="469" spans="1:17" ht="15" customHeight="1" x14ac:dyDescent="0.35">
      <c r="A469" s="129"/>
      <c r="B469" s="137"/>
      <c r="C469" s="137"/>
      <c r="D469" s="137"/>
      <c r="E469" s="137"/>
      <c r="F469" s="137"/>
      <c r="G469" s="137"/>
      <c r="H469" s="137"/>
      <c r="I469" s="137"/>
      <c r="J469" s="138"/>
      <c r="K469" s="137"/>
      <c r="L469" s="137"/>
      <c r="M469" s="137"/>
      <c r="N469" s="137"/>
      <c r="O469" s="137"/>
      <c r="P469" s="137"/>
      <c r="Q469" s="137"/>
    </row>
    <row r="470" spans="1:17" ht="15" customHeight="1" x14ac:dyDescent="0.35">
      <c r="A470" s="129"/>
      <c r="B470" s="137"/>
      <c r="C470" s="137"/>
      <c r="D470" s="137"/>
      <c r="E470" s="137"/>
      <c r="F470" s="137"/>
      <c r="G470" s="137"/>
      <c r="H470" s="137"/>
      <c r="I470" s="137"/>
      <c r="J470" s="138"/>
      <c r="K470" s="137"/>
      <c r="L470" s="137"/>
      <c r="M470" s="137"/>
      <c r="N470" s="137"/>
      <c r="O470" s="137"/>
      <c r="P470" s="137"/>
      <c r="Q470" s="137"/>
    </row>
    <row r="471" spans="1:17" ht="15" customHeight="1" x14ac:dyDescent="0.35">
      <c r="A471" s="129"/>
      <c r="B471" s="137"/>
      <c r="C471" s="137"/>
      <c r="D471" s="137"/>
      <c r="E471" s="137"/>
      <c r="F471" s="137"/>
      <c r="G471" s="137"/>
      <c r="H471" s="137"/>
      <c r="I471" s="137"/>
      <c r="J471" s="138"/>
      <c r="K471" s="137"/>
      <c r="L471" s="137"/>
      <c r="M471" s="137"/>
      <c r="N471" s="137"/>
      <c r="O471" s="137"/>
      <c r="P471" s="137"/>
      <c r="Q471" s="137"/>
    </row>
    <row r="472" spans="1:17" ht="15" customHeight="1" x14ac:dyDescent="0.35">
      <c r="A472" s="129"/>
      <c r="B472" s="137"/>
      <c r="C472" s="137"/>
      <c r="D472" s="137"/>
      <c r="E472" s="137"/>
      <c r="F472" s="137"/>
      <c r="G472" s="137"/>
      <c r="H472" s="137"/>
      <c r="I472" s="137"/>
      <c r="J472" s="138"/>
      <c r="K472" s="137"/>
      <c r="L472" s="137"/>
      <c r="M472" s="137"/>
      <c r="N472" s="137"/>
      <c r="O472" s="137"/>
      <c r="P472" s="137"/>
      <c r="Q472" s="137"/>
    </row>
    <row r="473" spans="1:17" ht="15" customHeight="1" x14ac:dyDescent="0.35">
      <c r="A473" s="129"/>
      <c r="B473" s="137"/>
      <c r="C473" s="137"/>
      <c r="D473" s="137"/>
      <c r="E473" s="137"/>
      <c r="F473" s="137"/>
      <c r="G473" s="137"/>
      <c r="H473" s="137"/>
      <c r="I473" s="137"/>
      <c r="J473" s="138"/>
      <c r="K473" s="137"/>
      <c r="L473" s="137"/>
      <c r="M473" s="137"/>
      <c r="N473" s="137"/>
      <c r="O473" s="137"/>
      <c r="P473" s="137"/>
      <c r="Q473" s="137"/>
    </row>
    <row r="474" spans="1:17" ht="15" customHeight="1" x14ac:dyDescent="0.35">
      <c r="A474" s="129"/>
      <c r="B474" s="137"/>
      <c r="C474" s="137"/>
      <c r="D474" s="137"/>
      <c r="E474" s="137"/>
      <c r="F474" s="137"/>
      <c r="G474" s="137"/>
      <c r="H474" s="137"/>
      <c r="I474" s="137"/>
      <c r="J474" s="138"/>
      <c r="K474" s="137"/>
      <c r="L474" s="137"/>
      <c r="M474" s="137"/>
      <c r="N474" s="137"/>
      <c r="O474" s="137"/>
      <c r="P474" s="137"/>
      <c r="Q474" s="137"/>
    </row>
    <row r="475" spans="1:17" ht="15" customHeight="1" x14ac:dyDescent="0.35">
      <c r="A475" s="129"/>
      <c r="B475" s="137"/>
      <c r="C475" s="137"/>
      <c r="D475" s="137"/>
      <c r="E475" s="137"/>
      <c r="F475" s="137"/>
      <c r="G475" s="137"/>
      <c r="H475" s="137"/>
      <c r="I475" s="137"/>
      <c r="J475" s="138"/>
      <c r="K475" s="137"/>
      <c r="L475" s="137"/>
      <c r="M475" s="137"/>
      <c r="N475" s="137"/>
      <c r="O475" s="137"/>
      <c r="P475" s="137"/>
      <c r="Q475" s="137"/>
    </row>
    <row r="476" spans="1:17" ht="15" customHeight="1" x14ac:dyDescent="0.35">
      <c r="A476" s="129"/>
      <c r="B476" s="137"/>
      <c r="C476" s="137"/>
      <c r="D476" s="137"/>
      <c r="E476" s="137"/>
      <c r="F476" s="137"/>
      <c r="G476" s="137"/>
      <c r="H476" s="137"/>
      <c r="I476" s="137"/>
      <c r="J476" s="138"/>
      <c r="K476" s="137"/>
      <c r="L476" s="137"/>
      <c r="M476" s="137"/>
      <c r="N476" s="137"/>
      <c r="O476" s="137"/>
      <c r="P476" s="137"/>
      <c r="Q476" s="137"/>
    </row>
    <row r="477" spans="1:17" ht="15" customHeight="1" x14ac:dyDescent="0.35">
      <c r="A477" s="129"/>
      <c r="B477" s="137"/>
      <c r="C477" s="137"/>
      <c r="D477" s="137"/>
      <c r="E477" s="137"/>
      <c r="F477" s="137"/>
      <c r="G477" s="137"/>
      <c r="H477" s="137"/>
      <c r="I477" s="137"/>
      <c r="J477" s="138"/>
      <c r="K477" s="137"/>
      <c r="L477" s="137"/>
      <c r="M477" s="137"/>
      <c r="N477" s="137"/>
      <c r="O477" s="137"/>
      <c r="P477" s="137"/>
      <c r="Q477" s="137"/>
    </row>
    <row r="478" spans="1:17" ht="15" customHeight="1" x14ac:dyDescent="0.35">
      <c r="A478" s="129"/>
      <c r="B478" s="137"/>
      <c r="C478" s="137"/>
      <c r="D478" s="137"/>
      <c r="E478" s="137"/>
      <c r="F478" s="137"/>
      <c r="G478" s="137"/>
      <c r="H478" s="137"/>
      <c r="I478" s="137"/>
      <c r="J478" s="138"/>
      <c r="K478" s="137"/>
      <c r="L478" s="137"/>
      <c r="M478" s="137"/>
      <c r="N478" s="137"/>
      <c r="O478" s="137"/>
      <c r="P478" s="137"/>
      <c r="Q478" s="137"/>
    </row>
    <row r="479" spans="1:17" ht="15" customHeight="1" x14ac:dyDescent="0.35">
      <c r="A479" s="129"/>
      <c r="B479" s="137"/>
      <c r="C479" s="137"/>
      <c r="D479" s="137"/>
      <c r="E479" s="137"/>
      <c r="F479" s="137"/>
      <c r="G479" s="137"/>
      <c r="H479" s="137"/>
      <c r="I479" s="137"/>
      <c r="J479" s="138"/>
      <c r="K479" s="137"/>
      <c r="L479" s="137"/>
      <c r="M479" s="137"/>
      <c r="N479" s="137"/>
      <c r="O479" s="137"/>
      <c r="P479" s="137"/>
      <c r="Q479" s="137"/>
    </row>
    <row r="480" spans="1:17" ht="15" customHeight="1" x14ac:dyDescent="0.35">
      <c r="A480" s="129"/>
      <c r="B480" s="137"/>
      <c r="C480" s="137"/>
      <c r="D480" s="137"/>
      <c r="E480" s="137"/>
      <c r="F480" s="137"/>
      <c r="G480" s="137"/>
      <c r="H480" s="137"/>
      <c r="I480" s="137"/>
      <c r="J480" s="138"/>
      <c r="K480" s="137"/>
      <c r="L480" s="137"/>
      <c r="M480" s="137"/>
      <c r="N480" s="137"/>
      <c r="O480" s="137"/>
      <c r="P480" s="137"/>
      <c r="Q480" s="137"/>
    </row>
    <row r="481" spans="1:17" ht="15" customHeight="1" x14ac:dyDescent="0.35">
      <c r="A481" s="129"/>
      <c r="B481" s="137"/>
      <c r="C481" s="137"/>
      <c r="D481" s="137"/>
      <c r="E481" s="137"/>
      <c r="F481" s="137"/>
      <c r="G481" s="137"/>
      <c r="H481" s="137"/>
      <c r="I481" s="137"/>
      <c r="J481" s="138"/>
      <c r="K481" s="137"/>
      <c r="L481" s="137"/>
      <c r="M481" s="137"/>
      <c r="N481" s="137"/>
      <c r="O481" s="137"/>
      <c r="P481" s="137"/>
      <c r="Q481" s="137"/>
    </row>
    <row r="482" spans="1:17" ht="15" customHeight="1" x14ac:dyDescent="0.35">
      <c r="A482" s="129"/>
      <c r="B482" s="137"/>
      <c r="C482" s="137"/>
      <c r="D482" s="137"/>
      <c r="E482" s="137"/>
      <c r="F482" s="137"/>
      <c r="G482" s="137"/>
      <c r="H482" s="137"/>
      <c r="I482" s="137"/>
      <c r="J482" s="138"/>
      <c r="K482" s="137"/>
      <c r="L482" s="137"/>
      <c r="M482" s="137"/>
      <c r="N482" s="137"/>
      <c r="O482" s="137"/>
      <c r="P482" s="137"/>
      <c r="Q482" s="137"/>
    </row>
    <row r="483" spans="1:17" ht="15" customHeight="1" x14ac:dyDescent="0.35">
      <c r="A483" s="129"/>
      <c r="B483" s="137"/>
      <c r="C483" s="137"/>
      <c r="D483" s="137"/>
      <c r="E483" s="137"/>
      <c r="F483" s="137"/>
      <c r="G483" s="137"/>
      <c r="H483" s="137"/>
      <c r="I483" s="137"/>
      <c r="J483" s="138"/>
      <c r="K483" s="137"/>
      <c r="L483" s="137"/>
      <c r="M483" s="137"/>
      <c r="N483" s="137"/>
      <c r="O483" s="137"/>
      <c r="P483" s="137"/>
      <c r="Q483" s="137"/>
    </row>
    <row r="484" spans="1:17" ht="15" customHeight="1" x14ac:dyDescent="0.35">
      <c r="A484" s="129"/>
      <c r="B484" s="137"/>
      <c r="C484" s="137"/>
      <c r="D484" s="137"/>
      <c r="E484" s="137"/>
      <c r="F484" s="137"/>
      <c r="G484" s="137"/>
      <c r="H484" s="137"/>
      <c r="I484" s="137"/>
      <c r="J484" s="138"/>
      <c r="K484" s="137"/>
      <c r="L484" s="137"/>
      <c r="M484" s="137"/>
      <c r="N484" s="137"/>
      <c r="O484" s="137"/>
      <c r="P484" s="137"/>
      <c r="Q484" s="137"/>
    </row>
    <row r="485" spans="1:17" ht="15" customHeight="1" x14ac:dyDescent="0.35">
      <c r="A485" s="129"/>
      <c r="B485" s="137"/>
      <c r="C485" s="137"/>
      <c r="D485" s="137"/>
      <c r="E485" s="137"/>
      <c r="F485" s="137"/>
      <c r="G485" s="137"/>
      <c r="H485" s="137"/>
      <c r="I485" s="137"/>
      <c r="J485" s="138"/>
      <c r="K485" s="137"/>
      <c r="L485" s="137"/>
      <c r="M485" s="137"/>
      <c r="N485" s="137"/>
      <c r="O485" s="137"/>
      <c r="P485" s="137"/>
      <c r="Q485" s="137"/>
    </row>
    <row r="486" spans="1:17" ht="15" customHeight="1" x14ac:dyDescent="0.35">
      <c r="A486" s="129"/>
      <c r="B486" s="137"/>
      <c r="C486" s="137"/>
      <c r="D486" s="137"/>
      <c r="E486" s="137"/>
      <c r="F486" s="137"/>
      <c r="G486" s="137"/>
      <c r="H486" s="137"/>
      <c r="I486" s="137"/>
      <c r="J486" s="138"/>
      <c r="K486" s="137"/>
      <c r="L486" s="137"/>
      <c r="M486" s="137"/>
      <c r="N486" s="137"/>
      <c r="O486" s="137"/>
      <c r="P486" s="137"/>
      <c r="Q486" s="137"/>
    </row>
    <row r="487" spans="1:17" ht="15" customHeight="1" x14ac:dyDescent="0.35">
      <c r="A487" s="129"/>
      <c r="B487" s="137"/>
      <c r="C487" s="137"/>
      <c r="D487" s="137"/>
      <c r="E487" s="137"/>
      <c r="F487" s="137"/>
      <c r="G487" s="137"/>
      <c r="H487" s="137"/>
      <c r="I487" s="137"/>
      <c r="J487" s="138"/>
      <c r="K487" s="137"/>
      <c r="L487" s="137"/>
      <c r="M487" s="137"/>
      <c r="N487" s="137"/>
      <c r="O487" s="137"/>
      <c r="P487" s="137"/>
      <c r="Q487" s="137"/>
    </row>
    <row r="488" spans="1:17" ht="15" customHeight="1" x14ac:dyDescent="0.35">
      <c r="A488" s="129"/>
      <c r="B488" s="137"/>
      <c r="C488" s="137"/>
      <c r="D488" s="137"/>
      <c r="E488" s="137"/>
      <c r="F488" s="137"/>
      <c r="G488" s="137"/>
      <c r="H488" s="137"/>
      <c r="I488" s="137"/>
      <c r="J488" s="138"/>
      <c r="K488" s="137"/>
      <c r="L488" s="137"/>
      <c r="M488" s="137"/>
      <c r="N488" s="137"/>
      <c r="O488" s="137"/>
      <c r="P488" s="137"/>
      <c r="Q488" s="137"/>
    </row>
    <row r="489" spans="1:17" ht="15" customHeight="1" x14ac:dyDescent="0.35">
      <c r="A489" s="129"/>
      <c r="B489" s="137"/>
      <c r="C489" s="137"/>
      <c r="D489" s="137"/>
      <c r="E489" s="137"/>
      <c r="F489" s="137"/>
      <c r="G489" s="137"/>
      <c r="H489" s="137"/>
      <c r="I489" s="137"/>
      <c r="J489" s="138"/>
      <c r="K489" s="137"/>
      <c r="L489" s="137"/>
      <c r="M489" s="137"/>
      <c r="N489" s="137"/>
      <c r="O489" s="137"/>
      <c r="P489" s="137"/>
      <c r="Q489" s="137"/>
    </row>
    <row r="490" spans="1:17" ht="15" customHeight="1" x14ac:dyDescent="0.35">
      <c r="A490" s="129"/>
      <c r="B490" s="137"/>
      <c r="C490" s="137"/>
      <c r="D490" s="137"/>
      <c r="E490" s="137"/>
      <c r="F490" s="137"/>
      <c r="G490" s="137"/>
      <c r="H490" s="137"/>
      <c r="I490" s="137"/>
      <c r="J490" s="138"/>
      <c r="K490" s="137"/>
      <c r="L490" s="137"/>
      <c r="M490" s="137"/>
      <c r="N490" s="137"/>
      <c r="O490" s="137"/>
      <c r="P490" s="137"/>
      <c r="Q490" s="137"/>
    </row>
    <row r="491" spans="1:17" ht="15" customHeight="1" x14ac:dyDescent="0.35">
      <c r="A491" s="129"/>
      <c r="B491" s="137"/>
      <c r="C491" s="137"/>
      <c r="D491" s="137"/>
      <c r="E491" s="137"/>
      <c r="F491" s="137"/>
      <c r="G491" s="137"/>
      <c r="H491" s="137"/>
      <c r="I491" s="137"/>
      <c r="J491" s="138"/>
      <c r="K491" s="137"/>
      <c r="L491" s="137"/>
      <c r="M491" s="137"/>
      <c r="N491" s="137"/>
      <c r="O491" s="137"/>
      <c r="P491" s="137"/>
      <c r="Q491" s="137"/>
    </row>
    <row r="492" spans="1:17" ht="15" customHeight="1" x14ac:dyDescent="0.35">
      <c r="A492" s="129"/>
      <c r="B492" s="137"/>
      <c r="C492" s="137"/>
      <c r="D492" s="137"/>
      <c r="E492" s="137"/>
      <c r="F492" s="137"/>
      <c r="G492" s="137"/>
      <c r="H492" s="137"/>
      <c r="I492" s="137"/>
      <c r="J492" s="138"/>
      <c r="K492" s="137"/>
      <c r="L492" s="137"/>
      <c r="M492" s="137"/>
      <c r="N492" s="137"/>
      <c r="O492" s="137"/>
      <c r="P492" s="137"/>
      <c r="Q492" s="137"/>
    </row>
    <row r="493" spans="1:17" ht="15" customHeight="1" x14ac:dyDescent="0.35">
      <c r="A493" s="129"/>
      <c r="B493" s="137"/>
      <c r="C493" s="137"/>
      <c r="D493" s="137"/>
      <c r="E493" s="137"/>
      <c r="F493" s="137"/>
      <c r="G493" s="137"/>
      <c r="H493" s="137"/>
      <c r="I493" s="137"/>
      <c r="J493" s="138"/>
      <c r="K493" s="137"/>
      <c r="L493" s="137"/>
      <c r="M493" s="137"/>
      <c r="N493" s="137"/>
      <c r="O493" s="137"/>
      <c r="P493" s="137"/>
      <c r="Q493" s="137"/>
    </row>
    <row r="494" spans="1:17" ht="15" customHeight="1" x14ac:dyDescent="0.35">
      <c r="A494" s="129"/>
      <c r="B494" s="137"/>
      <c r="C494" s="137"/>
      <c r="D494" s="137"/>
      <c r="E494" s="137"/>
      <c r="F494" s="137"/>
      <c r="G494" s="137"/>
      <c r="H494" s="137"/>
      <c r="I494" s="137"/>
      <c r="J494" s="138"/>
      <c r="K494" s="137"/>
      <c r="L494" s="137"/>
      <c r="M494" s="137"/>
      <c r="N494" s="137"/>
      <c r="O494" s="137"/>
      <c r="P494" s="137"/>
      <c r="Q494" s="137"/>
    </row>
    <row r="495" spans="1:17" ht="15" customHeight="1" x14ac:dyDescent="0.35">
      <c r="A495" s="129"/>
      <c r="B495" s="137"/>
      <c r="C495" s="137"/>
      <c r="D495" s="137"/>
      <c r="E495" s="137"/>
      <c r="F495" s="137"/>
      <c r="G495" s="137"/>
      <c r="H495" s="137"/>
      <c r="I495" s="137"/>
      <c r="J495" s="138"/>
      <c r="K495" s="137"/>
      <c r="L495" s="137"/>
      <c r="M495" s="137"/>
      <c r="N495" s="137"/>
      <c r="O495" s="137"/>
      <c r="P495" s="137"/>
      <c r="Q495" s="137"/>
    </row>
    <row r="496" spans="1:17" ht="15" customHeight="1" x14ac:dyDescent="0.35">
      <c r="A496" s="129"/>
      <c r="B496" s="137"/>
      <c r="C496" s="137"/>
      <c r="D496" s="137"/>
      <c r="E496" s="137"/>
      <c r="F496" s="137"/>
      <c r="G496" s="137"/>
      <c r="H496" s="137"/>
      <c r="I496" s="137"/>
      <c r="J496" s="138"/>
      <c r="K496" s="137"/>
      <c r="L496" s="137"/>
      <c r="M496" s="137"/>
      <c r="N496" s="137"/>
      <c r="O496" s="137"/>
      <c r="P496" s="137"/>
      <c r="Q496" s="137"/>
    </row>
    <row r="497" spans="1:17" ht="15" customHeight="1" x14ac:dyDescent="0.35">
      <c r="A497" s="129"/>
      <c r="B497" s="137"/>
      <c r="C497" s="137"/>
      <c r="D497" s="137"/>
      <c r="E497" s="137"/>
      <c r="F497" s="137"/>
      <c r="G497" s="137"/>
      <c r="H497" s="137"/>
      <c r="I497" s="137"/>
      <c r="J497" s="138"/>
      <c r="K497" s="137"/>
      <c r="L497" s="137"/>
      <c r="M497" s="137"/>
      <c r="N497" s="137"/>
      <c r="O497" s="137"/>
      <c r="P497" s="137"/>
      <c r="Q497" s="137"/>
    </row>
    <row r="498" spans="1:17" ht="15" customHeight="1" x14ac:dyDescent="0.35">
      <c r="A498" s="129"/>
      <c r="B498" s="137"/>
      <c r="C498" s="137"/>
      <c r="D498" s="137"/>
      <c r="E498" s="137"/>
      <c r="F498" s="137"/>
      <c r="G498" s="137"/>
      <c r="H498" s="137"/>
      <c r="I498" s="137"/>
      <c r="J498" s="138"/>
      <c r="K498" s="137"/>
      <c r="L498" s="137"/>
      <c r="M498" s="137"/>
      <c r="N498" s="137"/>
      <c r="O498" s="137"/>
      <c r="P498" s="137"/>
      <c r="Q498" s="137"/>
    </row>
    <row r="499" spans="1:17" ht="15" customHeight="1" x14ac:dyDescent="0.35">
      <c r="A499" s="129"/>
      <c r="B499" s="137"/>
      <c r="C499" s="137"/>
      <c r="D499" s="137"/>
      <c r="E499" s="137"/>
      <c r="F499" s="137"/>
      <c r="G499" s="137"/>
      <c r="H499" s="137"/>
      <c r="I499" s="137"/>
      <c r="J499" s="138"/>
      <c r="K499" s="137"/>
      <c r="L499" s="137"/>
      <c r="M499" s="137"/>
      <c r="N499" s="137"/>
      <c r="O499" s="137"/>
      <c r="P499" s="137"/>
      <c r="Q499" s="137"/>
    </row>
    <row r="500" spans="1:17" ht="15" customHeight="1" x14ac:dyDescent="0.35">
      <c r="A500" s="129"/>
      <c r="B500" s="137"/>
      <c r="C500" s="137"/>
      <c r="D500" s="137"/>
      <c r="E500" s="137"/>
      <c r="F500" s="137"/>
      <c r="G500" s="137"/>
      <c r="H500" s="137"/>
      <c r="I500" s="137"/>
      <c r="J500" s="138"/>
      <c r="K500" s="137"/>
      <c r="L500" s="137"/>
      <c r="M500" s="137"/>
      <c r="N500" s="137"/>
      <c r="O500" s="137"/>
      <c r="P500" s="137"/>
      <c r="Q500" s="137"/>
    </row>
    <row r="501" spans="1:17" ht="15" customHeight="1" x14ac:dyDescent="0.35">
      <c r="A501" s="129"/>
      <c r="B501" s="137"/>
      <c r="C501" s="137"/>
      <c r="D501" s="137"/>
      <c r="E501" s="137"/>
      <c r="F501" s="137"/>
      <c r="G501" s="137"/>
      <c r="H501" s="137"/>
      <c r="I501" s="137"/>
      <c r="J501" s="138"/>
      <c r="K501" s="137"/>
      <c r="L501" s="137"/>
      <c r="M501" s="137"/>
      <c r="N501" s="137"/>
      <c r="O501" s="137"/>
      <c r="P501" s="137"/>
      <c r="Q501" s="137"/>
    </row>
    <row r="502" spans="1:17" ht="15" customHeight="1" x14ac:dyDescent="0.35">
      <c r="A502" s="129"/>
      <c r="B502" s="137"/>
      <c r="C502" s="137"/>
      <c r="D502" s="137"/>
      <c r="E502" s="137"/>
      <c r="F502" s="137"/>
      <c r="G502" s="137"/>
      <c r="H502" s="137"/>
      <c r="I502" s="137"/>
      <c r="J502" s="138"/>
      <c r="K502" s="137"/>
      <c r="L502" s="137"/>
      <c r="M502" s="137"/>
      <c r="N502" s="137"/>
      <c r="O502" s="137"/>
      <c r="P502" s="137"/>
      <c r="Q502" s="137"/>
    </row>
    <row r="503" spans="1:17" ht="15" customHeight="1" x14ac:dyDescent="0.35">
      <c r="A503" s="129"/>
      <c r="B503" s="137"/>
      <c r="C503" s="137"/>
      <c r="D503" s="137"/>
      <c r="E503" s="137"/>
      <c r="F503" s="137"/>
      <c r="G503" s="137"/>
      <c r="H503" s="137"/>
      <c r="I503" s="137"/>
      <c r="J503" s="138"/>
      <c r="K503" s="137"/>
      <c r="L503" s="137"/>
      <c r="M503" s="137"/>
      <c r="N503" s="137"/>
      <c r="O503" s="137"/>
      <c r="P503" s="137"/>
      <c r="Q503" s="137"/>
    </row>
    <row r="504" spans="1:17" ht="15" customHeight="1" x14ac:dyDescent="0.35">
      <c r="A504" s="129"/>
      <c r="B504" s="137"/>
      <c r="C504" s="137"/>
      <c r="D504" s="137"/>
      <c r="E504" s="137"/>
      <c r="F504" s="137"/>
      <c r="G504" s="137"/>
      <c r="H504" s="137"/>
      <c r="I504" s="137"/>
      <c r="J504" s="138"/>
      <c r="K504" s="137"/>
      <c r="L504" s="137"/>
      <c r="M504" s="137"/>
      <c r="N504" s="137"/>
      <c r="O504" s="137"/>
      <c r="P504" s="137"/>
      <c r="Q504" s="137"/>
    </row>
    <row r="505" spans="1:17" ht="15" customHeight="1" x14ac:dyDescent="0.35">
      <c r="A505" s="129"/>
      <c r="B505" s="137"/>
      <c r="C505" s="137"/>
      <c r="D505" s="137"/>
      <c r="E505" s="137"/>
      <c r="F505" s="137"/>
      <c r="G505" s="137"/>
      <c r="H505" s="137"/>
      <c r="I505" s="137"/>
      <c r="J505" s="138"/>
      <c r="K505" s="137"/>
      <c r="L505" s="137"/>
      <c r="M505" s="137"/>
      <c r="N505" s="137"/>
      <c r="O505" s="137"/>
      <c r="P505" s="137"/>
      <c r="Q505" s="137"/>
    </row>
    <row r="506" spans="1:17" ht="15" customHeight="1" x14ac:dyDescent="0.35">
      <c r="A506" s="129"/>
      <c r="B506" s="137"/>
      <c r="C506" s="137"/>
      <c r="D506" s="137"/>
      <c r="E506" s="137"/>
      <c r="F506" s="137"/>
      <c r="G506" s="137"/>
      <c r="H506" s="137"/>
      <c r="I506" s="137"/>
      <c r="J506" s="138"/>
      <c r="K506" s="137"/>
      <c r="L506" s="137"/>
      <c r="M506" s="137"/>
      <c r="N506" s="137"/>
      <c r="O506" s="137"/>
      <c r="P506" s="137"/>
      <c r="Q506" s="137"/>
    </row>
    <row r="507" spans="1:17" ht="15" customHeight="1" x14ac:dyDescent="0.35">
      <c r="A507" s="129"/>
      <c r="B507" s="137"/>
      <c r="C507" s="137"/>
      <c r="D507" s="137"/>
      <c r="E507" s="137"/>
      <c r="F507" s="137"/>
      <c r="G507" s="137"/>
      <c r="H507" s="137"/>
      <c r="I507" s="137"/>
      <c r="J507" s="138"/>
      <c r="K507" s="137"/>
      <c r="L507" s="137"/>
      <c r="M507" s="137"/>
      <c r="N507" s="137"/>
      <c r="O507" s="137"/>
      <c r="P507" s="137"/>
      <c r="Q507" s="137"/>
    </row>
    <row r="508" spans="1:17" ht="15" customHeight="1" x14ac:dyDescent="0.35">
      <c r="A508" s="129"/>
      <c r="B508" s="137"/>
      <c r="C508" s="137"/>
      <c r="D508" s="137"/>
      <c r="E508" s="137"/>
      <c r="F508" s="137"/>
      <c r="G508" s="137"/>
      <c r="H508" s="137"/>
      <c r="I508" s="137"/>
      <c r="J508" s="138"/>
      <c r="K508" s="137"/>
      <c r="L508" s="137"/>
      <c r="M508" s="137"/>
      <c r="N508" s="137"/>
      <c r="O508" s="137"/>
      <c r="P508" s="137"/>
      <c r="Q508" s="137"/>
    </row>
    <row r="509" spans="1:17" ht="15" customHeight="1" x14ac:dyDescent="0.35">
      <c r="A509" s="129"/>
      <c r="B509" s="137"/>
      <c r="C509" s="137"/>
      <c r="D509" s="137"/>
      <c r="E509" s="137"/>
      <c r="F509" s="137"/>
      <c r="G509" s="137"/>
      <c r="H509" s="137"/>
      <c r="I509" s="137"/>
      <c r="J509" s="138"/>
      <c r="K509" s="137"/>
      <c r="L509" s="137"/>
      <c r="M509" s="137"/>
      <c r="N509" s="137"/>
      <c r="O509" s="137"/>
      <c r="P509" s="137"/>
      <c r="Q509" s="137"/>
    </row>
    <row r="510" spans="1:17" ht="15" customHeight="1" x14ac:dyDescent="0.35">
      <c r="A510" s="129"/>
      <c r="B510" s="137"/>
      <c r="C510" s="137"/>
      <c r="D510" s="137"/>
      <c r="E510" s="137"/>
      <c r="F510" s="137"/>
      <c r="G510" s="137"/>
      <c r="H510" s="137"/>
      <c r="I510" s="137"/>
      <c r="J510" s="138"/>
      <c r="K510" s="137"/>
      <c r="L510" s="137"/>
      <c r="M510" s="137"/>
      <c r="N510" s="137"/>
      <c r="O510" s="137"/>
      <c r="P510" s="137"/>
      <c r="Q510" s="137"/>
    </row>
    <row r="511" spans="1:17" ht="15" customHeight="1" x14ac:dyDescent="0.35">
      <c r="A511" s="129"/>
      <c r="B511" s="137"/>
      <c r="C511" s="137"/>
      <c r="D511" s="137"/>
      <c r="E511" s="137"/>
      <c r="F511" s="137"/>
      <c r="G511" s="137"/>
      <c r="H511" s="137"/>
      <c r="I511" s="137"/>
      <c r="J511" s="138"/>
      <c r="K511" s="137"/>
      <c r="L511" s="137"/>
      <c r="M511" s="137"/>
      <c r="N511" s="137"/>
      <c r="O511" s="137"/>
      <c r="P511" s="137"/>
      <c r="Q511" s="137"/>
    </row>
    <row r="512" spans="1:17" ht="15" customHeight="1" x14ac:dyDescent="0.35">
      <c r="A512" s="129"/>
      <c r="B512" s="137"/>
      <c r="C512" s="137"/>
      <c r="D512" s="137"/>
      <c r="E512" s="137"/>
      <c r="F512" s="137"/>
      <c r="G512" s="137"/>
      <c r="H512" s="137"/>
      <c r="I512" s="137"/>
      <c r="J512" s="138"/>
      <c r="K512" s="137"/>
      <c r="L512" s="137"/>
      <c r="M512" s="137"/>
      <c r="N512" s="137"/>
      <c r="O512" s="137"/>
      <c r="P512" s="137"/>
      <c r="Q512" s="137"/>
    </row>
    <row r="513" spans="1:17" ht="15" customHeight="1" x14ac:dyDescent="0.35">
      <c r="A513" s="129"/>
      <c r="B513" s="137"/>
      <c r="C513" s="137"/>
      <c r="D513" s="137"/>
      <c r="E513" s="137"/>
      <c r="F513" s="137"/>
      <c r="G513" s="137"/>
      <c r="H513" s="137"/>
      <c r="I513" s="137"/>
      <c r="J513" s="138"/>
      <c r="K513" s="137"/>
      <c r="L513" s="137"/>
      <c r="M513" s="137"/>
      <c r="N513" s="137"/>
      <c r="O513" s="137"/>
      <c r="P513" s="137"/>
      <c r="Q513" s="137"/>
    </row>
    <row r="514" spans="1:17" ht="15" customHeight="1" x14ac:dyDescent="0.35">
      <c r="A514" s="129"/>
      <c r="B514" s="137"/>
      <c r="C514" s="137"/>
      <c r="D514" s="137"/>
      <c r="E514" s="137"/>
      <c r="F514" s="137"/>
      <c r="G514" s="137"/>
      <c r="H514" s="137"/>
      <c r="I514" s="137"/>
      <c r="J514" s="138"/>
      <c r="K514" s="137"/>
      <c r="L514" s="137"/>
      <c r="M514" s="137"/>
      <c r="N514" s="137"/>
      <c r="O514" s="137"/>
      <c r="P514" s="137"/>
      <c r="Q514" s="137"/>
    </row>
    <row r="515" spans="1:17" ht="15" customHeight="1" x14ac:dyDescent="0.35">
      <c r="A515" s="129"/>
      <c r="B515" s="137"/>
      <c r="C515" s="137"/>
      <c r="D515" s="137"/>
      <c r="E515" s="137"/>
      <c r="F515" s="137"/>
      <c r="G515" s="137"/>
      <c r="H515" s="137"/>
      <c r="I515" s="137"/>
      <c r="J515" s="138"/>
      <c r="K515" s="137"/>
      <c r="L515" s="137"/>
      <c r="M515" s="137"/>
      <c r="N515" s="137"/>
      <c r="O515" s="137"/>
      <c r="P515" s="137"/>
      <c r="Q515" s="137"/>
    </row>
    <row r="516" spans="1:17" ht="15" customHeight="1" x14ac:dyDescent="0.35">
      <c r="A516" s="129"/>
      <c r="B516" s="137"/>
      <c r="C516" s="137"/>
      <c r="D516" s="137"/>
      <c r="E516" s="137"/>
      <c r="F516" s="137"/>
      <c r="G516" s="137"/>
      <c r="H516" s="137"/>
      <c r="I516" s="137"/>
      <c r="J516" s="138"/>
      <c r="K516" s="137"/>
      <c r="L516" s="137"/>
      <c r="M516" s="137"/>
      <c r="N516" s="137"/>
      <c r="O516" s="137"/>
      <c r="P516" s="137"/>
      <c r="Q516" s="137"/>
    </row>
    <row r="517" spans="1:17" ht="15" customHeight="1" x14ac:dyDescent="0.35">
      <c r="A517" s="129"/>
      <c r="B517" s="137"/>
      <c r="C517" s="137"/>
      <c r="D517" s="137"/>
      <c r="E517" s="137"/>
      <c r="F517" s="137"/>
      <c r="G517" s="137"/>
      <c r="H517" s="137"/>
      <c r="I517" s="137"/>
      <c r="J517" s="138"/>
      <c r="K517" s="137"/>
      <c r="L517" s="137"/>
      <c r="M517" s="137"/>
      <c r="N517" s="137"/>
      <c r="O517" s="137"/>
      <c r="P517" s="137"/>
      <c r="Q517" s="137"/>
    </row>
    <row r="518" spans="1:17" ht="15" customHeight="1" x14ac:dyDescent="0.35">
      <c r="A518" s="129"/>
      <c r="B518" s="137"/>
      <c r="C518" s="137"/>
      <c r="D518" s="137"/>
      <c r="E518" s="137"/>
      <c r="F518" s="137"/>
      <c r="G518" s="137"/>
      <c r="H518" s="137"/>
      <c r="I518" s="137"/>
      <c r="J518" s="138"/>
      <c r="K518" s="137"/>
      <c r="L518" s="137"/>
      <c r="M518" s="137"/>
      <c r="N518" s="137"/>
      <c r="O518" s="137"/>
      <c r="P518" s="137"/>
      <c r="Q518" s="137"/>
    </row>
    <row r="519" spans="1:17" ht="15" customHeight="1" x14ac:dyDescent="0.35">
      <c r="A519" s="129"/>
      <c r="B519" s="137"/>
      <c r="C519" s="137"/>
      <c r="D519" s="137"/>
      <c r="E519" s="137"/>
      <c r="F519" s="137"/>
      <c r="G519" s="137"/>
      <c r="H519" s="137"/>
      <c r="I519" s="137"/>
      <c r="J519" s="138"/>
      <c r="K519" s="137"/>
      <c r="L519" s="137"/>
      <c r="M519" s="137"/>
      <c r="N519" s="137"/>
      <c r="O519" s="137"/>
      <c r="P519" s="137"/>
      <c r="Q519" s="137"/>
    </row>
    <row r="520" spans="1:17" ht="15" customHeight="1" x14ac:dyDescent="0.35">
      <c r="A520" s="129"/>
      <c r="B520" s="137"/>
      <c r="C520" s="137"/>
      <c r="D520" s="137"/>
      <c r="E520" s="137"/>
      <c r="F520" s="137"/>
      <c r="G520" s="137"/>
      <c r="H520" s="137"/>
      <c r="I520" s="137"/>
      <c r="J520" s="138"/>
      <c r="K520" s="137"/>
      <c r="L520" s="137"/>
      <c r="M520" s="137"/>
      <c r="N520" s="137"/>
      <c r="O520" s="137"/>
      <c r="P520" s="137"/>
      <c r="Q520" s="137"/>
    </row>
    <row r="521" spans="1:17" ht="15" customHeight="1" x14ac:dyDescent="0.35">
      <c r="A521" s="129"/>
      <c r="B521" s="137"/>
      <c r="C521" s="137"/>
      <c r="D521" s="137"/>
      <c r="E521" s="137"/>
      <c r="F521" s="137"/>
      <c r="G521" s="137"/>
      <c r="H521" s="137"/>
      <c r="I521" s="137"/>
      <c r="J521" s="138"/>
      <c r="K521" s="137"/>
      <c r="L521" s="137"/>
      <c r="M521" s="137"/>
      <c r="N521" s="137"/>
      <c r="O521" s="137"/>
      <c r="P521" s="137"/>
      <c r="Q521" s="137"/>
    </row>
    <row r="522" spans="1:17" ht="15" customHeight="1" x14ac:dyDescent="0.35">
      <c r="A522" s="129"/>
      <c r="B522" s="137"/>
      <c r="C522" s="137"/>
      <c r="D522" s="137"/>
      <c r="E522" s="137"/>
      <c r="F522" s="137"/>
      <c r="G522" s="137"/>
      <c r="H522" s="137"/>
      <c r="I522" s="137"/>
      <c r="J522" s="138"/>
      <c r="K522" s="137"/>
      <c r="L522" s="137"/>
      <c r="M522" s="137"/>
      <c r="N522" s="137"/>
      <c r="O522" s="137"/>
      <c r="P522" s="137"/>
      <c r="Q522" s="137"/>
    </row>
    <row r="523" spans="1:17" ht="15" customHeight="1" x14ac:dyDescent="0.35">
      <c r="A523" s="129"/>
      <c r="B523" s="137"/>
      <c r="C523" s="137"/>
      <c r="D523" s="137"/>
      <c r="E523" s="137"/>
      <c r="F523" s="137"/>
      <c r="G523" s="137"/>
      <c r="H523" s="137"/>
      <c r="I523" s="137"/>
      <c r="J523" s="138"/>
      <c r="K523" s="137"/>
      <c r="L523" s="137"/>
      <c r="M523" s="137"/>
      <c r="N523" s="137"/>
      <c r="O523" s="137"/>
      <c r="P523" s="137"/>
      <c r="Q523" s="137"/>
    </row>
    <row r="524" spans="1:17" ht="15" customHeight="1" x14ac:dyDescent="0.35">
      <c r="A524" s="129"/>
      <c r="B524" s="137"/>
      <c r="C524" s="137"/>
      <c r="D524" s="137"/>
      <c r="E524" s="137"/>
      <c r="F524" s="137"/>
      <c r="G524" s="137"/>
      <c r="H524" s="137"/>
      <c r="I524" s="137"/>
      <c r="J524" s="138"/>
      <c r="K524" s="137"/>
      <c r="L524" s="137"/>
      <c r="M524" s="137"/>
      <c r="N524" s="137"/>
      <c r="O524" s="137"/>
      <c r="P524" s="137"/>
      <c r="Q524" s="137"/>
    </row>
    <row r="525" spans="1:17" ht="15" customHeight="1" x14ac:dyDescent="0.35">
      <c r="A525" s="129"/>
      <c r="B525" s="137"/>
      <c r="C525" s="137"/>
      <c r="D525" s="137"/>
      <c r="E525" s="137"/>
      <c r="F525" s="137"/>
      <c r="G525" s="137"/>
      <c r="H525" s="137"/>
      <c r="I525" s="137"/>
      <c r="J525" s="138"/>
      <c r="K525" s="137"/>
      <c r="L525" s="137"/>
      <c r="M525" s="137"/>
      <c r="N525" s="137"/>
      <c r="O525" s="137"/>
      <c r="P525" s="137"/>
      <c r="Q525" s="137"/>
    </row>
    <row r="526" spans="1:17" ht="15" customHeight="1" x14ac:dyDescent="0.35">
      <c r="A526" s="129"/>
      <c r="B526" s="137"/>
      <c r="C526" s="137"/>
      <c r="D526" s="137"/>
      <c r="E526" s="137"/>
      <c r="F526" s="137"/>
      <c r="G526" s="137"/>
      <c r="H526" s="137"/>
      <c r="I526" s="137"/>
      <c r="J526" s="138"/>
      <c r="K526" s="137"/>
      <c r="L526" s="137"/>
      <c r="M526" s="137"/>
      <c r="N526" s="137"/>
      <c r="O526" s="137"/>
      <c r="P526" s="137"/>
      <c r="Q526" s="137"/>
    </row>
    <row r="527" spans="1:17" ht="15" customHeight="1" x14ac:dyDescent="0.35">
      <c r="A527" s="129"/>
      <c r="B527" s="137"/>
      <c r="C527" s="137"/>
      <c r="D527" s="137"/>
      <c r="E527" s="137"/>
      <c r="F527" s="137"/>
      <c r="G527" s="137"/>
      <c r="H527" s="137"/>
      <c r="I527" s="137"/>
      <c r="J527" s="138"/>
      <c r="K527" s="137"/>
      <c r="L527" s="137"/>
      <c r="M527" s="137"/>
      <c r="N527" s="137"/>
      <c r="O527" s="137"/>
      <c r="P527" s="137"/>
      <c r="Q527" s="137"/>
    </row>
    <row r="528" spans="1:17" ht="15" customHeight="1" x14ac:dyDescent="0.35">
      <c r="A528" s="129"/>
      <c r="B528" s="137"/>
      <c r="C528" s="137"/>
      <c r="D528" s="137"/>
      <c r="E528" s="137"/>
      <c r="F528" s="137"/>
      <c r="G528" s="137"/>
      <c r="H528" s="137"/>
      <c r="I528" s="137"/>
      <c r="J528" s="138"/>
      <c r="K528" s="137"/>
      <c r="L528" s="137"/>
      <c r="M528" s="137"/>
      <c r="N528" s="137"/>
      <c r="O528" s="137"/>
      <c r="P528" s="137"/>
      <c r="Q528" s="137"/>
    </row>
    <row r="529" spans="1:17" ht="15" customHeight="1" x14ac:dyDescent="0.35">
      <c r="A529" s="129"/>
      <c r="B529" s="137"/>
      <c r="C529" s="137"/>
      <c r="D529" s="137"/>
      <c r="E529" s="137"/>
      <c r="F529" s="137"/>
      <c r="G529" s="137"/>
      <c r="H529" s="137"/>
      <c r="I529" s="137"/>
      <c r="J529" s="138"/>
      <c r="K529" s="137"/>
      <c r="L529" s="137"/>
      <c r="M529" s="137"/>
      <c r="N529" s="137"/>
      <c r="O529" s="137"/>
      <c r="P529" s="137"/>
      <c r="Q529" s="137"/>
    </row>
    <row r="530" spans="1:17" ht="15" customHeight="1" x14ac:dyDescent="0.35">
      <c r="A530" s="129"/>
      <c r="B530" s="137"/>
      <c r="C530" s="137"/>
      <c r="D530" s="137"/>
      <c r="E530" s="137"/>
      <c r="F530" s="137"/>
      <c r="G530" s="137"/>
      <c r="H530" s="137"/>
      <c r="I530" s="137"/>
      <c r="J530" s="138"/>
      <c r="K530" s="137"/>
      <c r="L530" s="137"/>
      <c r="M530" s="137"/>
      <c r="N530" s="137"/>
      <c r="O530" s="137"/>
      <c r="P530" s="137"/>
      <c r="Q530" s="137"/>
    </row>
    <row r="531" spans="1:17" ht="15" customHeight="1" x14ac:dyDescent="0.35">
      <c r="A531" s="129"/>
      <c r="B531" s="137"/>
      <c r="C531" s="137"/>
      <c r="D531" s="137"/>
      <c r="E531" s="137"/>
      <c r="F531" s="137"/>
      <c r="G531" s="137"/>
      <c r="H531" s="137"/>
      <c r="I531" s="137"/>
      <c r="J531" s="138"/>
      <c r="K531" s="137"/>
      <c r="L531" s="137"/>
      <c r="M531" s="137"/>
      <c r="N531" s="137"/>
      <c r="O531" s="137"/>
      <c r="P531" s="137"/>
      <c r="Q531" s="137"/>
    </row>
    <row r="532" spans="1:17" ht="15" customHeight="1" x14ac:dyDescent="0.35">
      <c r="A532" s="129"/>
      <c r="B532" s="137"/>
      <c r="C532" s="137"/>
      <c r="D532" s="137"/>
      <c r="E532" s="137"/>
      <c r="F532" s="137"/>
      <c r="G532" s="137"/>
      <c r="H532" s="137"/>
      <c r="I532" s="137"/>
      <c r="J532" s="138"/>
      <c r="K532" s="137"/>
      <c r="L532" s="137"/>
      <c r="M532" s="137"/>
      <c r="N532" s="137"/>
      <c r="O532" s="137"/>
      <c r="P532" s="137"/>
      <c r="Q532" s="137"/>
    </row>
    <row r="533" spans="1:17" ht="15" customHeight="1" x14ac:dyDescent="0.35">
      <c r="A533" s="129"/>
      <c r="B533" s="137"/>
      <c r="C533" s="137"/>
      <c r="D533" s="137"/>
      <c r="E533" s="137"/>
      <c r="F533" s="137"/>
      <c r="G533" s="137"/>
      <c r="H533" s="137"/>
      <c r="I533" s="137"/>
      <c r="J533" s="138"/>
      <c r="K533" s="137"/>
      <c r="L533" s="137"/>
      <c r="M533" s="137"/>
      <c r="N533" s="137"/>
      <c r="O533" s="137"/>
      <c r="P533" s="137"/>
      <c r="Q533" s="137"/>
    </row>
    <row r="534" spans="1:17" ht="15" customHeight="1" x14ac:dyDescent="0.35">
      <c r="A534" s="129"/>
      <c r="B534" s="137"/>
      <c r="C534" s="137"/>
      <c r="D534" s="137"/>
      <c r="E534" s="137"/>
      <c r="F534" s="137"/>
      <c r="G534" s="137"/>
      <c r="H534" s="137"/>
      <c r="I534" s="137"/>
      <c r="J534" s="138"/>
      <c r="K534" s="137"/>
      <c r="L534" s="137"/>
      <c r="M534" s="137"/>
      <c r="N534" s="137"/>
      <c r="O534" s="137"/>
      <c r="P534" s="137"/>
      <c r="Q534" s="137"/>
    </row>
    <row r="535" spans="1:17" ht="15" customHeight="1" x14ac:dyDescent="0.35">
      <c r="A535" s="129"/>
      <c r="B535" s="137"/>
      <c r="C535" s="137"/>
      <c r="D535" s="137"/>
      <c r="E535" s="137"/>
      <c r="F535" s="137"/>
      <c r="G535" s="137"/>
      <c r="H535" s="137"/>
      <c r="I535" s="137"/>
      <c r="J535" s="138"/>
      <c r="K535" s="137"/>
      <c r="L535" s="137"/>
      <c r="M535" s="137"/>
      <c r="N535" s="137"/>
      <c r="O535" s="137"/>
      <c r="P535" s="137"/>
      <c r="Q535" s="137"/>
    </row>
    <row r="536" spans="1:17" ht="15" customHeight="1" x14ac:dyDescent="0.35">
      <c r="A536" s="129"/>
      <c r="B536" s="137"/>
      <c r="C536" s="137"/>
      <c r="D536" s="137"/>
      <c r="E536" s="137"/>
      <c r="F536" s="137"/>
      <c r="G536" s="137"/>
      <c r="H536" s="137"/>
      <c r="I536" s="137"/>
      <c r="J536" s="138"/>
      <c r="K536" s="137"/>
      <c r="L536" s="137"/>
      <c r="M536" s="137"/>
      <c r="N536" s="137"/>
      <c r="O536" s="137"/>
      <c r="P536" s="137"/>
      <c r="Q536" s="137"/>
    </row>
    <row r="537" spans="1:17" ht="15" customHeight="1" x14ac:dyDescent="0.35">
      <c r="A537" s="129"/>
      <c r="B537" s="137"/>
      <c r="C537" s="137"/>
      <c r="D537" s="137"/>
      <c r="E537" s="137"/>
      <c r="F537" s="137"/>
      <c r="G537" s="137"/>
      <c r="H537" s="137"/>
      <c r="I537" s="137"/>
      <c r="J537" s="138"/>
      <c r="K537" s="137"/>
      <c r="L537" s="137"/>
      <c r="M537" s="137"/>
      <c r="N537" s="137"/>
      <c r="O537" s="137"/>
      <c r="P537" s="137"/>
      <c r="Q537" s="137"/>
    </row>
    <row r="538" spans="1:17" ht="15" customHeight="1" x14ac:dyDescent="0.35">
      <c r="A538" s="129"/>
      <c r="B538" s="137"/>
      <c r="C538" s="137"/>
      <c r="D538" s="137"/>
      <c r="E538" s="137"/>
      <c r="F538" s="137"/>
      <c r="G538" s="137"/>
      <c r="H538" s="137"/>
      <c r="I538" s="137"/>
      <c r="J538" s="138"/>
      <c r="K538" s="137"/>
      <c r="L538" s="137"/>
      <c r="M538" s="137"/>
      <c r="N538" s="137"/>
      <c r="O538" s="137"/>
      <c r="P538" s="137"/>
      <c r="Q538" s="137"/>
    </row>
    <row r="539" spans="1:17" ht="15" customHeight="1" x14ac:dyDescent="0.35">
      <c r="A539" s="129"/>
      <c r="B539" s="137"/>
      <c r="C539" s="137"/>
      <c r="D539" s="137"/>
      <c r="E539" s="137"/>
      <c r="F539" s="137"/>
      <c r="G539" s="137"/>
      <c r="H539" s="137"/>
      <c r="I539" s="137"/>
      <c r="J539" s="138"/>
      <c r="K539" s="137"/>
      <c r="L539" s="137"/>
      <c r="M539" s="137"/>
      <c r="N539" s="137"/>
      <c r="O539" s="137"/>
      <c r="P539" s="137"/>
      <c r="Q539" s="137"/>
    </row>
    <row r="540" spans="1:17" ht="15" customHeight="1" x14ac:dyDescent="0.35">
      <c r="A540" s="129"/>
      <c r="B540" s="137"/>
      <c r="C540" s="137"/>
      <c r="D540" s="137"/>
      <c r="E540" s="137"/>
      <c r="F540" s="137"/>
      <c r="G540" s="137"/>
      <c r="H540" s="137"/>
      <c r="I540" s="137"/>
      <c r="J540" s="138"/>
      <c r="K540" s="137"/>
      <c r="L540" s="137"/>
      <c r="M540" s="137"/>
      <c r="N540" s="137"/>
      <c r="O540" s="137"/>
      <c r="P540" s="137"/>
      <c r="Q540" s="137"/>
    </row>
    <row r="541" spans="1:17" ht="15" customHeight="1" x14ac:dyDescent="0.35">
      <c r="A541" s="129"/>
      <c r="B541" s="137"/>
      <c r="C541" s="137"/>
      <c r="D541" s="137"/>
      <c r="E541" s="137"/>
      <c r="F541" s="137"/>
      <c r="G541" s="137"/>
      <c r="H541" s="137"/>
      <c r="I541" s="137"/>
      <c r="J541" s="138"/>
      <c r="K541" s="137"/>
      <c r="L541" s="137"/>
      <c r="M541" s="137"/>
      <c r="N541" s="137"/>
      <c r="O541" s="137"/>
      <c r="P541" s="137"/>
      <c r="Q541" s="137"/>
    </row>
    <row r="542" spans="1:17" ht="15" customHeight="1" x14ac:dyDescent="0.35">
      <c r="A542" s="129"/>
      <c r="B542" s="137"/>
      <c r="C542" s="137"/>
      <c r="D542" s="137"/>
      <c r="E542" s="137"/>
      <c r="F542" s="137"/>
      <c r="G542" s="137"/>
      <c r="H542" s="137"/>
      <c r="I542" s="137"/>
      <c r="J542" s="138"/>
      <c r="K542" s="137"/>
      <c r="L542" s="137"/>
      <c r="M542" s="137"/>
      <c r="N542" s="137"/>
      <c r="O542" s="137"/>
      <c r="P542" s="137"/>
      <c r="Q542" s="137"/>
    </row>
    <row r="543" spans="1:17" ht="15" customHeight="1" x14ac:dyDescent="0.35">
      <c r="A543" s="129"/>
      <c r="B543" s="137"/>
      <c r="C543" s="137"/>
      <c r="D543" s="137"/>
      <c r="E543" s="137"/>
      <c r="F543" s="137"/>
      <c r="G543" s="137"/>
      <c r="H543" s="137"/>
      <c r="I543" s="137"/>
      <c r="J543" s="138"/>
      <c r="K543" s="137"/>
      <c r="L543" s="137"/>
      <c r="M543" s="137"/>
      <c r="N543" s="137"/>
      <c r="O543" s="137"/>
      <c r="P543" s="137"/>
      <c r="Q543" s="137"/>
    </row>
    <row r="544" spans="1:17" ht="15" customHeight="1" x14ac:dyDescent="0.35">
      <c r="A544" s="129"/>
      <c r="B544" s="137"/>
      <c r="C544" s="137"/>
      <c r="D544" s="137"/>
      <c r="E544" s="137"/>
      <c r="F544" s="137"/>
      <c r="G544" s="137"/>
      <c r="H544" s="137"/>
      <c r="I544" s="137"/>
      <c r="J544" s="138"/>
      <c r="K544" s="137"/>
      <c r="L544" s="137"/>
      <c r="M544" s="137"/>
      <c r="N544" s="137"/>
      <c r="O544" s="137"/>
      <c r="P544" s="137"/>
      <c r="Q544" s="137"/>
    </row>
    <row r="545" spans="1:17" ht="15" customHeight="1" x14ac:dyDescent="0.35">
      <c r="A545" s="129"/>
      <c r="B545" s="137"/>
      <c r="C545" s="137"/>
      <c r="D545" s="137"/>
      <c r="E545" s="137"/>
      <c r="F545" s="137"/>
      <c r="G545" s="137"/>
      <c r="H545" s="137"/>
      <c r="I545" s="137"/>
      <c r="J545" s="138"/>
      <c r="K545" s="137"/>
      <c r="L545" s="137"/>
      <c r="M545" s="137"/>
      <c r="N545" s="137"/>
      <c r="O545" s="137"/>
      <c r="P545" s="137"/>
      <c r="Q545" s="137"/>
    </row>
    <row r="546" spans="1:17" ht="15" customHeight="1" x14ac:dyDescent="0.35">
      <c r="A546" s="129"/>
      <c r="B546" s="137"/>
      <c r="C546" s="137"/>
      <c r="D546" s="137"/>
      <c r="E546" s="137"/>
      <c r="F546" s="137"/>
      <c r="G546" s="137"/>
      <c r="H546" s="137"/>
      <c r="I546" s="137"/>
      <c r="J546" s="138"/>
      <c r="K546" s="137"/>
      <c r="L546" s="137"/>
      <c r="M546" s="137"/>
      <c r="N546" s="137"/>
      <c r="O546" s="137"/>
      <c r="P546" s="137"/>
      <c r="Q546" s="137"/>
    </row>
    <row r="547" spans="1:17" ht="15" customHeight="1" x14ac:dyDescent="0.35">
      <c r="A547" s="129"/>
      <c r="B547" s="137"/>
      <c r="C547" s="137"/>
      <c r="D547" s="137"/>
      <c r="E547" s="137"/>
      <c r="F547" s="137"/>
      <c r="G547" s="137"/>
      <c r="H547" s="137"/>
      <c r="I547" s="137"/>
      <c r="J547" s="138"/>
      <c r="K547" s="137"/>
      <c r="L547" s="137"/>
      <c r="M547" s="137"/>
      <c r="N547" s="137"/>
      <c r="O547" s="137"/>
      <c r="P547" s="137"/>
      <c r="Q547" s="137"/>
    </row>
    <row r="548" spans="1:17" ht="15" customHeight="1" x14ac:dyDescent="0.35">
      <c r="A548" s="129"/>
      <c r="B548" s="137"/>
      <c r="C548" s="137"/>
      <c r="D548" s="137"/>
      <c r="E548" s="137"/>
      <c r="F548" s="137"/>
      <c r="G548" s="137"/>
      <c r="H548" s="137"/>
      <c r="I548" s="137"/>
      <c r="J548" s="138"/>
      <c r="K548" s="137"/>
      <c r="L548" s="137"/>
      <c r="M548" s="137"/>
      <c r="N548" s="137"/>
      <c r="O548" s="137"/>
      <c r="P548" s="137"/>
      <c r="Q548" s="137"/>
    </row>
    <row r="549" spans="1:17" ht="15" customHeight="1" x14ac:dyDescent="0.35">
      <c r="A549" s="129"/>
      <c r="B549" s="137"/>
      <c r="C549" s="137"/>
      <c r="D549" s="137"/>
      <c r="E549" s="137"/>
      <c r="F549" s="137"/>
      <c r="G549" s="137"/>
      <c r="H549" s="137"/>
      <c r="I549" s="137"/>
      <c r="J549" s="138"/>
      <c r="K549" s="137"/>
      <c r="L549" s="137"/>
      <c r="M549" s="137"/>
      <c r="N549" s="137"/>
      <c r="O549" s="137"/>
      <c r="P549" s="137"/>
      <c r="Q549" s="137"/>
    </row>
    <row r="550" spans="1:17" ht="15" customHeight="1" x14ac:dyDescent="0.35">
      <c r="A550" s="129"/>
      <c r="B550" s="137"/>
      <c r="C550" s="137"/>
      <c r="D550" s="137"/>
      <c r="E550" s="137"/>
      <c r="F550" s="137"/>
      <c r="G550" s="137"/>
      <c r="H550" s="137"/>
      <c r="I550" s="137"/>
      <c r="J550" s="138"/>
      <c r="K550" s="137"/>
      <c r="L550" s="137"/>
      <c r="M550" s="137"/>
      <c r="N550" s="137"/>
      <c r="O550" s="137"/>
      <c r="P550" s="137"/>
      <c r="Q550" s="137"/>
    </row>
    <row r="551" spans="1:17" ht="15" customHeight="1" x14ac:dyDescent="0.35">
      <c r="A551" s="129"/>
      <c r="B551" s="137"/>
      <c r="C551" s="137"/>
      <c r="D551" s="137"/>
      <c r="E551" s="137"/>
      <c r="F551" s="137"/>
      <c r="G551" s="137"/>
      <c r="H551" s="137"/>
      <c r="I551" s="137"/>
      <c r="J551" s="138"/>
      <c r="K551" s="137"/>
      <c r="L551" s="137"/>
      <c r="M551" s="137"/>
      <c r="N551" s="137"/>
      <c r="O551" s="137"/>
      <c r="P551" s="137"/>
      <c r="Q551" s="137"/>
    </row>
    <row r="552" spans="1:17" ht="15" customHeight="1" x14ac:dyDescent="0.35">
      <c r="A552" s="129"/>
      <c r="B552" s="137"/>
      <c r="C552" s="137"/>
      <c r="D552" s="137"/>
      <c r="E552" s="137"/>
      <c r="F552" s="137"/>
      <c r="G552" s="137"/>
      <c r="H552" s="137"/>
      <c r="I552" s="137"/>
      <c r="J552" s="138"/>
      <c r="K552" s="137"/>
      <c r="L552" s="137"/>
      <c r="M552" s="137"/>
      <c r="N552" s="137"/>
      <c r="O552" s="137"/>
      <c r="P552" s="137"/>
      <c r="Q552" s="137"/>
    </row>
    <row r="553" spans="1:17" ht="15" customHeight="1" x14ac:dyDescent="0.35">
      <c r="A553" s="129"/>
      <c r="B553" s="137"/>
      <c r="C553" s="137"/>
      <c r="D553" s="137"/>
      <c r="E553" s="137"/>
      <c r="F553" s="137"/>
      <c r="G553" s="137"/>
      <c r="H553" s="137"/>
      <c r="I553" s="137"/>
      <c r="J553" s="138"/>
      <c r="K553" s="137"/>
      <c r="L553" s="137"/>
      <c r="M553" s="137"/>
      <c r="N553" s="137"/>
      <c r="O553" s="137"/>
      <c r="P553" s="137"/>
      <c r="Q553" s="137"/>
    </row>
    <row r="554" spans="1:17" ht="15" customHeight="1" x14ac:dyDescent="0.35">
      <c r="A554" s="129"/>
      <c r="B554" s="137"/>
      <c r="C554" s="137"/>
      <c r="D554" s="137"/>
      <c r="E554" s="137"/>
      <c r="F554" s="137"/>
      <c r="G554" s="137"/>
      <c r="H554" s="137"/>
      <c r="I554" s="137"/>
      <c r="J554" s="138"/>
      <c r="K554" s="137"/>
      <c r="L554" s="137"/>
      <c r="M554" s="137"/>
      <c r="N554" s="137"/>
      <c r="O554" s="137"/>
      <c r="P554" s="137"/>
      <c r="Q554" s="137"/>
    </row>
    <row r="555" spans="1:17" ht="15" customHeight="1" x14ac:dyDescent="0.35">
      <c r="A555" s="129"/>
      <c r="B555" s="137"/>
      <c r="C555" s="137"/>
      <c r="D555" s="137"/>
      <c r="E555" s="137"/>
      <c r="F555" s="137"/>
      <c r="G555" s="137"/>
      <c r="H555" s="137"/>
      <c r="I555" s="137"/>
      <c r="J555" s="138"/>
      <c r="K555" s="137"/>
      <c r="L555" s="137"/>
      <c r="M555" s="137"/>
      <c r="N555" s="137"/>
      <c r="O555" s="137"/>
      <c r="P555" s="137"/>
      <c r="Q555" s="137"/>
    </row>
    <row r="556" spans="1:17" ht="15" customHeight="1" x14ac:dyDescent="0.35">
      <c r="A556" s="129"/>
      <c r="B556" s="137"/>
      <c r="C556" s="137"/>
      <c r="D556" s="137"/>
      <c r="E556" s="137"/>
      <c r="F556" s="137"/>
      <c r="G556" s="137"/>
      <c r="H556" s="137"/>
      <c r="I556" s="137"/>
      <c r="J556" s="138"/>
      <c r="K556" s="137"/>
      <c r="L556" s="137"/>
      <c r="M556" s="137"/>
      <c r="N556" s="137"/>
      <c r="O556" s="137"/>
      <c r="P556" s="137"/>
      <c r="Q556" s="137"/>
    </row>
    <row r="557" spans="1:17" ht="15" customHeight="1" x14ac:dyDescent="0.35">
      <c r="A557" s="129"/>
      <c r="B557" s="137"/>
      <c r="C557" s="137"/>
      <c r="D557" s="137"/>
      <c r="E557" s="137"/>
      <c r="F557" s="137"/>
      <c r="G557" s="137"/>
      <c r="H557" s="137"/>
      <c r="I557" s="137"/>
      <c r="J557" s="138"/>
      <c r="K557" s="137"/>
      <c r="L557" s="137"/>
      <c r="M557" s="137"/>
      <c r="N557" s="137"/>
      <c r="O557" s="137"/>
      <c r="P557" s="137"/>
      <c r="Q557" s="137"/>
    </row>
    <row r="558" spans="1:17" ht="15" customHeight="1" x14ac:dyDescent="0.35">
      <c r="A558" s="129"/>
      <c r="B558" s="137"/>
      <c r="C558" s="137"/>
      <c r="D558" s="137"/>
      <c r="E558" s="137"/>
      <c r="F558" s="137"/>
      <c r="G558" s="137"/>
      <c r="H558" s="137"/>
      <c r="I558" s="137"/>
      <c r="J558" s="138"/>
      <c r="K558" s="137"/>
      <c r="L558" s="137"/>
      <c r="M558" s="137"/>
      <c r="N558" s="137"/>
      <c r="O558" s="137"/>
      <c r="P558" s="137"/>
      <c r="Q558" s="137"/>
    </row>
    <row r="559" spans="1:17" ht="15" customHeight="1" x14ac:dyDescent="0.35">
      <c r="A559" s="129"/>
      <c r="B559" s="137"/>
      <c r="C559" s="137"/>
      <c r="D559" s="137"/>
      <c r="E559" s="137"/>
      <c r="F559" s="137"/>
      <c r="G559" s="137"/>
      <c r="H559" s="137"/>
      <c r="I559" s="137"/>
      <c r="J559" s="138"/>
      <c r="K559" s="137"/>
      <c r="L559" s="137"/>
      <c r="M559" s="137"/>
      <c r="N559" s="137"/>
      <c r="O559" s="137"/>
      <c r="P559" s="137"/>
      <c r="Q559" s="137"/>
    </row>
    <row r="560" spans="1:17" ht="15" customHeight="1" x14ac:dyDescent="0.35">
      <c r="A560" s="129"/>
      <c r="B560" s="137"/>
      <c r="C560" s="137"/>
      <c r="D560" s="137"/>
      <c r="E560" s="137"/>
      <c r="F560" s="137"/>
      <c r="G560" s="137"/>
      <c r="H560" s="137"/>
      <c r="I560" s="137"/>
      <c r="J560" s="138"/>
      <c r="K560" s="137"/>
      <c r="L560" s="137"/>
      <c r="M560" s="137"/>
      <c r="N560" s="137"/>
      <c r="O560" s="137"/>
      <c r="P560" s="137"/>
      <c r="Q560" s="137"/>
    </row>
    <row r="561" spans="1:17" ht="15" customHeight="1" x14ac:dyDescent="0.35">
      <c r="A561" s="129"/>
      <c r="B561" s="137"/>
      <c r="C561" s="137"/>
      <c r="D561" s="137"/>
      <c r="E561" s="137"/>
      <c r="F561" s="137"/>
      <c r="G561" s="137"/>
      <c r="H561" s="137"/>
      <c r="I561" s="137"/>
      <c r="J561" s="138"/>
      <c r="K561" s="137"/>
      <c r="L561" s="137"/>
      <c r="M561" s="137"/>
      <c r="N561" s="137"/>
      <c r="O561" s="137"/>
      <c r="P561" s="137"/>
      <c r="Q561" s="137"/>
    </row>
    <row r="562" spans="1:17" ht="15" customHeight="1" x14ac:dyDescent="0.35">
      <c r="A562" s="129"/>
      <c r="B562" s="137"/>
      <c r="C562" s="137"/>
      <c r="D562" s="137"/>
      <c r="E562" s="137"/>
      <c r="F562" s="137"/>
      <c r="G562" s="137"/>
      <c r="H562" s="137"/>
      <c r="I562" s="137"/>
      <c r="J562" s="138"/>
      <c r="K562" s="137"/>
      <c r="L562" s="137"/>
      <c r="M562" s="137"/>
      <c r="N562" s="137"/>
      <c r="O562" s="137"/>
      <c r="P562" s="137"/>
      <c r="Q562" s="137"/>
    </row>
    <row r="563" spans="1:17" ht="15" customHeight="1" x14ac:dyDescent="0.35">
      <c r="A563" s="129"/>
      <c r="B563" s="137"/>
      <c r="C563" s="137"/>
      <c r="D563" s="137"/>
      <c r="E563" s="137"/>
      <c r="F563" s="137"/>
      <c r="G563" s="137"/>
      <c r="H563" s="137"/>
      <c r="I563" s="137"/>
      <c r="J563" s="138"/>
      <c r="K563" s="137"/>
      <c r="L563" s="137"/>
      <c r="M563" s="137"/>
      <c r="N563" s="137"/>
      <c r="O563" s="137"/>
      <c r="P563" s="137"/>
      <c r="Q563" s="137"/>
    </row>
    <row r="564" spans="1:17" ht="15" customHeight="1" x14ac:dyDescent="0.35">
      <c r="A564" s="129"/>
      <c r="B564" s="137"/>
      <c r="C564" s="137"/>
      <c r="D564" s="137"/>
      <c r="E564" s="137"/>
      <c r="F564" s="137"/>
      <c r="G564" s="137"/>
      <c r="H564" s="137"/>
      <c r="I564" s="137"/>
      <c r="J564" s="138"/>
      <c r="K564" s="137"/>
      <c r="L564" s="137"/>
      <c r="M564" s="137"/>
      <c r="N564" s="137"/>
      <c r="O564" s="137"/>
      <c r="P564" s="137"/>
      <c r="Q564" s="137"/>
    </row>
    <row r="565" spans="1:17" ht="15" customHeight="1" x14ac:dyDescent="0.35">
      <c r="A565" s="129"/>
      <c r="B565" s="137"/>
      <c r="C565" s="137"/>
      <c r="D565" s="137"/>
      <c r="E565" s="137"/>
      <c r="F565" s="137"/>
      <c r="G565" s="137"/>
      <c r="H565" s="137"/>
      <c r="I565" s="137"/>
      <c r="J565" s="138"/>
      <c r="K565" s="137"/>
      <c r="L565" s="137"/>
      <c r="M565" s="137"/>
      <c r="N565" s="137"/>
      <c r="O565" s="137"/>
      <c r="P565" s="137"/>
      <c r="Q565" s="137"/>
    </row>
    <row r="566" spans="1:17" ht="15" customHeight="1" x14ac:dyDescent="0.35">
      <c r="A566" s="129"/>
      <c r="B566" s="137"/>
      <c r="C566" s="137"/>
      <c r="D566" s="137"/>
      <c r="E566" s="137"/>
      <c r="F566" s="137"/>
      <c r="G566" s="137"/>
      <c r="H566" s="137"/>
      <c r="I566" s="137"/>
      <c r="J566" s="138"/>
      <c r="K566" s="137"/>
      <c r="L566" s="137"/>
      <c r="M566" s="137"/>
      <c r="N566" s="137"/>
      <c r="O566" s="137"/>
      <c r="P566" s="137"/>
      <c r="Q566" s="137"/>
    </row>
    <row r="567" spans="1:17" ht="15" customHeight="1" x14ac:dyDescent="0.35">
      <c r="A567" s="129"/>
      <c r="B567" s="137"/>
      <c r="C567" s="137"/>
      <c r="D567" s="137"/>
      <c r="E567" s="137"/>
      <c r="F567" s="137"/>
      <c r="G567" s="137"/>
      <c r="H567" s="137"/>
      <c r="I567" s="137"/>
      <c r="J567" s="138"/>
      <c r="K567" s="137"/>
      <c r="L567" s="137"/>
      <c r="M567" s="137"/>
      <c r="N567" s="137"/>
      <c r="O567" s="137"/>
      <c r="P567" s="137"/>
      <c r="Q567" s="137"/>
    </row>
    <row r="568" spans="1:17" ht="15" customHeight="1" x14ac:dyDescent="0.35">
      <c r="A568" s="129"/>
      <c r="B568" s="137"/>
      <c r="C568" s="137"/>
      <c r="D568" s="137"/>
      <c r="E568" s="137"/>
      <c r="F568" s="137"/>
      <c r="G568" s="137"/>
      <c r="H568" s="137"/>
      <c r="I568" s="137"/>
      <c r="J568" s="138"/>
      <c r="K568" s="137"/>
      <c r="L568" s="137"/>
      <c r="M568" s="137"/>
      <c r="N568" s="137"/>
      <c r="O568" s="137"/>
      <c r="P568" s="137"/>
      <c r="Q568" s="137"/>
    </row>
    <row r="569" spans="1:17" ht="15" customHeight="1" x14ac:dyDescent="0.35">
      <c r="A569" s="129"/>
      <c r="B569" s="137"/>
      <c r="C569" s="137"/>
      <c r="D569" s="137"/>
      <c r="E569" s="137"/>
      <c r="F569" s="137"/>
      <c r="G569" s="137"/>
      <c r="H569" s="137"/>
      <c r="I569" s="137"/>
      <c r="J569" s="138"/>
      <c r="K569" s="137"/>
      <c r="L569" s="137"/>
      <c r="M569" s="137"/>
      <c r="N569" s="137"/>
      <c r="O569" s="137"/>
      <c r="P569" s="137"/>
      <c r="Q569" s="137"/>
    </row>
    <row r="570" spans="1:17" ht="15" customHeight="1" x14ac:dyDescent="0.35">
      <c r="A570" s="129"/>
      <c r="B570" s="137"/>
      <c r="C570" s="137"/>
      <c r="D570" s="137"/>
      <c r="E570" s="137"/>
      <c r="F570" s="137"/>
      <c r="G570" s="137"/>
      <c r="H570" s="137"/>
      <c r="I570" s="137"/>
      <c r="J570" s="138"/>
      <c r="K570" s="137"/>
      <c r="L570" s="137"/>
      <c r="M570" s="137"/>
      <c r="N570" s="137"/>
      <c r="O570" s="137"/>
      <c r="P570" s="137"/>
      <c r="Q570" s="137"/>
    </row>
    <row r="571" spans="1:17" ht="15" customHeight="1" x14ac:dyDescent="0.35">
      <c r="A571" s="129"/>
      <c r="B571" s="137"/>
      <c r="C571" s="137"/>
      <c r="D571" s="137"/>
      <c r="E571" s="137"/>
      <c r="F571" s="137"/>
      <c r="G571" s="137"/>
      <c r="H571" s="137"/>
      <c r="I571" s="137"/>
      <c r="J571" s="138"/>
      <c r="K571" s="137"/>
      <c r="L571" s="137"/>
      <c r="M571" s="137"/>
      <c r="N571" s="137"/>
      <c r="O571" s="137"/>
      <c r="P571" s="137"/>
      <c r="Q571" s="137"/>
    </row>
    <row r="572" spans="1:17" ht="15" customHeight="1" x14ac:dyDescent="0.35">
      <c r="A572" s="129"/>
      <c r="B572" s="137"/>
      <c r="C572" s="137"/>
      <c r="D572" s="137"/>
      <c r="E572" s="137"/>
      <c r="F572" s="137"/>
      <c r="G572" s="137"/>
      <c r="H572" s="137"/>
      <c r="I572" s="137"/>
      <c r="J572" s="138"/>
      <c r="K572" s="137"/>
      <c r="L572" s="137"/>
      <c r="M572" s="137"/>
      <c r="N572" s="137"/>
      <c r="O572" s="137"/>
      <c r="P572" s="137"/>
      <c r="Q572" s="137"/>
    </row>
    <row r="573" spans="1:17" ht="15" customHeight="1" x14ac:dyDescent="0.35">
      <c r="A573" s="129"/>
      <c r="B573" s="137"/>
      <c r="C573" s="137"/>
      <c r="D573" s="137"/>
      <c r="E573" s="137"/>
      <c r="F573" s="137"/>
      <c r="G573" s="137"/>
      <c r="H573" s="137"/>
      <c r="I573" s="137"/>
      <c r="J573" s="138"/>
      <c r="K573" s="137"/>
      <c r="L573" s="137"/>
      <c r="M573" s="137"/>
      <c r="N573" s="137"/>
      <c r="O573" s="137"/>
      <c r="P573" s="137"/>
      <c r="Q573" s="137"/>
    </row>
    <row r="574" spans="1:17" ht="15" customHeight="1" x14ac:dyDescent="0.35">
      <c r="A574" s="129"/>
      <c r="B574" s="137"/>
      <c r="C574" s="137"/>
      <c r="D574" s="137"/>
      <c r="E574" s="137"/>
      <c r="F574" s="137"/>
      <c r="G574" s="137"/>
      <c r="H574" s="137"/>
      <c r="I574" s="137"/>
      <c r="J574" s="138"/>
      <c r="K574" s="137"/>
      <c r="L574" s="137"/>
      <c r="M574" s="137"/>
      <c r="N574" s="137"/>
      <c r="O574" s="137"/>
      <c r="P574" s="137"/>
      <c r="Q574" s="137"/>
    </row>
    <row r="575" spans="1:17" ht="15" customHeight="1" x14ac:dyDescent="0.35">
      <c r="A575" s="129"/>
      <c r="B575" s="137"/>
      <c r="C575" s="137"/>
      <c r="D575" s="137"/>
      <c r="E575" s="137"/>
      <c r="F575" s="137"/>
      <c r="G575" s="137"/>
      <c r="H575" s="137"/>
      <c r="I575" s="137"/>
      <c r="J575" s="138"/>
      <c r="K575" s="137"/>
      <c r="L575" s="137"/>
      <c r="M575" s="137"/>
      <c r="N575" s="137"/>
      <c r="O575" s="137"/>
      <c r="P575" s="137"/>
      <c r="Q575" s="137"/>
    </row>
    <row r="576" spans="1:17" ht="15" customHeight="1" x14ac:dyDescent="0.35">
      <c r="A576" s="129"/>
      <c r="B576" s="137"/>
      <c r="C576" s="137"/>
      <c r="D576" s="137"/>
      <c r="E576" s="137"/>
      <c r="F576" s="137"/>
      <c r="G576" s="137"/>
      <c r="H576" s="137"/>
      <c r="I576" s="137"/>
      <c r="J576" s="138"/>
      <c r="K576" s="137"/>
      <c r="L576" s="137"/>
      <c r="M576" s="137"/>
      <c r="N576" s="137"/>
      <c r="O576" s="137"/>
      <c r="P576" s="137"/>
      <c r="Q576" s="137"/>
    </row>
    <row r="577" spans="1:17" ht="15" customHeight="1" x14ac:dyDescent="0.35">
      <c r="A577" s="129"/>
      <c r="B577" s="137"/>
      <c r="C577" s="137"/>
      <c r="D577" s="137"/>
      <c r="E577" s="137"/>
      <c r="F577" s="137"/>
      <c r="G577" s="137"/>
      <c r="H577" s="137"/>
      <c r="I577" s="137"/>
      <c r="J577" s="138"/>
      <c r="K577" s="137"/>
      <c r="L577" s="137"/>
      <c r="M577" s="137"/>
      <c r="N577" s="137"/>
      <c r="O577" s="137"/>
      <c r="P577" s="137"/>
      <c r="Q577" s="137"/>
    </row>
    <row r="578" spans="1:17" ht="15" customHeight="1" x14ac:dyDescent="0.35">
      <c r="A578" s="129"/>
      <c r="B578" s="137"/>
      <c r="C578" s="137"/>
      <c r="D578" s="137"/>
      <c r="E578" s="137"/>
      <c r="F578" s="137"/>
      <c r="G578" s="137"/>
      <c r="H578" s="137"/>
      <c r="I578" s="137"/>
      <c r="J578" s="138"/>
      <c r="K578" s="137"/>
      <c r="L578" s="137"/>
      <c r="M578" s="137"/>
      <c r="N578" s="137"/>
      <c r="O578" s="137"/>
      <c r="P578" s="137"/>
      <c r="Q578" s="137"/>
    </row>
    <row r="579" spans="1:17" ht="15" customHeight="1" x14ac:dyDescent="0.35">
      <c r="A579" s="129"/>
      <c r="B579" s="137"/>
      <c r="C579" s="137"/>
      <c r="D579" s="137"/>
      <c r="E579" s="137"/>
      <c r="F579" s="137"/>
      <c r="G579" s="137"/>
      <c r="H579" s="137"/>
      <c r="I579" s="137"/>
      <c r="J579" s="138"/>
      <c r="K579" s="137"/>
      <c r="L579" s="137"/>
      <c r="M579" s="137"/>
      <c r="N579" s="137"/>
      <c r="O579" s="137"/>
      <c r="P579" s="137"/>
      <c r="Q579" s="137"/>
    </row>
    <row r="580" spans="1:17" ht="15" customHeight="1" x14ac:dyDescent="0.35">
      <c r="A580" s="129"/>
      <c r="B580" s="137"/>
      <c r="C580" s="137"/>
      <c r="D580" s="137"/>
      <c r="E580" s="137"/>
      <c r="F580" s="137"/>
      <c r="G580" s="137"/>
      <c r="H580" s="137"/>
      <c r="I580" s="137"/>
      <c r="J580" s="138"/>
      <c r="K580" s="137"/>
      <c r="L580" s="137"/>
      <c r="M580" s="137"/>
      <c r="N580" s="137"/>
      <c r="O580" s="137"/>
      <c r="P580" s="137"/>
      <c r="Q580" s="137"/>
    </row>
    <row r="581" spans="1:17" ht="15" customHeight="1" x14ac:dyDescent="0.35">
      <c r="A581" s="129"/>
      <c r="B581" s="137"/>
      <c r="C581" s="137"/>
      <c r="D581" s="137"/>
      <c r="E581" s="137"/>
      <c r="F581" s="137"/>
      <c r="G581" s="137"/>
      <c r="H581" s="137"/>
      <c r="I581" s="137"/>
      <c r="J581" s="138"/>
      <c r="K581" s="137"/>
      <c r="L581" s="137"/>
      <c r="M581" s="137"/>
      <c r="N581" s="137"/>
      <c r="O581" s="137"/>
      <c r="P581" s="137"/>
      <c r="Q581" s="137"/>
    </row>
    <row r="582" spans="1:17" ht="15" customHeight="1" x14ac:dyDescent="0.35">
      <c r="A582" s="129"/>
      <c r="B582" s="137"/>
      <c r="C582" s="137"/>
      <c r="D582" s="137"/>
      <c r="E582" s="137"/>
      <c r="F582" s="137"/>
      <c r="G582" s="137"/>
      <c r="H582" s="137"/>
      <c r="I582" s="137"/>
      <c r="J582" s="138"/>
      <c r="K582" s="137"/>
      <c r="L582" s="137"/>
      <c r="M582" s="137"/>
      <c r="N582" s="137"/>
      <c r="O582" s="137"/>
      <c r="P582" s="137"/>
      <c r="Q582" s="137"/>
    </row>
    <row r="583" spans="1:17" ht="15" customHeight="1" x14ac:dyDescent="0.35">
      <c r="A583" s="129"/>
      <c r="B583" s="137"/>
      <c r="C583" s="137"/>
      <c r="D583" s="137"/>
      <c r="E583" s="137"/>
      <c r="F583" s="137"/>
      <c r="G583" s="137"/>
      <c r="H583" s="137"/>
      <c r="I583" s="137"/>
      <c r="J583" s="138"/>
      <c r="K583" s="137"/>
      <c r="L583" s="137"/>
      <c r="M583" s="137"/>
      <c r="N583" s="137"/>
      <c r="O583" s="137"/>
      <c r="P583" s="137"/>
      <c r="Q583" s="137"/>
    </row>
    <row r="584" spans="1:17" ht="15" customHeight="1" x14ac:dyDescent="0.35">
      <c r="A584" s="129"/>
      <c r="B584" s="137"/>
      <c r="C584" s="137"/>
      <c r="D584" s="137"/>
      <c r="E584" s="137"/>
      <c r="F584" s="137"/>
      <c r="G584" s="137"/>
      <c r="H584" s="137"/>
      <c r="I584" s="137"/>
      <c r="J584" s="138"/>
      <c r="K584" s="137"/>
      <c r="L584" s="137"/>
      <c r="M584" s="137"/>
      <c r="N584" s="137"/>
      <c r="O584" s="137"/>
      <c r="P584" s="137"/>
      <c r="Q584" s="137"/>
    </row>
    <row r="585" spans="1:17" ht="15" customHeight="1" x14ac:dyDescent="0.35">
      <c r="A585" s="129"/>
      <c r="B585" s="137"/>
      <c r="C585" s="137"/>
      <c r="D585" s="137"/>
      <c r="E585" s="137"/>
      <c r="F585" s="137"/>
      <c r="G585" s="137"/>
      <c r="H585" s="137"/>
      <c r="I585" s="137"/>
      <c r="J585" s="138"/>
      <c r="K585" s="137"/>
      <c r="L585" s="137"/>
      <c r="M585" s="137"/>
      <c r="N585" s="137"/>
      <c r="O585" s="137"/>
      <c r="P585" s="137"/>
      <c r="Q585" s="137"/>
    </row>
    <row r="586" spans="1:17" ht="15" customHeight="1" x14ac:dyDescent="0.35">
      <c r="A586" s="129"/>
      <c r="B586" s="137"/>
      <c r="C586" s="137"/>
      <c r="D586" s="137"/>
      <c r="E586" s="137"/>
      <c r="F586" s="137"/>
      <c r="G586" s="137"/>
      <c r="H586" s="137"/>
      <c r="I586" s="137"/>
      <c r="J586" s="138"/>
      <c r="K586" s="137"/>
      <c r="L586" s="137"/>
      <c r="M586" s="137"/>
      <c r="N586" s="137"/>
      <c r="O586" s="137"/>
      <c r="P586" s="137"/>
      <c r="Q586" s="137"/>
    </row>
    <row r="587" spans="1:17" ht="15" customHeight="1" x14ac:dyDescent="0.35">
      <c r="A587" s="129"/>
      <c r="B587" s="137"/>
      <c r="C587" s="137"/>
      <c r="D587" s="137"/>
      <c r="E587" s="137"/>
      <c r="F587" s="137"/>
      <c r="G587" s="137"/>
      <c r="H587" s="137"/>
      <c r="I587" s="137"/>
      <c r="J587" s="138"/>
      <c r="K587" s="137"/>
      <c r="L587" s="137"/>
      <c r="M587" s="137"/>
      <c r="N587" s="137"/>
      <c r="O587" s="137"/>
      <c r="P587" s="137"/>
      <c r="Q587" s="137"/>
    </row>
    <row r="588" spans="1:17" ht="15" customHeight="1" x14ac:dyDescent="0.35">
      <c r="A588" s="129"/>
      <c r="B588" s="137"/>
      <c r="C588" s="137"/>
      <c r="D588" s="137"/>
      <c r="E588" s="137"/>
      <c r="F588" s="137"/>
      <c r="G588" s="137"/>
      <c r="H588" s="137"/>
      <c r="I588" s="137"/>
      <c r="J588" s="138"/>
      <c r="K588" s="137"/>
      <c r="L588" s="137"/>
      <c r="M588" s="137"/>
      <c r="N588" s="137"/>
      <c r="O588" s="137"/>
      <c r="P588" s="137"/>
      <c r="Q588" s="137"/>
    </row>
    <row r="589" spans="1:17" ht="15" customHeight="1" x14ac:dyDescent="0.35">
      <c r="A589" s="129"/>
      <c r="B589" s="137"/>
      <c r="C589" s="137"/>
      <c r="D589" s="137"/>
      <c r="E589" s="137"/>
      <c r="F589" s="137"/>
      <c r="G589" s="137"/>
      <c r="H589" s="137"/>
      <c r="I589" s="137"/>
      <c r="J589" s="138"/>
      <c r="K589" s="137"/>
      <c r="L589" s="137"/>
      <c r="M589" s="137"/>
      <c r="N589" s="137"/>
      <c r="O589" s="137"/>
      <c r="P589" s="137"/>
      <c r="Q589" s="137"/>
    </row>
    <row r="590" spans="1:17" ht="15" customHeight="1" x14ac:dyDescent="0.35">
      <c r="A590" s="129"/>
      <c r="B590" s="137"/>
      <c r="C590" s="137"/>
      <c r="D590" s="137"/>
      <c r="E590" s="137"/>
      <c r="F590" s="137"/>
      <c r="G590" s="137"/>
      <c r="H590" s="137"/>
      <c r="I590" s="137"/>
      <c r="J590" s="138"/>
      <c r="K590" s="137"/>
      <c r="L590" s="137"/>
      <c r="M590" s="137"/>
      <c r="N590" s="137"/>
      <c r="O590" s="137"/>
      <c r="P590" s="137"/>
      <c r="Q590" s="137"/>
    </row>
    <row r="591" spans="1:17" ht="15" customHeight="1" x14ac:dyDescent="0.35">
      <c r="A591" s="129"/>
      <c r="B591" s="137"/>
      <c r="C591" s="137"/>
      <c r="D591" s="137"/>
      <c r="E591" s="137"/>
      <c r="F591" s="137"/>
      <c r="G591" s="137"/>
      <c r="H591" s="137"/>
      <c r="I591" s="137"/>
      <c r="J591" s="138"/>
      <c r="K591" s="137"/>
      <c r="L591" s="137"/>
      <c r="M591" s="137"/>
      <c r="N591" s="137"/>
      <c r="O591" s="137"/>
      <c r="P591" s="137"/>
      <c r="Q591" s="137"/>
    </row>
    <row r="592" spans="1:17" ht="15" customHeight="1" x14ac:dyDescent="0.35">
      <c r="A592" s="129"/>
      <c r="B592" s="137"/>
      <c r="C592" s="137"/>
      <c r="D592" s="137"/>
      <c r="E592" s="137"/>
      <c r="F592" s="137"/>
      <c r="G592" s="137"/>
      <c r="H592" s="137"/>
      <c r="I592" s="137"/>
      <c r="J592" s="138"/>
      <c r="K592" s="137"/>
      <c r="L592" s="137"/>
      <c r="M592" s="137"/>
      <c r="N592" s="137"/>
      <c r="O592" s="137"/>
      <c r="P592" s="137"/>
      <c r="Q592" s="137"/>
    </row>
    <row r="593" spans="1:17" ht="15" customHeight="1" x14ac:dyDescent="0.35">
      <c r="A593" s="129"/>
      <c r="B593" s="137"/>
      <c r="C593" s="137"/>
      <c r="D593" s="137"/>
      <c r="E593" s="137"/>
      <c r="F593" s="137"/>
      <c r="G593" s="137"/>
      <c r="H593" s="137"/>
      <c r="I593" s="137"/>
      <c r="J593" s="138"/>
      <c r="K593" s="137"/>
      <c r="L593" s="137"/>
      <c r="M593" s="137"/>
      <c r="N593" s="137"/>
      <c r="O593" s="137"/>
      <c r="P593" s="137"/>
      <c r="Q593" s="137"/>
    </row>
    <row r="594" spans="1:17" ht="15" customHeight="1" x14ac:dyDescent="0.35">
      <c r="A594" s="129"/>
      <c r="B594" s="137"/>
      <c r="C594" s="137"/>
      <c r="D594" s="137"/>
      <c r="E594" s="137"/>
      <c r="F594" s="137"/>
      <c r="G594" s="137"/>
      <c r="H594" s="137"/>
      <c r="I594" s="137"/>
      <c r="J594" s="138"/>
      <c r="K594" s="137"/>
      <c r="L594" s="137"/>
      <c r="M594" s="137"/>
      <c r="N594" s="137"/>
      <c r="O594" s="137"/>
      <c r="P594" s="137"/>
      <c r="Q594" s="137"/>
    </row>
    <row r="595" spans="1:17" ht="15" customHeight="1" x14ac:dyDescent="0.35">
      <c r="A595" s="129"/>
      <c r="B595" s="137"/>
      <c r="C595" s="137"/>
      <c r="D595" s="137"/>
      <c r="E595" s="137"/>
      <c r="F595" s="137"/>
      <c r="G595" s="137"/>
      <c r="H595" s="137"/>
      <c r="I595" s="137"/>
      <c r="J595" s="138"/>
      <c r="K595" s="137"/>
      <c r="L595" s="137"/>
      <c r="M595" s="137"/>
      <c r="N595" s="137"/>
      <c r="O595" s="137"/>
      <c r="P595" s="137"/>
      <c r="Q595" s="137"/>
    </row>
    <row r="596" spans="1:17" ht="15" customHeight="1" x14ac:dyDescent="0.35">
      <c r="A596" s="129"/>
      <c r="B596" s="137"/>
      <c r="C596" s="137"/>
      <c r="D596" s="137"/>
      <c r="E596" s="137"/>
      <c r="F596" s="137"/>
      <c r="G596" s="137"/>
      <c r="H596" s="137"/>
      <c r="I596" s="137"/>
      <c r="J596" s="138"/>
      <c r="K596" s="137"/>
      <c r="L596" s="137"/>
      <c r="M596" s="137"/>
      <c r="N596" s="137"/>
      <c r="O596" s="137"/>
      <c r="P596" s="137"/>
      <c r="Q596" s="137"/>
    </row>
    <row r="597" spans="1:17" ht="15" customHeight="1" x14ac:dyDescent="0.35">
      <c r="A597" s="129"/>
      <c r="B597" s="137"/>
      <c r="C597" s="137"/>
      <c r="D597" s="137"/>
      <c r="E597" s="137"/>
      <c r="F597" s="137"/>
      <c r="G597" s="137"/>
      <c r="H597" s="137"/>
      <c r="I597" s="137"/>
      <c r="J597" s="138"/>
      <c r="K597" s="137"/>
      <c r="L597" s="137"/>
      <c r="M597" s="137"/>
      <c r="N597" s="137"/>
      <c r="O597" s="137"/>
      <c r="P597" s="137"/>
      <c r="Q597" s="137"/>
    </row>
    <row r="598" spans="1:17" ht="15" customHeight="1" x14ac:dyDescent="0.35">
      <c r="A598" s="129"/>
      <c r="B598" s="137"/>
      <c r="C598" s="137"/>
      <c r="D598" s="137"/>
      <c r="E598" s="137"/>
      <c r="F598" s="137"/>
      <c r="G598" s="137"/>
      <c r="H598" s="137"/>
      <c r="I598" s="137"/>
      <c r="J598" s="138"/>
      <c r="K598" s="137"/>
      <c r="L598" s="137"/>
      <c r="M598" s="137"/>
      <c r="N598" s="137"/>
      <c r="O598" s="137"/>
      <c r="P598" s="137"/>
      <c r="Q598" s="137"/>
    </row>
    <row r="599" spans="1:17" ht="15" customHeight="1" x14ac:dyDescent="0.35">
      <c r="A599" s="129"/>
      <c r="B599" s="137"/>
      <c r="C599" s="137"/>
      <c r="D599" s="137"/>
      <c r="E599" s="137"/>
      <c r="F599" s="137"/>
      <c r="G599" s="137"/>
      <c r="H599" s="137"/>
      <c r="I599" s="137"/>
      <c r="J599" s="138"/>
      <c r="K599" s="137"/>
      <c r="L599" s="137"/>
      <c r="M599" s="137"/>
      <c r="N599" s="137"/>
      <c r="O599" s="137"/>
      <c r="P599" s="137"/>
      <c r="Q599" s="137"/>
    </row>
    <row r="600" spans="1:17" ht="15" customHeight="1" x14ac:dyDescent="0.35">
      <c r="A600" s="129"/>
      <c r="B600" s="137"/>
      <c r="C600" s="137"/>
      <c r="D600" s="137"/>
      <c r="E600" s="137"/>
      <c r="F600" s="137"/>
      <c r="G600" s="137"/>
      <c r="H600" s="137"/>
      <c r="I600" s="137"/>
      <c r="J600" s="138"/>
      <c r="K600" s="137"/>
      <c r="L600" s="137"/>
      <c r="M600" s="137"/>
      <c r="N600" s="137"/>
      <c r="O600" s="137"/>
      <c r="P600" s="137"/>
      <c r="Q600" s="137"/>
    </row>
    <row r="601" spans="1:17" ht="15" customHeight="1" x14ac:dyDescent="0.35">
      <c r="A601" s="129"/>
      <c r="B601" s="137"/>
      <c r="C601" s="137"/>
      <c r="D601" s="137"/>
      <c r="E601" s="137"/>
      <c r="F601" s="137"/>
      <c r="G601" s="137"/>
      <c r="H601" s="137"/>
      <c r="I601" s="137"/>
      <c r="J601" s="138"/>
      <c r="K601" s="137"/>
      <c r="L601" s="137"/>
      <c r="M601" s="137"/>
      <c r="N601" s="137"/>
      <c r="O601" s="137"/>
      <c r="P601" s="137"/>
      <c r="Q601" s="137"/>
    </row>
    <row r="602" spans="1:17" ht="15" customHeight="1" x14ac:dyDescent="0.35">
      <c r="A602" s="129"/>
      <c r="B602" s="137"/>
      <c r="C602" s="137"/>
      <c r="D602" s="137"/>
      <c r="E602" s="137"/>
      <c r="F602" s="137"/>
      <c r="G602" s="137"/>
      <c r="H602" s="137"/>
      <c r="I602" s="137"/>
      <c r="J602" s="138"/>
      <c r="K602" s="137"/>
      <c r="L602" s="137"/>
      <c r="M602" s="137"/>
      <c r="N602" s="137"/>
      <c r="O602" s="137"/>
      <c r="P602" s="137"/>
      <c r="Q602" s="137"/>
    </row>
    <row r="603" spans="1:17" ht="15" customHeight="1" x14ac:dyDescent="0.35">
      <c r="A603" s="129"/>
      <c r="B603" s="137"/>
      <c r="C603" s="137"/>
      <c r="D603" s="137"/>
      <c r="E603" s="137"/>
      <c r="F603" s="137"/>
      <c r="G603" s="137"/>
      <c r="H603" s="137"/>
      <c r="I603" s="137"/>
      <c r="J603" s="138"/>
      <c r="K603" s="137"/>
      <c r="L603" s="137"/>
      <c r="M603" s="137"/>
      <c r="N603" s="137"/>
      <c r="O603" s="137"/>
      <c r="P603" s="137"/>
      <c r="Q603" s="137"/>
    </row>
    <row r="604" spans="1:17" ht="15" customHeight="1" x14ac:dyDescent="0.35">
      <c r="A604" s="129"/>
      <c r="B604" s="137"/>
      <c r="C604" s="137"/>
      <c r="D604" s="137"/>
      <c r="E604" s="137"/>
      <c r="F604" s="137"/>
      <c r="G604" s="137"/>
      <c r="H604" s="137"/>
      <c r="I604" s="137"/>
      <c r="J604" s="138"/>
      <c r="K604" s="137"/>
      <c r="L604" s="137"/>
      <c r="M604" s="137"/>
      <c r="N604" s="137"/>
      <c r="O604" s="137"/>
      <c r="P604" s="137"/>
      <c r="Q604" s="137"/>
    </row>
    <row r="605" spans="1:17" ht="15" customHeight="1" x14ac:dyDescent="0.35">
      <c r="A605" s="129"/>
      <c r="B605" s="137"/>
      <c r="C605" s="137"/>
      <c r="D605" s="137"/>
      <c r="E605" s="137"/>
      <c r="F605" s="137"/>
      <c r="G605" s="137"/>
      <c r="H605" s="137"/>
      <c r="I605" s="137"/>
      <c r="J605" s="138"/>
      <c r="K605" s="137"/>
      <c r="L605" s="137"/>
      <c r="M605" s="137"/>
      <c r="N605" s="137"/>
      <c r="O605" s="137"/>
      <c r="P605" s="137"/>
      <c r="Q605" s="137"/>
    </row>
    <row r="606" spans="1:17" ht="15" customHeight="1" x14ac:dyDescent="0.35">
      <c r="A606" s="129"/>
      <c r="B606" s="137"/>
      <c r="C606" s="137"/>
      <c r="D606" s="137"/>
      <c r="E606" s="137"/>
      <c r="F606" s="137"/>
      <c r="G606" s="137"/>
      <c r="H606" s="137"/>
      <c r="I606" s="137"/>
      <c r="J606" s="138"/>
      <c r="K606" s="137"/>
      <c r="L606" s="137"/>
      <c r="M606" s="137"/>
      <c r="N606" s="137"/>
      <c r="O606" s="137"/>
      <c r="P606" s="137"/>
      <c r="Q606" s="137"/>
    </row>
    <row r="607" spans="1:17" ht="15" customHeight="1" x14ac:dyDescent="0.35">
      <c r="A607" s="129"/>
      <c r="B607" s="137"/>
      <c r="C607" s="137"/>
      <c r="D607" s="137"/>
      <c r="E607" s="137"/>
      <c r="F607" s="137"/>
      <c r="G607" s="137"/>
      <c r="H607" s="137"/>
      <c r="I607" s="137"/>
      <c r="J607" s="138"/>
      <c r="K607" s="137"/>
      <c r="L607" s="137"/>
      <c r="M607" s="137"/>
      <c r="N607" s="137"/>
      <c r="O607" s="137"/>
      <c r="P607" s="137"/>
      <c r="Q607" s="137"/>
    </row>
    <row r="608" spans="1:17" ht="15" customHeight="1" x14ac:dyDescent="0.35">
      <c r="A608" s="129"/>
      <c r="B608" s="137"/>
      <c r="C608" s="137"/>
      <c r="D608" s="137"/>
      <c r="E608" s="137"/>
      <c r="F608" s="137"/>
      <c r="G608" s="137"/>
      <c r="H608" s="137"/>
      <c r="I608" s="137"/>
      <c r="J608" s="138"/>
      <c r="K608" s="137"/>
      <c r="L608" s="137"/>
      <c r="M608" s="137"/>
      <c r="N608" s="137"/>
      <c r="O608" s="137"/>
      <c r="P608" s="137"/>
      <c r="Q608" s="137"/>
    </row>
    <row r="609" spans="1:17" ht="15" customHeight="1" x14ac:dyDescent="0.35">
      <c r="A609" s="129"/>
      <c r="B609" s="137"/>
      <c r="C609" s="137"/>
      <c r="D609" s="137"/>
      <c r="E609" s="137"/>
      <c r="F609" s="137"/>
      <c r="G609" s="137"/>
      <c r="H609" s="137"/>
      <c r="I609" s="137"/>
      <c r="J609" s="138"/>
      <c r="K609" s="137"/>
      <c r="L609" s="137"/>
      <c r="M609" s="137"/>
      <c r="N609" s="137"/>
      <c r="O609" s="137"/>
      <c r="P609" s="137"/>
      <c r="Q609" s="137"/>
    </row>
    <row r="610" spans="1:17" ht="15" customHeight="1" x14ac:dyDescent="0.35">
      <c r="A610" s="129"/>
      <c r="B610" s="137"/>
      <c r="C610" s="137"/>
      <c r="D610" s="137"/>
      <c r="E610" s="137"/>
      <c r="F610" s="137"/>
      <c r="G610" s="137"/>
      <c r="H610" s="137"/>
      <c r="I610" s="137"/>
      <c r="J610" s="138"/>
      <c r="K610" s="137"/>
      <c r="L610" s="137"/>
      <c r="M610" s="137"/>
      <c r="N610" s="137"/>
      <c r="O610" s="137"/>
      <c r="P610" s="137"/>
      <c r="Q610" s="137"/>
    </row>
    <row r="611" spans="1:17" ht="15" customHeight="1" x14ac:dyDescent="0.35">
      <c r="A611" s="129"/>
      <c r="B611" s="137"/>
      <c r="C611" s="137"/>
      <c r="D611" s="137"/>
      <c r="E611" s="137"/>
      <c r="F611" s="137"/>
      <c r="G611" s="137"/>
      <c r="H611" s="137"/>
      <c r="I611" s="137"/>
      <c r="J611" s="138"/>
      <c r="K611" s="137"/>
      <c r="L611" s="137"/>
      <c r="M611" s="137"/>
      <c r="N611" s="137"/>
      <c r="O611" s="137"/>
      <c r="P611" s="137"/>
      <c r="Q611" s="137"/>
    </row>
    <row r="612" spans="1:17" ht="15" customHeight="1" x14ac:dyDescent="0.35">
      <c r="A612" s="129"/>
      <c r="B612" s="137"/>
      <c r="C612" s="137"/>
      <c r="D612" s="137"/>
      <c r="E612" s="137"/>
      <c r="F612" s="137"/>
      <c r="G612" s="137"/>
      <c r="H612" s="137"/>
      <c r="I612" s="137"/>
      <c r="J612" s="138"/>
      <c r="K612" s="137"/>
      <c r="L612" s="137"/>
      <c r="M612" s="137"/>
      <c r="N612" s="137"/>
      <c r="O612" s="137"/>
      <c r="P612" s="137"/>
      <c r="Q612" s="137"/>
    </row>
    <row r="613" spans="1:17" ht="15" customHeight="1" x14ac:dyDescent="0.35">
      <c r="A613" s="129"/>
      <c r="B613" s="137"/>
      <c r="C613" s="137"/>
      <c r="D613" s="137"/>
      <c r="E613" s="137"/>
      <c r="F613" s="137"/>
      <c r="G613" s="137"/>
      <c r="H613" s="137"/>
      <c r="I613" s="137"/>
      <c r="J613" s="138"/>
      <c r="K613" s="137"/>
      <c r="L613" s="137"/>
      <c r="M613" s="137"/>
      <c r="N613" s="137"/>
      <c r="O613" s="137"/>
      <c r="P613" s="137"/>
      <c r="Q613" s="137"/>
    </row>
    <row r="614" spans="1:17" ht="15" customHeight="1" x14ac:dyDescent="0.35">
      <c r="A614" s="129"/>
      <c r="B614" s="137"/>
      <c r="C614" s="137"/>
      <c r="D614" s="137"/>
      <c r="E614" s="137"/>
      <c r="F614" s="137"/>
      <c r="G614" s="137"/>
      <c r="H614" s="137"/>
      <c r="I614" s="137"/>
      <c r="J614" s="138"/>
      <c r="K614" s="137"/>
      <c r="L614" s="137"/>
      <c r="M614" s="137"/>
      <c r="N614" s="137"/>
      <c r="O614" s="137"/>
      <c r="P614" s="137"/>
      <c r="Q614" s="137"/>
    </row>
    <row r="615" spans="1:17" ht="15" customHeight="1" x14ac:dyDescent="0.35">
      <c r="A615" s="129"/>
      <c r="B615" s="137"/>
      <c r="C615" s="137"/>
      <c r="D615" s="137"/>
      <c r="E615" s="137"/>
      <c r="F615" s="137"/>
      <c r="G615" s="137"/>
      <c r="H615" s="137"/>
      <c r="I615" s="137"/>
      <c r="J615" s="138"/>
      <c r="K615" s="137"/>
      <c r="L615" s="137"/>
      <c r="M615" s="137"/>
      <c r="N615" s="137"/>
      <c r="O615" s="137"/>
      <c r="P615" s="137"/>
      <c r="Q615" s="137"/>
    </row>
    <row r="616" spans="1:17" ht="15" customHeight="1" x14ac:dyDescent="0.35">
      <c r="A616" s="129"/>
      <c r="B616" s="137"/>
      <c r="C616" s="137"/>
      <c r="D616" s="137"/>
      <c r="E616" s="137"/>
      <c r="F616" s="137"/>
      <c r="G616" s="137"/>
      <c r="H616" s="137"/>
      <c r="I616" s="137"/>
      <c r="J616" s="138"/>
      <c r="K616" s="137"/>
      <c r="L616" s="137"/>
      <c r="M616" s="137"/>
      <c r="N616" s="137"/>
      <c r="O616" s="137"/>
      <c r="P616" s="137"/>
      <c r="Q616" s="137"/>
    </row>
    <row r="617" spans="1:17" ht="15" customHeight="1" x14ac:dyDescent="0.35">
      <c r="A617" s="129"/>
      <c r="B617" s="137"/>
      <c r="C617" s="137"/>
      <c r="D617" s="137"/>
      <c r="E617" s="137"/>
      <c r="F617" s="137"/>
      <c r="G617" s="137"/>
      <c r="H617" s="137"/>
      <c r="I617" s="137"/>
      <c r="J617" s="138"/>
      <c r="K617" s="137"/>
      <c r="L617" s="137"/>
      <c r="M617" s="137"/>
      <c r="N617" s="137"/>
      <c r="O617" s="137"/>
      <c r="P617" s="137"/>
      <c r="Q617" s="137"/>
    </row>
    <row r="618" spans="1:17" ht="15" customHeight="1" x14ac:dyDescent="0.35">
      <c r="A618" s="129"/>
      <c r="B618" s="137"/>
      <c r="C618" s="137"/>
      <c r="D618" s="137"/>
      <c r="E618" s="137"/>
      <c r="F618" s="137"/>
      <c r="G618" s="137"/>
      <c r="H618" s="137"/>
      <c r="I618" s="137"/>
      <c r="J618" s="138"/>
      <c r="K618" s="137"/>
      <c r="L618" s="137"/>
      <c r="M618" s="137"/>
      <c r="N618" s="137"/>
      <c r="O618" s="137"/>
      <c r="P618" s="137"/>
      <c r="Q618" s="137"/>
    </row>
    <row r="619" spans="1:17" ht="15" customHeight="1" x14ac:dyDescent="0.35">
      <c r="A619" s="129"/>
      <c r="B619" s="137"/>
      <c r="C619" s="137"/>
      <c r="D619" s="137"/>
      <c r="E619" s="137"/>
      <c r="F619" s="137"/>
      <c r="G619" s="137"/>
      <c r="H619" s="137"/>
      <c r="I619" s="137"/>
      <c r="J619" s="138"/>
      <c r="K619" s="137"/>
      <c r="L619" s="137"/>
      <c r="M619" s="137"/>
      <c r="N619" s="137"/>
      <c r="O619" s="137"/>
      <c r="P619" s="137"/>
      <c r="Q619" s="137"/>
    </row>
    <row r="620" spans="1:17" ht="15" customHeight="1" x14ac:dyDescent="0.35">
      <c r="A620" s="129"/>
      <c r="B620" s="137"/>
      <c r="C620" s="137"/>
      <c r="D620" s="137"/>
      <c r="E620" s="137"/>
      <c r="F620" s="137"/>
      <c r="G620" s="137"/>
      <c r="H620" s="137"/>
      <c r="I620" s="137"/>
      <c r="J620" s="138"/>
      <c r="K620" s="137"/>
      <c r="L620" s="137"/>
      <c r="M620" s="137"/>
      <c r="N620" s="137"/>
      <c r="O620" s="137"/>
      <c r="P620" s="137"/>
      <c r="Q620" s="137"/>
    </row>
    <row r="621" spans="1:17" ht="15" customHeight="1" x14ac:dyDescent="0.35">
      <c r="A621" s="129"/>
      <c r="B621" s="137"/>
      <c r="C621" s="137"/>
      <c r="D621" s="137"/>
      <c r="E621" s="137"/>
      <c r="F621" s="137"/>
      <c r="G621" s="137"/>
      <c r="H621" s="137"/>
      <c r="I621" s="137"/>
      <c r="J621" s="138"/>
      <c r="K621" s="137"/>
      <c r="L621" s="137"/>
      <c r="M621" s="137"/>
      <c r="N621" s="137"/>
      <c r="O621" s="137"/>
      <c r="P621" s="137"/>
      <c r="Q621" s="137"/>
    </row>
    <row r="622" spans="1:17" ht="15" customHeight="1" x14ac:dyDescent="0.35">
      <c r="A622" s="129"/>
      <c r="B622" s="137"/>
      <c r="C622" s="137"/>
      <c r="D622" s="137"/>
      <c r="E622" s="137"/>
      <c r="F622" s="137"/>
      <c r="G622" s="137"/>
      <c r="H622" s="137"/>
      <c r="I622" s="137"/>
      <c r="J622" s="138"/>
      <c r="K622" s="137"/>
      <c r="L622" s="137"/>
      <c r="M622" s="137"/>
      <c r="N622" s="137"/>
      <c r="O622" s="137"/>
      <c r="P622" s="137"/>
      <c r="Q622" s="137"/>
    </row>
    <row r="623" spans="1:17" ht="15" customHeight="1" x14ac:dyDescent="0.35">
      <c r="A623" s="129"/>
      <c r="B623" s="137"/>
      <c r="C623" s="137"/>
      <c r="D623" s="137"/>
      <c r="E623" s="137"/>
      <c r="F623" s="137"/>
      <c r="G623" s="137"/>
      <c r="H623" s="137"/>
      <c r="I623" s="137"/>
      <c r="J623" s="138"/>
      <c r="K623" s="137"/>
      <c r="L623" s="137"/>
      <c r="M623" s="137"/>
      <c r="N623" s="137"/>
      <c r="O623" s="137"/>
      <c r="P623" s="137"/>
      <c r="Q623" s="137"/>
    </row>
    <row r="624" spans="1:17" ht="15" customHeight="1" x14ac:dyDescent="0.35">
      <c r="A624" s="129"/>
      <c r="B624" s="137"/>
      <c r="C624" s="137"/>
      <c r="D624" s="137"/>
      <c r="E624" s="137"/>
      <c r="F624" s="137"/>
      <c r="G624" s="137"/>
      <c r="H624" s="137"/>
      <c r="I624" s="137"/>
      <c r="J624" s="138"/>
      <c r="K624" s="137"/>
      <c r="L624" s="137"/>
      <c r="M624" s="137"/>
      <c r="N624" s="137"/>
      <c r="O624" s="137"/>
      <c r="P624" s="137"/>
      <c r="Q624" s="137"/>
    </row>
    <row r="625" spans="1:17" ht="15" customHeight="1" x14ac:dyDescent="0.35">
      <c r="A625" s="129"/>
      <c r="B625" s="137"/>
      <c r="C625" s="137"/>
      <c r="D625" s="137"/>
      <c r="E625" s="137"/>
      <c r="F625" s="137"/>
      <c r="G625" s="137"/>
      <c r="H625" s="137"/>
      <c r="I625" s="137"/>
      <c r="J625" s="138"/>
      <c r="K625" s="137"/>
      <c r="L625" s="137"/>
      <c r="M625" s="137"/>
      <c r="N625" s="137"/>
      <c r="O625" s="137"/>
      <c r="P625" s="137"/>
      <c r="Q625" s="137"/>
    </row>
    <row r="626" spans="1:17" ht="15" customHeight="1" x14ac:dyDescent="0.35">
      <c r="A626" s="129"/>
      <c r="B626" s="137"/>
      <c r="C626" s="137"/>
      <c r="D626" s="137"/>
      <c r="E626" s="137"/>
      <c r="F626" s="137"/>
      <c r="G626" s="137"/>
      <c r="H626" s="137"/>
      <c r="I626" s="137"/>
      <c r="J626" s="138"/>
      <c r="K626" s="137"/>
      <c r="L626" s="137"/>
      <c r="M626" s="137"/>
      <c r="N626" s="137"/>
      <c r="O626" s="137"/>
      <c r="P626" s="137"/>
      <c r="Q626" s="137"/>
    </row>
    <row r="627" spans="1:17" ht="15" customHeight="1" x14ac:dyDescent="0.35">
      <c r="A627" s="129"/>
      <c r="B627" s="137"/>
      <c r="C627" s="137"/>
      <c r="D627" s="137"/>
      <c r="E627" s="137"/>
      <c r="F627" s="137"/>
      <c r="G627" s="137"/>
      <c r="H627" s="137"/>
      <c r="I627" s="137"/>
      <c r="J627" s="138"/>
      <c r="K627" s="137"/>
      <c r="L627" s="137"/>
      <c r="M627" s="137"/>
      <c r="N627" s="137"/>
      <c r="O627" s="137"/>
      <c r="P627" s="137"/>
      <c r="Q627" s="137"/>
    </row>
    <row r="628" spans="1:17" ht="15" customHeight="1" x14ac:dyDescent="0.35">
      <c r="A628" s="129"/>
      <c r="B628" s="137"/>
      <c r="C628" s="137"/>
      <c r="D628" s="137"/>
      <c r="E628" s="137"/>
      <c r="F628" s="137"/>
      <c r="G628" s="137"/>
      <c r="H628" s="137"/>
      <c r="I628" s="137"/>
      <c r="J628" s="138"/>
      <c r="K628" s="137"/>
      <c r="L628" s="137"/>
      <c r="M628" s="137"/>
      <c r="N628" s="137"/>
      <c r="O628" s="137"/>
      <c r="P628" s="137"/>
      <c r="Q628" s="137"/>
    </row>
    <row r="629" spans="1:17" ht="15" customHeight="1" x14ac:dyDescent="0.35">
      <c r="A629" s="129"/>
      <c r="B629" s="137"/>
      <c r="C629" s="137"/>
      <c r="D629" s="137"/>
      <c r="E629" s="137"/>
      <c r="F629" s="137"/>
      <c r="G629" s="137"/>
      <c r="H629" s="137"/>
      <c r="I629" s="137"/>
      <c r="J629" s="138"/>
      <c r="K629" s="137"/>
      <c r="L629" s="137"/>
      <c r="M629" s="137"/>
      <c r="N629" s="137"/>
      <c r="O629" s="137"/>
      <c r="P629" s="137"/>
      <c r="Q629" s="137"/>
    </row>
    <row r="630" spans="1:17" ht="15" customHeight="1" x14ac:dyDescent="0.35">
      <c r="A630" s="129"/>
      <c r="B630" s="137"/>
      <c r="C630" s="137"/>
      <c r="D630" s="137"/>
      <c r="E630" s="137"/>
      <c r="F630" s="137"/>
      <c r="G630" s="137"/>
      <c r="H630" s="137"/>
      <c r="I630" s="137"/>
      <c r="J630" s="138"/>
      <c r="K630" s="137"/>
      <c r="L630" s="137"/>
      <c r="M630" s="137"/>
      <c r="N630" s="137"/>
      <c r="O630" s="137"/>
      <c r="P630" s="137"/>
      <c r="Q630" s="137"/>
    </row>
    <row r="631" spans="1:17" ht="15" customHeight="1" x14ac:dyDescent="0.35">
      <c r="A631" s="129"/>
      <c r="B631" s="137"/>
      <c r="C631" s="137"/>
      <c r="D631" s="137"/>
      <c r="E631" s="137"/>
      <c r="F631" s="137"/>
      <c r="G631" s="137"/>
      <c r="H631" s="137"/>
      <c r="I631" s="137"/>
      <c r="J631" s="138"/>
      <c r="K631" s="137"/>
      <c r="L631" s="137"/>
      <c r="M631" s="137"/>
      <c r="N631" s="137"/>
      <c r="O631" s="137"/>
      <c r="P631" s="137"/>
      <c r="Q631" s="137"/>
    </row>
    <row r="632" spans="1:17" ht="15" customHeight="1" x14ac:dyDescent="0.35">
      <c r="A632" s="129"/>
      <c r="B632" s="137"/>
      <c r="C632" s="137"/>
      <c r="D632" s="137"/>
      <c r="E632" s="137"/>
      <c r="F632" s="137"/>
      <c r="G632" s="137"/>
      <c r="H632" s="137"/>
      <c r="I632" s="137"/>
      <c r="J632" s="138"/>
      <c r="K632" s="137"/>
      <c r="L632" s="137"/>
      <c r="M632" s="137"/>
      <c r="N632" s="137"/>
      <c r="O632" s="137"/>
      <c r="P632" s="137"/>
      <c r="Q632" s="137"/>
    </row>
    <row r="633" spans="1:17" ht="15" customHeight="1" x14ac:dyDescent="0.35">
      <c r="A633" s="129"/>
      <c r="B633" s="137"/>
      <c r="C633" s="137"/>
      <c r="D633" s="137"/>
      <c r="E633" s="137"/>
      <c r="F633" s="137"/>
      <c r="G633" s="137"/>
      <c r="H633" s="137"/>
      <c r="I633" s="137"/>
      <c r="J633" s="138"/>
      <c r="K633" s="137"/>
      <c r="L633" s="137"/>
      <c r="M633" s="137"/>
      <c r="N633" s="137"/>
      <c r="O633" s="137"/>
      <c r="P633" s="137"/>
      <c r="Q633" s="137"/>
    </row>
    <row r="634" spans="1:17" ht="15" customHeight="1" x14ac:dyDescent="0.35">
      <c r="A634" s="129"/>
      <c r="B634" s="137"/>
      <c r="C634" s="137"/>
      <c r="D634" s="137"/>
      <c r="E634" s="137"/>
      <c r="F634" s="137"/>
      <c r="G634" s="137"/>
      <c r="H634" s="137"/>
      <c r="I634" s="137"/>
      <c r="J634" s="138"/>
      <c r="K634" s="137"/>
      <c r="L634" s="137"/>
      <c r="M634" s="137"/>
      <c r="N634" s="137"/>
      <c r="O634" s="137"/>
      <c r="P634" s="137"/>
      <c r="Q634" s="137"/>
    </row>
    <row r="635" spans="1:17" ht="15" customHeight="1" x14ac:dyDescent="0.35">
      <c r="A635" s="129"/>
      <c r="B635" s="137"/>
      <c r="C635" s="137"/>
      <c r="D635" s="137"/>
      <c r="E635" s="137"/>
      <c r="F635" s="137"/>
      <c r="G635" s="137"/>
      <c r="H635" s="137"/>
      <c r="I635" s="137"/>
      <c r="J635" s="138"/>
      <c r="K635" s="137"/>
      <c r="L635" s="137"/>
      <c r="M635" s="137"/>
      <c r="N635" s="137"/>
      <c r="O635" s="137"/>
      <c r="P635" s="137"/>
      <c r="Q635" s="137"/>
    </row>
    <row r="636" spans="1:17" ht="15" customHeight="1" x14ac:dyDescent="0.35">
      <c r="A636" s="129"/>
      <c r="B636" s="137"/>
      <c r="C636" s="137"/>
      <c r="D636" s="137"/>
      <c r="E636" s="137"/>
      <c r="F636" s="137"/>
      <c r="G636" s="137"/>
      <c r="H636" s="137"/>
      <c r="I636" s="137"/>
      <c r="J636" s="138"/>
      <c r="K636" s="137"/>
      <c r="L636" s="137"/>
      <c r="M636" s="137"/>
      <c r="N636" s="137"/>
      <c r="O636" s="137"/>
      <c r="P636" s="137"/>
      <c r="Q636" s="137"/>
    </row>
    <row r="637" spans="1:17" ht="15" customHeight="1" x14ac:dyDescent="0.35">
      <c r="A637" s="129"/>
      <c r="B637" s="137"/>
      <c r="C637" s="137"/>
      <c r="D637" s="137"/>
      <c r="E637" s="137"/>
      <c r="F637" s="137"/>
      <c r="G637" s="137"/>
      <c r="H637" s="137"/>
      <c r="I637" s="137"/>
      <c r="J637" s="138"/>
      <c r="K637" s="137"/>
      <c r="L637" s="137"/>
      <c r="M637" s="137"/>
      <c r="N637" s="137"/>
      <c r="O637" s="137"/>
      <c r="P637" s="137"/>
      <c r="Q637" s="137"/>
    </row>
    <row r="638" spans="1:17" ht="15" customHeight="1" x14ac:dyDescent="0.35">
      <c r="A638" s="129"/>
      <c r="B638" s="137"/>
      <c r="C638" s="137"/>
      <c r="D638" s="137"/>
      <c r="E638" s="137"/>
      <c r="F638" s="137"/>
      <c r="G638" s="137"/>
      <c r="H638" s="137"/>
      <c r="I638" s="137"/>
      <c r="J638" s="138"/>
      <c r="K638" s="137"/>
      <c r="L638" s="137"/>
      <c r="M638" s="137"/>
      <c r="N638" s="137"/>
      <c r="O638" s="137"/>
      <c r="P638" s="137"/>
      <c r="Q638" s="137"/>
    </row>
    <row r="639" spans="1:17" ht="15" customHeight="1" x14ac:dyDescent="0.35">
      <c r="A639" s="129"/>
      <c r="B639" s="137"/>
      <c r="C639" s="137"/>
      <c r="D639" s="137"/>
      <c r="E639" s="137"/>
      <c r="F639" s="137"/>
      <c r="G639" s="137"/>
      <c r="H639" s="137"/>
      <c r="I639" s="137"/>
      <c r="J639" s="138"/>
      <c r="K639" s="137"/>
      <c r="L639" s="137"/>
      <c r="M639" s="137"/>
      <c r="N639" s="137"/>
      <c r="O639" s="137"/>
      <c r="P639" s="137"/>
      <c r="Q639" s="137"/>
    </row>
    <row r="640" spans="1:17" ht="15" customHeight="1" x14ac:dyDescent="0.35">
      <c r="A640" s="129"/>
      <c r="B640" s="137"/>
      <c r="C640" s="137"/>
      <c r="D640" s="137"/>
      <c r="E640" s="137"/>
      <c r="F640" s="137"/>
      <c r="G640" s="137"/>
      <c r="H640" s="137"/>
      <c r="I640" s="137"/>
      <c r="J640" s="138"/>
      <c r="K640" s="137"/>
      <c r="L640" s="137"/>
      <c r="M640" s="137"/>
      <c r="N640" s="137"/>
      <c r="O640" s="137"/>
      <c r="P640" s="137"/>
      <c r="Q640" s="137"/>
    </row>
    <row r="641" spans="1:17" ht="15" customHeight="1" x14ac:dyDescent="0.35">
      <c r="A641" s="129"/>
      <c r="B641" s="137"/>
      <c r="C641" s="137"/>
      <c r="D641" s="137"/>
      <c r="E641" s="137"/>
      <c r="F641" s="137"/>
      <c r="G641" s="137"/>
      <c r="H641" s="137"/>
      <c r="I641" s="137"/>
      <c r="J641" s="138"/>
      <c r="K641" s="137"/>
      <c r="L641" s="137"/>
      <c r="M641" s="137"/>
      <c r="N641" s="137"/>
      <c r="O641" s="137"/>
      <c r="P641" s="137"/>
      <c r="Q641" s="137"/>
    </row>
    <row r="642" spans="1:17" ht="15" customHeight="1" x14ac:dyDescent="0.35">
      <c r="A642" s="129"/>
      <c r="B642" s="137"/>
      <c r="C642" s="137"/>
      <c r="D642" s="137"/>
      <c r="E642" s="137"/>
      <c r="F642" s="137"/>
      <c r="G642" s="137"/>
      <c r="H642" s="137"/>
      <c r="I642" s="137"/>
      <c r="J642" s="138"/>
      <c r="K642" s="137"/>
      <c r="L642" s="137"/>
      <c r="M642" s="137"/>
      <c r="N642" s="137"/>
      <c r="O642" s="137"/>
      <c r="P642" s="137"/>
      <c r="Q642" s="137"/>
    </row>
    <row r="643" spans="1:17" ht="15" customHeight="1" x14ac:dyDescent="0.35">
      <c r="A643" s="129"/>
      <c r="B643" s="137"/>
      <c r="C643" s="137"/>
      <c r="D643" s="137"/>
      <c r="E643" s="137"/>
      <c r="F643" s="137"/>
      <c r="G643" s="137"/>
      <c r="H643" s="137"/>
      <c r="I643" s="137"/>
      <c r="J643" s="138"/>
      <c r="K643" s="137"/>
      <c r="L643" s="137"/>
      <c r="M643" s="137"/>
      <c r="N643" s="137"/>
      <c r="O643" s="137"/>
      <c r="P643" s="137"/>
      <c r="Q643" s="137"/>
    </row>
    <row r="644" spans="1:17" ht="15" customHeight="1" x14ac:dyDescent="0.35">
      <c r="A644" s="129"/>
      <c r="B644" s="137"/>
      <c r="C644" s="137"/>
      <c r="D644" s="137"/>
      <c r="E644" s="137"/>
      <c r="F644" s="137"/>
      <c r="G644" s="137"/>
      <c r="H644" s="137"/>
      <c r="I644" s="137"/>
      <c r="J644" s="138"/>
      <c r="K644" s="137"/>
      <c r="L644" s="137"/>
      <c r="M644" s="137"/>
      <c r="N644" s="137"/>
      <c r="O644" s="137"/>
      <c r="P644" s="137"/>
      <c r="Q644" s="137"/>
    </row>
    <row r="645" spans="1:17" ht="15" customHeight="1" x14ac:dyDescent="0.35">
      <c r="A645" s="129"/>
      <c r="B645" s="137"/>
      <c r="C645" s="137"/>
      <c r="D645" s="137"/>
      <c r="E645" s="137"/>
      <c r="F645" s="137"/>
      <c r="G645" s="137"/>
      <c r="H645" s="137"/>
      <c r="I645" s="137"/>
      <c r="J645" s="138"/>
      <c r="K645" s="137"/>
      <c r="L645" s="137"/>
      <c r="M645" s="137"/>
      <c r="N645" s="137"/>
      <c r="O645" s="137"/>
      <c r="P645" s="137"/>
      <c r="Q645" s="137"/>
    </row>
    <row r="646" spans="1:17" ht="15" customHeight="1" x14ac:dyDescent="0.35">
      <c r="A646" s="129"/>
      <c r="B646" s="137"/>
      <c r="C646" s="137"/>
      <c r="D646" s="137"/>
      <c r="E646" s="137"/>
      <c r="F646" s="137"/>
      <c r="G646" s="137"/>
      <c r="H646" s="137"/>
      <c r="I646" s="137"/>
      <c r="J646" s="138"/>
      <c r="K646" s="137"/>
      <c r="L646" s="137"/>
      <c r="M646" s="137"/>
      <c r="N646" s="137"/>
      <c r="O646" s="137"/>
      <c r="P646" s="137"/>
      <c r="Q646" s="137"/>
    </row>
    <row r="647" spans="1:17" ht="15" customHeight="1" x14ac:dyDescent="0.35">
      <c r="A647" s="129"/>
      <c r="B647" s="137"/>
      <c r="C647" s="137"/>
      <c r="D647" s="137"/>
      <c r="E647" s="137"/>
      <c r="F647" s="137"/>
      <c r="G647" s="137"/>
      <c r="H647" s="137"/>
      <c r="I647" s="137"/>
      <c r="J647" s="138"/>
      <c r="K647" s="137"/>
      <c r="L647" s="137"/>
      <c r="M647" s="137"/>
      <c r="N647" s="137"/>
      <c r="O647" s="137"/>
      <c r="P647" s="137"/>
      <c r="Q647" s="137"/>
    </row>
    <row r="648" spans="1:17" ht="15" customHeight="1" x14ac:dyDescent="0.35">
      <c r="A648" s="129"/>
      <c r="B648" s="137"/>
      <c r="C648" s="137"/>
      <c r="D648" s="137"/>
      <c r="E648" s="137"/>
      <c r="F648" s="137"/>
      <c r="G648" s="137"/>
      <c r="H648" s="137"/>
      <c r="I648" s="137"/>
      <c r="J648" s="138"/>
      <c r="K648" s="137"/>
      <c r="L648" s="137"/>
      <c r="M648" s="137"/>
      <c r="N648" s="137"/>
      <c r="O648" s="137"/>
      <c r="P648" s="137"/>
      <c r="Q648" s="137"/>
    </row>
    <row r="649" spans="1:17" ht="15" customHeight="1" x14ac:dyDescent="0.35">
      <c r="A649" s="129"/>
      <c r="B649" s="137"/>
      <c r="C649" s="137"/>
      <c r="D649" s="137"/>
      <c r="E649" s="137"/>
      <c r="F649" s="137"/>
      <c r="G649" s="137"/>
      <c r="H649" s="137"/>
      <c r="I649" s="137"/>
      <c r="J649" s="138"/>
      <c r="K649" s="137"/>
      <c r="L649" s="137"/>
      <c r="M649" s="137"/>
      <c r="N649" s="137"/>
      <c r="O649" s="137"/>
      <c r="P649" s="137"/>
      <c r="Q649" s="137"/>
    </row>
    <row r="650" spans="1:17" ht="15" customHeight="1" x14ac:dyDescent="0.35">
      <c r="A650" s="129"/>
      <c r="B650" s="137"/>
      <c r="C650" s="137"/>
      <c r="D650" s="137"/>
      <c r="E650" s="137"/>
      <c r="F650" s="137"/>
      <c r="G650" s="137"/>
      <c r="H650" s="137"/>
      <c r="I650" s="137"/>
      <c r="J650" s="138"/>
      <c r="K650" s="137"/>
      <c r="L650" s="137"/>
      <c r="M650" s="137"/>
      <c r="N650" s="137"/>
      <c r="O650" s="137"/>
      <c r="P650" s="137"/>
      <c r="Q650" s="137"/>
    </row>
    <row r="651" spans="1:17" ht="15" customHeight="1" x14ac:dyDescent="0.35">
      <c r="A651" s="129"/>
      <c r="B651" s="137"/>
      <c r="C651" s="137"/>
      <c r="D651" s="137"/>
      <c r="E651" s="137"/>
      <c r="F651" s="137"/>
      <c r="G651" s="137"/>
      <c r="H651" s="137"/>
      <c r="I651" s="137"/>
      <c r="J651" s="138"/>
      <c r="K651" s="137"/>
      <c r="L651" s="137"/>
      <c r="M651" s="137"/>
      <c r="N651" s="137"/>
      <c r="O651" s="137"/>
      <c r="P651" s="137"/>
      <c r="Q651" s="137"/>
    </row>
    <row r="652" spans="1:17" ht="15" customHeight="1" x14ac:dyDescent="0.35">
      <c r="A652" s="129"/>
      <c r="B652" s="137"/>
      <c r="C652" s="137"/>
      <c r="D652" s="137"/>
      <c r="E652" s="137"/>
      <c r="F652" s="137"/>
      <c r="G652" s="137"/>
      <c r="H652" s="137"/>
      <c r="I652" s="137"/>
      <c r="J652" s="138"/>
      <c r="K652" s="137"/>
      <c r="L652" s="137"/>
      <c r="M652" s="137"/>
      <c r="N652" s="137"/>
      <c r="O652" s="137"/>
      <c r="P652" s="137"/>
      <c r="Q652" s="137"/>
    </row>
    <row r="653" spans="1:17" ht="15" customHeight="1" x14ac:dyDescent="0.35">
      <c r="A653" s="129"/>
      <c r="B653" s="137"/>
      <c r="C653" s="137"/>
      <c r="D653" s="137"/>
      <c r="E653" s="137"/>
      <c r="F653" s="137"/>
      <c r="G653" s="137"/>
      <c r="H653" s="137"/>
      <c r="I653" s="137"/>
      <c r="J653" s="138"/>
      <c r="K653" s="137"/>
      <c r="L653" s="137"/>
      <c r="M653" s="137"/>
      <c r="N653" s="137"/>
      <c r="O653" s="137"/>
      <c r="P653" s="137"/>
      <c r="Q653" s="137"/>
    </row>
    <row r="654" spans="1:17" ht="15" customHeight="1" x14ac:dyDescent="0.35">
      <c r="A654" s="129"/>
      <c r="B654" s="137"/>
      <c r="C654" s="137"/>
      <c r="D654" s="137"/>
      <c r="E654" s="137"/>
      <c r="F654" s="137"/>
      <c r="G654" s="137"/>
      <c r="H654" s="137"/>
      <c r="I654" s="137"/>
      <c r="J654" s="138"/>
      <c r="K654" s="137"/>
      <c r="L654" s="137"/>
      <c r="M654" s="137"/>
      <c r="N654" s="137"/>
      <c r="O654" s="137"/>
      <c r="P654" s="137"/>
      <c r="Q654" s="137"/>
    </row>
    <row r="655" spans="1:17" ht="15" customHeight="1" x14ac:dyDescent="0.35">
      <c r="A655" s="129"/>
      <c r="B655" s="137"/>
      <c r="C655" s="137"/>
      <c r="D655" s="137"/>
      <c r="E655" s="137"/>
      <c r="F655" s="137"/>
      <c r="G655" s="137"/>
      <c r="H655" s="137"/>
      <c r="I655" s="137"/>
      <c r="J655" s="138"/>
      <c r="K655" s="137"/>
      <c r="L655" s="137"/>
      <c r="M655" s="137"/>
      <c r="N655" s="137"/>
      <c r="O655" s="137"/>
      <c r="P655" s="137"/>
      <c r="Q655" s="137"/>
    </row>
    <row r="656" spans="1:17" ht="15" customHeight="1" x14ac:dyDescent="0.35">
      <c r="A656" s="129"/>
      <c r="B656" s="137"/>
      <c r="C656" s="137"/>
      <c r="D656" s="137"/>
      <c r="E656" s="137"/>
      <c r="F656" s="137"/>
      <c r="G656" s="137"/>
      <c r="H656" s="137"/>
      <c r="I656" s="137"/>
      <c r="J656" s="138"/>
      <c r="K656" s="137"/>
      <c r="L656" s="137"/>
      <c r="M656" s="137"/>
      <c r="N656" s="137"/>
      <c r="O656" s="137"/>
      <c r="P656" s="137"/>
      <c r="Q656" s="137"/>
    </row>
    <row r="657" spans="1:17" ht="15" customHeight="1" x14ac:dyDescent="0.35">
      <c r="A657" s="129"/>
      <c r="B657" s="137"/>
      <c r="C657" s="137"/>
      <c r="D657" s="137"/>
      <c r="E657" s="137"/>
      <c r="F657" s="137"/>
      <c r="G657" s="137"/>
      <c r="H657" s="137"/>
      <c r="I657" s="137"/>
      <c r="J657" s="138"/>
      <c r="K657" s="137"/>
      <c r="L657" s="137"/>
      <c r="M657" s="137"/>
      <c r="N657" s="137"/>
      <c r="O657" s="137"/>
      <c r="P657" s="137"/>
      <c r="Q657" s="137"/>
    </row>
    <row r="658" spans="1:17" ht="15" customHeight="1" x14ac:dyDescent="0.35">
      <c r="A658" s="129"/>
      <c r="B658" s="137"/>
      <c r="C658" s="137"/>
      <c r="D658" s="137"/>
      <c r="E658" s="137"/>
      <c r="F658" s="137"/>
      <c r="G658" s="137"/>
      <c r="H658" s="137"/>
      <c r="I658" s="137"/>
      <c r="J658" s="138"/>
      <c r="K658" s="137"/>
      <c r="L658" s="137"/>
      <c r="M658" s="137"/>
      <c r="N658" s="137"/>
      <c r="O658" s="137"/>
      <c r="P658" s="137"/>
      <c r="Q658" s="137"/>
    </row>
    <row r="659" spans="1:17" ht="15" customHeight="1" x14ac:dyDescent="0.35">
      <c r="A659" s="129"/>
      <c r="B659" s="137"/>
      <c r="C659" s="137"/>
      <c r="D659" s="137"/>
      <c r="E659" s="137"/>
      <c r="F659" s="137"/>
      <c r="G659" s="137"/>
      <c r="H659" s="137"/>
      <c r="I659" s="137"/>
      <c r="J659" s="138"/>
      <c r="K659" s="137"/>
      <c r="L659" s="137"/>
      <c r="M659" s="137"/>
      <c r="N659" s="137"/>
      <c r="O659" s="137"/>
      <c r="P659" s="137"/>
      <c r="Q659" s="137"/>
    </row>
    <row r="660" spans="1:17" ht="15" customHeight="1" x14ac:dyDescent="0.35">
      <c r="A660" s="129"/>
      <c r="B660" s="137"/>
      <c r="C660" s="137"/>
      <c r="D660" s="137"/>
      <c r="E660" s="137"/>
      <c r="F660" s="137"/>
      <c r="G660" s="137"/>
      <c r="H660" s="137"/>
      <c r="I660" s="137"/>
      <c r="J660" s="138"/>
      <c r="K660" s="137"/>
      <c r="L660" s="137"/>
      <c r="M660" s="137"/>
      <c r="N660" s="137"/>
      <c r="O660" s="137"/>
      <c r="P660" s="137"/>
      <c r="Q660" s="137"/>
    </row>
    <row r="661" spans="1:17" ht="15" customHeight="1" x14ac:dyDescent="0.35">
      <c r="A661" s="129"/>
      <c r="B661" s="137"/>
      <c r="C661" s="137"/>
      <c r="D661" s="137"/>
      <c r="E661" s="137"/>
      <c r="F661" s="137"/>
      <c r="G661" s="137"/>
      <c r="H661" s="137"/>
      <c r="I661" s="137"/>
      <c r="J661" s="138"/>
      <c r="K661" s="137"/>
      <c r="L661" s="137"/>
      <c r="M661" s="137"/>
      <c r="N661" s="137"/>
      <c r="O661" s="137"/>
      <c r="P661" s="137"/>
      <c r="Q661" s="137"/>
    </row>
    <row r="662" spans="1:17" ht="15" customHeight="1" x14ac:dyDescent="0.35">
      <c r="A662" s="129"/>
      <c r="B662" s="137"/>
      <c r="C662" s="137"/>
      <c r="D662" s="137"/>
      <c r="E662" s="137"/>
      <c r="F662" s="137"/>
      <c r="G662" s="137"/>
      <c r="H662" s="137"/>
      <c r="I662" s="137"/>
      <c r="J662" s="138"/>
      <c r="K662" s="137"/>
      <c r="L662" s="137"/>
      <c r="M662" s="137"/>
      <c r="N662" s="137"/>
      <c r="O662" s="137"/>
      <c r="P662" s="137"/>
      <c r="Q662" s="137"/>
    </row>
    <row r="663" spans="1:17" ht="15" customHeight="1" x14ac:dyDescent="0.35">
      <c r="A663" s="129"/>
      <c r="B663" s="137"/>
      <c r="C663" s="137"/>
      <c r="D663" s="137"/>
      <c r="E663" s="137"/>
      <c r="F663" s="137"/>
      <c r="G663" s="137"/>
      <c r="H663" s="137"/>
      <c r="I663" s="137"/>
      <c r="J663" s="138"/>
      <c r="K663" s="137"/>
      <c r="L663" s="137"/>
      <c r="M663" s="137"/>
      <c r="N663" s="137"/>
      <c r="O663" s="137"/>
      <c r="P663" s="137"/>
      <c r="Q663" s="137"/>
    </row>
    <row r="664" spans="1:17" ht="15" customHeight="1" x14ac:dyDescent="0.35">
      <c r="A664" s="129"/>
      <c r="B664" s="137"/>
      <c r="C664" s="137"/>
      <c r="D664" s="137"/>
      <c r="E664" s="137"/>
      <c r="F664" s="137"/>
      <c r="G664" s="137"/>
      <c r="H664" s="137"/>
      <c r="I664" s="137"/>
      <c r="J664" s="138"/>
      <c r="K664" s="137"/>
      <c r="L664" s="137"/>
      <c r="M664" s="137"/>
      <c r="N664" s="137"/>
      <c r="O664" s="137"/>
      <c r="P664" s="137"/>
      <c r="Q664" s="137"/>
    </row>
    <row r="665" spans="1:17" ht="15" customHeight="1" x14ac:dyDescent="0.35">
      <c r="A665" s="129"/>
      <c r="B665" s="137"/>
      <c r="C665" s="137"/>
      <c r="D665" s="137"/>
      <c r="E665" s="137"/>
      <c r="F665" s="137"/>
      <c r="G665" s="137"/>
      <c r="H665" s="137"/>
      <c r="I665" s="137"/>
      <c r="J665" s="138"/>
      <c r="K665" s="137"/>
      <c r="L665" s="137"/>
      <c r="M665" s="137"/>
      <c r="N665" s="137"/>
      <c r="O665" s="137"/>
      <c r="P665" s="137"/>
      <c r="Q665" s="137"/>
    </row>
    <row r="666" spans="1:17" ht="15" customHeight="1" x14ac:dyDescent="0.35">
      <c r="A666" s="129"/>
      <c r="B666" s="137"/>
      <c r="C666" s="137"/>
      <c r="D666" s="137"/>
      <c r="E666" s="137"/>
      <c r="F666" s="137"/>
      <c r="G666" s="137"/>
      <c r="H666" s="137"/>
      <c r="I666" s="137"/>
      <c r="J666" s="138"/>
      <c r="K666" s="137"/>
      <c r="L666" s="137"/>
      <c r="M666" s="137"/>
      <c r="N666" s="137"/>
      <c r="O666" s="137"/>
      <c r="P666" s="137"/>
      <c r="Q666" s="137"/>
    </row>
    <row r="667" spans="1:17" ht="15" customHeight="1" x14ac:dyDescent="0.35">
      <c r="A667" s="129"/>
      <c r="B667" s="137"/>
      <c r="C667" s="137"/>
      <c r="D667" s="137"/>
      <c r="E667" s="137"/>
      <c r="F667" s="137"/>
      <c r="G667" s="137"/>
      <c r="H667" s="137"/>
      <c r="I667" s="137"/>
      <c r="J667" s="138"/>
      <c r="K667" s="137"/>
      <c r="L667" s="137"/>
      <c r="M667" s="137"/>
      <c r="N667" s="137"/>
      <c r="O667" s="137"/>
      <c r="P667" s="137"/>
      <c r="Q667" s="137"/>
    </row>
    <row r="668" spans="1:17" ht="15" customHeight="1" x14ac:dyDescent="0.35">
      <c r="A668" s="129"/>
      <c r="B668" s="137"/>
      <c r="C668" s="137"/>
      <c r="D668" s="137"/>
      <c r="E668" s="137"/>
      <c r="F668" s="137"/>
      <c r="G668" s="137"/>
      <c r="H668" s="137"/>
      <c r="I668" s="137"/>
      <c r="J668" s="138"/>
      <c r="K668" s="137"/>
      <c r="L668" s="137"/>
      <c r="M668" s="137"/>
      <c r="N668" s="137"/>
      <c r="O668" s="137"/>
      <c r="P668" s="137"/>
      <c r="Q668" s="137"/>
    </row>
    <row r="669" spans="1:17" ht="15" customHeight="1" x14ac:dyDescent="0.35">
      <c r="A669" s="129"/>
      <c r="B669" s="137"/>
      <c r="C669" s="137"/>
      <c r="D669" s="137"/>
      <c r="E669" s="137"/>
      <c r="F669" s="137"/>
      <c r="G669" s="137"/>
      <c r="H669" s="137"/>
      <c r="I669" s="137"/>
      <c r="J669" s="138"/>
      <c r="K669" s="137"/>
      <c r="L669" s="137"/>
      <c r="M669" s="137"/>
      <c r="N669" s="137"/>
      <c r="O669" s="137"/>
      <c r="P669" s="137"/>
      <c r="Q669" s="137"/>
    </row>
    <row r="670" spans="1:17" ht="15" customHeight="1" x14ac:dyDescent="0.35">
      <c r="A670" s="129"/>
      <c r="B670" s="137"/>
      <c r="C670" s="137"/>
      <c r="D670" s="137"/>
      <c r="E670" s="137"/>
      <c r="F670" s="137"/>
      <c r="G670" s="137"/>
      <c r="H670" s="137"/>
      <c r="I670" s="137"/>
      <c r="J670" s="138"/>
      <c r="K670" s="137"/>
      <c r="L670" s="137"/>
      <c r="M670" s="137"/>
      <c r="N670" s="137"/>
      <c r="O670" s="137"/>
      <c r="P670" s="137"/>
      <c r="Q670" s="137"/>
    </row>
    <row r="671" spans="1:17" ht="15" customHeight="1" x14ac:dyDescent="0.35">
      <c r="A671" s="129"/>
      <c r="B671" s="137"/>
      <c r="C671" s="137"/>
      <c r="D671" s="137"/>
      <c r="E671" s="137"/>
      <c r="F671" s="137"/>
      <c r="G671" s="137"/>
      <c r="H671" s="137"/>
      <c r="I671" s="137"/>
      <c r="J671" s="138"/>
      <c r="K671" s="137"/>
      <c r="L671" s="137"/>
      <c r="M671" s="137"/>
      <c r="N671" s="137"/>
      <c r="O671" s="137"/>
      <c r="P671" s="137"/>
      <c r="Q671" s="137"/>
    </row>
    <row r="672" spans="1:17" ht="15" customHeight="1" x14ac:dyDescent="0.35">
      <c r="A672" s="129"/>
      <c r="B672" s="137"/>
      <c r="C672" s="137"/>
      <c r="D672" s="137"/>
      <c r="E672" s="137"/>
      <c r="F672" s="137"/>
      <c r="G672" s="137"/>
      <c r="H672" s="137"/>
      <c r="I672" s="137"/>
      <c r="J672" s="138"/>
      <c r="K672" s="137"/>
      <c r="L672" s="137"/>
      <c r="M672" s="137"/>
      <c r="N672" s="137"/>
      <c r="O672" s="137"/>
      <c r="P672" s="137"/>
      <c r="Q672" s="137"/>
    </row>
    <row r="673" spans="1:17" ht="15" customHeight="1" x14ac:dyDescent="0.35">
      <c r="A673" s="129"/>
      <c r="B673" s="137"/>
      <c r="C673" s="137"/>
      <c r="D673" s="137"/>
      <c r="E673" s="137"/>
      <c r="F673" s="137"/>
      <c r="G673" s="137"/>
      <c r="H673" s="137"/>
      <c r="I673" s="137"/>
      <c r="J673" s="138"/>
      <c r="K673" s="137"/>
      <c r="L673" s="137"/>
      <c r="M673" s="137"/>
      <c r="N673" s="137"/>
      <c r="O673" s="137"/>
      <c r="P673" s="137"/>
      <c r="Q673" s="137"/>
    </row>
    <row r="674" spans="1:17" ht="15" customHeight="1" x14ac:dyDescent="0.35">
      <c r="A674" s="129"/>
      <c r="B674" s="137"/>
      <c r="C674" s="137"/>
      <c r="D674" s="137"/>
      <c r="E674" s="137"/>
      <c r="F674" s="137"/>
      <c r="G674" s="137"/>
      <c r="H674" s="137"/>
      <c r="I674" s="137"/>
      <c r="J674" s="138"/>
      <c r="K674" s="137"/>
      <c r="L674" s="137"/>
      <c r="M674" s="137"/>
      <c r="N674" s="137"/>
      <c r="O674" s="137"/>
      <c r="P674" s="137"/>
      <c r="Q674" s="137"/>
    </row>
    <row r="675" spans="1:17" ht="15" customHeight="1" x14ac:dyDescent="0.35">
      <c r="A675" s="129"/>
      <c r="B675" s="137"/>
      <c r="C675" s="137"/>
      <c r="D675" s="137"/>
      <c r="E675" s="137"/>
      <c r="F675" s="137"/>
      <c r="G675" s="137"/>
      <c r="H675" s="137"/>
      <c r="I675" s="137"/>
      <c r="J675" s="138"/>
      <c r="K675" s="137"/>
      <c r="L675" s="137"/>
      <c r="M675" s="137"/>
      <c r="N675" s="137"/>
      <c r="O675" s="137"/>
      <c r="P675" s="137"/>
      <c r="Q675" s="137"/>
    </row>
    <row r="676" spans="1:17" ht="15" customHeight="1" x14ac:dyDescent="0.35">
      <c r="A676" s="129"/>
      <c r="B676" s="137"/>
      <c r="C676" s="137"/>
      <c r="D676" s="137"/>
      <c r="E676" s="137"/>
      <c r="F676" s="137"/>
      <c r="G676" s="137"/>
      <c r="H676" s="137"/>
      <c r="I676" s="137"/>
      <c r="J676" s="138"/>
      <c r="K676" s="137"/>
      <c r="L676" s="137"/>
      <c r="M676" s="137"/>
      <c r="N676" s="137"/>
      <c r="O676" s="137"/>
      <c r="P676" s="137"/>
      <c r="Q676" s="137"/>
    </row>
    <row r="677" spans="1:17" ht="15" customHeight="1" x14ac:dyDescent="0.35">
      <c r="A677" s="129"/>
      <c r="B677" s="137"/>
      <c r="C677" s="137"/>
      <c r="D677" s="137"/>
      <c r="E677" s="137"/>
      <c r="F677" s="137"/>
      <c r="G677" s="137"/>
      <c r="H677" s="137"/>
      <c r="I677" s="137"/>
      <c r="J677" s="138"/>
      <c r="K677" s="137"/>
      <c r="L677" s="137"/>
      <c r="M677" s="137"/>
      <c r="N677" s="137"/>
      <c r="O677" s="137"/>
      <c r="P677" s="137"/>
      <c r="Q677" s="137"/>
    </row>
    <row r="678" spans="1:17" ht="15" customHeight="1" x14ac:dyDescent="0.35">
      <c r="A678" s="129"/>
      <c r="B678" s="137"/>
      <c r="C678" s="137"/>
      <c r="D678" s="137"/>
      <c r="E678" s="137"/>
      <c r="F678" s="137"/>
      <c r="G678" s="137"/>
      <c r="H678" s="137"/>
      <c r="I678" s="137"/>
      <c r="J678" s="138"/>
      <c r="K678" s="137"/>
      <c r="L678" s="137"/>
      <c r="M678" s="137"/>
      <c r="N678" s="137"/>
      <c r="O678" s="137"/>
      <c r="P678" s="137"/>
      <c r="Q678" s="137"/>
    </row>
    <row r="679" spans="1:17" ht="15" customHeight="1" x14ac:dyDescent="0.35">
      <c r="A679" s="129"/>
      <c r="B679" s="137"/>
      <c r="C679" s="137"/>
      <c r="D679" s="137"/>
      <c r="E679" s="137"/>
      <c r="F679" s="137"/>
      <c r="G679" s="137"/>
      <c r="H679" s="137"/>
      <c r="I679" s="137"/>
      <c r="J679" s="138"/>
      <c r="K679" s="137"/>
      <c r="L679" s="137"/>
      <c r="M679" s="137"/>
      <c r="N679" s="137"/>
      <c r="O679" s="137"/>
      <c r="P679" s="137"/>
      <c r="Q679" s="137"/>
    </row>
    <row r="680" spans="1:17" ht="15" customHeight="1" x14ac:dyDescent="0.35">
      <c r="A680" s="129"/>
      <c r="B680" s="137"/>
      <c r="C680" s="137"/>
      <c r="D680" s="137"/>
      <c r="E680" s="137"/>
      <c r="F680" s="137"/>
      <c r="G680" s="137"/>
      <c r="H680" s="137"/>
      <c r="I680" s="137"/>
      <c r="J680" s="138"/>
      <c r="K680" s="137"/>
      <c r="L680" s="137"/>
      <c r="M680" s="137"/>
      <c r="N680" s="137"/>
      <c r="O680" s="137"/>
      <c r="P680" s="137"/>
      <c r="Q680" s="137"/>
    </row>
    <row r="681" spans="1:17" ht="15" customHeight="1" x14ac:dyDescent="0.35">
      <c r="A681" s="129"/>
      <c r="B681" s="137"/>
      <c r="C681" s="137"/>
      <c r="D681" s="137"/>
      <c r="E681" s="137"/>
      <c r="F681" s="137"/>
      <c r="G681" s="137"/>
      <c r="H681" s="137"/>
      <c r="I681" s="137"/>
      <c r="J681" s="138"/>
      <c r="K681" s="137"/>
      <c r="L681" s="137"/>
      <c r="M681" s="137"/>
      <c r="N681" s="137"/>
      <c r="O681" s="137"/>
      <c r="P681" s="137"/>
      <c r="Q681" s="137"/>
    </row>
    <row r="682" spans="1:17" ht="15" customHeight="1" x14ac:dyDescent="0.35">
      <c r="A682" s="129"/>
      <c r="B682" s="137"/>
      <c r="C682" s="137"/>
      <c r="D682" s="137"/>
      <c r="E682" s="137"/>
      <c r="F682" s="137"/>
      <c r="G682" s="137"/>
      <c r="H682" s="137"/>
      <c r="I682" s="137"/>
      <c r="J682" s="138"/>
      <c r="K682" s="137"/>
      <c r="L682" s="137"/>
      <c r="M682" s="137"/>
      <c r="N682" s="137"/>
      <c r="O682" s="137"/>
      <c r="P682" s="137"/>
      <c r="Q682" s="137"/>
    </row>
    <row r="683" spans="1:17" ht="15" customHeight="1" x14ac:dyDescent="0.35">
      <c r="A683" s="129"/>
      <c r="B683" s="137"/>
      <c r="C683" s="137"/>
      <c r="D683" s="137"/>
      <c r="E683" s="137"/>
      <c r="F683" s="137"/>
      <c r="G683" s="137"/>
      <c r="H683" s="137"/>
      <c r="I683" s="137"/>
      <c r="J683" s="138"/>
      <c r="K683" s="137"/>
      <c r="L683" s="137"/>
      <c r="M683" s="137"/>
      <c r="N683" s="137"/>
      <c r="O683" s="137"/>
      <c r="P683" s="137"/>
      <c r="Q683" s="137"/>
    </row>
    <row r="684" spans="1:17" ht="15" customHeight="1" x14ac:dyDescent="0.35">
      <c r="A684" s="129"/>
      <c r="B684" s="137"/>
      <c r="C684" s="137"/>
      <c r="D684" s="137"/>
      <c r="E684" s="137"/>
      <c r="F684" s="137"/>
      <c r="G684" s="137"/>
      <c r="H684" s="137"/>
      <c r="I684" s="137"/>
      <c r="J684" s="138"/>
      <c r="K684" s="137"/>
      <c r="L684" s="137"/>
      <c r="M684" s="137"/>
      <c r="N684" s="137"/>
      <c r="O684" s="137"/>
      <c r="P684" s="137"/>
      <c r="Q684" s="137"/>
    </row>
    <row r="685" spans="1:17" ht="15" customHeight="1" x14ac:dyDescent="0.35">
      <c r="A685" s="129"/>
      <c r="B685" s="137"/>
      <c r="C685" s="137"/>
      <c r="D685" s="137"/>
      <c r="E685" s="137"/>
      <c r="F685" s="137"/>
      <c r="G685" s="137"/>
      <c r="H685" s="137"/>
      <c r="I685" s="137"/>
      <c r="J685" s="138"/>
      <c r="K685" s="137"/>
      <c r="L685" s="137"/>
      <c r="M685" s="137"/>
      <c r="N685" s="137"/>
      <c r="O685" s="137"/>
      <c r="P685" s="137"/>
      <c r="Q685" s="137"/>
    </row>
    <row r="686" spans="1:17" ht="15" customHeight="1" x14ac:dyDescent="0.35">
      <c r="A686" s="129"/>
      <c r="B686" s="137"/>
      <c r="C686" s="137"/>
      <c r="D686" s="137"/>
      <c r="E686" s="137"/>
      <c r="F686" s="137"/>
      <c r="G686" s="137"/>
      <c r="H686" s="137"/>
      <c r="I686" s="137"/>
      <c r="J686" s="138"/>
      <c r="K686" s="137"/>
      <c r="L686" s="137"/>
      <c r="M686" s="137"/>
      <c r="N686" s="137"/>
      <c r="O686" s="137"/>
      <c r="P686" s="137"/>
      <c r="Q686" s="137"/>
    </row>
    <row r="687" spans="1:17" ht="15" customHeight="1" x14ac:dyDescent="0.35">
      <c r="A687" s="129"/>
      <c r="B687" s="137"/>
      <c r="C687" s="137"/>
      <c r="D687" s="137"/>
      <c r="E687" s="137"/>
      <c r="F687" s="137"/>
      <c r="G687" s="137"/>
      <c r="H687" s="137"/>
      <c r="I687" s="137"/>
      <c r="J687" s="138"/>
      <c r="K687" s="137"/>
      <c r="L687" s="137"/>
      <c r="M687" s="137"/>
      <c r="N687" s="137"/>
      <c r="O687" s="137"/>
      <c r="P687" s="137"/>
      <c r="Q687" s="137"/>
    </row>
    <row r="688" spans="1:17" ht="15" customHeight="1" x14ac:dyDescent="0.35">
      <c r="A688" s="129"/>
      <c r="B688" s="137"/>
      <c r="C688" s="137"/>
      <c r="D688" s="137"/>
      <c r="E688" s="137"/>
      <c r="F688" s="137"/>
      <c r="G688" s="137"/>
      <c r="H688" s="137"/>
      <c r="I688" s="137"/>
      <c r="J688" s="138"/>
      <c r="K688" s="137"/>
      <c r="L688" s="137"/>
      <c r="M688" s="137"/>
      <c r="N688" s="137"/>
      <c r="O688" s="137"/>
      <c r="P688" s="137"/>
      <c r="Q688" s="137"/>
    </row>
    <row r="689" spans="1:17" ht="15" customHeight="1" x14ac:dyDescent="0.35">
      <c r="A689" s="129"/>
      <c r="B689" s="137"/>
      <c r="C689" s="137"/>
      <c r="D689" s="137"/>
      <c r="E689" s="137"/>
      <c r="F689" s="137"/>
      <c r="G689" s="137"/>
      <c r="H689" s="137"/>
      <c r="I689" s="137"/>
      <c r="J689" s="138"/>
      <c r="K689" s="137"/>
      <c r="L689" s="137"/>
      <c r="M689" s="137"/>
      <c r="N689" s="137"/>
      <c r="O689" s="137"/>
      <c r="P689" s="137"/>
      <c r="Q689" s="137"/>
    </row>
    <row r="690" spans="1:17" ht="15" customHeight="1" x14ac:dyDescent="0.35">
      <c r="A690" s="129"/>
      <c r="B690" s="137"/>
      <c r="C690" s="137"/>
      <c r="D690" s="137"/>
      <c r="E690" s="137"/>
      <c r="F690" s="137"/>
      <c r="G690" s="137"/>
      <c r="H690" s="137"/>
      <c r="I690" s="137"/>
      <c r="J690" s="138"/>
      <c r="K690" s="137"/>
      <c r="L690" s="137"/>
      <c r="M690" s="137"/>
      <c r="N690" s="137"/>
      <c r="O690" s="137"/>
      <c r="P690" s="137"/>
      <c r="Q690" s="137"/>
    </row>
    <row r="691" spans="1:17" ht="15" customHeight="1" x14ac:dyDescent="0.35">
      <c r="A691" s="129"/>
      <c r="B691" s="137"/>
      <c r="C691" s="137"/>
      <c r="D691" s="137"/>
      <c r="E691" s="137"/>
      <c r="F691" s="137"/>
      <c r="G691" s="137"/>
      <c r="H691" s="137"/>
      <c r="I691" s="137"/>
      <c r="J691" s="138"/>
      <c r="K691" s="137"/>
      <c r="L691" s="137"/>
      <c r="M691" s="137"/>
      <c r="N691" s="137"/>
      <c r="O691" s="137"/>
      <c r="P691" s="137"/>
      <c r="Q691" s="137"/>
    </row>
    <row r="692" spans="1:17" ht="15" customHeight="1" x14ac:dyDescent="0.35">
      <c r="A692" s="129"/>
      <c r="B692" s="137"/>
      <c r="C692" s="137"/>
      <c r="D692" s="137"/>
      <c r="E692" s="137"/>
      <c r="F692" s="137"/>
      <c r="G692" s="137"/>
      <c r="H692" s="137"/>
      <c r="I692" s="137"/>
      <c r="J692" s="138"/>
      <c r="K692" s="137"/>
      <c r="L692" s="137"/>
      <c r="M692" s="137"/>
      <c r="N692" s="137"/>
      <c r="O692" s="137"/>
      <c r="P692" s="137"/>
      <c r="Q692" s="137"/>
    </row>
    <row r="693" spans="1:17" ht="15" customHeight="1" x14ac:dyDescent="0.35">
      <c r="A693" s="129"/>
      <c r="B693" s="137"/>
      <c r="C693" s="137"/>
      <c r="D693" s="137"/>
      <c r="E693" s="137"/>
      <c r="F693" s="137"/>
      <c r="G693" s="137"/>
      <c r="H693" s="137"/>
      <c r="I693" s="137"/>
      <c r="J693" s="138"/>
      <c r="K693" s="137"/>
      <c r="L693" s="137"/>
      <c r="M693" s="137"/>
      <c r="N693" s="137"/>
      <c r="O693" s="137"/>
      <c r="P693" s="137"/>
      <c r="Q693" s="137"/>
    </row>
    <row r="694" spans="1:17" ht="15" customHeight="1" x14ac:dyDescent="0.35">
      <c r="A694" s="129"/>
      <c r="B694" s="137"/>
      <c r="C694" s="137"/>
      <c r="D694" s="137"/>
      <c r="E694" s="137"/>
      <c r="F694" s="137"/>
      <c r="G694" s="137"/>
      <c r="H694" s="137"/>
      <c r="I694" s="137"/>
      <c r="J694" s="138"/>
      <c r="K694" s="137"/>
      <c r="L694" s="137"/>
      <c r="M694" s="137"/>
      <c r="N694" s="137"/>
      <c r="O694" s="137"/>
      <c r="P694" s="137"/>
      <c r="Q694" s="137"/>
    </row>
    <row r="695" spans="1:17" ht="15" customHeight="1" x14ac:dyDescent="0.35">
      <c r="A695" s="129"/>
      <c r="B695" s="137"/>
      <c r="C695" s="137"/>
      <c r="D695" s="137"/>
      <c r="E695" s="137"/>
      <c r="F695" s="137"/>
      <c r="G695" s="137"/>
      <c r="H695" s="137"/>
      <c r="I695" s="137"/>
      <c r="J695" s="138"/>
      <c r="K695" s="137"/>
      <c r="L695" s="137"/>
      <c r="M695" s="137"/>
      <c r="N695" s="137"/>
      <c r="O695" s="137"/>
      <c r="P695" s="137"/>
      <c r="Q695" s="137"/>
    </row>
    <row r="696" spans="1:17" ht="15" customHeight="1" x14ac:dyDescent="0.35">
      <c r="A696" s="129"/>
      <c r="B696" s="137"/>
      <c r="C696" s="137"/>
      <c r="D696" s="137"/>
      <c r="E696" s="137"/>
      <c r="F696" s="137"/>
      <c r="G696" s="137"/>
      <c r="H696" s="137"/>
      <c r="I696" s="137"/>
      <c r="J696" s="138"/>
      <c r="K696" s="137"/>
      <c r="L696" s="137"/>
      <c r="M696" s="137"/>
      <c r="N696" s="137"/>
      <c r="O696" s="137"/>
      <c r="P696" s="137"/>
      <c r="Q696" s="137"/>
    </row>
    <row r="697" spans="1:17" ht="15" customHeight="1" x14ac:dyDescent="0.35">
      <c r="A697" s="129"/>
      <c r="B697" s="137"/>
      <c r="C697" s="137"/>
      <c r="D697" s="137"/>
      <c r="E697" s="137"/>
      <c r="F697" s="137"/>
      <c r="G697" s="137"/>
      <c r="H697" s="137"/>
      <c r="I697" s="137"/>
      <c r="J697" s="138"/>
      <c r="K697" s="137"/>
      <c r="L697" s="137"/>
      <c r="M697" s="137"/>
      <c r="N697" s="137"/>
      <c r="O697" s="137"/>
      <c r="P697" s="137"/>
      <c r="Q697" s="137"/>
    </row>
    <row r="698" spans="1:17" ht="15" customHeight="1" x14ac:dyDescent="0.35">
      <c r="A698" s="129"/>
      <c r="B698" s="137"/>
      <c r="C698" s="137"/>
      <c r="D698" s="137"/>
      <c r="E698" s="137"/>
      <c r="F698" s="137"/>
      <c r="G698" s="137"/>
      <c r="H698" s="137"/>
      <c r="I698" s="137"/>
      <c r="J698" s="138"/>
      <c r="K698" s="137"/>
      <c r="L698" s="137"/>
      <c r="M698" s="137"/>
      <c r="N698" s="137"/>
      <c r="O698" s="137"/>
      <c r="P698" s="137"/>
      <c r="Q698" s="137"/>
    </row>
    <row r="699" spans="1:17" ht="15" customHeight="1" x14ac:dyDescent="0.35">
      <c r="A699" s="129"/>
      <c r="B699" s="137"/>
      <c r="C699" s="137"/>
      <c r="D699" s="137"/>
      <c r="E699" s="137"/>
      <c r="F699" s="137"/>
      <c r="G699" s="137"/>
      <c r="H699" s="137"/>
      <c r="I699" s="137"/>
      <c r="J699" s="138"/>
      <c r="K699" s="137"/>
      <c r="L699" s="137"/>
      <c r="M699" s="137"/>
      <c r="N699" s="137"/>
      <c r="O699" s="137"/>
      <c r="P699" s="137"/>
      <c r="Q699" s="137"/>
    </row>
    <row r="700" spans="1:17" ht="15" customHeight="1" x14ac:dyDescent="0.35">
      <c r="A700" s="129"/>
      <c r="B700" s="137"/>
      <c r="C700" s="137"/>
      <c r="D700" s="137"/>
      <c r="E700" s="137"/>
      <c r="F700" s="137"/>
      <c r="G700" s="137"/>
      <c r="H700" s="137"/>
      <c r="I700" s="137"/>
      <c r="J700" s="138"/>
      <c r="K700" s="137"/>
      <c r="L700" s="137"/>
      <c r="M700" s="137"/>
      <c r="N700" s="137"/>
      <c r="O700" s="137"/>
      <c r="P700" s="137"/>
      <c r="Q700" s="137"/>
    </row>
    <row r="701" spans="1:17" ht="15" customHeight="1" x14ac:dyDescent="0.35">
      <c r="A701" s="129"/>
      <c r="B701" s="137"/>
      <c r="C701" s="137"/>
      <c r="D701" s="137"/>
      <c r="E701" s="137"/>
      <c r="F701" s="137"/>
      <c r="G701" s="137"/>
      <c r="H701" s="137"/>
      <c r="I701" s="137"/>
      <c r="J701" s="138"/>
      <c r="K701" s="137"/>
      <c r="L701" s="137"/>
      <c r="M701" s="137"/>
      <c r="N701" s="137"/>
      <c r="O701" s="137"/>
      <c r="P701" s="137"/>
      <c r="Q701" s="137"/>
    </row>
    <row r="702" spans="1:17" ht="15" customHeight="1" x14ac:dyDescent="0.35">
      <c r="A702" s="129"/>
      <c r="B702" s="137"/>
      <c r="C702" s="137"/>
      <c r="D702" s="137"/>
      <c r="E702" s="137"/>
      <c r="F702" s="137"/>
      <c r="G702" s="137"/>
      <c r="H702" s="137"/>
      <c r="I702" s="137"/>
      <c r="J702" s="138"/>
      <c r="K702" s="137"/>
      <c r="L702" s="137"/>
      <c r="M702" s="137"/>
      <c r="N702" s="137"/>
      <c r="O702" s="137"/>
      <c r="P702" s="137"/>
      <c r="Q702" s="137"/>
    </row>
    <row r="703" spans="1:17" ht="15" customHeight="1" x14ac:dyDescent="0.35">
      <c r="A703" s="129"/>
      <c r="B703" s="137"/>
      <c r="C703" s="137"/>
      <c r="D703" s="137"/>
      <c r="E703" s="137"/>
      <c r="F703" s="137"/>
      <c r="G703" s="137"/>
      <c r="H703" s="137"/>
      <c r="I703" s="137"/>
      <c r="J703" s="138"/>
      <c r="K703" s="137"/>
      <c r="L703" s="137"/>
      <c r="M703" s="137"/>
      <c r="N703" s="137"/>
      <c r="O703" s="137"/>
      <c r="P703" s="137"/>
      <c r="Q703" s="137"/>
    </row>
    <row r="704" spans="1:17" ht="15" customHeight="1" x14ac:dyDescent="0.35">
      <c r="A704" s="129"/>
      <c r="B704" s="137"/>
      <c r="C704" s="137"/>
      <c r="D704" s="137"/>
      <c r="E704" s="137"/>
      <c r="F704" s="137"/>
      <c r="G704" s="137"/>
      <c r="H704" s="137"/>
      <c r="I704" s="137"/>
      <c r="J704" s="138"/>
      <c r="K704" s="137"/>
      <c r="L704" s="137"/>
      <c r="M704" s="137"/>
      <c r="N704" s="137"/>
      <c r="O704" s="137"/>
      <c r="P704" s="137"/>
      <c r="Q704" s="137"/>
    </row>
    <row r="705" spans="1:17" ht="15" customHeight="1" x14ac:dyDescent="0.35">
      <c r="A705" s="129"/>
      <c r="B705" s="137"/>
      <c r="C705" s="137"/>
      <c r="D705" s="137"/>
      <c r="E705" s="137"/>
      <c r="F705" s="137"/>
      <c r="G705" s="137"/>
      <c r="H705" s="137"/>
      <c r="I705" s="137"/>
      <c r="J705" s="138"/>
      <c r="K705" s="137"/>
      <c r="L705" s="137"/>
      <c r="M705" s="137"/>
      <c r="N705" s="137"/>
      <c r="O705" s="137"/>
      <c r="P705" s="137"/>
      <c r="Q705" s="137"/>
    </row>
    <row r="706" spans="1:17" ht="15" customHeight="1" x14ac:dyDescent="0.35">
      <c r="A706" s="129"/>
      <c r="B706" s="137"/>
      <c r="C706" s="137"/>
      <c r="D706" s="137"/>
      <c r="E706" s="137"/>
      <c r="F706" s="137"/>
      <c r="G706" s="137"/>
      <c r="H706" s="137"/>
      <c r="I706" s="137"/>
      <c r="J706" s="138"/>
      <c r="K706" s="137"/>
      <c r="L706" s="137"/>
      <c r="M706" s="137"/>
      <c r="N706" s="137"/>
      <c r="O706" s="137"/>
      <c r="P706" s="137"/>
      <c r="Q706" s="137"/>
    </row>
    <row r="707" spans="1:17" ht="15" customHeight="1" x14ac:dyDescent="0.35">
      <c r="A707" s="129"/>
      <c r="B707" s="137"/>
      <c r="C707" s="137"/>
      <c r="D707" s="137"/>
      <c r="E707" s="137"/>
      <c r="F707" s="137"/>
      <c r="G707" s="137"/>
      <c r="H707" s="137"/>
      <c r="I707" s="137"/>
      <c r="J707" s="138"/>
      <c r="K707" s="137"/>
      <c r="L707" s="137"/>
      <c r="M707" s="137"/>
      <c r="N707" s="137"/>
      <c r="O707" s="137"/>
      <c r="P707" s="137"/>
      <c r="Q707" s="137"/>
    </row>
    <row r="708" spans="1:17" ht="15" customHeight="1" x14ac:dyDescent="0.35">
      <c r="A708" s="129"/>
      <c r="B708" s="137"/>
      <c r="C708" s="137"/>
      <c r="D708" s="137"/>
      <c r="E708" s="137"/>
      <c r="F708" s="137"/>
      <c r="G708" s="137"/>
      <c r="H708" s="137"/>
      <c r="I708" s="137"/>
      <c r="J708" s="138"/>
      <c r="K708" s="137"/>
      <c r="L708" s="137"/>
      <c r="M708" s="137"/>
      <c r="N708" s="137"/>
      <c r="O708" s="137"/>
      <c r="P708" s="137"/>
      <c r="Q708" s="137"/>
    </row>
    <row r="709" spans="1:17" ht="15" customHeight="1" x14ac:dyDescent="0.35">
      <c r="A709" s="129"/>
      <c r="B709" s="137"/>
      <c r="C709" s="137"/>
      <c r="D709" s="137"/>
      <c r="E709" s="137"/>
      <c r="F709" s="137"/>
      <c r="G709" s="137"/>
      <c r="H709" s="137"/>
      <c r="I709" s="137"/>
      <c r="J709" s="138"/>
      <c r="K709" s="137"/>
      <c r="L709" s="137"/>
      <c r="M709" s="137"/>
      <c r="N709" s="137"/>
      <c r="O709" s="137"/>
      <c r="P709" s="137"/>
      <c r="Q709" s="137"/>
    </row>
    <row r="710" spans="1:17" ht="15" customHeight="1" x14ac:dyDescent="0.35">
      <c r="A710" s="129"/>
      <c r="B710" s="137"/>
      <c r="C710" s="137"/>
      <c r="D710" s="137"/>
      <c r="E710" s="137"/>
      <c r="F710" s="137"/>
      <c r="G710" s="137"/>
      <c r="H710" s="137"/>
      <c r="I710" s="137"/>
      <c r="J710" s="138"/>
      <c r="K710" s="137"/>
      <c r="L710" s="137"/>
      <c r="M710" s="137"/>
      <c r="N710" s="137"/>
      <c r="O710" s="137"/>
      <c r="P710" s="137"/>
      <c r="Q710" s="137"/>
    </row>
    <row r="711" spans="1:17" ht="15" customHeight="1" x14ac:dyDescent="0.35">
      <c r="A711" s="129"/>
      <c r="B711" s="137"/>
      <c r="C711" s="137"/>
      <c r="D711" s="137"/>
      <c r="E711" s="137"/>
      <c r="F711" s="137"/>
      <c r="G711" s="137"/>
      <c r="H711" s="137"/>
      <c r="I711" s="137"/>
      <c r="J711" s="138"/>
      <c r="K711" s="137"/>
      <c r="L711" s="137"/>
      <c r="M711" s="137"/>
      <c r="N711" s="137"/>
      <c r="O711" s="137"/>
      <c r="P711" s="137"/>
      <c r="Q711" s="137"/>
    </row>
    <row r="712" spans="1:17" ht="15" customHeight="1" x14ac:dyDescent="0.35">
      <c r="A712" s="129"/>
      <c r="B712" s="137"/>
      <c r="C712" s="137"/>
      <c r="D712" s="137"/>
      <c r="E712" s="137"/>
      <c r="F712" s="137"/>
      <c r="G712" s="137"/>
      <c r="H712" s="137"/>
      <c r="I712" s="137"/>
      <c r="J712" s="138"/>
      <c r="K712" s="137"/>
      <c r="L712" s="137"/>
      <c r="M712" s="137"/>
      <c r="N712" s="137"/>
      <c r="O712" s="137"/>
      <c r="P712" s="137"/>
      <c r="Q712" s="137"/>
    </row>
    <row r="713" spans="1:17" ht="15" customHeight="1" x14ac:dyDescent="0.35">
      <c r="A713" s="129"/>
      <c r="B713" s="137"/>
      <c r="C713" s="137"/>
      <c r="D713" s="137"/>
      <c r="E713" s="137"/>
      <c r="F713" s="137"/>
      <c r="G713" s="137"/>
      <c r="H713" s="137"/>
      <c r="I713" s="137"/>
      <c r="J713" s="138"/>
      <c r="K713" s="137"/>
      <c r="L713" s="137"/>
      <c r="M713" s="137"/>
      <c r="N713" s="137"/>
      <c r="O713" s="137"/>
      <c r="P713" s="137"/>
      <c r="Q713" s="137"/>
    </row>
    <row r="714" spans="1:17" ht="15" customHeight="1" x14ac:dyDescent="0.35">
      <c r="A714" s="129"/>
      <c r="B714" s="137"/>
      <c r="C714" s="137"/>
      <c r="D714" s="137"/>
      <c r="E714" s="137"/>
      <c r="F714" s="137"/>
      <c r="G714" s="137"/>
      <c r="H714" s="137"/>
      <c r="I714" s="137"/>
      <c r="J714" s="138"/>
      <c r="K714" s="137"/>
      <c r="L714" s="137"/>
      <c r="M714" s="137"/>
      <c r="N714" s="137"/>
      <c r="O714" s="137"/>
      <c r="P714" s="137"/>
      <c r="Q714" s="137"/>
    </row>
    <row r="715" spans="1:17" ht="15" customHeight="1" x14ac:dyDescent="0.35">
      <c r="A715" s="129"/>
      <c r="B715" s="137"/>
      <c r="C715" s="137"/>
      <c r="D715" s="137"/>
      <c r="E715" s="137"/>
      <c r="F715" s="137"/>
      <c r="G715" s="137"/>
      <c r="H715" s="137"/>
      <c r="I715" s="137"/>
      <c r="J715" s="138"/>
      <c r="K715" s="137"/>
      <c r="L715" s="137"/>
      <c r="M715" s="137"/>
      <c r="N715" s="137"/>
      <c r="O715" s="137"/>
      <c r="P715" s="137"/>
      <c r="Q715" s="137"/>
    </row>
    <row r="716" spans="1:17" ht="15" customHeight="1" x14ac:dyDescent="0.35">
      <c r="A716" s="129"/>
      <c r="B716" s="137"/>
      <c r="C716" s="137"/>
      <c r="D716" s="137"/>
      <c r="E716" s="137"/>
      <c r="F716" s="137"/>
      <c r="G716" s="137"/>
      <c r="H716" s="137"/>
      <c r="I716" s="137"/>
      <c r="J716" s="138"/>
      <c r="K716" s="137"/>
      <c r="L716" s="137"/>
      <c r="M716" s="137"/>
      <c r="N716" s="137"/>
      <c r="O716" s="137"/>
      <c r="P716" s="137"/>
      <c r="Q716" s="137"/>
    </row>
    <row r="717" spans="1:17" ht="15" customHeight="1" x14ac:dyDescent="0.35">
      <c r="A717" s="129"/>
      <c r="B717" s="137"/>
      <c r="C717" s="137"/>
      <c r="D717" s="137"/>
      <c r="E717" s="137"/>
      <c r="F717" s="137"/>
      <c r="G717" s="137"/>
      <c r="H717" s="137"/>
      <c r="I717" s="137"/>
      <c r="J717" s="138"/>
      <c r="K717" s="137"/>
      <c r="L717" s="137"/>
      <c r="M717" s="137"/>
      <c r="N717" s="137"/>
      <c r="O717" s="137"/>
      <c r="P717" s="137"/>
      <c r="Q717" s="137"/>
    </row>
    <row r="718" spans="1:17" ht="15" customHeight="1" x14ac:dyDescent="0.35">
      <c r="A718" s="129"/>
      <c r="B718" s="137"/>
      <c r="C718" s="137"/>
      <c r="D718" s="137"/>
      <c r="E718" s="137"/>
      <c r="F718" s="137"/>
      <c r="G718" s="137"/>
      <c r="H718" s="137"/>
      <c r="I718" s="137"/>
      <c r="J718" s="138"/>
      <c r="K718" s="137"/>
      <c r="L718" s="137"/>
      <c r="M718" s="137"/>
      <c r="N718" s="137"/>
      <c r="O718" s="137"/>
      <c r="P718" s="137"/>
      <c r="Q718" s="137"/>
    </row>
    <row r="719" spans="1:17" ht="15" customHeight="1" x14ac:dyDescent="0.35">
      <c r="A719" s="129"/>
      <c r="B719" s="137"/>
      <c r="C719" s="137"/>
      <c r="D719" s="137"/>
      <c r="E719" s="137"/>
      <c r="F719" s="137"/>
      <c r="G719" s="137"/>
      <c r="H719" s="137"/>
      <c r="I719" s="137"/>
      <c r="J719" s="138"/>
      <c r="K719" s="137"/>
      <c r="L719" s="137"/>
      <c r="M719" s="137"/>
      <c r="N719" s="137"/>
      <c r="O719" s="137"/>
      <c r="P719" s="137"/>
      <c r="Q719" s="137"/>
    </row>
    <row r="720" spans="1:17" ht="15" customHeight="1" x14ac:dyDescent="0.35">
      <c r="A720" s="129"/>
      <c r="B720" s="137"/>
      <c r="C720" s="137"/>
      <c r="D720" s="137"/>
      <c r="E720" s="137"/>
      <c r="F720" s="137"/>
      <c r="G720" s="137"/>
      <c r="H720" s="137"/>
      <c r="I720" s="137"/>
      <c r="J720" s="138"/>
      <c r="K720" s="137"/>
      <c r="L720" s="137"/>
      <c r="M720" s="137"/>
      <c r="N720" s="137"/>
      <c r="O720" s="137"/>
      <c r="P720" s="137"/>
      <c r="Q720" s="137"/>
    </row>
    <row r="721" spans="1:17" ht="15" customHeight="1" x14ac:dyDescent="0.35">
      <c r="A721" s="129"/>
      <c r="B721" s="137"/>
      <c r="C721" s="137"/>
      <c r="D721" s="137"/>
      <c r="E721" s="137"/>
      <c r="F721" s="137"/>
      <c r="G721" s="137"/>
      <c r="H721" s="137"/>
      <c r="I721" s="137"/>
      <c r="J721" s="138"/>
      <c r="K721" s="137"/>
      <c r="L721" s="137"/>
      <c r="M721" s="137"/>
      <c r="N721" s="137"/>
      <c r="O721" s="137"/>
      <c r="P721" s="137"/>
      <c r="Q721" s="137"/>
    </row>
    <row r="722" spans="1:17" ht="15" customHeight="1" x14ac:dyDescent="0.35">
      <c r="A722" s="129"/>
      <c r="B722" s="137"/>
      <c r="C722" s="137"/>
      <c r="D722" s="137"/>
      <c r="E722" s="137"/>
      <c r="F722" s="137"/>
      <c r="G722" s="137"/>
      <c r="H722" s="137"/>
      <c r="I722" s="137"/>
      <c r="J722" s="138"/>
      <c r="K722" s="137"/>
      <c r="L722" s="137"/>
      <c r="M722" s="137"/>
      <c r="N722" s="137"/>
      <c r="O722" s="137"/>
      <c r="P722" s="137"/>
      <c r="Q722" s="137"/>
    </row>
    <row r="723" spans="1:17" ht="15" customHeight="1" x14ac:dyDescent="0.35">
      <c r="A723" s="129"/>
      <c r="B723" s="137"/>
      <c r="C723" s="137"/>
      <c r="D723" s="137"/>
      <c r="E723" s="137"/>
      <c r="F723" s="137"/>
      <c r="G723" s="137"/>
      <c r="H723" s="137"/>
      <c r="I723" s="137"/>
      <c r="J723" s="138"/>
      <c r="K723" s="137"/>
      <c r="L723" s="137"/>
      <c r="M723" s="137"/>
      <c r="N723" s="137"/>
      <c r="O723" s="137"/>
      <c r="P723" s="137"/>
      <c r="Q723" s="137"/>
    </row>
    <row r="724" spans="1:17" ht="15" customHeight="1" x14ac:dyDescent="0.35">
      <c r="A724" s="129"/>
      <c r="B724" s="137"/>
      <c r="C724" s="137"/>
      <c r="D724" s="137"/>
      <c r="E724" s="137"/>
      <c r="F724" s="137"/>
      <c r="G724" s="137"/>
      <c r="H724" s="137"/>
      <c r="I724" s="137"/>
      <c r="J724" s="138"/>
      <c r="K724" s="137"/>
      <c r="L724" s="137"/>
      <c r="M724" s="137"/>
      <c r="N724" s="137"/>
      <c r="O724" s="137"/>
      <c r="P724" s="137"/>
      <c r="Q724" s="137"/>
    </row>
    <row r="725" spans="1:17" ht="15" customHeight="1" x14ac:dyDescent="0.35">
      <c r="A725" s="129"/>
      <c r="B725" s="137"/>
      <c r="C725" s="137"/>
      <c r="D725" s="137"/>
      <c r="E725" s="137"/>
      <c r="F725" s="137"/>
      <c r="G725" s="137"/>
      <c r="H725" s="137"/>
      <c r="I725" s="137"/>
      <c r="J725" s="138"/>
      <c r="K725" s="137"/>
      <c r="L725" s="137"/>
      <c r="M725" s="137"/>
      <c r="N725" s="137"/>
      <c r="O725" s="137"/>
      <c r="P725" s="137"/>
      <c r="Q725" s="137"/>
    </row>
    <row r="726" spans="1:17" ht="15" customHeight="1" x14ac:dyDescent="0.35">
      <c r="A726" s="129"/>
      <c r="B726" s="137"/>
      <c r="C726" s="137"/>
      <c r="D726" s="137"/>
      <c r="E726" s="137"/>
      <c r="F726" s="137"/>
      <c r="G726" s="137"/>
      <c r="H726" s="137"/>
      <c r="I726" s="137"/>
      <c r="J726" s="138"/>
      <c r="K726" s="137"/>
      <c r="L726" s="137"/>
      <c r="M726" s="137"/>
      <c r="N726" s="137"/>
      <c r="O726" s="137"/>
      <c r="P726" s="137"/>
      <c r="Q726" s="137"/>
    </row>
    <row r="727" spans="1:17" ht="15" customHeight="1" x14ac:dyDescent="0.35">
      <c r="A727" s="129"/>
      <c r="B727" s="137"/>
      <c r="C727" s="137"/>
      <c r="D727" s="137"/>
      <c r="E727" s="137"/>
      <c r="F727" s="137"/>
      <c r="G727" s="137"/>
      <c r="H727" s="137"/>
      <c r="I727" s="137"/>
      <c r="J727" s="138"/>
      <c r="K727" s="137"/>
      <c r="L727" s="137"/>
      <c r="M727" s="137"/>
      <c r="N727" s="137"/>
      <c r="O727" s="137"/>
      <c r="P727" s="137"/>
      <c r="Q727" s="137"/>
    </row>
    <row r="728" spans="1:17" ht="15" customHeight="1" x14ac:dyDescent="0.35">
      <c r="A728" s="129"/>
      <c r="B728" s="137"/>
      <c r="C728" s="137"/>
      <c r="D728" s="137"/>
      <c r="E728" s="137"/>
      <c r="F728" s="137"/>
      <c r="G728" s="137"/>
      <c r="H728" s="137"/>
      <c r="I728" s="137"/>
      <c r="J728" s="138"/>
      <c r="K728" s="137"/>
      <c r="L728" s="137"/>
      <c r="M728" s="137"/>
      <c r="N728" s="137"/>
      <c r="O728" s="137"/>
      <c r="P728" s="137"/>
      <c r="Q728" s="137"/>
    </row>
    <row r="729" spans="1:17" ht="15" customHeight="1" x14ac:dyDescent="0.35">
      <c r="A729" s="129"/>
      <c r="B729" s="137"/>
      <c r="C729" s="137"/>
      <c r="D729" s="137"/>
      <c r="E729" s="137"/>
      <c r="F729" s="137"/>
      <c r="G729" s="137"/>
      <c r="H729" s="137"/>
      <c r="I729" s="137"/>
      <c r="J729" s="138"/>
      <c r="K729" s="137"/>
      <c r="L729" s="137"/>
      <c r="M729" s="137"/>
      <c r="N729" s="137"/>
      <c r="O729" s="137"/>
      <c r="P729" s="137"/>
      <c r="Q729" s="137"/>
    </row>
    <row r="730" spans="1:17" ht="15" customHeight="1" x14ac:dyDescent="0.35">
      <c r="A730" s="129"/>
      <c r="B730" s="137"/>
      <c r="C730" s="137"/>
      <c r="D730" s="137"/>
      <c r="E730" s="137"/>
      <c r="F730" s="137"/>
      <c r="G730" s="137"/>
      <c r="H730" s="137"/>
      <c r="I730" s="137"/>
      <c r="J730" s="138"/>
      <c r="K730" s="137"/>
      <c r="L730" s="137"/>
      <c r="M730" s="137"/>
      <c r="N730" s="137"/>
      <c r="O730" s="137"/>
      <c r="P730" s="137"/>
      <c r="Q730" s="137"/>
    </row>
    <row r="731" spans="1:17" ht="15" customHeight="1" x14ac:dyDescent="0.35">
      <c r="A731" s="129"/>
      <c r="B731" s="137"/>
      <c r="C731" s="137"/>
      <c r="D731" s="137"/>
      <c r="E731" s="137"/>
      <c r="F731" s="137"/>
      <c r="G731" s="137"/>
      <c r="H731" s="137"/>
      <c r="I731" s="137"/>
      <c r="J731" s="138"/>
      <c r="K731" s="137"/>
      <c r="L731" s="137"/>
      <c r="M731" s="137"/>
      <c r="N731" s="137"/>
      <c r="O731" s="137"/>
      <c r="P731" s="137"/>
      <c r="Q731" s="137"/>
    </row>
    <row r="732" spans="1:17" ht="15" customHeight="1" x14ac:dyDescent="0.35">
      <c r="A732" s="129"/>
      <c r="B732" s="137"/>
      <c r="C732" s="137"/>
      <c r="D732" s="137"/>
      <c r="E732" s="137"/>
      <c r="F732" s="137"/>
      <c r="G732" s="137"/>
      <c r="H732" s="137"/>
      <c r="I732" s="137"/>
      <c r="J732" s="138"/>
      <c r="K732" s="137"/>
      <c r="L732" s="137"/>
      <c r="M732" s="137"/>
      <c r="N732" s="137"/>
      <c r="O732" s="137"/>
      <c r="P732" s="137"/>
      <c r="Q732" s="137"/>
    </row>
    <row r="733" spans="1:17" ht="15" customHeight="1" x14ac:dyDescent="0.35">
      <c r="A733" s="129"/>
      <c r="B733" s="137"/>
      <c r="C733" s="137"/>
      <c r="D733" s="137"/>
      <c r="E733" s="137"/>
      <c r="F733" s="137"/>
      <c r="G733" s="137"/>
      <c r="H733" s="137"/>
      <c r="I733" s="137"/>
      <c r="J733" s="138"/>
      <c r="K733" s="137"/>
      <c r="L733" s="137"/>
      <c r="M733" s="137"/>
      <c r="N733" s="137"/>
      <c r="O733" s="137"/>
      <c r="P733" s="137"/>
      <c r="Q733" s="137"/>
    </row>
    <row r="734" spans="1:17" ht="15" customHeight="1" x14ac:dyDescent="0.35">
      <c r="A734" s="129"/>
      <c r="B734" s="137"/>
      <c r="C734" s="137"/>
      <c r="D734" s="137"/>
      <c r="E734" s="137"/>
      <c r="F734" s="137"/>
      <c r="G734" s="137"/>
      <c r="H734" s="137"/>
      <c r="I734" s="137"/>
      <c r="J734" s="138"/>
      <c r="K734" s="137"/>
      <c r="L734" s="137"/>
      <c r="M734" s="137"/>
      <c r="N734" s="137"/>
      <c r="O734" s="137"/>
      <c r="P734" s="137"/>
      <c r="Q734" s="137"/>
    </row>
    <row r="735" spans="1:17" ht="15" customHeight="1" x14ac:dyDescent="0.35">
      <c r="A735" s="129"/>
      <c r="B735" s="137"/>
      <c r="C735" s="137"/>
      <c r="D735" s="137"/>
      <c r="E735" s="137"/>
      <c r="F735" s="137"/>
      <c r="G735" s="137"/>
      <c r="H735" s="137"/>
      <c r="I735" s="137"/>
      <c r="J735" s="138"/>
      <c r="K735" s="137"/>
      <c r="L735" s="137"/>
      <c r="M735" s="137"/>
      <c r="N735" s="137"/>
      <c r="O735" s="137"/>
      <c r="P735" s="137"/>
      <c r="Q735" s="137"/>
    </row>
    <row r="736" spans="1:17" ht="15" customHeight="1" x14ac:dyDescent="0.35">
      <c r="A736" s="129"/>
      <c r="B736" s="137"/>
      <c r="C736" s="137"/>
      <c r="D736" s="137"/>
      <c r="E736" s="137"/>
      <c r="F736" s="137"/>
      <c r="G736" s="137"/>
      <c r="H736" s="137"/>
      <c r="I736" s="137"/>
      <c r="J736" s="138"/>
      <c r="K736" s="137"/>
      <c r="L736" s="137"/>
      <c r="M736" s="137"/>
      <c r="N736" s="137"/>
      <c r="O736" s="137"/>
      <c r="P736" s="137"/>
      <c r="Q736" s="137"/>
    </row>
    <row r="737" spans="1:17" ht="15" customHeight="1" x14ac:dyDescent="0.35">
      <c r="A737" s="129"/>
      <c r="B737" s="137"/>
      <c r="C737" s="137"/>
      <c r="D737" s="137"/>
      <c r="E737" s="137"/>
      <c r="F737" s="137"/>
      <c r="G737" s="137"/>
      <c r="H737" s="137"/>
      <c r="I737" s="137"/>
      <c r="J737" s="138"/>
      <c r="K737" s="137"/>
      <c r="L737" s="137"/>
      <c r="M737" s="137"/>
      <c r="N737" s="137"/>
      <c r="O737" s="137"/>
      <c r="P737" s="137"/>
      <c r="Q737" s="137"/>
    </row>
    <row r="738" spans="1:17" ht="15" customHeight="1" x14ac:dyDescent="0.35">
      <c r="A738" s="129"/>
      <c r="B738" s="137"/>
      <c r="C738" s="137"/>
      <c r="D738" s="137"/>
      <c r="E738" s="137"/>
      <c r="F738" s="137"/>
      <c r="G738" s="137"/>
      <c r="H738" s="137"/>
      <c r="I738" s="137"/>
      <c r="J738" s="138"/>
      <c r="K738" s="137"/>
      <c r="L738" s="137"/>
      <c r="M738" s="137"/>
      <c r="N738" s="137"/>
      <c r="O738" s="137"/>
      <c r="P738" s="137"/>
      <c r="Q738" s="137"/>
    </row>
    <row r="739" spans="1:17" ht="15" customHeight="1" x14ac:dyDescent="0.35">
      <c r="A739" s="129"/>
      <c r="B739" s="137"/>
      <c r="C739" s="137"/>
      <c r="D739" s="137"/>
      <c r="E739" s="137"/>
      <c r="F739" s="137"/>
      <c r="G739" s="137"/>
      <c r="H739" s="137"/>
      <c r="I739" s="137"/>
      <c r="J739" s="138"/>
      <c r="K739" s="137"/>
      <c r="L739" s="137"/>
      <c r="M739" s="137"/>
      <c r="N739" s="137"/>
      <c r="O739" s="137"/>
      <c r="P739" s="137"/>
      <c r="Q739" s="137"/>
    </row>
    <row r="740" spans="1:17" ht="15" customHeight="1" x14ac:dyDescent="0.35">
      <c r="A740" s="129"/>
      <c r="B740" s="137"/>
      <c r="C740" s="137"/>
      <c r="D740" s="137"/>
      <c r="E740" s="137"/>
      <c r="F740" s="137"/>
      <c r="G740" s="137"/>
      <c r="H740" s="137"/>
      <c r="I740" s="137"/>
      <c r="J740" s="138"/>
      <c r="K740" s="137"/>
      <c r="L740" s="137"/>
      <c r="M740" s="137"/>
      <c r="N740" s="137"/>
      <c r="O740" s="137"/>
      <c r="P740" s="137"/>
      <c r="Q740" s="137"/>
    </row>
    <row r="741" spans="1:17" ht="15" customHeight="1" x14ac:dyDescent="0.35">
      <c r="A741" s="129"/>
      <c r="B741" s="137"/>
      <c r="C741" s="137"/>
      <c r="D741" s="137"/>
      <c r="E741" s="137"/>
      <c r="F741" s="137"/>
      <c r="G741" s="137"/>
      <c r="H741" s="137"/>
      <c r="I741" s="137"/>
      <c r="J741" s="138"/>
      <c r="K741" s="137"/>
      <c r="L741" s="137"/>
      <c r="M741" s="137"/>
      <c r="N741" s="137"/>
      <c r="O741" s="137"/>
      <c r="P741" s="137"/>
      <c r="Q741" s="137"/>
    </row>
    <row r="742" spans="1:17" ht="15" customHeight="1" x14ac:dyDescent="0.35">
      <c r="A742" s="129"/>
      <c r="B742" s="137"/>
      <c r="C742" s="137"/>
      <c r="D742" s="137"/>
      <c r="E742" s="137"/>
      <c r="F742" s="137"/>
      <c r="G742" s="137"/>
      <c r="H742" s="137"/>
      <c r="I742" s="137"/>
      <c r="J742" s="138"/>
      <c r="K742" s="137"/>
      <c r="L742" s="137"/>
      <c r="M742" s="137"/>
      <c r="N742" s="137"/>
      <c r="O742" s="137"/>
      <c r="P742" s="137"/>
      <c r="Q742" s="137"/>
    </row>
    <row r="743" spans="1:17" ht="15" customHeight="1" x14ac:dyDescent="0.35">
      <c r="A743" s="129"/>
      <c r="B743" s="137"/>
      <c r="C743" s="137"/>
      <c r="D743" s="137"/>
      <c r="E743" s="137"/>
      <c r="F743" s="137"/>
      <c r="G743" s="137"/>
      <c r="H743" s="137"/>
      <c r="I743" s="137"/>
      <c r="J743" s="138"/>
      <c r="K743" s="137"/>
      <c r="L743" s="137"/>
      <c r="M743" s="137"/>
      <c r="N743" s="137"/>
      <c r="O743" s="137"/>
      <c r="P743" s="137"/>
      <c r="Q743" s="137"/>
    </row>
    <row r="744" spans="1:17" ht="15" customHeight="1" x14ac:dyDescent="0.35">
      <c r="A744" s="129"/>
      <c r="B744" s="137"/>
      <c r="C744" s="137"/>
      <c r="D744" s="137"/>
      <c r="E744" s="137"/>
      <c r="F744" s="137"/>
      <c r="G744" s="137"/>
      <c r="H744" s="137"/>
      <c r="I744" s="137"/>
      <c r="J744" s="138"/>
      <c r="K744" s="137"/>
      <c r="L744" s="137"/>
      <c r="M744" s="137"/>
      <c r="N744" s="137"/>
      <c r="O744" s="137"/>
      <c r="P744" s="137"/>
      <c r="Q744" s="137"/>
    </row>
    <row r="745" spans="1:17" ht="15" customHeight="1" x14ac:dyDescent="0.35">
      <c r="A745" s="129"/>
      <c r="B745" s="137"/>
      <c r="C745" s="137"/>
      <c r="D745" s="137"/>
      <c r="E745" s="137"/>
      <c r="F745" s="137"/>
      <c r="G745" s="137"/>
      <c r="H745" s="137"/>
      <c r="I745" s="137"/>
      <c r="J745" s="138"/>
      <c r="K745" s="137"/>
      <c r="L745" s="137"/>
      <c r="M745" s="137"/>
      <c r="N745" s="137"/>
      <c r="O745" s="137"/>
      <c r="P745" s="137"/>
      <c r="Q745" s="137"/>
    </row>
    <row r="746" spans="1:17" ht="15" customHeight="1" x14ac:dyDescent="0.35">
      <c r="A746" s="129"/>
      <c r="B746" s="137"/>
      <c r="C746" s="137"/>
      <c r="D746" s="137"/>
      <c r="E746" s="137"/>
      <c r="F746" s="137"/>
      <c r="G746" s="137"/>
      <c r="H746" s="137"/>
      <c r="I746" s="137"/>
      <c r="J746" s="138"/>
      <c r="K746" s="137"/>
      <c r="L746" s="137"/>
      <c r="M746" s="137"/>
      <c r="N746" s="137"/>
      <c r="O746" s="137"/>
      <c r="P746" s="137"/>
      <c r="Q746" s="137"/>
    </row>
    <row r="747" spans="1:17" ht="15" customHeight="1" x14ac:dyDescent="0.35">
      <c r="A747" s="129"/>
      <c r="B747" s="137"/>
      <c r="C747" s="137"/>
      <c r="D747" s="137"/>
      <c r="E747" s="137"/>
      <c r="F747" s="137"/>
      <c r="G747" s="137"/>
      <c r="H747" s="137"/>
      <c r="I747" s="137"/>
      <c r="J747" s="138"/>
      <c r="K747" s="137"/>
      <c r="L747" s="137"/>
      <c r="M747" s="137"/>
      <c r="N747" s="137"/>
      <c r="O747" s="137"/>
      <c r="P747" s="137"/>
      <c r="Q747" s="137"/>
    </row>
    <row r="748" spans="1:17" ht="15" customHeight="1" x14ac:dyDescent="0.35">
      <c r="A748" s="129"/>
      <c r="B748" s="137"/>
      <c r="C748" s="137"/>
      <c r="D748" s="137"/>
      <c r="E748" s="137"/>
      <c r="F748" s="137"/>
      <c r="G748" s="137"/>
      <c r="H748" s="137"/>
      <c r="I748" s="137"/>
      <c r="J748" s="138"/>
      <c r="K748" s="137"/>
      <c r="L748" s="137"/>
      <c r="M748" s="137"/>
      <c r="N748" s="137"/>
      <c r="O748" s="137"/>
      <c r="P748" s="137"/>
      <c r="Q748" s="137"/>
    </row>
    <row r="749" spans="1:17" ht="15" customHeight="1" x14ac:dyDescent="0.35">
      <c r="A749" s="129"/>
      <c r="B749" s="137"/>
      <c r="C749" s="137"/>
      <c r="D749" s="137"/>
      <c r="E749" s="137"/>
      <c r="F749" s="137"/>
      <c r="G749" s="137"/>
      <c r="H749" s="137"/>
      <c r="I749" s="137"/>
      <c r="J749" s="138"/>
      <c r="K749" s="137"/>
      <c r="L749" s="137"/>
      <c r="M749" s="137"/>
      <c r="N749" s="137"/>
      <c r="O749" s="137"/>
      <c r="P749" s="137"/>
      <c r="Q749" s="137"/>
    </row>
    <row r="750" spans="1:17" ht="15" customHeight="1" x14ac:dyDescent="0.35">
      <c r="A750" s="129"/>
      <c r="B750" s="137"/>
      <c r="C750" s="137"/>
      <c r="D750" s="137"/>
      <c r="E750" s="137"/>
      <c r="F750" s="137"/>
      <c r="G750" s="137"/>
      <c r="H750" s="137"/>
      <c r="I750" s="137"/>
      <c r="J750" s="138"/>
      <c r="K750" s="137"/>
      <c r="L750" s="137"/>
      <c r="M750" s="137"/>
      <c r="N750" s="137"/>
      <c r="O750" s="137"/>
      <c r="P750" s="137"/>
      <c r="Q750" s="137"/>
    </row>
    <row r="751" spans="1:17" ht="15" customHeight="1" x14ac:dyDescent="0.35">
      <c r="A751" s="129"/>
      <c r="B751" s="137"/>
      <c r="C751" s="137"/>
      <c r="D751" s="137"/>
      <c r="E751" s="137"/>
      <c r="F751" s="137"/>
      <c r="G751" s="137"/>
      <c r="H751" s="137"/>
      <c r="I751" s="137"/>
      <c r="J751" s="138"/>
      <c r="K751" s="137"/>
      <c r="L751" s="137"/>
      <c r="M751" s="137"/>
      <c r="N751" s="137"/>
      <c r="O751" s="137"/>
      <c r="P751" s="137"/>
      <c r="Q751" s="137"/>
    </row>
    <row r="752" spans="1:17" ht="15" customHeight="1" x14ac:dyDescent="0.35">
      <c r="A752" s="129"/>
      <c r="B752" s="137"/>
      <c r="C752" s="137"/>
      <c r="D752" s="137"/>
      <c r="E752" s="137"/>
      <c r="F752" s="137"/>
      <c r="G752" s="137"/>
      <c r="H752" s="137"/>
      <c r="I752" s="137"/>
      <c r="J752" s="138"/>
      <c r="K752" s="137"/>
      <c r="L752" s="137"/>
      <c r="M752" s="137"/>
      <c r="N752" s="137"/>
      <c r="O752" s="137"/>
      <c r="P752" s="137"/>
      <c r="Q752" s="137"/>
    </row>
    <row r="753" spans="1:17" ht="15" customHeight="1" x14ac:dyDescent="0.35">
      <c r="A753" s="129"/>
      <c r="B753" s="137"/>
      <c r="C753" s="137"/>
      <c r="D753" s="137"/>
      <c r="E753" s="137"/>
      <c r="F753" s="137"/>
      <c r="G753" s="137"/>
      <c r="H753" s="137"/>
      <c r="I753" s="137"/>
      <c r="J753" s="138"/>
      <c r="K753" s="137"/>
      <c r="L753" s="137"/>
      <c r="M753" s="137"/>
      <c r="N753" s="137"/>
      <c r="O753" s="137"/>
      <c r="P753" s="137"/>
      <c r="Q753" s="137"/>
    </row>
    <row r="754" spans="1:17" ht="15" customHeight="1" x14ac:dyDescent="0.35">
      <c r="A754" s="129"/>
      <c r="B754" s="137"/>
      <c r="C754" s="137"/>
      <c r="D754" s="137"/>
      <c r="E754" s="137"/>
      <c r="F754" s="137"/>
      <c r="G754" s="137"/>
      <c r="H754" s="137"/>
      <c r="I754" s="137"/>
      <c r="J754" s="138"/>
      <c r="K754" s="137"/>
      <c r="L754" s="137"/>
      <c r="M754" s="137"/>
      <c r="N754" s="137"/>
      <c r="O754" s="137"/>
      <c r="P754" s="137"/>
      <c r="Q754" s="137"/>
    </row>
    <row r="755" spans="1:17" ht="15" customHeight="1" x14ac:dyDescent="0.35">
      <c r="A755" s="129"/>
      <c r="B755" s="137"/>
      <c r="C755" s="137"/>
      <c r="D755" s="137"/>
      <c r="E755" s="137"/>
      <c r="F755" s="137"/>
      <c r="G755" s="137"/>
      <c r="H755" s="137"/>
      <c r="I755" s="137"/>
      <c r="J755" s="138"/>
      <c r="K755" s="137"/>
      <c r="L755" s="137"/>
      <c r="M755" s="137"/>
      <c r="N755" s="137"/>
      <c r="O755" s="137"/>
      <c r="P755" s="137"/>
      <c r="Q755" s="137"/>
    </row>
    <row r="756" spans="1:17" ht="15" customHeight="1" x14ac:dyDescent="0.35">
      <c r="A756" s="129"/>
      <c r="B756" s="137"/>
      <c r="C756" s="137"/>
      <c r="D756" s="137"/>
      <c r="E756" s="137"/>
      <c r="F756" s="137"/>
      <c r="G756" s="137"/>
      <c r="H756" s="137"/>
      <c r="I756" s="137"/>
      <c r="J756" s="138"/>
      <c r="K756" s="137"/>
      <c r="L756" s="137"/>
      <c r="M756" s="137"/>
      <c r="N756" s="137"/>
      <c r="O756" s="137"/>
      <c r="P756" s="137"/>
      <c r="Q756" s="137"/>
    </row>
    <row r="757" spans="1:17" ht="15" customHeight="1" x14ac:dyDescent="0.35">
      <c r="A757" s="129"/>
      <c r="B757" s="137"/>
      <c r="C757" s="137"/>
      <c r="D757" s="137"/>
      <c r="E757" s="137"/>
      <c r="F757" s="137"/>
      <c r="G757" s="137"/>
      <c r="H757" s="137"/>
      <c r="I757" s="137"/>
      <c r="J757" s="138"/>
      <c r="K757" s="137"/>
      <c r="L757" s="137"/>
      <c r="M757" s="137"/>
      <c r="N757" s="137"/>
      <c r="O757" s="137"/>
      <c r="P757" s="137"/>
      <c r="Q757" s="137"/>
    </row>
    <row r="758" spans="1:17" ht="15" customHeight="1" x14ac:dyDescent="0.35">
      <c r="A758" s="129"/>
      <c r="B758" s="137"/>
      <c r="C758" s="137"/>
      <c r="D758" s="137"/>
      <c r="E758" s="137"/>
      <c r="F758" s="137"/>
      <c r="G758" s="137"/>
      <c r="H758" s="137"/>
      <c r="I758" s="137"/>
      <c r="J758" s="138"/>
      <c r="K758" s="137"/>
      <c r="L758" s="137"/>
      <c r="M758" s="137"/>
      <c r="N758" s="137"/>
      <c r="O758" s="137"/>
      <c r="P758" s="137"/>
      <c r="Q758" s="137"/>
    </row>
    <row r="759" spans="1:17" ht="15" customHeight="1" x14ac:dyDescent="0.35">
      <c r="A759" s="129"/>
      <c r="B759" s="137"/>
      <c r="C759" s="137"/>
      <c r="D759" s="137"/>
      <c r="E759" s="137"/>
      <c r="F759" s="137"/>
      <c r="G759" s="137"/>
      <c r="H759" s="137"/>
      <c r="I759" s="137"/>
      <c r="J759" s="138"/>
      <c r="K759" s="137"/>
      <c r="L759" s="137"/>
      <c r="M759" s="137"/>
      <c r="N759" s="137"/>
      <c r="O759" s="137"/>
      <c r="P759" s="137"/>
      <c r="Q759" s="137"/>
    </row>
    <row r="760" spans="1:17" ht="15" customHeight="1" x14ac:dyDescent="0.35">
      <c r="A760" s="129"/>
      <c r="B760" s="137"/>
      <c r="C760" s="137"/>
      <c r="D760" s="137"/>
      <c r="E760" s="137"/>
      <c r="F760" s="137"/>
      <c r="G760" s="137"/>
      <c r="H760" s="137"/>
      <c r="I760" s="137"/>
      <c r="J760" s="138"/>
      <c r="K760" s="137"/>
      <c r="L760" s="137"/>
      <c r="M760" s="137"/>
      <c r="N760" s="137"/>
      <c r="O760" s="137"/>
      <c r="P760" s="137"/>
      <c r="Q760" s="137"/>
    </row>
    <row r="761" spans="1:17" ht="15" customHeight="1" x14ac:dyDescent="0.35">
      <c r="A761" s="129"/>
      <c r="B761" s="137"/>
      <c r="C761" s="137"/>
      <c r="D761" s="137"/>
      <c r="E761" s="137"/>
      <c r="F761" s="137"/>
      <c r="G761" s="137"/>
      <c r="H761" s="137"/>
      <c r="I761" s="137"/>
      <c r="J761" s="138"/>
      <c r="K761" s="137"/>
      <c r="L761" s="137"/>
      <c r="M761" s="137"/>
      <c r="N761" s="137"/>
      <c r="O761" s="137"/>
      <c r="P761" s="137"/>
      <c r="Q761" s="137"/>
    </row>
    <row r="762" spans="1:17" ht="15" customHeight="1" x14ac:dyDescent="0.35">
      <c r="A762" s="129"/>
      <c r="B762" s="137"/>
      <c r="C762" s="137"/>
      <c r="D762" s="137"/>
      <c r="E762" s="137"/>
      <c r="F762" s="137"/>
      <c r="G762" s="137"/>
      <c r="H762" s="137"/>
      <c r="I762" s="137"/>
      <c r="J762" s="138"/>
      <c r="K762" s="137"/>
      <c r="L762" s="137"/>
      <c r="M762" s="137"/>
      <c r="N762" s="137"/>
      <c r="O762" s="137"/>
      <c r="P762" s="137"/>
      <c r="Q762" s="137"/>
    </row>
    <row r="763" spans="1:17" ht="15" customHeight="1" x14ac:dyDescent="0.35">
      <c r="A763" s="129"/>
      <c r="B763" s="137"/>
      <c r="C763" s="137"/>
      <c r="D763" s="137"/>
      <c r="E763" s="137"/>
      <c r="F763" s="137"/>
      <c r="G763" s="137"/>
      <c r="H763" s="137"/>
      <c r="I763" s="137"/>
      <c r="J763" s="138"/>
      <c r="K763" s="137"/>
      <c r="L763" s="137"/>
      <c r="M763" s="137"/>
      <c r="N763" s="137"/>
      <c r="O763" s="137"/>
      <c r="P763" s="137"/>
      <c r="Q763" s="137"/>
    </row>
    <row r="764" spans="1:17" ht="15" customHeight="1" x14ac:dyDescent="0.35">
      <c r="A764" s="129"/>
      <c r="B764" s="137"/>
      <c r="C764" s="137"/>
      <c r="D764" s="137"/>
      <c r="E764" s="137"/>
      <c r="F764" s="137"/>
      <c r="G764" s="137"/>
      <c r="H764" s="137"/>
      <c r="I764" s="137"/>
      <c r="J764" s="138"/>
      <c r="K764" s="137"/>
      <c r="L764" s="137"/>
      <c r="M764" s="137"/>
      <c r="N764" s="137"/>
      <c r="O764" s="137"/>
      <c r="P764" s="137"/>
      <c r="Q764" s="137"/>
    </row>
    <row r="765" spans="1:17" ht="15" customHeight="1" x14ac:dyDescent="0.35">
      <c r="A765" s="129"/>
      <c r="B765" s="137"/>
      <c r="C765" s="137"/>
      <c r="D765" s="137"/>
      <c r="E765" s="137"/>
      <c r="F765" s="137"/>
      <c r="G765" s="137"/>
      <c r="H765" s="137"/>
      <c r="I765" s="137"/>
      <c r="J765" s="138"/>
      <c r="K765" s="137"/>
      <c r="L765" s="137"/>
      <c r="M765" s="137"/>
      <c r="N765" s="137"/>
      <c r="O765" s="137"/>
      <c r="P765" s="137"/>
      <c r="Q765" s="137"/>
    </row>
    <row r="766" spans="1:17" ht="15" customHeight="1" x14ac:dyDescent="0.35">
      <c r="A766" s="129"/>
      <c r="B766" s="137"/>
      <c r="C766" s="137"/>
      <c r="D766" s="137"/>
      <c r="E766" s="137"/>
      <c r="F766" s="137"/>
      <c r="G766" s="137"/>
      <c r="H766" s="137"/>
      <c r="I766" s="137"/>
      <c r="J766" s="138"/>
      <c r="K766" s="137"/>
      <c r="L766" s="137"/>
      <c r="M766" s="137"/>
      <c r="N766" s="137"/>
      <c r="O766" s="137"/>
      <c r="P766" s="137"/>
      <c r="Q766" s="137"/>
    </row>
    <row r="767" spans="1:17" ht="15" customHeight="1" x14ac:dyDescent="0.35">
      <c r="A767" s="129"/>
      <c r="B767" s="137"/>
      <c r="C767" s="137"/>
      <c r="D767" s="137"/>
      <c r="E767" s="137"/>
      <c r="F767" s="137"/>
      <c r="G767" s="137"/>
      <c r="H767" s="137"/>
      <c r="I767" s="137"/>
      <c r="J767" s="138"/>
      <c r="K767" s="137"/>
      <c r="L767" s="137"/>
      <c r="M767" s="137"/>
      <c r="N767" s="137"/>
      <c r="O767" s="137"/>
      <c r="P767" s="137"/>
      <c r="Q767" s="137"/>
    </row>
    <row r="768" spans="1:17" ht="15" customHeight="1" x14ac:dyDescent="0.35">
      <c r="A768" s="129"/>
      <c r="B768" s="137"/>
      <c r="C768" s="137"/>
      <c r="D768" s="137"/>
      <c r="E768" s="137"/>
      <c r="F768" s="137"/>
      <c r="G768" s="137"/>
      <c r="H768" s="137"/>
      <c r="I768" s="137"/>
      <c r="J768" s="138"/>
      <c r="K768" s="137"/>
      <c r="L768" s="137"/>
      <c r="M768" s="137"/>
      <c r="N768" s="137"/>
      <c r="O768" s="137"/>
      <c r="P768" s="137"/>
      <c r="Q768" s="137"/>
    </row>
    <row r="769" spans="1:17" ht="15" customHeight="1" x14ac:dyDescent="0.35">
      <c r="A769" s="129"/>
      <c r="B769" s="137"/>
      <c r="C769" s="137"/>
      <c r="D769" s="137"/>
      <c r="E769" s="137"/>
      <c r="F769" s="137"/>
      <c r="G769" s="137"/>
      <c r="H769" s="137"/>
      <c r="I769" s="137"/>
      <c r="J769" s="138"/>
      <c r="K769" s="137"/>
      <c r="L769" s="137"/>
      <c r="M769" s="137"/>
      <c r="N769" s="137"/>
      <c r="O769" s="137"/>
      <c r="P769" s="137"/>
      <c r="Q769" s="137"/>
    </row>
    <row r="770" spans="1:17" ht="15" customHeight="1" x14ac:dyDescent="0.35">
      <c r="A770" s="129"/>
      <c r="B770" s="137"/>
      <c r="C770" s="137"/>
      <c r="D770" s="137"/>
      <c r="E770" s="137"/>
      <c r="F770" s="137"/>
      <c r="G770" s="137"/>
      <c r="H770" s="137"/>
      <c r="I770" s="137"/>
      <c r="J770" s="138"/>
      <c r="K770" s="137"/>
      <c r="L770" s="137"/>
      <c r="M770" s="137"/>
      <c r="N770" s="137"/>
      <c r="O770" s="137"/>
      <c r="P770" s="137"/>
      <c r="Q770" s="137"/>
    </row>
    <row r="771" spans="1:17" ht="15" customHeight="1" x14ac:dyDescent="0.35">
      <c r="A771" s="129"/>
      <c r="B771" s="137"/>
      <c r="C771" s="137"/>
      <c r="D771" s="137"/>
      <c r="E771" s="137"/>
      <c r="F771" s="137"/>
      <c r="G771" s="137"/>
      <c r="H771" s="137"/>
      <c r="I771" s="137"/>
      <c r="J771" s="138"/>
      <c r="K771" s="137"/>
      <c r="L771" s="137"/>
      <c r="M771" s="137"/>
      <c r="N771" s="137"/>
      <c r="O771" s="137"/>
      <c r="P771" s="137"/>
      <c r="Q771" s="137"/>
    </row>
    <row r="772" spans="1:17" ht="15" customHeight="1" x14ac:dyDescent="0.35">
      <c r="A772" s="129"/>
      <c r="B772" s="137"/>
      <c r="C772" s="137"/>
      <c r="D772" s="137"/>
      <c r="E772" s="137"/>
      <c r="F772" s="137"/>
      <c r="G772" s="137"/>
      <c r="H772" s="137"/>
      <c r="I772" s="137"/>
      <c r="J772" s="138"/>
      <c r="K772" s="137"/>
      <c r="L772" s="137"/>
      <c r="M772" s="137"/>
      <c r="N772" s="137"/>
      <c r="O772" s="137"/>
      <c r="P772" s="137"/>
      <c r="Q772" s="137"/>
    </row>
    <row r="773" spans="1:17" ht="15" customHeight="1" x14ac:dyDescent="0.35">
      <c r="A773" s="129"/>
      <c r="B773" s="137"/>
      <c r="C773" s="137"/>
      <c r="D773" s="137"/>
      <c r="E773" s="137"/>
      <c r="F773" s="137"/>
      <c r="G773" s="137"/>
      <c r="H773" s="137"/>
      <c r="I773" s="137"/>
      <c r="J773" s="138"/>
      <c r="K773" s="137"/>
      <c r="L773" s="137"/>
      <c r="M773" s="137"/>
      <c r="N773" s="137"/>
      <c r="O773" s="137"/>
      <c r="P773" s="137"/>
      <c r="Q773" s="137"/>
    </row>
    <row r="774" spans="1:17" ht="15" customHeight="1" x14ac:dyDescent="0.35">
      <c r="A774" s="129"/>
      <c r="B774" s="137"/>
      <c r="C774" s="137"/>
      <c r="D774" s="137"/>
      <c r="E774" s="137"/>
      <c r="F774" s="137"/>
      <c r="G774" s="137"/>
      <c r="H774" s="137"/>
      <c r="I774" s="137"/>
      <c r="J774" s="138"/>
      <c r="K774" s="137"/>
      <c r="L774" s="137"/>
      <c r="M774" s="137"/>
      <c r="N774" s="137"/>
      <c r="O774" s="137"/>
      <c r="P774" s="137"/>
      <c r="Q774" s="137"/>
    </row>
    <row r="775" spans="1:17" ht="15" customHeight="1" x14ac:dyDescent="0.35">
      <c r="A775" s="129"/>
      <c r="B775" s="137"/>
      <c r="C775" s="137"/>
      <c r="D775" s="137"/>
      <c r="E775" s="137"/>
      <c r="F775" s="137"/>
      <c r="G775" s="137"/>
      <c r="H775" s="137"/>
      <c r="I775" s="137"/>
      <c r="J775" s="138"/>
      <c r="K775" s="137"/>
      <c r="L775" s="137"/>
      <c r="M775" s="137"/>
      <c r="N775" s="137"/>
      <c r="O775" s="137"/>
      <c r="P775" s="137"/>
      <c r="Q775" s="137"/>
    </row>
    <row r="776" spans="1:17" ht="15" customHeight="1" x14ac:dyDescent="0.35">
      <c r="A776" s="129"/>
      <c r="B776" s="137"/>
      <c r="C776" s="137"/>
      <c r="D776" s="137"/>
      <c r="E776" s="137"/>
      <c r="F776" s="137"/>
      <c r="G776" s="137"/>
      <c r="H776" s="137"/>
      <c r="I776" s="137"/>
      <c r="J776" s="138"/>
      <c r="K776" s="137"/>
      <c r="L776" s="137"/>
      <c r="M776" s="137"/>
      <c r="N776" s="137"/>
      <c r="O776" s="137"/>
      <c r="P776" s="137"/>
      <c r="Q776" s="137"/>
    </row>
    <row r="777" spans="1:17" ht="15" customHeight="1" x14ac:dyDescent="0.35">
      <c r="A777" s="129"/>
      <c r="B777" s="137"/>
      <c r="C777" s="137"/>
      <c r="D777" s="137"/>
      <c r="E777" s="137"/>
      <c r="F777" s="137"/>
      <c r="G777" s="137"/>
      <c r="H777" s="137"/>
      <c r="I777" s="137"/>
      <c r="J777" s="138"/>
      <c r="K777" s="137"/>
      <c r="L777" s="137"/>
      <c r="M777" s="137"/>
      <c r="N777" s="137"/>
      <c r="O777" s="137"/>
      <c r="P777" s="137"/>
      <c r="Q777" s="137"/>
    </row>
    <row r="778" spans="1:17" ht="15" customHeight="1" x14ac:dyDescent="0.35">
      <c r="A778" s="129"/>
      <c r="B778" s="137"/>
      <c r="C778" s="137"/>
      <c r="D778" s="137"/>
      <c r="E778" s="137"/>
      <c r="F778" s="137"/>
      <c r="G778" s="137"/>
      <c r="H778" s="137"/>
      <c r="I778" s="137"/>
      <c r="J778" s="138"/>
      <c r="K778" s="137"/>
      <c r="L778" s="137"/>
      <c r="M778" s="137"/>
      <c r="N778" s="137"/>
      <c r="O778" s="137"/>
      <c r="P778" s="137"/>
      <c r="Q778" s="137"/>
    </row>
    <row r="779" spans="1:17" ht="15" customHeight="1" x14ac:dyDescent="0.35">
      <c r="A779" s="129"/>
      <c r="B779" s="137"/>
      <c r="C779" s="137"/>
      <c r="D779" s="137"/>
      <c r="E779" s="137"/>
      <c r="F779" s="137"/>
      <c r="G779" s="137"/>
      <c r="H779" s="137"/>
      <c r="I779" s="137"/>
      <c r="J779" s="138"/>
      <c r="K779" s="137"/>
      <c r="L779" s="137"/>
      <c r="M779" s="137"/>
      <c r="N779" s="137"/>
      <c r="O779" s="137"/>
      <c r="P779" s="137"/>
      <c r="Q779" s="137"/>
    </row>
    <row r="780" spans="1:17" ht="15" customHeight="1" x14ac:dyDescent="0.35">
      <c r="A780" s="129"/>
      <c r="B780" s="137"/>
      <c r="C780" s="137"/>
      <c r="D780" s="137"/>
      <c r="E780" s="137"/>
      <c r="F780" s="137"/>
      <c r="G780" s="137"/>
      <c r="H780" s="137"/>
      <c r="I780" s="137"/>
      <c r="J780" s="138"/>
      <c r="K780" s="137"/>
      <c r="L780" s="137"/>
      <c r="M780" s="137"/>
      <c r="N780" s="137"/>
      <c r="O780" s="137"/>
      <c r="P780" s="137"/>
      <c r="Q780" s="137"/>
    </row>
    <row r="781" spans="1:17" ht="15" customHeight="1" x14ac:dyDescent="0.35">
      <c r="A781" s="129"/>
      <c r="B781" s="137"/>
      <c r="C781" s="137"/>
      <c r="D781" s="137"/>
      <c r="E781" s="137"/>
      <c r="F781" s="137"/>
      <c r="G781" s="137"/>
      <c r="H781" s="137"/>
      <c r="I781" s="137"/>
      <c r="J781" s="138"/>
      <c r="K781" s="137"/>
      <c r="L781" s="137"/>
      <c r="M781" s="137"/>
      <c r="N781" s="137"/>
      <c r="O781" s="137"/>
      <c r="P781" s="137"/>
      <c r="Q781" s="137"/>
    </row>
    <row r="782" spans="1:17" ht="15" customHeight="1" x14ac:dyDescent="0.35">
      <c r="A782" s="129"/>
      <c r="B782" s="137"/>
      <c r="C782" s="137"/>
      <c r="D782" s="137"/>
      <c r="E782" s="137"/>
      <c r="F782" s="137"/>
      <c r="G782" s="137"/>
      <c r="H782" s="137"/>
      <c r="I782" s="137"/>
      <c r="J782" s="138"/>
      <c r="K782" s="137"/>
      <c r="L782" s="137"/>
      <c r="M782" s="137"/>
      <c r="N782" s="137"/>
      <c r="O782" s="137"/>
      <c r="P782" s="137"/>
      <c r="Q782" s="137"/>
    </row>
    <row r="783" spans="1:17" ht="15" customHeight="1" x14ac:dyDescent="0.35">
      <c r="A783" s="129"/>
      <c r="B783" s="137"/>
      <c r="C783" s="137"/>
      <c r="D783" s="137"/>
      <c r="E783" s="137"/>
      <c r="F783" s="137"/>
      <c r="G783" s="137"/>
      <c r="H783" s="137"/>
      <c r="I783" s="137"/>
      <c r="J783" s="138"/>
      <c r="K783" s="137"/>
      <c r="L783" s="137"/>
      <c r="M783" s="137"/>
      <c r="N783" s="137"/>
      <c r="O783" s="137"/>
      <c r="P783" s="137"/>
      <c r="Q783" s="137"/>
    </row>
    <row r="784" spans="1:17" ht="15" customHeight="1" x14ac:dyDescent="0.35">
      <c r="A784" s="129"/>
      <c r="B784" s="137"/>
      <c r="C784" s="137"/>
      <c r="D784" s="137"/>
      <c r="E784" s="137"/>
      <c r="F784" s="137"/>
      <c r="G784" s="137"/>
      <c r="H784" s="137"/>
      <c r="I784" s="137"/>
      <c r="J784" s="138"/>
      <c r="K784" s="137"/>
      <c r="L784" s="137"/>
      <c r="M784" s="137"/>
      <c r="N784" s="137"/>
      <c r="O784" s="137"/>
      <c r="P784" s="137"/>
      <c r="Q784" s="137"/>
    </row>
    <row r="785" spans="1:17" ht="15" customHeight="1" x14ac:dyDescent="0.35">
      <c r="A785" s="129"/>
      <c r="B785" s="137"/>
      <c r="C785" s="137"/>
      <c r="D785" s="137"/>
      <c r="E785" s="137"/>
      <c r="F785" s="137"/>
      <c r="G785" s="137"/>
      <c r="H785" s="137"/>
      <c r="I785" s="137"/>
      <c r="J785" s="138"/>
      <c r="K785" s="137"/>
      <c r="L785" s="137"/>
      <c r="M785" s="137"/>
      <c r="N785" s="137"/>
      <c r="O785" s="137"/>
      <c r="P785" s="137"/>
      <c r="Q785" s="137"/>
    </row>
    <row r="786" spans="1:17" ht="15" customHeight="1" x14ac:dyDescent="0.35">
      <c r="A786" s="129"/>
      <c r="B786" s="137"/>
      <c r="C786" s="137"/>
      <c r="D786" s="137"/>
      <c r="E786" s="137"/>
      <c r="F786" s="137"/>
      <c r="G786" s="137"/>
      <c r="H786" s="137"/>
      <c r="I786" s="137"/>
      <c r="J786" s="138"/>
      <c r="K786" s="137"/>
      <c r="L786" s="137"/>
      <c r="M786" s="137"/>
      <c r="N786" s="137"/>
      <c r="O786" s="137"/>
      <c r="P786" s="137"/>
      <c r="Q786" s="137"/>
    </row>
    <row r="787" spans="1:17" ht="15" customHeight="1" x14ac:dyDescent="0.35">
      <c r="A787" s="129"/>
      <c r="B787" s="137"/>
      <c r="C787" s="137"/>
      <c r="D787" s="137"/>
      <c r="E787" s="137"/>
      <c r="F787" s="137"/>
      <c r="G787" s="137"/>
      <c r="H787" s="137"/>
      <c r="I787" s="137"/>
      <c r="J787" s="138"/>
      <c r="K787" s="137"/>
      <c r="L787" s="137"/>
      <c r="M787" s="137"/>
      <c r="N787" s="137"/>
      <c r="O787" s="137"/>
      <c r="P787" s="137"/>
      <c r="Q787" s="137"/>
    </row>
    <row r="788" spans="1:17" ht="15" customHeight="1" x14ac:dyDescent="0.35">
      <c r="A788" s="129"/>
      <c r="B788" s="137"/>
      <c r="C788" s="137"/>
      <c r="D788" s="137"/>
      <c r="E788" s="137"/>
      <c r="F788" s="137"/>
      <c r="G788" s="137"/>
      <c r="H788" s="137"/>
      <c r="I788" s="137"/>
      <c r="J788" s="138"/>
      <c r="K788" s="137"/>
      <c r="L788" s="137"/>
      <c r="M788" s="137"/>
      <c r="N788" s="137"/>
      <c r="O788" s="137"/>
      <c r="P788" s="137"/>
      <c r="Q788" s="137"/>
    </row>
    <row r="789" spans="1:17" ht="15" customHeight="1" x14ac:dyDescent="0.35">
      <c r="A789" s="129"/>
      <c r="B789" s="137"/>
      <c r="C789" s="137"/>
      <c r="D789" s="137"/>
      <c r="E789" s="137"/>
      <c r="F789" s="137"/>
      <c r="G789" s="137"/>
      <c r="H789" s="137"/>
      <c r="I789" s="137"/>
      <c r="J789" s="138"/>
      <c r="K789" s="137"/>
      <c r="L789" s="137"/>
      <c r="M789" s="137"/>
      <c r="N789" s="137"/>
      <c r="O789" s="137"/>
      <c r="P789" s="137"/>
      <c r="Q789" s="137"/>
    </row>
    <row r="790" spans="1:17" ht="15" customHeight="1" x14ac:dyDescent="0.35">
      <c r="A790" s="129"/>
      <c r="B790" s="137"/>
      <c r="C790" s="137"/>
      <c r="D790" s="137"/>
      <c r="E790" s="137"/>
      <c r="F790" s="137"/>
      <c r="G790" s="137"/>
      <c r="H790" s="137"/>
      <c r="I790" s="137"/>
      <c r="J790" s="138"/>
      <c r="K790" s="137"/>
      <c r="L790" s="137"/>
      <c r="M790" s="137"/>
      <c r="N790" s="137"/>
      <c r="O790" s="137"/>
      <c r="P790" s="137"/>
      <c r="Q790" s="137"/>
    </row>
    <row r="791" spans="1:17" ht="15" customHeight="1" x14ac:dyDescent="0.35">
      <c r="A791" s="129"/>
      <c r="B791" s="137"/>
      <c r="C791" s="137"/>
      <c r="D791" s="137"/>
      <c r="E791" s="137"/>
      <c r="F791" s="137"/>
      <c r="G791" s="137"/>
      <c r="H791" s="137"/>
      <c r="I791" s="137"/>
      <c r="J791" s="138"/>
      <c r="K791" s="137"/>
      <c r="L791" s="137"/>
      <c r="M791" s="137"/>
      <c r="N791" s="137"/>
      <c r="O791" s="137"/>
      <c r="P791" s="137"/>
      <c r="Q791" s="137"/>
    </row>
    <row r="792" spans="1:17" ht="15" customHeight="1" x14ac:dyDescent="0.35">
      <c r="A792" s="129"/>
      <c r="B792" s="137"/>
      <c r="C792" s="137"/>
      <c r="D792" s="137"/>
      <c r="E792" s="137"/>
      <c r="F792" s="137"/>
      <c r="G792" s="137"/>
      <c r="H792" s="137"/>
      <c r="I792" s="137"/>
      <c r="J792" s="138"/>
      <c r="K792" s="137"/>
      <c r="L792" s="137"/>
      <c r="M792" s="137"/>
      <c r="N792" s="137"/>
      <c r="O792" s="137"/>
      <c r="P792" s="137"/>
      <c r="Q792" s="137"/>
    </row>
    <row r="793" spans="1:17" ht="15" customHeight="1" x14ac:dyDescent="0.35">
      <c r="A793" s="129"/>
      <c r="B793" s="137"/>
      <c r="C793" s="137"/>
      <c r="D793" s="137"/>
      <c r="E793" s="137"/>
      <c r="F793" s="137"/>
      <c r="G793" s="137"/>
      <c r="H793" s="137"/>
      <c r="I793" s="137"/>
      <c r="J793" s="138"/>
      <c r="K793" s="137"/>
      <c r="L793" s="137"/>
      <c r="M793" s="137"/>
      <c r="N793" s="137"/>
      <c r="O793" s="137"/>
      <c r="P793" s="137"/>
      <c r="Q793" s="137"/>
    </row>
    <row r="794" spans="1:17" ht="15" customHeight="1" x14ac:dyDescent="0.35">
      <c r="A794" s="129"/>
      <c r="B794" s="137"/>
      <c r="C794" s="137"/>
      <c r="D794" s="137"/>
      <c r="E794" s="137"/>
      <c r="F794" s="137"/>
      <c r="G794" s="137"/>
      <c r="H794" s="137"/>
      <c r="I794" s="137"/>
      <c r="J794" s="138"/>
      <c r="K794" s="137"/>
      <c r="L794" s="137"/>
      <c r="M794" s="137"/>
      <c r="N794" s="137"/>
      <c r="O794" s="137"/>
      <c r="P794" s="137"/>
      <c r="Q794" s="137"/>
    </row>
    <row r="795" spans="1:17" ht="15" customHeight="1" x14ac:dyDescent="0.35">
      <c r="A795" s="129"/>
      <c r="B795" s="137"/>
      <c r="C795" s="137"/>
      <c r="D795" s="137"/>
      <c r="E795" s="137"/>
      <c r="F795" s="137"/>
      <c r="G795" s="137"/>
      <c r="H795" s="137"/>
      <c r="I795" s="137"/>
      <c r="J795" s="138"/>
      <c r="K795" s="137"/>
      <c r="L795" s="137"/>
      <c r="M795" s="137"/>
      <c r="N795" s="137"/>
      <c r="O795" s="137"/>
      <c r="P795" s="137"/>
      <c r="Q795" s="137"/>
    </row>
    <row r="796" spans="1:17" ht="15" customHeight="1" x14ac:dyDescent="0.35">
      <c r="A796" s="129"/>
      <c r="B796" s="137"/>
      <c r="C796" s="137"/>
      <c r="D796" s="137"/>
      <c r="E796" s="137"/>
      <c r="F796" s="137"/>
      <c r="G796" s="137"/>
      <c r="H796" s="137"/>
      <c r="I796" s="137"/>
      <c r="J796" s="138"/>
      <c r="K796" s="137"/>
      <c r="L796" s="137"/>
      <c r="M796" s="137"/>
      <c r="N796" s="137"/>
      <c r="O796" s="137"/>
      <c r="P796" s="137"/>
      <c r="Q796" s="137"/>
    </row>
    <row r="797" spans="1:17" ht="15" customHeight="1" x14ac:dyDescent="0.35">
      <c r="A797" s="129"/>
      <c r="B797" s="137"/>
      <c r="C797" s="137"/>
      <c r="D797" s="137"/>
      <c r="E797" s="137"/>
      <c r="F797" s="137"/>
      <c r="G797" s="137"/>
      <c r="H797" s="137"/>
      <c r="I797" s="137"/>
      <c r="J797" s="138"/>
      <c r="K797" s="137"/>
      <c r="L797" s="137"/>
      <c r="M797" s="137"/>
      <c r="N797" s="137"/>
      <c r="O797" s="137"/>
      <c r="P797" s="137"/>
      <c r="Q797" s="137"/>
    </row>
    <row r="798" spans="1:17" ht="15" customHeight="1" x14ac:dyDescent="0.35">
      <c r="A798" s="129"/>
      <c r="B798" s="137"/>
      <c r="C798" s="137"/>
      <c r="D798" s="137"/>
      <c r="E798" s="137"/>
      <c r="F798" s="137"/>
      <c r="G798" s="137"/>
      <c r="H798" s="137"/>
      <c r="I798" s="137"/>
      <c r="J798" s="138"/>
      <c r="K798" s="137"/>
      <c r="L798" s="137"/>
      <c r="M798" s="137"/>
      <c r="N798" s="137"/>
      <c r="O798" s="137"/>
      <c r="P798" s="137"/>
      <c r="Q798" s="137"/>
    </row>
    <row r="799" spans="1:17" ht="15" customHeight="1" x14ac:dyDescent="0.35">
      <c r="A799" s="129"/>
      <c r="B799" s="137"/>
      <c r="C799" s="137"/>
      <c r="D799" s="137"/>
      <c r="E799" s="137"/>
      <c r="F799" s="137"/>
      <c r="G799" s="137"/>
      <c r="H799" s="137"/>
      <c r="I799" s="137"/>
      <c r="J799" s="138"/>
      <c r="K799" s="137"/>
      <c r="L799" s="137"/>
      <c r="M799" s="137"/>
      <c r="N799" s="137"/>
      <c r="O799" s="137"/>
      <c r="P799" s="137"/>
      <c r="Q799" s="137"/>
    </row>
    <row r="800" spans="1:17" ht="15" customHeight="1" x14ac:dyDescent="0.35">
      <c r="A800" s="129"/>
      <c r="B800" s="137"/>
      <c r="C800" s="137"/>
      <c r="D800" s="137"/>
      <c r="E800" s="137"/>
      <c r="F800" s="137"/>
      <c r="G800" s="137"/>
      <c r="H800" s="137"/>
      <c r="I800" s="137"/>
      <c r="J800" s="138"/>
      <c r="K800" s="137"/>
      <c r="L800" s="137"/>
      <c r="M800" s="137"/>
      <c r="N800" s="137"/>
      <c r="O800" s="137"/>
      <c r="P800" s="137"/>
      <c r="Q800" s="137"/>
    </row>
    <row r="801" spans="1:17" ht="15" customHeight="1" x14ac:dyDescent="0.35">
      <c r="A801" s="129"/>
      <c r="B801" s="137"/>
      <c r="C801" s="137"/>
      <c r="D801" s="137"/>
      <c r="E801" s="137"/>
      <c r="F801" s="137"/>
      <c r="G801" s="137"/>
      <c r="H801" s="137"/>
      <c r="I801" s="137"/>
      <c r="J801" s="138"/>
      <c r="K801" s="137"/>
      <c r="L801" s="137"/>
      <c r="M801" s="137"/>
      <c r="N801" s="137"/>
      <c r="O801" s="137"/>
      <c r="P801" s="137"/>
      <c r="Q801" s="137"/>
    </row>
    <row r="802" spans="1:17" ht="15" customHeight="1" x14ac:dyDescent="0.35">
      <c r="A802" s="129"/>
      <c r="B802" s="137"/>
      <c r="C802" s="137"/>
      <c r="D802" s="137"/>
      <c r="E802" s="137"/>
      <c r="F802" s="137"/>
      <c r="G802" s="137"/>
      <c r="H802" s="137"/>
      <c r="I802" s="137"/>
      <c r="J802" s="138"/>
      <c r="K802" s="137"/>
      <c r="L802" s="137"/>
      <c r="M802" s="137"/>
      <c r="N802" s="137"/>
      <c r="O802" s="137"/>
      <c r="P802" s="137"/>
      <c r="Q802" s="137"/>
    </row>
    <row r="803" spans="1:17" ht="15" customHeight="1" x14ac:dyDescent="0.35">
      <c r="A803" s="129"/>
      <c r="B803" s="137"/>
      <c r="C803" s="137"/>
      <c r="D803" s="137"/>
      <c r="E803" s="137"/>
      <c r="F803" s="137"/>
      <c r="G803" s="137"/>
      <c r="H803" s="137"/>
      <c r="I803" s="137"/>
      <c r="J803" s="138"/>
      <c r="K803" s="137"/>
      <c r="L803" s="137"/>
      <c r="M803" s="137"/>
      <c r="N803" s="137"/>
      <c r="O803" s="137"/>
      <c r="P803" s="137"/>
      <c r="Q803" s="137"/>
    </row>
    <row r="804" spans="1:17" ht="15" customHeight="1" x14ac:dyDescent="0.35">
      <c r="A804" s="129"/>
      <c r="B804" s="137"/>
      <c r="C804" s="137"/>
      <c r="D804" s="137"/>
      <c r="E804" s="137"/>
      <c r="F804" s="137"/>
      <c r="G804" s="137"/>
      <c r="H804" s="137"/>
      <c r="I804" s="137"/>
      <c r="J804" s="138"/>
      <c r="K804" s="137"/>
      <c r="L804" s="137"/>
      <c r="M804" s="137"/>
      <c r="N804" s="137"/>
      <c r="O804" s="137"/>
      <c r="P804" s="137"/>
      <c r="Q804" s="137"/>
    </row>
    <row r="805" spans="1:17" ht="15" customHeight="1" x14ac:dyDescent="0.35">
      <c r="A805" s="129"/>
      <c r="B805" s="137"/>
      <c r="C805" s="137"/>
      <c r="D805" s="137"/>
      <c r="E805" s="137"/>
      <c r="F805" s="137"/>
      <c r="G805" s="137"/>
      <c r="H805" s="137"/>
      <c r="I805" s="137"/>
      <c r="J805" s="138"/>
      <c r="K805" s="137"/>
      <c r="L805" s="137"/>
      <c r="M805" s="137"/>
      <c r="N805" s="137"/>
      <c r="O805" s="137"/>
      <c r="P805" s="137"/>
      <c r="Q805" s="137"/>
    </row>
    <row r="806" spans="1:17" ht="15" customHeight="1" x14ac:dyDescent="0.35">
      <c r="A806" s="129"/>
      <c r="B806" s="137"/>
      <c r="C806" s="137"/>
      <c r="D806" s="137"/>
      <c r="E806" s="137"/>
      <c r="F806" s="137"/>
      <c r="G806" s="137"/>
      <c r="H806" s="137"/>
      <c r="I806" s="137"/>
      <c r="J806" s="138"/>
      <c r="K806" s="137"/>
      <c r="L806" s="137"/>
      <c r="M806" s="137"/>
      <c r="N806" s="137"/>
      <c r="O806" s="137"/>
      <c r="P806" s="137"/>
      <c r="Q806" s="137"/>
    </row>
    <row r="807" spans="1:17" ht="15" customHeight="1" x14ac:dyDescent="0.35">
      <c r="A807" s="129"/>
      <c r="B807" s="137"/>
      <c r="C807" s="137"/>
      <c r="D807" s="137"/>
      <c r="E807" s="137"/>
      <c r="F807" s="137"/>
      <c r="G807" s="137"/>
      <c r="H807" s="137"/>
      <c r="I807" s="137"/>
      <c r="J807" s="138"/>
      <c r="K807" s="137"/>
      <c r="L807" s="137"/>
      <c r="M807" s="137"/>
      <c r="N807" s="137"/>
      <c r="O807" s="137"/>
      <c r="P807" s="137"/>
      <c r="Q807" s="137"/>
    </row>
    <row r="808" spans="1:17" ht="15" customHeight="1" x14ac:dyDescent="0.35">
      <c r="A808" s="129"/>
      <c r="B808" s="137"/>
      <c r="C808" s="137"/>
      <c r="D808" s="137"/>
      <c r="E808" s="137"/>
      <c r="F808" s="137"/>
      <c r="G808" s="137"/>
      <c r="H808" s="137"/>
      <c r="I808" s="137"/>
      <c r="J808" s="138"/>
      <c r="K808" s="137"/>
      <c r="L808" s="137"/>
      <c r="M808" s="137"/>
      <c r="N808" s="137"/>
      <c r="O808" s="137"/>
      <c r="P808" s="137"/>
      <c r="Q808" s="137"/>
    </row>
    <row r="809" spans="1:17" ht="15" customHeight="1" x14ac:dyDescent="0.35">
      <c r="A809" s="129"/>
      <c r="B809" s="137"/>
      <c r="C809" s="137"/>
      <c r="D809" s="137"/>
      <c r="E809" s="137"/>
      <c r="F809" s="137"/>
      <c r="G809" s="137"/>
      <c r="H809" s="137"/>
      <c r="I809" s="137"/>
      <c r="J809" s="138"/>
      <c r="K809" s="137"/>
      <c r="L809" s="137"/>
      <c r="M809" s="137"/>
      <c r="N809" s="137"/>
      <c r="O809" s="137"/>
      <c r="P809" s="137"/>
      <c r="Q809" s="137"/>
    </row>
    <row r="810" spans="1:17" ht="15" customHeight="1" x14ac:dyDescent="0.35">
      <c r="A810" s="129"/>
      <c r="B810" s="137"/>
      <c r="C810" s="137"/>
      <c r="D810" s="137"/>
      <c r="E810" s="137"/>
      <c r="F810" s="137"/>
      <c r="G810" s="137"/>
      <c r="H810" s="137"/>
      <c r="I810" s="137"/>
      <c r="J810" s="138"/>
      <c r="K810" s="137"/>
      <c r="L810" s="137"/>
      <c r="M810" s="137"/>
      <c r="N810" s="137"/>
      <c r="O810" s="137"/>
      <c r="P810" s="137"/>
      <c r="Q810" s="137"/>
    </row>
    <row r="811" spans="1:17" ht="15" customHeight="1" x14ac:dyDescent="0.35">
      <c r="A811" s="129"/>
      <c r="B811" s="137"/>
      <c r="C811" s="137"/>
      <c r="D811" s="137"/>
      <c r="E811" s="137"/>
      <c r="F811" s="137"/>
      <c r="G811" s="137"/>
      <c r="H811" s="137"/>
      <c r="I811" s="137"/>
      <c r="J811" s="138"/>
      <c r="K811" s="137"/>
      <c r="L811" s="137"/>
      <c r="M811" s="137"/>
      <c r="N811" s="137"/>
      <c r="O811" s="137"/>
      <c r="P811" s="137"/>
      <c r="Q811" s="137"/>
    </row>
    <row r="812" spans="1:17" ht="15" customHeight="1" x14ac:dyDescent="0.35">
      <c r="A812" s="129"/>
      <c r="B812" s="137"/>
      <c r="C812" s="137"/>
      <c r="D812" s="137"/>
      <c r="E812" s="137"/>
      <c r="F812" s="137"/>
      <c r="G812" s="137"/>
      <c r="H812" s="137"/>
      <c r="I812" s="137"/>
      <c r="J812" s="138"/>
      <c r="K812" s="137"/>
      <c r="L812" s="137"/>
      <c r="M812" s="137"/>
      <c r="N812" s="137"/>
      <c r="O812" s="137"/>
      <c r="P812" s="137"/>
      <c r="Q812" s="137"/>
    </row>
    <row r="813" spans="1:17" ht="15" customHeight="1" x14ac:dyDescent="0.35">
      <c r="A813" s="129"/>
      <c r="B813" s="137"/>
      <c r="C813" s="137"/>
      <c r="D813" s="137"/>
      <c r="E813" s="137"/>
      <c r="F813" s="137"/>
      <c r="G813" s="137"/>
      <c r="H813" s="137"/>
      <c r="I813" s="137"/>
      <c r="J813" s="138"/>
      <c r="K813" s="137"/>
      <c r="L813" s="137"/>
      <c r="M813" s="137"/>
      <c r="N813" s="137"/>
      <c r="O813" s="137"/>
      <c r="P813" s="137"/>
      <c r="Q813" s="137"/>
    </row>
    <row r="814" spans="1:17" ht="15" customHeight="1" x14ac:dyDescent="0.35">
      <c r="A814" s="129"/>
      <c r="B814" s="137"/>
      <c r="C814" s="137"/>
      <c r="D814" s="137"/>
      <c r="E814" s="137"/>
      <c r="F814" s="137"/>
      <c r="G814" s="137"/>
      <c r="H814" s="137"/>
      <c r="I814" s="137"/>
      <c r="J814" s="138"/>
      <c r="K814" s="137"/>
      <c r="L814" s="137"/>
      <c r="M814" s="137"/>
      <c r="N814" s="137"/>
      <c r="O814" s="137"/>
      <c r="P814" s="137"/>
      <c r="Q814" s="137"/>
    </row>
    <row r="815" spans="1:17" ht="15" customHeight="1" x14ac:dyDescent="0.35">
      <c r="A815" s="129"/>
      <c r="B815" s="137"/>
      <c r="C815" s="137"/>
      <c r="D815" s="137"/>
      <c r="E815" s="137"/>
      <c r="F815" s="137"/>
      <c r="G815" s="137"/>
      <c r="H815" s="137"/>
      <c r="I815" s="137"/>
      <c r="J815" s="138"/>
      <c r="K815" s="137"/>
      <c r="L815" s="137"/>
      <c r="M815" s="137"/>
      <c r="N815" s="137"/>
      <c r="O815" s="137"/>
      <c r="P815" s="137"/>
      <c r="Q815" s="137"/>
    </row>
    <row r="816" spans="1:17" ht="15" customHeight="1" x14ac:dyDescent="0.35">
      <c r="A816" s="129"/>
      <c r="B816" s="137"/>
      <c r="C816" s="137"/>
      <c r="D816" s="137"/>
      <c r="E816" s="137"/>
      <c r="F816" s="137"/>
      <c r="G816" s="137"/>
      <c r="H816" s="137"/>
      <c r="I816" s="137"/>
      <c r="J816" s="138"/>
      <c r="K816" s="137"/>
      <c r="L816" s="137"/>
      <c r="M816" s="137"/>
      <c r="N816" s="137"/>
      <c r="O816" s="137"/>
      <c r="P816" s="137"/>
      <c r="Q816" s="137"/>
    </row>
    <row r="817" spans="1:17" ht="15" customHeight="1" x14ac:dyDescent="0.35">
      <c r="A817" s="129"/>
      <c r="B817" s="137"/>
      <c r="C817" s="137"/>
      <c r="D817" s="137"/>
      <c r="E817" s="137"/>
      <c r="F817" s="137"/>
      <c r="G817" s="137"/>
      <c r="H817" s="137"/>
      <c r="I817" s="137"/>
      <c r="J817" s="138"/>
      <c r="K817" s="137"/>
      <c r="L817" s="137"/>
      <c r="M817" s="137"/>
      <c r="N817" s="137"/>
      <c r="O817" s="137"/>
      <c r="P817" s="137"/>
      <c r="Q817" s="137"/>
    </row>
    <row r="818" spans="1:17" ht="15" customHeight="1" x14ac:dyDescent="0.35">
      <c r="A818" s="129"/>
      <c r="B818" s="137"/>
      <c r="C818" s="137"/>
      <c r="D818" s="137"/>
      <c r="E818" s="137"/>
      <c r="F818" s="137"/>
      <c r="G818" s="137"/>
      <c r="H818" s="137"/>
      <c r="I818" s="137"/>
      <c r="J818" s="138"/>
      <c r="K818" s="137"/>
      <c r="L818" s="137"/>
      <c r="M818" s="137"/>
      <c r="N818" s="137"/>
      <c r="O818" s="137"/>
      <c r="P818" s="137"/>
      <c r="Q818" s="137"/>
    </row>
    <row r="819" spans="1:17" ht="15" customHeight="1" x14ac:dyDescent="0.35">
      <c r="A819" s="129"/>
      <c r="B819" s="137"/>
      <c r="C819" s="137"/>
      <c r="D819" s="137"/>
      <c r="E819" s="137"/>
      <c r="F819" s="137"/>
      <c r="G819" s="137"/>
      <c r="H819" s="137"/>
      <c r="I819" s="137"/>
      <c r="J819" s="138"/>
      <c r="K819" s="137"/>
      <c r="L819" s="137"/>
      <c r="M819" s="137"/>
      <c r="N819" s="137"/>
      <c r="O819" s="137"/>
      <c r="P819" s="137"/>
      <c r="Q819" s="137"/>
    </row>
    <row r="820" spans="1:17" ht="15" customHeight="1" x14ac:dyDescent="0.35">
      <c r="A820" s="129"/>
      <c r="B820" s="137"/>
      <c r="C820" s="137"/>
      <c r="D820" s="137"/>
      <c r="E820" s="137"/>
      <c r="F820" s="137"/>
      <c r="G820" s="137"/>
      <c r="H820" s="137"/>
      <c r="I820" s="137"/>
      <c r="J820" s="138"/>
      <c r="K820" s="137"/>
      <c r="L820" s="137"/>
      <c r="M820" s="137"/>
      <c r="N820" s="137"/>
      <c r="O820" s="137"/>
      <c r="P820" s="137"/>
      <c r="Q820" s="137"/>
    </row>
    <row r="821" spans="1:17" ht="15" customHeight="1" x14ac:dyDescent="0.35">
      <c r="A821" s="129"/>
      <c r="B821" s="137"/>
      <c r="C821" s="137"/>
      <c r="D821" s="137"/>
      <c r="E821" s="137"/>
      <c r="F821" s="137"/>
      <c r="G821" s="137"/>
      <c r="H821" s="137"/>
      <c r="I821" s="137"/>
      <c r="J821" s="138"/>
      <c r="K821" s="137"/>
      <c r="L821" s="137"/>
      <c r="M821" s="137"/>
      <c r="N821" s="137"/>
      <c r="O821" s="137"/>
      <c r="P821" s="137"/>
      <c r="Q821" s="137"/>
    </row>
    <row r="822" spans="1:17" ht="15" customHeight="1" x14ac:dyDescent="0.35">
      <c r="A822" s="129"/>
      <c r="B822" s="137"/>
      <c r="C822" s="137"/>
      <c r="D822" s="137"/>
      <c r="E822" s="137"/>
      <c r="F822" s="137"/>
      <c r="G822" s="137"/>
      <c r="H822" s="137"/>
      <c r="I822" s="137"/>
      <c r="J822" s="138"/>
      <c r="K822" s="137"/>
      <c r="L822" s="137"/>
      <c r="M822" s="137"/>
      <c r="N822" s="137"/>
      <c r="O822" s="137"/>
      <c r="P822" s="137"/>
      <c r="Q822" s="137"/>
    </row>
    <row r="823" spans="1:17" ht="15" customHeight="1" x14ac:dyDescent="0.35">
      <c r="A823" s="129"/>
      <c r="B823" s="137"/>
      <c r="C823" s="137"/>
      <c r="D823" s="137"/>
      <c r="E823" s="137"/>
      <c r="F823" s="137"/>
      <c r="G823" s="137"/>
      <c r="H823" s="137"/>
      <c r="I823" s="137"/>
      <c r="J823" s="138"/>
      <c r="K823" s="137"/>
      <c r="L823" s="137"/>
      <c r="M823" s="137"/>
      <c r="N823" s="137"/>
      <c r="O823" s="137"/>
      <c r="P823" s="137"/>
      <c r="Q823" s="137"/>
    </row>
    <row r="824" spans="1:17" ht="15" customHeight="1" x14ac:dyDescent="0.35">
      <c r="A824" s="129"/>
      <c r="B824" s="137"/>
      <c r="C824" s="137"/>
      <c r="D824" s="137"/>
      <c r="E824" s="137"/>
      <c r="F824" s="137"/>
      <c r="G824" s="137"/>
      <c r="H824" s="137"/>
      <c r="I824" s="137"/>
      <c r="J824" s="138"/>
      <c r="K824" s="137"/>
      <c r="L824" s="137"/>
      <c r="M824" s="137"/>
      <c r="N824" s="137"/>
      <c r="O824" s="137"/>
      <c r="P824" s="137"/>
      <c r="Q824" s="137"/>
    </row>
    <row r="825" spans="1:17" ht="15" customHeight="1" x14ac:dyDescent="0.35">
      <c r="A825" s="129"/>
      <c r="B825" s="137"/>
      <c r="C825" s="137"/>
      <c r="D825" s="137"/>
      <c r="E825" s="137"/>
      <c r="F825" s="137"/>
      <c r="G825" s="137"/>
      <c r="H825" s="137"/>
      <c r="I825" s="137"/>
      <c r="J825" s="138"/>
      <c r="K825" s="137"/>
      <c r="L825" s="137"/>
      <c r="M825" s="137"/>
      <c r="N825" s="137"/>
      <c r="O825" s="137"/>
      <c r="P825" s="137"/>
      <c r="Q825" s="137"/>
    </row>
    <row r="826" spans="1:17" ht="15" customHeight="1" x14ac:dyDescent="0.35">
      <c r="A826" s="129"/>
      <c r="B826" s="137"/>
      <c r="C826" s="137"/>
      <c r="D826" s="137"/>
      <c r="E826" s="137"/>
      <c r="F826" s="137"/>
      <c r="G826" s="137"/>
      <c r="H826" s="137"/>
      <c r="I826" s="137"/>
      <c r="J826" s="138"/>
      <c r="K826" s="137"/>
      <c r="L826" s="137"/>
      <c r="M826" s="137"/>
      <c r="N826" s="137"/>
      <c r="O826" s="137"/>
      <c r="P826" s="137"/>
      <c r="Q826" s="137"/>
    </row>
    <row r="827" spans="1:17" ht="15" customHeight="1" x14ac:dyDescent="0.35">
      <c r="A827" s="129"/>
      <c r="B827" s="137"/>
      <c r="C827" s="137"/>
      <c r="D827" s="137"/>
      <c r="E827" s="137"/>
      <c r="F827" s="137"/>
      <c r="G827" s="137"/>
      <c r="H827" s="137"/>
      <c r="I827" s="137"/>
      <c r="J827" s="138"/>
      <c r="K827" s="137"/>
      <c r="L827" s="137"/>
      <c r="M827" s="137"/>
      <c r="N827" s="137"/>
      <c r="O827" s="137"/>
      <c r="P827" s="137"/>
      <c r="Q827" s="137"/>
    </row>
    <row r="828" spans="1:17" ht="15" customHeight="1" x14ac:dyDescent="0.35">
      <c r="A828" s="129"/>
      <c r="B828" s="137"/>
      <c r="C828" s="137"/>
      <c r="D828" s="137"/>
      <c r="E828" s="137"/>
      <c r="F828" s="137"/>
      <c r="G828" s="137"/>
      <c r="H828" s="137"/>
      <c r="I828" s="137"/>
      <c r="J828" s="138"/>
      <c r="K828" s="137"/>
      <c r="L828" s="137"/>
      <c r="M828" s="137"/>
      <c r="N828" s="137"/>
      <c r="O828" s="137"/>
      <c r="P828" s="137"/>
      <c r="Q828" s="137"/>
    </row>
    <row r="829" spans="1:17" ht="15" customHeight="1" x14ac:dyDescent="0.35">
      <c r="A829" s="129"/>
      <c r="B829" s="137"/>
      <c r="C829" s="137"/>
      <c r="D829" s="137"/>
      <c r="E829" s="137"/>
      <c r="F829" s="137"/>
      <c r="G829" s="137"/>
      <c r="H829" s="137"/>
      <c r="I829" s="137"/>
      <c r="J829" s="138"/>
      <c r="K829" s="137"/>
      <c r="L829" s="137"/>
      <c r="M829" s="137"/>
      <c r="N829" s="137"/>
      <c r="O829" s="137"/>
      <c r="P829" s="137"/>
      <c r="Q829" s="137"/>
    </row>
    <row r="830" spans="1:17" ht="15" customHeight="1" x14ac:dyDescent="0.35">
      <c r="A830" s="129"/>
      <c r="B830" s="137"/>
      <c r="C830" s="137"/>
      <c r="D830" s="137"/>
      <c r="E830" s="137"/>
      <c r="F830" s="137"/>
      <c r="G830" s="137"/>
      <c r="H830" s="137"/>
      <c r="I830" s="137"/>
      <c r="J830" s="138"/>
      <c r="K830" s="137"/>
      <c r="L830" s="137"/>
      <c r="M830" s="137"/>
      <c r="N830" s="137"/>
      <c r="O830" s="137"/>
      <c r="P830" s="137"/>
      <c r="Q830" s="137"/>
    </row>
    <row r="831" spans="1:17" ht="15" customHeight="1" x14ac:dyDescent="0.35">
      <c r="A831" s="129"/>
      <c r="B831" s="137"/>
      <c r="C831" s="137"/>
      <c r="D831" s="137"/>
      <c r="E831" s="137"/>
      <c r="F831" s="137"/>
      <c r="G831" s="137"/>
      <c r="H831" s="137"/>
      <c r="I831" s="137"/>
      <c r="J831" s="138"/>
      <c r="K831" s="137"/>
      <c r="L831" s="137"/>
      <c r="M831" s="137"/>
      <c r="N831" s="137"/>
      <c r="O831" s="137"/>
      <c r="P831" s="137"/>
      <c r="Q831" s="137"/>
    </row>
    <row r="832" spans="1:17" ht="15" customHeight="1" x14ac:dyDescent="0.35">
      <c r="A832" s="129"/>
      <c r="B832" s="137"/>
      <c r="C832" s="137"/>
      <c r="D832" s="137"/>
      <c r="E832" s="137"/>
      <c r="F832" s="137"/>
      <c r="G832" s="137"/>
      <c r="H832" s="137"/>
      <c r="I832" s="137"/>
      <c r="J832" s="138"/>
      <c r="K832" s="137"/>
      <c r="L832" s="137"/>
      <c r="M832" s="137"/>
      <c r="N832" s="137"/>
      <c r="O832" s="137"/>
      <c r="P832" s="137"/>
      <c r="Q832" s="137"/>
    </row>
    <row r="833" spans="1:17" ht="15" customHeight="1" x14ac:dyDescent="0.35">
      <c r="A833" s="129"/>
      <c r="B833" s="137"/>
      <c r="C833" s="137"/>
      <c r="D833" s="137"/>
      <c r="E833" s="137"/>
      <c r="F833" s="137"/>
      <c r="G833" s="137"/>
      <c r="H833" s="137"/>
      <c r="I833" s="137"/>
      <c r="J833" s="138"/>
      <c r="K833" s="137"/>
      <c r="L833" s="137"/>
      <c r="M833" s="137"/>
      <c r="N833" s="137"/>
      <c r="O833" s="137"/>
      <c r="P833" s="137"/>
      <c r="Q833" s="137"/>
    </row>
    <row r="834" spans="1:17" ht="15" customHeight="1" x14ac:dyDescent="0.35">
      <c r="A834" s="129"/>
      <c r="B834" s="137"/>
      <c r="C834" s="137"/>
      <c r="D834" s="137"/>
      <c r="E834" s="137"/>
      <c r="F834" s="137"/>
      <c r="G834" s="137"/>
      <c r="H834" s="137"/>
      <c r="I834" s="137"/>
      <c r="J834" s="138"/>
      <c r="K834" s="137"/>
      <c r="L834" s="137"/>
      <c r="M834" s="137"/>
      <c r="N834" s="137"/>
      <c r="O834" s="137"/>
      <c r="P834" s="137"/>
      <c r="Q834" s="137"/>
    </row>
    <row r="835" spans="1:17" ht="15" customHeight="1" x14ac:dyDescent="0.35">
      <c r="A835" s="129"/>
      <c r="B835" s="137"/>
      <c r="C835" s="137"/>
      <c r="D835" s="137"/>
      <c r="E835" s="137"/>
      <c r="F835" s="137"/>
      <c r="G835" s="137"/>
      <c r="H835" s="137"/>
      <c r="I835" s="137"/>
      <c r="J835" s="138"/>
      <c r="K835" s="137"/>
      <c r="L835" s="137"/>
      <c r="M835" s="137"/>
      <c r="N835" s="137"/>
      <c r="O835" s="137"/>
      <c r="P835" s="137"/>
      <c r="Q835" s="137"/>
    </row>
    <row r="836" spans="1:17" ht="15" customHeight="1" x14ac:dyDescent="0.35">
      <c r="A836" s="129"/>
      <c r="B836" s="137"/>
      <c r="C836" s="137"/>
      <c r="D836" s="137"/>
      <c r="E836" s="137"/>
      <c r="F836" s="137"/>
      <c r="G836" s="137"/>
      <c r="H836" s="137"/>
      <c r="I836" s="137"/>
      <c r="J836" s="138"/>
      <c r="K836" s="137"/>
      <c r="L836" s="137"/>
      <c r="M836" s="137"/>
      <c r="N836" s="137"/>
      <c r="O836" s="137"/>
      <c r="P836" s="137"/>
      <c r="Q836" s="137"/>
    </row>
    <row r="837" spans="1:17" ht="15" customHeight="1" x14ac:dyDescent="0.35">
      <c r="A837" s="129"/>
      <c r="B837" s="137"/>
      <c r="C837" s="137"/>
      <c r="D837" s="137"/>
      <c r="E837" s="137"/>
      <c r="F837" s="137"/>
      <c r="G837" s="137"/>
      <c r="H837" s="137"/>
      <c r="I837" s="137"/>
      <c r="J837" s="138"/>
      <c r="K837" s="137"/>
      <c r="L837" s="137"/>
      <c r="M837" s="137"/>
      <c r="N837" s="137"/>
      <c r="O837" s="137"/>
      <c r="P837" s="137"/>
      <c r="Q837" s="137"/>
    </row>
    <row r="838" spans="1:17" ht="15" customHeight="1" x14ac:dyDescent="0.35">
      <c r="A838" s="129"/>
      <c r="B838" s="137"/>
      <c r="C838" s="137"/>
      <c r="D838" s="137"/>
      <c r="E838" s="137"/>
      <c r="F838" s="137"/>
      <c r="G838" s="137"/>
      <c r="H838" s="137"/>
      <c r="I838" s="137"/>
      <c r="J838" s="138"/>
      <c r="K838" s="137"/>
      <c r="L838" s="137"/>
      <c r="M838" s="137"/>
      <c r="N838" s="137"/>
      <c r="O838" s="137"/>
      <c r="P838" s="137"/>
      <c r="Q838" s="137"/>
    </row>
    <row r="839" spans="1:17" ht="15" customHeight="1" x14ac:dyDescent="0.35">
      <c r="A839" s="129"/>
      <c r="B839" s="137"/>
      <c r="C839" s="137"/>
      <c r="D839" s="137"/>
      <c r="E839" s="137"/>
      <c r="F839" s="137"/>
      <c r="G839" s="137"/>
      <c r="H839" s="137"/>
      <c r="I839" s="137"/>
      <c r="J839" s="138"/>
      <c r="K839" s="137"/>
      <c r="L839" s="137"/>
      <c r="M839" s="137"/>
      <c r="N839" s="137"/>
      <c r="O839" s="137"/>
      <c r="P839" s="137"/>
      <c r="Q839" s="137"/>
    </row>
    <row r="840" spans="1:17" ht="15" customHeight="1" x14ac:dyDescent="0.35">
      <c r="A840" s="129"/>
      <c r="B840" s="137"/>
      <c r="C840" s="137"/>
      <c r="D840" s="137"/>
      <c r="E840" s="137"/>
      <c r="F840" s="137"/>
      <c r="G840" s="137"/>
      <c r="H840" s="137"/>
      <c r="I840" s="137"/>
      <c r="J840" s="138"/>
      <c r="K840" s="137"/>
      <c r="L840" s="137"/>
      <c r="M840" s="137"/>
      <c r="N840" s="137"/>
      <c r="O840" s="137"/>
      <c r="P840" s="137"/>
      <c r="Q840" s="137"/>
    </row>
    <row r="841" spans="1:17" ht="15" customHeight="1" x14ac:dyDescent="0.35">
      <c r="A841" s="129"/>
      <c r="B841" s="137"/>
      <c r="C841" s="137"/>
      <c r="D841" s="137"/>
      <c r="E841" s="137"/>
      <c r="F841" s="137"/>
      <c r="G841" s="137"/>
      <c r="H841" s="137"/>
      <c r="I841" s="137"/>
      <c r="J841" s="138"/>
      <c r="K841" s="137"/>
      <c r="L841" s="137"/>
      <c r="M841" s="137"/>
      <c r="N841" s="137"/>
      <c r="O841" s="137"/>
      <c r="P841" s="137"/>
      <c r="Q841" s="137"/>
    </row>
    <row r="842" spans="1:17" ht="15" customHeight="1" x14ac:dyDescent="0.35">
      <c r="A842" s="129"/>
      <c r="B842" s="137"/>
      <c r="C842" s="137"/>
      <c r="D842" s="137"/>
      <c r="E842" s="137"/>
      <c r="F842" s="137"/>
      <c r="G842" s="137"/>
      <c r="H842" s="137"/>
      <c r="I842" s="137"/>
      <c r="J842" s="138"/>
      <c r="K842" s="137"/>
      <c r="L842" s="137"/>
      <c r="M842" s="137"/>
      <c r="N842" s="137"/>
      <c r="O842" s="137"/>
      <c r="P842" s="137"/>
      <c r="Q842" s="137"/>
    </row>
    <row r="843" spans="1:17" ht="15" customHeight="1" x14ac:dyDescent="0.35">
      <c r="A843" s="129"/>
      <c r="B843" s="137"/>
      <c r="C843" s="137"/>
      <c r="D843" s="137"/>
      <c r="E843" s="137"/>
      <c r="F843" s="137"/>
      <c r="G843" s="137"/>
      <c r="H843" s="137"/>
      <c r="I843" s="137"/>
      <c r="J843" s="138"/>
      <c r="K843" s="137"/>
      <c r="L843" s="137"/>
      <c r="M843" s="137"/>
      <c r="N843" s="137"/>
      <c r="O843" s="137"/>
      <c r="P843" s="137"/>
      <c r="Q843" s="137"/>
    </row>
    <row r="844" spans="1:17" ht="15" customHeight="1" x14ac:dyDescent="0.35">
      <c r="A844" s="129"/>
      <c r="B844" s="137"/>
      <c r="C844" s="137"/>
      <c r="D844" s="137"/>
      <c r="E844" s="137"/>
      <c r="F844" s="137"/>
      <c r="G844" s="137"/>
      <c r="H844" s="137"/>
      <c r="I844" s="137"/>
      <c r="J844" s="138"/>
      <c r="K844" s="137"/>
      <c r="L844" s="137"/>
      <c r="M844" s="137"/>
      <c r="N844" s="137"/>
      <c r="O844" s="137"/>
      <c r="P844" s="137"/>
      <c r="Q844" s="137"/>
    </row>
    <row r="845" spans="1:17" ht="15" customHeight="1" x14ac:dyDescent="0.35">
      <c r="A845" s="129"/>
      <c r="B845" s="137"/>
      <c r="C845" s="137"/>
      <c r="D845" s="137"/>
      <c r="E845" s="137"/>
      <c r="F845" s="137"/>
      <c r="G845" s="137"/>
      <c r="H845" s="137"/>
      <c r="I845" s="137"/>
      <c r="J845" s="138"/>
      <c r="K845" s="137"/>
      <c r="L845" s="137"/>
      <c r="M845" s="137"/>
      <c r="N845" s="137"/>
      <c r="O845" s="137"/>
      <c r="P845" s="137"/>
      <c r="Q845" s="137"/>
    </row>
    <row r="846" spans="1:17" ht="15" customHeight="1" x14ac:dyDescent="0.35">
      <c r="A846" s="129"/>
      <c r="B846" s="137"/>
      <c r="C846" s="137"/>
      <c r="D846" s="137"/>
      <c r="E846" s="137"/>
      <c r="F846" s="137"/>
      <c r="G846" s="137"/>
      <c r="H846" s="137"/>
      <c r="I846" s="137"/>
      <c r="J846" s="138"/>
      <c r="K846" s="137"/>
      <c r="L846" s="137"/>
      <c r="M846" s="137"/>
      <c r="N846" s="137"/>
      <c r="O846" s="137"/>
      <c r="P846" s="137"/>
      <c r="Q846" s="137"/>
    </row>
    <row r="847" spans="1:17" ht="15" customHeight="1" x14ac:dyDescent="0.35">
      <c r="A847" s="129"/>
      <c r="B847" s="137"/>
      <c r="C847" s="137"/>
      <c r="D847" s="137"/>
      <c r="E847" s="137"/>
      <c r="F847" s="137"/>
      <c r="G847" s="137"/>
      <c r="H847" s="137"/>
      <c r="I847" s="137"/>
      <c r="J847" s="138"/>
      <c r="K847" s="137"/>
      <c r="L847" s="137"/>
      <c r="M847" s="137"/>
      <c r="N847" s="137"/>
      <c r="O847" s="137"/>
      <c r="P847" s="137"/>
      <c r="Q847" s="137"/>
    </row>
    <row r="848" spans="1:17" ht="15" customHeight="1" x14ac:dyDescent="0.35">
      <c r="A848" s="129"/>
      <c r="B848" s="137"/>
      <c r="C848" s="137"/>
      <c r="D848" s="137"/>
      <c r="E848" s="137"/>
      <c r="F848" s="137"/>
      <c r="G848" s="137"/>
      <c r="H848" s="137"/>
      <c r="I848" s="137"/>
      <c r="J848" s="138"/>
      <c r="K848" s="137"/>
      <c r="L848" s="137"/>
      <c r="M848" s="137"/>
      <c r="N848" s="137"/>
      <c r="O848" s="137"/>
      <c r="P848" s="137"/>
      <c r="Q848" s="137"/>
    </row>
    <row r="849" spans="1:17" ht="15" customHeight="1" x14ac:dyDescent="0.35">
      <c r="A849" s="129"/>
      <c r="B849" s="137"/>
      <c r="C849" s="137"/>
      <c r="D849" s="137"/>
      <c r="E849" s="137"/>
      <c r="F849" s="137"/>
      <c r="G849" s="137"/>
      <c r="H849" s="137"/>
      <c r="I849" s="137"/>
      <c r="J849" s="138"/>
      <c r="K849" s="137"/>
      <c r="L849" s="137"/>
      <c r="M849" s="137"/>
      <c r="N849" s="137"/>
      <c r="O849" s="137"/>
      <c r="P849" s="137"/>
      <c r="Q849" s="137"/>
    </row>
    <row r="850" spans="1:17" ht="15" customHeight="1" x14ac:dyDescent="0.35">
      <c r="A850" s="129"/>
      <c r="B850" s="137"/>
      <c r="C850" s="137"/>
      <c r="D850" s="137"/>
      <c r="E850" s="137"/>
      <c r="F850" s="137"/>
      <c r="G850" s="137"/>
      <c r="H850" s="137"/>
      <c r="I850" s="137"/>
      <c r="J850" s="138"/>
      <c r="K850" s="137"/>
      <c r="L850" s="137"/>
      <c r="M850" s="137"/>
      <c r="N850" s="137"/>
      <c r="O850" s="137"/>
      <c r="P850" s="137"/>
      <c r="Q850" s="137"/>
    </row>
    <row r="851" spans="1:17" ht="15" customHeight="1" x14ac:dyDescent="0.35">
      <c r="A851" s="129"/>
      <c r="B851" s="137"/>
      <c r="C851" s="137"/>
      <c r="D851" s="137"/>
      <c r="E851" s="137"/>
      <c r="F851" s="137"/>
      <c r="G851" s="137"/>
      <c r="H851" s="137"/>
      <c r="I851" s="137"/>
      <c r="J851" s="138"/>
      <c r="K851" s="137"/>
      <c r="L851" s="137"/>
      <c r="M851" s="137"/>
      <c r="N851" s="137"/>
      <c r="O851" s="137"/>
      <c r="P851" s="137"/>
      <c r="Q851" s="137"/>
    </row>
    <row r="852" spans="1:17" ht="15" customHeight="1" x14ac:dyDescent="0.35">
      <c r="A852" s="129"/>
      <c r="B852" s="137"/>
      <c r="C852" s="137"/>
      <c r="D852" s="137"/>
      <c r="E852" s="137"/>
      <c r="F852" s="137"/>
      <c r="G852" s="137"/>
      <c r="H852" s="137"/>
      <c r="I852" s="137"/>
      <c r="J852" s="138"/>
      <c r="K852" s="137"/>
      <c r="L852" s="137"/>
      <c r="M852" s="137"/>
      <c r="N852" s="137"/>
      <c r="O852" s="137"/>
      <c r="P852" s="137"/>
      <c r="Q852" s="137"/>
    </row>
    <row r="853" spans="1:17" ht="15" customHeight="1" x14ac:dyDescent="0.35">
      <c r="A853" s="129"/>
      <c r="B853" s="137"/>
      <c r="C853" s="137"/>
      <c r="D853" s="137"/>
      <c r="E853" s="137"/>
      <c r="F853" s="137"/>
      <c r="G853" s="137"/>
      <c r="H853" s="137"/>
      <c r="I853" s="137"/>
      <c r="J853" s="138"/>
      <c r="K853" s="137"/>
      <c r="L853" s="137"/>
      <c r="M853" s="137"/>
      <c r="N853" s="137"/>
      <c r="O853" s="137"/>
      <c r="P853" s="137"/>
      <c r="Q853" s="137"/>
    </row>
    <row r="854" spans="1:17" ht="15" customHeight="1" x14ac:dyDescent="0.35">
      <c r="A854" s="129"/>
      <c r="B854" s="137"/>
      <c r="C854" s="137"/>
      <c r="D854" s="137"/>
      <c r="E854" s="137"/>
      <c r="F854" s="137"/>
      <c r="G854" s="137"/>
      <c r="H854" s="137"/>
      <c r="I854" s="137"/>
      <c r="J854" s="138"/>
      <c r="K854" s="137"/>
      <c r="L854" s="137"/>
      <c r="M854" s="137"/>
      <c r="N854" s="137"/>
      <c r="O854" s="137"/>
      <c r="P854" s="137"/>
      <c r="Q854" s="137"/>
    </row>
    <row r="855" spans="1:17" ht="15" customHeight="1" x14ac:dyDescent="0.35">
      <c r="A855" s="129"/>
      <c r="B855" s="137"/>
      <c r="C855" s="137"/>
      <c r="D855" s="137"/>
      <c r="E855" s="137"/>
      <c r="F855" s="137"/>
      <c r="G855" s="137"/>
      <c r="H855" s="137"/>
      <c r="I855" s="137"/>
      <c r="J855" s="138"/>
      <c r="K855" s="137"/>
      <c r="L855" s="137"/>
      <c r="M855" s="137"/>
      <c r="N855" s="137"/>
      <c r="O855" s="137"/>
      <c r="P855" s="137"/>
      <c r="Q855" s="137"/>
    </row>
    <row r="856" spans="1:17" ht="15" customHeight="1" x14ac:dyDescent="0.35">
      <c r="A856" s="129"/>
      <c r="B856" s="137"/>
      <c r="C856" s="137"/>
      <c r="D856" s="137"/>
      <c r="E856" s="137"/>
      <c r="F856" s="137"/>
      <c r="G856" s="137"/>
      <c r="H856" s="137"/>
      <c r="I856" s="137"/>
      <c r="J856" s="138"/>
      <c r="K856" s="137"/>
      <c r="L856" s="137"/>
      <c r="M856" s="137"/>
      <c r="N856" s="137"/>
      <c r="O856" s="137"/>
      <c r="P856" s="137"/>
      <c r="Q856" s="137"/>
    </row>
    <row r="857" spans="1:17" ht="15" customHeight="1" x14ac:dyDescent="0.35">
      <c r="A857" s="129"/>
      <c r="B857" s="137"/>
      <c r="C857" s="137"/>
      <c r="D857" s="137"/>
      <c r="E857" s="137"/>
      <c r="F857" s="137"/>
      <c r="G857" s="137"/>
      <c r="H857" s="137"/>
      <c r="I857" s="137"/>
      <c r="J857" s="138"/>
      <c r="K857" s="137"/>
      <c r="L857" s="137"/>
      <c r="M857" s="137"/>
      <c r="N857" s="137"/>
      <c r="O857" s="137"/>
      <c r="P857" s="137"/>
      <c r="Q857" s="137"/>
    </row>
    <row r="858" spans="1:17" ht="15" customHeight="1" x14ac:dyDescent="0.35">
      <c r="A858" s="129"/>
      <c r="B858" s="137"/>
      <c r="C858" s="137"/>
      <c r="D858" s="137"/>
      <c r="E858" s="137"/>
      <c r="F858" s="137"/>
      <c r="G858" s="137"/>
      <c r="H858" s="137"/>
      <c r="I858" s="137"/>
      <c r="J858" s="138"/>
      <c r="K858" s="137"/>
      <c r="L858" s="137"/>
      <c r="M858" s="137"/>
      <c r="N858" s="137"/>
      <c r="O858" s="137"/>
      <c r="P858" s="137"/>
      <c r="Q858" s="137"/>
    </row>
    <row r="859" spans="1:17" ht="15" customHeight="1" x14ac:dyDescent="0.35">
      <c r="A859" s="129"/>
      <c r="B859" s="137"/>
      <c r="C859" s="137"/>
      <c r="D859" s="137"/>
      <c r="E859" s="137"/>
      <c r="F859" s="137"/>
      <c r="G859" s="137"/>
      <c r="H859" s="137"/>
      <c r="I859" s="137"/>
      <c r="J859" s="138"/>
      <c r="K859" s="137"/>
      <c r="L859" s="137"/>
      <c r="M859" s="137"/>
      <c r="N859" s="137"/>
      <c r="O859" s="137"/>
      <c r="P859" s="137"/>
      <c r="Q859" s="137"/>
    </row>
    <row r="860" spans="1:17" ht="15" customHeight="1" x14ac:dyDescent="0.35">
      <c r="A860" s="129"/>
      <c r="B860" s="137"/>
      <c r="C860" s="137"/>
      <c r="D860" s="137"/>
      <c r="E860" s="137"/>
      <c r="F860" s="137"/>
      <c r="G860" s="137"/>
      <c r="H860" s="137"/>
      <c r="I860" s="137"/>
      <c r="J860" s="138"/>
      <c r="K860" s="137"/>
      <c r="L860" s="137"/>
      <c r="M860" s="137"/>
      <c r="N860" s="137"/>
      <c r="O860" s="137"/>
      <c r="P860" s="137"/>
      <c r="Q860" s="137"/>
    </row>
    <row r="861" spans="1:17" ht="15" customHeight="1" x14ac:dyDescent="0.35">
      <c r="A861" s="129"/>
      <c r="B861" s="137"/>
      <c r="C861" s="137"/>
      <c r="D861" s="137"/>
      <c r="E861" s="137"/>
      <c r="F861" s="137"/>
      <c r="G861" s="137"/>
      <c r="H861" s="137"/>
      <c r="I861" s="137"/>
      <c r="J861" s="138"/>
      <c r="K861" s="137"/>
      <c r="L861" s="137"/>
      <c r="M861" s="137"/>
      <c r="N861" s="137"/>
      <c r="O861" s="137"/>
      <c r="P861" s="137"/>
      <c r="Q861" s="137"/>
    </row>
    <row r="862" spans="1:17" ht="15" customHeight="1" x14ac:dyDescent="0.35">
      <c r="A862" s="129"/>
      <c r="B862" s="137"/>
      <c r="C862" s="137"/>
      <c r="D862" s="137"/>
      <c r="E862" s="137"/>
      <c r="F862" s="137"/>
      <c r="G862" s="137"/>
      <c r="H862" s="137"/>
      <c r="I862" s="137"/>
      <c r="J862" s="138"/>
      <c r="K862" s="137"/>
      <c r="L862" s="137"/>
      <c r="M862" s="137"/>
      <c r="N862" s="137"/>
      <c r="O862" s="137"/>
      <c r="P862" s="137"/>
      <c r="Q862" s="137"/>
    </row>
    <row r="863" spans="1:17" ht="15" customHeight="1" x14ac:dyDescent="0.35">
      <c r="A863" s="129"/>
      <c r="B863" s="137"/>
      <c r="C863" s="137"/>
      <c r="D863" s="137"/>
      <c r="E863" s="137"/>
      <c r="F863" s="137"/>
      <c r="G863" s="137"/>
      <c r="H863" s="137"/>
      <c r="I863" s="137"/>
      <c r="J863" s="138"/>
      <c r="K863" s="137"/>
      <c r="L863" s="137"/>
      <c r="M863" s="137"/>
      <c r="N863" s="137"/>
      <c r="O863" s="137"/>
      <c r="P863" s="137"/>
      <c r="Q863" s="137"/>
    </row>
    <row r="864" spans="1:17" ht="15" customHeight="1" x14ac:dyDescent="0.35">
      <c r="A864" s="129"/>
      <c r="B864" s="137"/>
      <c r="C864" s="137"/>
      <c r="D864" s="137"/>
      <c r="E864" s="137"/>
      <c r="F864" s="137"/>
      <c r="G864" s="137"/>
      <c r="H864" s="137"/>
      <c r="I864" s="137"/>
      <c r="J864" s="138"/>
      <c r="K864" s="137"/>
      <c r="L864" s="137"/>
      <c r="M864" s="137"/>
      <c r="N864" s="137"/>
      <c r="O864" s="137"/>
      <c r="P864" s="137"/>
      <c r="Q864" s="137"/>
    </row>
    <row r="865" spans="1:17" ht="15" customHeight="1" x14ac:dyDescent="0.35">
      <c r="A865" s="129"/>
      <c r="B865" s="137"/>
      <c r="C865" s="137"/>
      <c r="D865" s="137"/>
      <c r="E865" s="137"/>
      <c r="F865" s="137"/>
      <c r="G865" s="137"/>
      <c r="H865" s="137"/>
      <c r="I865" s="137"/>
      <c r="J865" s="138"/>
      <c r="K865" s="137"/>
      <c r="L865" s="137"/>
      <c r="M865" s="137"/>
      <c r="N865" s="137"/>
      <c r="O865" s="137"/>
      <c r="P865" s="137"/>
      <c r="Q865" s="137"/>
    </row>
    <row r="866" spans="1:17" ht="15" customHeight="1" x14ac:dyDescent="0.35">
      <c r="A866" s="129"/>
      <c r="B866" s="137"/>
      <c r="C866" s="137"/>
      <c r="D866" s="137"/>
      <c r="E866" s="137"/>
      <c r="F866" s="137"/>
      <c r="G866" s="137"/>
      <c r="H866" s="137"/>
      <c r="I866" s="137"/>
      <c r="J866" s="138"/>
      <c r="K866" s="137"/>
      <c r="L866" s="137"/>
      <c r="M866" s="137"/>
      <c r="N866" s="137"/>
      <c r="O866" s="137"/>
      <c r="P866" s="137"/>
      <c r="Q866" s="137"/>
    </row>
    <row r="867" spans="1:17" ht="15" customHeight="1" x14ac:dyDescent="0.35">
      <c r="A867" s="129"/>
      <c r="B867" s="137"/>
      <c r="C867" s="137"/>
      <c r="D867" s="137"/>
      <c r="E867" s="137"/>
      <c r="F867" s="137"/>
      <c r="G867" s="137"/>
      <c r="H867" s="137"/>
      <c r="I867" s="137"/>
      <c r="J867" s="138"/>
      <c r="K867" s="137"/>
      <c r="L867" s="137"/>
      <c r="M867" s="137"/>
      <c r="N867" s="137"/>
      <c r="O867" s="137"/>
      <c r="P867" s="137"/>
      <c r="Q867" s="137"/>
    </row>
    <row r="868" spans="1:17" ht="15" customHeight="1" x14ac:dyDescent="0.35">
      <c r="A868" s="129"/>
      <c r="B868" s="137"/>
      <c r="C868" s="137"/>
      <c r="D868" s="137"/>
      <c r="E868" s="137"/>
      <c r="F868" s="137"/>
      <c r="G868" s="137"/>
      <c r="H868" s="137"/>
      <c r="I868" s="137"/>
      <c r="J868" s="138"/>
      <c r="K868" s="137"/>
      <c r="L868" s="137"/>
      <c r="M868" s="137"/>
      <c r="N868" s="137"/>
      <c r="O868" s="137"/>
      <c r="P868" s="137"/>
      <c r="Q868" s="137"/>
    </row>
    <row r="869" spans="1:17" ht="15" customHeight="1" x14ac:dyDescent="0.35">
      <c r="A869" s="129"/>
      <c r="B869" s="137"/>
      <c r="C869" s="137"/>
      <c r="D869" s="137"/>
      <c r="E869" s="137"/>
      <c r="F869" s="137"/>
      <c r="G869" s="137"/>
      <c r="H869" s="137"/>
      <c r="I869" s="137"/>
      <c r="J869" s="138"/>
      <c r="K869" s="137"/>
      <c r="L869" s="137"/>
      <c r="M869" s="137"/>
      <c r="N869" s="137"/>
      <c r="O869" s="137"/>
      <c r="P869" s="137"/>
      <c r="Q869" s="137"/>
    </row>
    <row r="870" spans="1:17" ht="15" customHeight="1" x14ac:dyDescent="0.35">
      <c r="A870" s="129"/>
      <c r="B870" s="137"/>
      <c r="C870" s="137"/>
      <c r="D870" s="137"/>
      <c r="E870" s="137"/>
      <c r="F870" s="137"/>
      <c r="G870" s="137"/>
      <c r="H870" s="137"/>
      <c r="I870" s="137"/>
      <c r="J870" s="138"/>
      <c r="K870" s="137"/>
      <c r="L870" s="137"/>
      <c r="M870" s="137"/>
      <c r="N870" s="137"/>
      <c r="O870" s="137"/>
      <c r="P870" s="137"/>
      <c r="Q870" s="137"/>
    </row>
    <row r="871" spans="1:17" ht="15" customHeight="1" x14ac:dyDescent="0.35">
      <c r="A871" s="129"/>
      <c r="B871" s="137"/>
      <c r="C871" s="137"/>
      <c r="D871" s="137"/>
      <c r="E871" s="137"/>
      <c r="F871" s="137"/>
      <c r="G871" s="137"/>
      <c r="H871" s="137"/>
      <c r="I871" s="137"/>
      <c r="J871" s="138"/>
      <c r="K871" s="137"/>
      <c r="L871" s="137"/>
      <c r="M871" s="137"/>
      <c r="N871" s="137"/>
      <c r="O871" s="137"/>
      <c r="P871" s="137"/>
      <c r="Q871" s="137"/>
    </row>
    <row r="872" spans="1:17" ht="15" customHeight="1" x14ac:dyDescent="0.35">
      <c r="A872" s="129"/>
      <c r="B872" s="137"/>
      <c r="C872" s="137"/>
      <c r="D872" s="137"/>
      <c r="E872" s="137"/>
      <c r="F872" s="137"/>
      <c r="G872" s="137"/>
      <c r="H872" s="137"/>
      <c r="I872" s="137"/>
      <c r="J872" s="138"/>
      <c r="K872" s="137"/>
      <c r="L872" s="137"/>
      <c r="M872" s="137"/>
      <c r="N872" s="137"/>
      <c r="O872" s="137"/>
      <c r="P872" s="137"/>
      <c r="Q872" s="137"/>
    </row>
    <row r="873" spans="1:17" ht="15" customHeight="1" x14ac:dyDescent="0.35">
      <c r="A873" s="129"/>
      <c r="B873" s="137"/>
      <c r="C873" s="137"/>
      <c r="D873" s="137"/>
      <c r="E873" s="137"/>
      <c r="F873" s="137"/>
      <c r="G873" s="137"/>
      <c r="H873" s="137"/>
      <c r="I873" s="137"/>
      <c r="J873" s="138"/>
      <c r="K873" s="137"/>
      <c r="L873" s="137"/>
      <c r="M873" s="137"/>
      <c r="N873" s="137"/>
      <c r="O873" s="137"/>
      <c r="P873" s="137"/>
      <c r="Q873" s="137"/>
    </row>
    <row r="874" spans="1:17" ht="15" customHeight="1" x14ac:dyDescent="0.35">
      <c r="A874" s="129"/>
      <c r="B874" s="137"/>
      <c r="C874" s="137"/>
      <c r="D874" s="137"/>
      <c r="E874" s="137"/>
      <c r="F874" s="137"/>
      <c r="G874" s="137"/>
      <c r="H874" s="137"/>
      <c r="I874" s="137"/>
      <c r="J874" s="138"/>
      <c r="K874" s="137"/>
      <c r="L874" s="137"/>
      <c r="M874" s="137"/>
      <c r="N874" s="137"/>
      <c r="O874" s="137"/>
      <c r="P874" s="137"/>
      <c r="Q874" s="137"/>
    </row>
    <row r="875" spans="1:17" ht="15" customHeight="1" x14ac:dyDescent="0.35">
      <c r="A875" s="129"/>
      <c r="B875" s="137"/>
      <c r="C875" s="137"/>
      <c r="D875" s="137"/>
      <c r="E875" s="137"/>
      <c r="F875" s="137"/>
      <c r="G875" s="137"/>
      <c r="H875" s="137"/>
      <c r="I875" s="137"/>
      <c r="J875" s="138"/>
      <c r="K875" s="137"/>
      <c r="L875" s="137"/>
      <c r="M875" s="137"/>
      <c r="N875" s="137"/>
      <c r="O875" s="137"/>
      <c r="P875" s="137"/>
      <c r="Q875" s="137"/>
    </row>
    <row r="876" spans="1:17" ht="15" customHeight="1" x14ac:dyDescent="0.35">
      <c r="A876" s="129"/>
      <c r="B876" s="137"/>
      <c r="C876" s="137"/>
      <c r="D876" s="137"/>
      <c r="E876" s="137"/>
      <c r="F876" s="137"/>
      <c r="G876" s="137"/>
      <c r="H876" s="137"/>
      <c r="I876" s="137"/>
      <c r="J876" s="138"/>
      <c r="K876" s="137"/>
      <c r="L876" s="137"/>
      <c r="M876" s="137"/>
      <c r="N876" s="137"/>
      <c r="O876" s="137"/>
      <c r="P876" s="137"/>
      <c r="Q876" s="137"/>
    </row>
    <row r="877" spans="1:17" ht="15" customHeight="1" x14ac:dyDescent="0.35">
      <c r="A877" s="129"/>
      <c r="B877" s="137"/>
      <c r="C877" s="137"/>
      <c r="D877" s="137"/>
      <c r="E877" s="137"/>
      <c r="F877" s="137"/>
      <c r="G877" s="137"/>
      <c r="H877" s="137"/>
      <c r="I877" s="137"/>
      <c r="J877" s="138"/>
      <c r="K877" s="137"/>
      <c r="L877" s="137"/>
      <c r="M877" s="137"/>
      <c r="N877" s="137"/>
      <c r="O877" s="137"/>
      <c r="P877" s="137"/>
      <c r="Q877" s="137"/>
    </row>
    <row r="878" spans="1:17" ht="15" customHeight="1" x14ac:dyDescent="0.35">
      <c r="A878" s="129"/>
      <c r="B878" s="137"/>
      <c r="C878" s="137"/>
      <c r="D878" s="137"/>
      <c r="E878" s="137"/>
      <c r="F878" s="137"/>
      <c r="G878" s="137"/>
      <c r="H878" s="137"/>
      <c r="I878" s="137"/>
      <c r="J878" s="138"/>
      <c r="K878" s="137"/>
      <c r="L878" s="137"/>
      <c r="M878" s="137"/>
      <c r="N878" s="137"/>
      <c r="O878" s="137"/>
      <c r="P878" s="137"/>
      <c r="Q878" s="137"/>
    </row>
    <row r="879" spans="1:17" ht="15" customHeight="1" x14ac:dyDescent="0.35">
      <c r="A879" s="129"/>
      <c r="B879" s="137"/>
      <c r="C879" s="137"/>
      <c r="D879" s="137"/>
      <c r="E879" s="137"/>
      <c r="F879" s="137"/>
      <c r="G879" s="137"/>
      <c r="H879" s="137"/>
      <c r="I879" s="137"/>
      <c r="J879" s="138"/>
      <c r="K879" s="137"/>
      <c r="L879" s="137"/>
      <c r="M879" s="137"/>
      <c r="N879" s="137"/>
      <c r="O879" s="137"/>
      <c r="P879" s="137"/>
      <c r="Q879" s="137"/>
    </row>
    <row r="880" spans="1:17" ht="15" customHeight="1" x14ac:dyDescent="0.35">
      <c r="A880" s="129"/>
      <c r="B880" s="137"/>
      <c r="C880" s="137"/>
      <c r="D880" s="137"/>
      <c r="E880" s="137"/>
      <c r="F880" s="137"/>
      <c r="G880" s="137"/>
      <c r="H880" s="137"/>
      <c r="I880" s="137"/>
      <c r="J880" s="138"/>
      <c r="K880" s="137"/>
      <c r="L880" s="137"/>
      <c r="M880" s="137"/>
      <c r="N880" s="137"/>
      <c r="O880" s="137"/>
      <c r="P880" s="137"/>
      <c r="Q880" s="137"/>
    </row>
    <row r="881" spans="1:17" ht="15" customHeight="1" x14ac:dyDescent="0.35">
      <c r="A881" s="129"/>
      <c r="B881" s="137"/>
      <c r="C881" s="137"/>
      <c r="D881" s="137"/>
      <c r="E881" s="137"/>
      <c r="F881" s="137"/>
      <c r="G881" s="137"/>
      <c r="H881" s="137"/>
      <c r="I881" s="137"/>
      <c r="J881" s="138"/>
      <c r="K881" s="137"/>
      <c r="L881" s="137"/>
      <c r="M881" s="137"/>
      <c r="N881" s="137"/>
      <c r="O881" s="137"/>
      <c r="P881" s="137"/>
      <c r="Q881" s="137"/>
    </row>
    <row r="882" spans="1:17" ht="15" customHeight="1" x14ac:dyDescent="0.35">
      <c r="A882" s="129"/>
      <c r="B882" s="137"/>
      <c r="C882" s="137"/>
      <c r="D882" s="137"/>
      <c r="E882" s="137"/>
      <c r="F882" s="137"/>
      <c r="G882" s="137"/>
      <c r="H882" s="137"/>
      <c r="I882" s="137"/>
      <c r="J882" s="138"/>
      <c r="K882" s="137"/>
      <c r="L882" s="137"/>
      <c r="M882" s="137"/>
      <c r="N882" s="137"/>
      <c r="O882" s="137"/>
      <c r="P882" s="137"/>
      <c r="Q882" s="137"/>
    </row>
    <row r="883" spans="1:17" ht="15" customHeight="1" x14ac:dyDescent="0.35">
      <c r="A883" s="129"/>
      <c r="B883" s="137"/>
      <c r="C883" s="137"/>
      <c r="D883" s="137"/>
      <c r="E883" s="137"/>
      <c r="F883" s="137"/>
      <c r="G883" s="137"/>
      <c r="H883" s="137"/>
      <c r="I883" s="137"/>
      <c r="J883" s="138"/>
      <c r="K883" s="137"/>
      <c r="L883" s="137"/>
      <c r="M883" s="137"/>
      <c r="N883" s="137"/>
      <c r="O883" s="137"/>
      <c r="P883" s="137"/>
      <c r="Q883" s="137"/>
    </row>
    <row r="884" spans="1:17" ht="15" customHeight="1" x14ac:dyDescent="0.35">
      <c r="A884" s="129"/>
      <c r="B884" s="137"/>
      <c r="C884" s="137"/>
      <c r="D884" s="137"/>
      <c r="E884" s="137"/>
      <c r="F884" s="137"/>
      <c r="G884" s="137"/>
      <c r="H884" s="137"/>
      <c r="I884" s="137"/>
      <c r="J884" s="138"/>
      <c r="K884" s="137"/>
      <c r="L884" s="137"/>
      <c r="M884" s="137"/>
      <c r="N884" s="137"/>
      <c r="O884" s="137"/>
      <c r="P884" s="137"/>
      <c r="Q884" s="137"/>
    </row>
    <row r="885" spans="1:17" ht="15" customHeight="1" x14ac:dyDescent="0.35">
      <c r="A885" s="129"/>
      <c r="B885" s="137"/>
      <c r="C885" s="137"/>
      <c r="D885" s="137"/>
      <c r="E885" s="137"/>
      <c r="F885" s="137"/>
      <c r="G885" s="137"/>
      <c r="H885" s="137"/>
      <c r="I885" s="137"/>
      <c r="J885" s="138"/>
      <c r="K885" s="137"/>
      <c r="L885" s="137"/>
      <c r="M885" s="137"/>
      <c r="N885" s="137"/>
      <c r="O885" s="137"/>
      <c r="P885" s="137"/>
      <c r="Q885" s="137"/>
    </row>
    <row r="886" spans="1:17" ht="15" customHeight="1" x14ac:dyDescent="0.35">
      <c r="A886" s="129"/>
      <c r="B886" s="137"/>
      <c r="C886" s="137"/>
      <c r="D886" s="137"/>
      <c r="E886" s="137"/>
      <c r="F886" s="137"/>
      <c r="G886" s="137"/>
      <c r="H886" s="137"/>
      <c r="I886" s="137"/>
      <c r="J886" s="138"/>
      <c r="K886" s="137"/>
      <c r="L886" s="137"/>
      <c r="M886" s="137"/>
      <c r="N886" s="137"/>
      <c r="O886" s="137"/>
      <c r="P886" s="137"/>
      <c r="Q886" s="137"/>
    </row>
    <row r="887" spans="1:17" ht="15" customHeight="1" x14ac:dyDescent="0.35">
      <c r="A887" s="129"/>
      <c r="B887" s="137"/>
      <c r="C887" s="137"/>
      <c r="D887" s="137"/>
      <c r="E887" s="137"/>
      <c r="F887" s="137"/>
      <c r="G887" s="137"/>
      <c r="H887" s="137"/>
      <c r="I887" s="137"/>
      <c r="J887" s="138"/>
      <c r="K887" s="137"/>
      <c r="L887" s="137"/>
      <c r="M887" s="137"/>
      <c r="N887" s="137"/>
      <c r="O887" s="137"/>
      <c r="P887" s="137"/>
      <c r="Q887" s="137"/>
    </row>
    <row r="888" spans="1:17" ht="15" customHeight="1" x14ac:dyDescent="0.35">
      <c r="A888" s="129"/>
      <c r="B888" s="137"/>
      <c r="C888" s="137"/>
      <c r="D888" s="137"/>
      <c r="E888" s="137"/>
      <c r="F888" s="137"/>
      <c r="G888" s="137"/>
      <c r="H888" s="137"/>
      <c r="I888" s="137"/>
      <c r="J888" s="138"/>
      <c r="K888" s="137"/>
      <c r="L888" s="137"/>
      <c r="M888" s="137"/>
      <c r="N888" s="137"/>
      <c r="O888" s="137"/>
      <c r="P888" s="137"/>
      <c r="Q888" s="137"/>
    </row>
    <row r="889" spans="1:17" ht="15" customHeight="1" x14ac:dyDescent="0.35">
      <c r="A889" s="129"/>
      <c r="B889" s="137"/>
      <c r="C889" s="137"/>
      <c r="D889" s="137"/>
      <c r="E889" s="137"/>
      <c r="F889" s="137"/>
      <c r="G889" s="137"/>
      <c r="H889" s="137"/>
      <c r="I889" s="137"/>
      <c r="J889" s="138"/>
      <c r="K889" s="137"/>
      <c r="L889" s="137"/>
      <c r="M889" s="137"/>
      <c r="N889" s="137"/>
      <c r="O889" s="137"/>
      <c r="P889" s="137"/>
      <c r="Q889" s="137"/>
    </row>
    <row r="890" spans="1:17" ht="15" customHeight="1" x14ac:dyDescent="0.35">
      <c r="A890" s="129"/>
      <c r="B890" s="137"/>
      <c r="C890" s="137"/>
      <c r="D890" s="137"/>
      <c r="E890" s="137"/>
      <c r="F890" s="137"/>
      <c r="G890" s="137"/>
      <c r="H890" s="137"/>
      <c r="I890" s="137"/>
      <c r="J890" s="138"/>
      <c r="K890" s="137"/>
      <c r="L890" s="137"/>
      <c r="M890" s="137"/>
      <c r="N890" s="137"/>
      <c r="O890" s="137"/>
      <c r="P890" s="137"/>
      <c r="Q890" s="137"/>
    </row>
    <row r="891" spans="1:17" ht="15" customHeight="1" x14ac:dyDescent="0.35">
      <c r="A891" s="129"/>
      <c r="B891" s="137"/>
      <c r="C891" s="137"/>
      <c r="D891" s="137"/>
      <c r="E891" s="137"/>
      <c r="F891" s="137"/>
      <c r="G891" s="137"/>
      <c r="H891" s="137"/>
      <c r="I891" s="137"/>
      <c r="J891" s="138"/>
      <c r="K891" s="137"/>
      <c r="L891" s="137"/>
      <c r="M891" s="137"/>
      <c r="N891" s="137"/>
      <c r="O891" s="137"/>
      <c r="P891" s="137"/>
      <c r="Q891" s="137"/>
    </row>
    <row r="892" spans="1:17" ht="15" customHeight="1" x14ac:dyDescent="0.35">
      <c r="A892" s="129"/>
      <c r="B892" s="137"/>
      <c r="C892" s="137"/>
      <c r="D892" s="137"/>
      <c r="E892" s="137"/>
      <c r="F892" s="137"/>
      <c r="G892" s="137"/>
      <c r="H892" s="137"/>
      <c r="I892" s="137"/>
      <c r="J892" s="138"/>
      <c r="K892" s="137"/>
      <c r="L892" s="137"/>
      <c r="M892" s="137"/>
      <c r="N892" s="137"/>
      <c r="O892" s="137"/>
      <c r="P892" s="137"/>
      <c r="Q892" s="137"/>
    </row>
    <row r="893" spans="1:17" ht="15" customHeight="1" x14ac:dyDescent="0.35">
      <c r="A893" s="129"/>
      <c r="B893" s="137"/>
      <c r="C893" s="137"/>
      <c r="D893" s="137"/>
      <c r="E893" s="137"/>
      <c r="F893" s="137"/>
      <c r="G893" s="137"/>
      <c r="H893" s="137"/>
      <c r="I893" s="137"/>
      <c r="J893" s="138"/>
      <c r="K893" s="137"/>
      <c r="L893" s="137"/>
      <c r="M893" s="137"/>
      <c r="N893" s="137"/>
      <c r="O893" s="137"/>
      <c r="P893" s="137"/>
      <c r="Q893" s="137"/>
    </row>
    <row r="894" spans="1:17" ht="15" customHeight="1" x14ac:dyDescent="0.35">
      <c r="A894" s="129"/>
      <c r="B894" s="137"/>
      <c r="C894" s="137"/>
      <c r="D894" s="137"/>
      <c r="E894" s="137"/>
      <c r="F894" s="137"/>
      <c r="G894" s="137"/>
      <c r="H894" s="137"/>
      <c r="I894" s="137"/>
      <c r="J894" s="138"/>
      <c r="K894" s="137"/>
      <c r="L894" s="137"/>
      <c r="M894" s="137"/>
      <c r="N894" s="137"/>
      <c r="O894" s="137"/>
      <c r="P894" s="137"/>
      <c r="Q894" s="137"/>
    </row>
    <row r="895" spans="1:17" ht="15" customHeight="1" x14ac:dyDescent="0.35">
      <c r="A895" s="129"/>
      <c r="B895" s="137"/>
      <c r="C895" s="137"/>
      <c r="D895" s="137"/>
      <c r="E895" s="137"/>
      <c r="F895" s="137"/>
      <c r="G895" s="137"/>
      <c r="H895" s="137"/>
      <c r="I895" s="137"/>
      <c r="J895" s="138"/>
      <c r="K895" s="137"/>
      <c r="L895" s="137"/>
      <c r="M895" s="137"/>
      <c r="N895" s="137"/>
      <c r="O895" s="137"/>
      <c r="P895" s="137"/>
      <c r="Q895" s="137"/>
    </row>
    <row r="896" spans="1:17" ht="15" customHeight="1" x14ac:dyDescent="0.35">
      <c r="A896" s="129"/>
      <c r="B896" s="137"/>
      <c r="C896" s="137"/>
      <c r="D896" s="137"/>
      <c r="E896" s="137"/>
      <c r="F896" s="137"/>
      <c r="G896" s="137"/>
      <c r="H896" s="137"/>
      <c r="I896" s="137"/>
      <c r="J896" s="138"/>
      <c r="K896" s="137"/>
      <c r="L896" s="137"/>
      <c r="M896" s="137"/>
      <c r="N896" s="137"/>
      <c r="O896" s="137"/>
      <c r="P896" s="137"/>
      <c r="Q896" s="137"/>
    </row>
    <row r="897" spans="1:17" ht="15" customHeight="1" x14ac:dyDescent="0.35">
      <c r="A897" s="129"/>
      <c r="B897" s="137"/>
      <c r="C897" s="137"/>
      <c r="D897" s="137"/>
      <c r="E897" s="137"/>
      <c r="F897" s="137"/>
      <c r="G897" s="137"/>
      <c r="H897" s="137"/>
      <c r="I897" s="137"/>
      <c r="J897" s="138"/>
      <c r="K897" s="137"/>
      <c r="L897" s="137"/>
      <c r="M897" s="137"/>
      <c r="N897" s="137"/>
      <c r="O897" s="137"/>
      <c r="P897" s="137"/>
      <c r="Q897" s="137"/>
    </row>
    <row r="898" spans="1:17" ht="15" customHeight="1" x14ac:dyDescent="0.35">
      <c r="A898" s="129"/>
      <c r="B898" s="137"/>
      <c r="C898" s="137"/>
      <c r="D898" s="137"/>
      <c r="E898" s="137"/>
      <c r="F898" s="137"/>
      <c r="G898" s="137"/>
      <c r="H898" s="137"/>
      <c r="I898" s="137"/>
      <c r="J898" s="138"/>
      <c r="K898" s="137"/>
      <c r="L898" s="137"/>
      <c r="M898" s="137"/>
      <c r="N898" s="137"/>
      <c r="O898" s="137"/>
      <c r="P898" s="137"/>
      <c r="Q898" s="137"/>
    </row>
    <row r="899" spans="1:17" ht="15" customHeight="1" x14ac:dyDescent="0.35">
      <c r="A899" s="129"/>
      <c r="B899" s="137"/>
      <c r="C899" s="137"/>
      <c r="D899" s="137"/>
      <c r="E899" s="137"/>
      <c r="F899" s="137"/>
      <c r="G899" s="137"/>
      <c r="H899" s="137"/>
      <c r="I899" s="137"/>
      <c r="J899" s="138"/>
      <c r="K899" s="137"/>
      <c r="L899" s="137"/>
      <c r="M899" s="137"/>
      <c r="N899" s="137"/>
      <c r="O899" s="137"/>
      <c r="P899" s="137"/>
      <c r="Q899" s="137"/>
    </row>
    <row r="900" spans="1:17" ht="15" customHeight="1" x14ac:dyDescent="0.35">
      <c r="A900" s="129"/>
      <c r="B900" s="137"/>
      <c r="C900" s="137"/>
      <c r="D900" s="137"/>
      <c r="E900" s="137"/>
      <c r="F900" s="137"/>
      <c r="G900" s="137"/>
      <c r="H900" s="137"/>
      <c r="I900" s="137"/>
      <c r="J900" s="138"/>
      <c r="K900" s="137"/>
      <c r="L900" s="137"/>
      <c r="M900" s="137"/>
      <c r="N900" s="137"/>
      <c r="O900" s="137"/>
      <c r="P900" s="137"/>
      <c r="Q900" s="137"/>
    </row>
    <row r="901" spans="1:17" ht="15" customHeight="1" x14ac:dyDescent="0.35">
      <c r="A901" s="129"/>
      <c r="B901" s="137"/>
      <c r="C901" s="137"/>
      <c r="D901" s="137"/>
      <c r="E901" s="137"/>
      <c r="F901" s="137"/>
      <c r="G901" s="137"/>
      <c r="H901" s="137"/>
      <c r="I901" s="137"/>
      <c r="J901" s="138"/>
      <c r="K901" s="137"/>
      <c r="L901" s="137"/>
      <c r="M901" s="137"/>
      <c r="N901" s="137"/>
      <c r="O901" s="137"/>
      <c r="P901" s="137"/>
      <c r="Q901" s="137"/>
    </row>
    <row r="902" spans="1:17" ht="15" customHeight="1" x14ac:dyDescent="0.35">
      <c r="A902" s="129"/>
      <c r="B902" s="137"/>
      <c r="C902" s="137"/>
      <c r="D902" s="137"/>
      <c r="E902" s="137"/>
      <c r="F902" s="137"/>
      <c r="G902" s="137"/>
      <c r="H902" s="137"/>
      <c r="I902" s="137"/>
      <c r="J902" s="138"/>
      <c r="K902" s="137"/>
      <c r="L902" s="137"/>
      <c r="M902" s="137"/>
      <c r="N902" s="137"/>
      <c r="O902" s="137"/>
      <c r="P902" s="137"/>
      <c r="Q902" s="137"/>
    </row>
    <row r="903" spans="1:17" ht="15" customHeight="1" x14ac:dyDescent="0.35">
      <c r="A903" s="129"/>
      <c r="B903" s="137"/>
      <c r="C903" s="137"/>
      <c r="D903" s="137"/>
      <c r="E903" s="137"/>
      <c r="F903" s="137"/>
      <c r="G903" s="137"/>
      <c r="H903" s="137"/>
      <c r="I903" s="137"/>
      <c r="J903" s="138"/>
      <c r="K903" s="137"/>
      <c r="L903" s="137"/>
      <c r="M903" s="137"/>
      <c r="N903" s="137"/>
      <c r="O903" s="137"/>
      <c r="P903" s="137"/>
      <c r="Q903" s="137"/>
    </row>
    <row r="904" spans="1:17" ht="15" customHeight="1" x14ac:dyDescent="0.35">
      <c r="A904" s="129"/>
      <c r="B904" s="137"/>
      <c r="C904" s="137"/>
      <c r="D904" s="137"/>
      <c r="E904" s="137"/>
      <c r="F904" s="137"/>
      <c r="G904" s="137"/>
      <c r="H904" s="137"/>
      <c r="I904" s="137"/>
      <c r="J904" s="138"/>
      <c r="K904" s="137"/>
      <c r="L904" s="137"/>
      <c r="M904" s="137"/>
      <c r="N904" s="137"/>
      <c r="O904" s="137"/>
      <c r="P904" s="137"/>
      <c r="Q904" s="137"/>
    </row>
    <row r="905" spans="1:17" ht="15" customHeight="1" x14ac:dyDescent="0.35">
      <c r="A905" s="129"/>
      <c r="B905" s="137"/>
      <c r="C905" s="137"/>
      <c r="D905" s="137"/>
      <c r="E905" s="137"/>
      <c r="F905" s="137"/>
      <c r="G905" s="137"/>
      <c r="H905" s="137"/>
      <c r="I905" s="137"/>
      <c r="J905" s="138"/>
      <c r="K905" s="137"/>
      <c r="L905" s="137"/>
      <c r="M905" s="137"/>
      <c r="N905" s="137"/>
      <c r="O905" s="137"/>
      <c r="P905" s="137"/>
      <c r="Q905" s="137"/>
    </row>
    <row r="906" spans="1:17" ht="15" customHeight="1" x14ac:dyDescent="0.35">
      <c r="A906" s="129"/>
      <c r="B906" s="137"/>
      <c r="C906" s="137"/>
      <c r="D906" s="137"/>
      <c r="E906" s="137"/>
      <c r="F906" s="137"/>
      <c r="G906" s="137"/>
      <c r="H906" s="137"/>
      <c r="I906" s="137"/>
      <c r="J906" s="138"/>
      <c r="K906" s="137"/>
      <c r="L906" s="137"/>
      <c r="M906" s="137"/>
      <c r="N906" s="137"/>
      <c r="O906" s="137"/>
      <c r="P906" s="137"/>
      <c r="Q906" s="137"/>
    </row>
    <row r="907" spans="1:17" ht="15" customHeight="1" x14ac:dyDescent="0.35">
      <c r="A907" s="129"/>
      <c r="B907" s="137"/>
      <c r="C907" s="137"/>
      <c r="D907" s="137"/>
      <c r="E907" s="137"/>
      <c r="F907" s="137"/>
      <c r="G907" s="137"/>
      <c r="H907" s="137"/>
      <c r="I907" s="137"/>
      <c r="J907" s="138"/>
      <c r="K907" s="137"/>
      <c r="L907" s="137"/>
      <c r="M907" s="137"/>
      <c r="N907" s="137"/>
      <c r="O907" s="137"/>
      <c r="P907" s="137"/>
      <c r="Q907" s="137"/>
    </row>
    <row r="908" spans="1:17" ht="15" customHeight="1" x14ac:dyDescent="0.35">
      <c r="A908" s="129"/>
      <c r="B908" s="137"/>
      <c r="C908" s="137"/>
      <c r="D908" s="137"/>
      <c r="E908" s="137"/>
      <c r="F908" s="137"/>
      <c r="G908" s="137"/>
      <c r="H908" s="137"/>
      <c r="I908" s="137"/>
      <c r="J908" s="138"/>
      <c r="K908" s="137"/>
      <c r="L908" s="137"/>
      <c r="M908" s="137"/>
      <c r="N908" s="137"/>
      <c r="O908" s="137"/>
      <c r="P908" s="137"/>
      <c r="Q908" s="137"/>
    </row>
    <row r="909" spans="1:17" ht="15" customHeight="1" x14ac:dyDescent="0.35">
      <c r="A909" s="129"/>
      <c r="B909" s="137"/>
      <c r="C909" s="137"/>
      <c r="D909" s="137"/>
      <c r="E909" s="137"/>
      <c r="F909" s="137"/>
      <c r="G909" s="137"/>
      <c r="H909" s="137"/>
      <c r="I909" s="137"/>
      <c r="J909" s="138"/>
      <c r="K909" s="137"/>
      <c r="L909" s="137"/>
      <c r="M909" s="137"/>
      <c r="N909" s="137"/>
      <c r="O909" s="137"/>
      <c r="P909" s="137"/>
      <c r="Q909" s="137"/>
    </row>
    <row r="910" spans="1:17" ht="15" customHeight="1" x14ac:dyDescent="0.35">
      <c r="A910" s="129"/>
      <c r="B910" s="137"/>
      <c r="C910" s="137"/>
      <c r="D910" s="137"/>
      <c r="E910" s="137"/>
      <c r="F910" s="137"/>
      <c r="G910" s="137"/>
      <c r="H910" s="137"/>
      <c r="I910" s="137"/>
      <c r="J910" s="138"/>
      <c r="K910" s="137"/>
      <c r="L910" s="137"/>
      <c r="M910" s="137"/>
      <c r="N910" s="137"/>
      <c r="O910" s="137"/>
      <c r="P910" s="137"/>
      <c r="Q910" s="137"/>
    </row>
    <row r="911" spans="1:17" ht="15" customHeight="1" x14ac:dyDescent="0.35">
      <c r="A911" s="129"/>
      <c r="B911" s="137"/>
      <c r="C911" s="137"/>
      <c r="D911" s="137"/>
      <c r="E911" s="137"/>
      <c r="F911" s="137"/>
      <c r="G911" s="137"/>
      <c r="H911" s="137"/>
      <c r="I911" s="137"/>
      <c r="J911" s="138"/>
      <c r="K911" s="137"/>
      <c r="L911" s="137"/>
      <c r="M911" s="137"/>
      <c r="N911" s="137"/>
      <c r="O911" s="137"/>
      <c r="P911" s="137"/>
      <c r="Q911" s="137"/>
    </row>
    <row r="912" spans="1:17" ht="15" customHeight="1" x14ac:dyDescent="0.35">
      <c r="A912" s="129"/>
      <c r="B912" s="137"/>
      <c r="C912" s="137"/>
      <c r="D912" s="137"/>
      <c r="E912" s="137"/>
      <c r="F912" s="137"/>
      <c r="G912" s="137"/>
      <c r="H912" s="137"/>
      <c r="I912" s="137"/>
      <c r="J912" s="138"/>
      <c r="K912" s="137"/>
      <c r="L912" s="137"/>
      <c r="M912" s="137"/>
      <c r="N912" s="137"/>
      <c r="O912" s="137"/>
      <c r="P912" s="137"/>
      <c r="Q912" s="137"/>
    </row>
    <row r="913" spans="1:17" ht="15" customHeight="1" x14ac:dyDescent="0.35">
      <c r="A913" s="129"/>
      <c r="B913" s="137"/>
      <c r="C913" s="137"/>
      <c r="D913" s="137"/>
      <c r="E913" s="137"/>
      <c r="F913" s="137"/>
      <c r="G913" s="137"/>
      <c r="H913" s="137"/>
      <c r="I913" s="137"/>
      <c r="J913" s="138"/>
      <c r="K913" s="137"/>
      <c r="L913" s="137"/>
      <c r="M913" s="137"/>
      <c r="N913" s="137"/>
      <c r="O913" s="137"/>
      <c r="P913" s="137"/>
      <c r="Q913" s="137"/>
    </row>
    <row r="914" spans="1:17" ht="15" customHeight="1" x14ac:dyDescent="0.35">
      <c r="A914" s="129"/>
      <c r="B914" s="137"/>
      <c r="C914" s="137"/>
      <c r="D914" s="137"/>
      <c r="E914" s="137"/>
      <c r="F914" s="137"/>
      <c r="G914" s="137"/>
      <c r="H914" s="137"/>
      <c r="I914" s="137"/>
      <c r="J914" s="138"/>
      <c r="K914" s="137"/>
      <c r="L914" s="137"/>
      <c r="M914" s="137"/>
      <c r="N914" s="137"/>
      <c r="O914" s="137"/>
      <c r="P914" s="137"/>
      <c r="Q914" s="137"/>
    </row>
    <row r="915" spans="1:17" ht="15" customHeight="1" x14ac:dyDescent="0.35">
      <c r="A915" s="129"/>
      <c r="B915" s="137"/>
      <c r="C915" s="137"/>
      <c r="D915" s="137"/>
      <c r="E915" s="137"/>
      <c r="F915" s="137"/>
      <c r="G915" s="137"/>
      <c r="H915" s="137"/>
      <c r="I915" s="137"/>
      <c r="J915" s="138"/>
      <c r="K915" s="137"/>
      <c r="L915" s="137"/>
      <c r="M915" s="137"/>
      <c r="N915" s="137"/>
      <c r="O915" s="137"/>
      <c r="P915" s="137"/>
      <c r="Q915" s="137"/>
    </row>
    <row r="916" spans="1:17" ht="15" customHeight="1" x14ac:dyDescent="0.35">
      <c r="A916" s="129"/>
      <c r="B916" s="137"/>
      <c r="C916" s="137"/>
      <c r="D916" s="137"/>
      <c r="E916" s="137"/>
      <c r="F916" s="137"/>
      <c r="G916" s="137"/>
      <c r="H916" s="137"/>
      <c r="I916" s="137"/>
      <c r="J916" s="138"/>
      <c r="K916" s="137"/>
      <c r="L916" s="137"/>
      <c r="M916" s="137"/>
      <c r="N916" s="137"/>
      <c r="O916" s="137"/>
      <c r="P916" s="137"/>
      <c r="Q916" s="137"/>
    </row>
    <row r="917" spans="1:17" ht="15" customHeight="1" x14ac:dyDescent="0.35">
      <c r="A917" s="129"/>
      <c r="B917" s="137"/>
      <c r="C917" s="137"/>
      <c r="D917" s="137"/>
      <c r="E917" s="137"/>
      <c r="F917" s="137"/>
      <c r="G917" s="137"/>
      <c r="H917" s="137"/>
      <c r="I917" s="137"/>
      <c r="J917" s="138"/>
      <c r="K917" s="137"/>
      <c r="L917" s="137"/>
      <c r="M917" s="137"/>
      <c r="N917" s="137"/>
      <c r="O917" s="137"/>
      <c r="P917" s="137"/>
      <c r="Q917" s="137"/>
    </row>
    <row r="918" spans="1:17" ht="15" customHeight="1" x14ac:dyDescent="0.35">
      <c r="A918" s="129"/>
      <c r="B918" s="137"/>
      <c r="C918" s="137"/>
      <c r="D918" s="137"/>
      <c r="E918" s="137"/>
      <c r="F918" s="137"/>
      <c r="G918" s="137"/>
      <c r="H918" s="137"/>
      <c r="I918" s="137"/>
      <c r="J918" s="138"/>
      <c r="K918" s="137"/>
      <c r="L918" s="137"/>
      <c r="M918" s="137"/>
      <c r="N918" s="137"/>
      <c r="O918" s="137"/>
      <c r="P918" s="137"/>
      <c r="Q918" s="137"/>
    </row>
    <row r="919" spans="1:17" ht="15" customHeight="1" x14ac:dyDescent="0.35">
      <c r="A919" s="129"/>
      <c r="B919" s="137"/>
      <c r="C919" s="137"/>
      <c r="D919" s="137"/>
      <c r="E919" s="137"/>
      <c r="F919" s="137"/>
      <c r="G919" s="137"/>
      <c r="H919" s="137"/>
      <c r="I919" s="137"/>
      <c r="J919" s="138"/>
      <c r="K919" s="137"/>
      <c r="L919" s="137"/>
      <c r="M919" s="137"/>
      <c r="N919" s="137"/>
      <c r="O919" s="137"/>
      <c r="P919" s="137"/>
      <c r="Q919" s="137"/>
    </row>
    <row r="920" spans="1:17" ht="15" customHeight="1" x14ac:dyDescent="0.35">
      <c r="A920" s="129"/>
      <c r="B920" s="137"/>
      <c r="C920" s="137"/>
      <c r="D920" s="137"/>
      <c r="E920" s="137"/>
      <c r="F920" s="137"/>
      <c r="G920" s="137"/>
      <c r="H920" s="137"/>
      <c r="I920" s="137"/>
      <c r="J920" s="138"/>
      <c r="K920" s="137"/>
      <c r="L920" s="137"/>
      <c r="M920" s="137"/>
      <c r="N920" s="137"/>
      <c r="O920" s="137"/>
      <c r="P920" s="137"/>
      <c r="Q920" s="137"/>
    </row>
    <row r="921" spans="1:17" ht="15" customHeight="1" x14ac:dyDescent="0.35">
      <c r="A921" s="129"/>
      <c r="B921" s="137"/>
      <c r="C921" s="137"/>
      <c r="D921" s="137"/>
      <c r="E921" s="137"/>
      <c r="F921" s="137"/>
      <c r="G921" s="137"/>
      <c r="H921" s="137"/>
      <c r="I921" s="137"/>
      <c r="J921" s="138"/>
      <c r="K921" s="137"/>
      <c r="L921" s="137"/>
      <c r="M921" s="137"/>
      <c r="N921" s="137"/>
      <c r="O921" s="137"/>
      <c r="P921" s="137"/>
      <c r="Q921" s="137"/>
    </row>
    <row r="922" spans="1:17" ht="15" customHeight="1" x14ac:dyDescent="0.35">
      <c r="A922" s="129"/>
      <c r="B922" s="137"/>
      <c r="C922" s="137"/>
      <c r="D922" s="137"/>
      <c r="E922" s="137"/>
      <c r="F922" s="137"/>
      <c r="G922" s="137"/>
      <c r="H922" s="137"/>
      <c r="I922" s="137"/>
      <c r="J922" s="138"/>
      <c r="K922" s="137"/>
      <c r="L922" s="137"/>
      <c r="M922" s="137"/>
      <c r="N922" s="137"/>
      <c r="O922" s="137"/>
      <c r="P922" s="137"/>
      <c r="Q922" s="137"/>
    </row>
    <row r="923" spans="1:17" ht="15" customHeight="1" x14ac:dyDescent="0.35">
      <c r="A923" s="129"/>
      <c r="B923" s="137"/>
      <c r="C923" s="137"/>
      <c r="D923" s="137"/>
      <c r="E923" s="137"/>
      <c r="F923" s="137"/>
      <c r="G923" s="137"/>
      <c r="H923" s="137"/>
      <c r="I923" s="137"/>
      <c r="J923" s="138"/>
      <c r="K923" s="137"/>
      <c r="L923" s="137"/>
      <c r="M923" s="137"/>
      <c r="N923" s="137"/>
      <c r="O923" s="137"/>
      <c r="P923" s="137"/>
      <c r="Q923" s="137"/>
    </row>
    <row r="924" spans="1:17" ht="15" customHeight="1" x14ac:dyDescent="0.35">
      <c r="A924" s="129"/>
      <c r="B924" s="137"/>
      <c r="C924" s="137"/>
      <c r="D924" s="137"/>
      <c r="E924" s="137"/>
      <c r="F924" s="137"/>
      <c r="G924" s="137"/>
      <c r="H924" s="137"/>
      <c r="I924" s="137"/>
      <c r="J924" s="138"/>
      <c r="K924" s="137"/>
      <c r="L924" s="137"/>
      <c r="M924" s="137"/>
      <c r="N924" s="137"/>
      <c r="O924" s="137"/>
      <c r="P924" s="137"/>
      <c r="Q924" s="137"/>
    </row>
    <row r="925" spans="1:17" ht="15" customHeight="1" x14ac:dyDescent="0.35">
      <c r="A925" s="129"/>
      <c r="B925" s="137"/>
      <c r="C925" s="137"/>
      <c r="D925" s="137"/>
      <c r="E925" s="137"/>
      <c r="F925" s="137"/>
      <c r="G925" s="137"/>
      <c r="H925" s="137"/>
      <c r="I925" s="137"/>
      <c r="J925" s="138"/>
      <c r="K925" s="137"/>
      <c r="L925" s="137"/>
      <c r="M925" s="137"/>
      <c r="N925" s="137"/>
      <c r="O925" s="137"/>
      <c r="P925" s="137"/>
      <c r="Q925" s="137"/>
    </row>
    <row r="926" spans="1:17" ht="15" customHeight="1" x14ac:dyDescent="0.35">
      <c r="A926" s="129"/>
      <c r="B926" s="137"/>
      <c r="C926" s="137"/>
      <c r="D926" s="137"/>
      <c r="E926" s="137"/>
      <c r="F926" s="137"/>
      <c r="G926" s="137"/>
      <c r="H926" s="137"/>
      <c r="I926" s="137"/>
      <c r="J926" s="138"/>
      <c r="K926" s="137"/>
      <c r="L926" s="137"/>
      <c r="M926" s="137"/>
      <c r="N926" s="137"/>
      <c r="O926" s="137"/>
      <c r="P926" s="137"/>
      <c r="Q926" s="137"/>
    </row>
    <row r="927" spans="1:17" ht="15" customHeight="1" x14ac:dyDescent="0.35">
      <c r="A927" s="129"/>
      <c r="B927" s="137"/>
      <c r="C927" s="137"/>
      <c r="D927" s="137"/>
      <c r="E927" s="137"/>
      <c r="F927" s="137"/>
      <c r="G927" s="137"/>
      <c r="H927" s="137"/>
      <c r="I927" s="137"/>
      <c r="J927" s="138"/>
      <c r="K927" s="137"/>
      <c r="L927" s="137"/>
      <c r="M927" s="137"/>
      <c r="N927" s="137"/>
      <c r="O927" s="137"/>
      <c r="P927" s="137"/>
      <c r="Q927" s="137"/>
    </row>
    <row r="928" spans="1:17" ht="15" customHeight="1" x14ac:dyDescent="0.35">
      <c r="A928" s="129"/>
      <c r="B928" s="137"/>
      <c r="C928" s="137"/>
      <c r="D928" s="137"/>
      <c r="E928" s="137"/>
      <c r="F928" s="137"/>
      <c r="G928" s="137"/>
      <c r="H928" s="137"/>
      <c r="I928" s="137"/>
      <c r="J928" s="138"/>
      <c r="K928" s="137"/>
      <c r="L928" s="137"/>
      <c r="M928" s="137"/>
      <c r="N928" s="137"/>
      <c r="O928" s="137"/>
      <c r="P928" s="137"/>
      <c r="Q928" s="137"/>
    </row>
    <row r="929" spans="1:17" ht="15" customHeight="1" x14ac:dyDescent="0.35">
      <c r="A929" s="129"/>
      <c r="B929" s="137"/>
      <c r="C929" s="137"/>
      <c r="D929" s="137"/>
      <c r="E929" s="137"/>
      <c r="F929" s="137"/>
      <c r="G929" s="137"/>
      <c r="H929" s="137"/>
      <c r="I929" s="137"/>
      <c r="J929" s="138"/>
      <c r="K929" s="137"/>
      <c r="L929" s="137"/>
      <c r="M929" s="137"/>
      <c r="N929" s="137"/>
      <c r="O929" s="137"/>
      <c r="P929" s="137"/>
      <c r="Q929" s="137"/>
    </row>
    <row r="930" spans="1:17" ht="15" customHeight="1" x14ac:dyDescent="0.35">
      <c r="A930" s="129"/>
      <c r="B930" s="137"/>
      <c r="C930" s="137"/>
      <c r="D930" s="137"/>
      <c r="E930" s="137"/>
      <c r="F930" s="137"/>
      <c r="G930" s="137"/>
      <c r="H930" s="137"/>
      <c r="I930" s="137"/>
      <c r="J930" s="138"/>
      <c r="K930" s="137"/>
      <c r="L930" s="137"/>
      <c r="M930" s="137"/>
      <c r="N930" s="137"/>
      <c r="O930" s="137"/>
      <c r="P930" s="137"/>
      <c r="Q930" s="137"/>
    </row>
    <row r="931" spans="1:17" ht="15" customHeight="1" x14ac:dyDescent="0.35">
      <c r="A931" s="129"/>
      <c r="B931" s="137"/>
      <c r="C931" s="137"/>
      <c r="D931" s="137"/>
      <c r="E931" s="137"/>
      <c r="F931" s="137"/>
      <c r="G931" s="137"/>
      <c r="H931" s="137"/>
      <c r="I931" s="137"/>
      <c r="J931" s="138"/>
      <c r="K931" s="137"/>
      <c r="L931" s="137"/>
      <c r="M931" s="137"/>
      <c r="N931" s="137"/>
      <c r="O931" s="137"/>
      <c r="P931" s="137"/>
      <c r="Q931" s="137"/>
    </row>
    <row r="932" spans="1:17" ht="15" customHeight="1" x14ac:dyDescent="0.35">
      <c r="A932" s="129"/>
      <c r="B932" s="137"/>
      <c r="C932" s="137"/>
      <c r="D932" s="137"/>
      <c r="E932" s="137"/>
      <c r="F932" s="137"/>
      <c r="G932" s="137"/>
      <c r="H932" s="137"/>
      <c r="I932" s="137"/>
      <c r="J932" s="138"/>
      <c r="K932" s="137"/>
      <c r="L932" s="137"/>
      <c r="M932" s="137"/>
      <c r="N932" s="137"/>
      <c r="O932" s="137"/>
      <c r="P932" s="137"/>
      <c r="Q932" s="137"/>
    </row>
    <row r="933" spans="1:17" ht="15" customHeight="1" x14ac:dyDescent="0.35">
      <c r="A933" s="129"/>
      <c r="B933" s="137"/>
      <c r="C933" s="137"/>
      <c r="D933" s="137"/>
      <c r="E933" s="137"/>
      <c r="F933" s="137"/>
      <c r="G933" s="137"/>
      <c r="H933" s="137"/>
      <c r="I933" s="137"/>
      <c r="J933" s="138"/>
      <c r="K933" s="137"/>
      <c r="L933" s="137"/>
      <c r="M933" s="137"/>
      <c r="N933" s="137"/>
      <c r="O933" s="137"/>
      <c r="P933" s="137"/>
      <c r="Q933" s="137"/>
    </row>
    <row r="934" spans="1:17" ht="15" customHeight="1" x14ac:dyDescent="0.35">
      <c r="A934" s="129"/>
      <c r="B934" s="137"/>
      <c r="C934" s="137"/>
      <c r="D934" s="137"/>
      <c r="E934" s="137"/>
      <c r="F934" s="137"/>
      <c r="G934" s="137"/>
      <c r="H934" s="137"/>
      <c r="I934" s="137"/>
      <c r="J934" s="138"/>
      <c r="K934" s="137"/>
      <c r="L934" s="137"/>
      <c r="M934" s="137"/>
      <c r="N934" s="137"/>
      <c r="O934" s="137"/>
      <c r="P934" s="137"/>
      <c r="Q934" s="137"/>
    </row>
    <row r="935" spans="1:17" ht="15" customHeight="1" x14ac:dyDescent="0.35">
      <c r="A935" s="129"/>
      <c r="B935" s="137"/>
      <c r="C935" s="137"/>
      <c r="D935" s="137"/>
      <c r="E935" s="137"/>
      <c r="F935" s="137"/>
      <c r="G935" s="137"/>
      <c r="H935" s="137"/>
      <c r="I935" s="137"/>
      <c r="J935" s="138"/>
      <c r="K935" s="137"/>
      <c r="L935" s="137"/>
      <c r="M935" s="137"/>
      <c r="N935" s="137"/>
      <c r="O935" s="137"/>
      <c r="P935" s="137"/>
      <c r="Q935" s="137"/>
    </row>
    <row r="936" spans="1:17" ht="15" customHeight="1" x14ac:dyDescent="0.35">
      <c r="A936" s="129"/>
      <c r="B936" s="137"/>
      <c r="C936" s="137"/>
      <c r="D936" s="137"/>
      <c r="E936" s="137"/>
      <c r="F936" s="137"/>
      <c r="G936" s="137"/>
      <c r="H936" s="137"/>
      <c r="I936" s="137"/>
      <c r="J936" s="138"/>
      <c r="K936" s="137"/>
      <c r="L936" s="137"/>
      <c r="M936" s="137"/>
      <c r="N936" s="137"/>
      <c r="O936" s="137"/>
      <c r="P936" s="137"/>
      <c r="Q936" s="137"/>
    </row>
    <row r="937" spans="1:17" ht="15" customHeight="1" x14ac:dyDescent="0.35">
      <c r="A937" s="129"/>
      <c r="B937" s="137"/>
      <c r="C937" s="137"/>
      <c r="D937" s="137"/>
      <c r="E937" s="137"/>
      <c r="F937" s="137"/>
      <c r="G937" s="137"/>
      <c r="H937" s="137"/>
      <c r="I937" s="137"/>
      <c r="J937" s="138"/>
      <c r="K937" s="137"/>
      <c r="L937" s="137"/>
      <c r="M937" s="137"/>
      <c r="N937" s="137"/>
      <c r="O937" s="137"/>
      <c r="P937" s="137"/>
      <c r="Q937" s="137"/>
    </row>
    <row r="938" spans="1:17" ht="15" customHeight="1" x14ac:dyDescent="0.35">
      <c r="A938" s="129"/>
      <c r="B938" s="137"/>
      <c r="C938" s="137"/>
      <c r="D938" s="137"/>
      <c r="E938" s="137"/>
      <c r="F938" s="137"/>
      <c r="G938" s="137"/>
      <c r="H938" s="137"/>
      <c r="I938" s="137"/>
      <c r="J938" s="138"/>
      <c r="K938" s="137"/>
      <c r="L938" s="137"/>
      <c r="M938" s="137"/>
      <c r="N938" s="137"/>
      <c r="O938" s="137"/>
      <c r="P938" s="137"/>
      <c r="Q938" s="137"/>
    </row>
    <row r="939" spans="1:17" ht="15" customHeight="1" x14ac:dyDescent="0.35">
      <c r="A939" s="129"/>
      <c r="B939" s="137"/>
      <c r="C939" s="137"/>
      <c r="D939" s="137"/>
      <c r="E939" s="137"/>
      <c r="F939" s="137"/>
      <c r="G939" s="137"/>
      <c r="H939" s="137"/>
      <c r="I939" s="137"/>
      <c r="J939" s="138"/>
      <c r="K939" s="137"/>
      <c r="L939" s="137"/>
      <c r="M939" s="137"/>
      <c r="N939" s="137"/>
      <c r="O939" s="137"/>
      <c r="P939" s="137"/>
      <c r="Q939" s="137"/>
    </row>
    <row r="940" spans="1:17" ht="15" customHeight="1" x14ac:dyDescent="0.35">
      <c r="A940" s="129"/>
      <c r="B940" s="137"/>
      <c r="C940" s="137"/>
      <c r="D940" s="137"/>
      <c r="E940" s="137"/>
      <c r="F940" s="137"/>
      <c r="G940" s="137"/>
      <c r="H940" s="137"/>
      <c r="I940" s="137"/>
      <c r="J940" s="138"/>
      <c r="K940" s="137"/>
      <c r="L940" s="137"/>
      <c r="M940" s="137"/>
      <c r="N940" s="137"/>
      <c r="O940" s="137"/>
      <c r="P940" s="137"/>
      <c r="Q940" s="137"/>
    </row>
    <row r="941" spans="1:17" ht="15" customHeight="1" x14ac:dyDescent="0.35">
      <c r="A941" s="129"/>
      <c r="B941" s="137"/>
      <c r="C941" s="137"/>
      <c r="D941" s="137"/>
      <c r="E941" s="137"/>
      <c r="F941" s="137"/>
      <c r="G941" s="137"/>
      <c r="H941" s="137"/>
      <c r="I941" s="137"/>
      <c r="J941" s="138"/>
      <c r="K941" s="137"/>
      <c r="L941" s="137"/>
      <c r="M941" s="137"/>
      <c r="N941" s="137"/>
      <c r="O941" s="137"/>
      <c r="P941" s="137"/>
      <c r="Q941" s="137"/>
    </row>
    <row r="942" spans="1:17" ht="15" customHeight="1" x14ac:dyDescent="0.35">
      <c r="A942" s="129"/>
      <c r="B942" s="137"/>
      <c r="C942" s="137"/>
      <c r="D942" s="137"/>
      <c r="E942" s="137"/>
      <c r="F942" s="137"/>
      <c r="G942" s="137"/>
      <c r="H942" s="137"/>
      <c r="I942" s="137"/>
      <c r="J942" s="138"/>
      <c r="K942" s="137"/>
      <c r="L942" s="137"/>
      <c r="M942" s="137"/>
      <c r="N942" s="137"/>
      <c r="O942" s="137"/>
      <c r="P942" s="137"/>
      <c r="Q942" s="137"/>
    </row>
    <row r="943" spans="1:17" ht="15" customHeight="1" x14ac:dyDescent="0.35">
      <c r="A943" s="129"/>
      <c r="B943" s="137"/>
      <c r="C943" s="137"/>
      <c r="D943" s="137"/>
      <c r="E943" s="137"/>
      <c r="F943" s="137"/>
      <c r="G943" s="137"/>
      <c r="H943" s="137"/>
      <c r="I943" s="137"/>
      <c r="J943" s="138"/>
      <c r="K943" s="137"/>
      <c r="L943" s="137"/>
      <c r="M943" s="137"/>
      <c r="N943" s="137"/>
      <c r="O943" s="137"/>
      <c r="P943" s="137"/>
      <c r="Q943" s="137"/>
    </row>
    <row r="944" spans="1:17" ht="15" customHeight="1" x14ac:dyDescent="0.35">
      <c r="A944" s="129"/>
      <c r="B944" s="137"/>
      <c r="C944" s="137"/>
      <c r="D944" s="137"/>
      <c r="E944" s="137"/>
      <c r="F944" s="137"/>
      <c r="G944" s="137"/>
      <c r="H944" s="137"/>
      <c r="I944" s="137"/>
      <c r="J944" s="138"/>
      <c r="K944" s="137"/>
      <c r="L944" s="137"/>
      <c r="M944" s="137"/>
      <c r="N944" s="137"/>
      <c r="O944" s="137"/>
      <c r="P944" s="137"/>
      <c r="Q944" s="137"/>
    </row>
    <row r="945" spans="1:17" ht="15" customHeight="1" x14ac:dyDescent="0.35">
      <c r="A945" s="129"/>
      <c r="B945" s="137"/>
      <c r="C945" s="137"/>
      <c r="D945" s="137"/>
      <c r="E945" s="137"/>
      <c r="F945" s="137"/>
      <c r="G945" s="137"/>
      <c r="H945" s="137"/>
      <c r="I945" s="137"/>
      <c r="J945" s="138"/>
      <c r="K945" s="137"/>
      <c r="L945" s="137"/>
      <c r="M945" s="137"/>
      <c r="N945" s="137"/>
      <c r="O945" s="137"/>
      <c r="P945" s="137"/>
      <c r="Q945" s="137"/>
    </row>
    <row r="946" spans="1:17" ht="15" customHeight="1" x14ac:dyDescent="0.35">
      <c r="A946" s="129"/>
      <c r="B946" s="137"/>
      <c r="C946" s="137"/>
      <c r="D946" s="137"/>
      <c r="E946" s="137"/>
      <c r="F946" s="137"/>
      <c r="G946" s="137"/>
      <c r="H946" s="137"/>
      <c r="I946" s="137"/>
      <c r="J946" s="138"/>
      <c r="K946" s="137"/>
      <c r="L946" s="137"/>
      <c r="M946" s="137"/>
      <c r="N946" s="137"/>
      <c r="O946" s="137"/>
      <c r="P946" s="137"/>
      <c r="Q946" s="137"/>
    </row>
    <row r="947" spans="1:17" ht="15" customHeight="1" x14ac:dyDescent="0.35">
      <c r="A947" s="129"/>
      <c r="B947" s="137"/>
      <c r="C947" s="137"/>
      <c r="D947" s="137"/>
      <c r="E947" s="137"/>
      <c r="F947" s="137"/>
      <c r="G947" s="137"/>
      <c r="H947" s="137"/>
      <c r="I947" s="137"/>
      <c r="J947" s="138"/>
      <c r="K947" s="137"/>
      <c r="L947" s="137"/>
      <c r="M947" s="137"/>
      <c r="N947" s="137"/>
      <c r="O947" s="137"/>
      <c r="P947" s="137"/>
      <c r="Q947" s="137"/>
    </row>
    <row r="948" spans="1:17" ht="15" customHeight="1" x14ac:dyDescent="0.35">
      <c r="A948" s="129"/>
      <c r="B948" s="137"/>
      <c r="C948" s="137"/>
      <c r="D948" s="137"/>
      <c r="E948" s="137"/>
      <c r="F948" s="137"/>
      <c r="G948" s="137"/>
      <c r="H948" s="137"/>
      <c r="I948" s="137"/>
      <c r="J948" s="138"/>
      <c r="K948" s="137"/>
      <c r="L948" s="137"/>
      <c r="M948" s="137"/>
      <c r="N948" s="137"/>
      <c r="O948" s="137"/>
      <c r="P948" s="137"/>
      <c r="Q948" s="137"/>
    </row>
    <row r="949" spans="1:17" ht="15" customHeight="1" x14ac:dyDescent="0.35">
      <c r="A949" s="129"/>
      <c r="B949" s="137"/>
      <c r="C949" s="137"/>
      <c r="D949" s="137"/>
      <c r="E949" s="137"/>
      <c r="F949" s="137"/>
      <c r="G949" s="137"/>
      <c r="H949" s="137"/>
      <c r="I949" s="137"/>
      <c r="J949" s="138"/>
      <c r="K949" s="137"/>
      <c r="L949" s="137"/>
      <c r="M949" s="137"/>
      <c r="N949" s="137"/>
      <c r="O949" s="137"/>
      <c r="P949" s="137"/>
      <c r="Q949" s="137"/>
    </row>
    <row r="950" spans="1:17" ht="15" customHeight="1" x14ac:dyDescent="0.35">
      <c r="A950" s="129"/>
      <c r="B950" s="137"/>
      <c r="C950" s="137"/>
      <c r="D950" s="137"/>
      <c r="E950" s="137"/>
      <c r="F950" s="137"/>
      <c r="G950" s="137"/>
      <c r="H950" s="137"/>
      <c r="I950" s="137"/>
      <c r="J950" s="138"/>
      <c r="K950" s="137"/>
      <c r="L950" s="137"/>
      <c r="M950" s="137"/>
      <c r="N950" s="137"/>
      <c r="O950" s="137"/>
      <c r="P950" s="137"/>
      <c r="Q950" s="137"/>
    </row>
    <row r="951" spans="1:17" ht="15" customHeight="1" x14ac:dyDescent="0.35">
      <c r="A951" s="129"/>
      <c r="B951" s="137"/>
      <c r="C951" s="137"/>
      <c r="D951" s="137"/>
      <c r="E951" s="137"/>
      <c r="F951" s="137"/>
      <c r="G951" s="137"/>
      <c r="H951" s="137"/>
      <c r="I951" s="137"/>
      <c r="J951" s="138"/>
      <c r="K951" s="137"/>
      <c r="L951" s="137"/>
      <c r="M951" s="137"/>
      <c r="N951" s="137"/>
      <c r="O951" s="137"/>
      <c r="P951" s="137"/>
      <c r="Q951" s="137"/>
    </row>
    <row r="952" spans="1:17" ht="15" customHeight="1" x14ac:dyDescent="0.35">
      <c r="A952" s="129"/>
      <c r="B952" s="137"/>
      <c r="C952" s="137"/>
      <c r="D952" s="137"/>
      <c r="E952" s="137"/>
      <c r="F952" s="137"/>
      <c r="G952" s="137"/>
      <c r="H952" s="137"/>
      <c r="I952" s="137"/>
      <c r="J952" s="138"/>
      <c r="K952" s="137"/>
      <c r="L952" s="137"/>
      <c r="M952" s="137"/>
      <c r="N952" s="137"/>
      <c r="O952" s="137"/>
      <c r="P952" s="137"/>
      <c r="Q952" s="137"/>
    </row>
    <row r="953" spans="1:17" ht="15" customHeight="1" x14ac:dyDescent="0.35">
      <c r="A953" s="129"/>
      <c r="B953" s="137"/>
      <c r="C953" s="137"/>
      <c r="D953" s="137"/>
      <c r="E953" s="137"/>
      <c r="F953" s="137"/>
      <c r="G953" s="137"/>
      <c r="H953" s="137"/>
      <c r="I953" s="137"/>
      <c r="J953" s="138"/>
      <c r="K953" s="137"/>
      <c r="L953" s="137"/>
      <c r="M953" s="137"/>
      <c r="N953" s="137"/>
      <c r="O953" s="137"/>
      <c r="P953" s="137"/>
      <c r="Q953" s="137"/>
    </row>
    <row r="954" spans="1:17" ht="15" customHeight="1" x14ac:dyDescent="0.35">
      <c r="A954" s="129"/>
      <c r="B954" s="137"/>
      <c r="C954" s="137"/>
      <c r="D954" s="137"/>
      <c r="E954" s="137"/>
      <c r="F954" s="137"/>
      <c r="G954" s="137"/>
      <c r="H954" s="137"/>
      <c r="I954" s="137"/>
      <c r="J954" s="138"/>
      <c r="K954" s="137"/>
      <c r="L954" s="137"/>
      <c r="M954" s="137"/>
      <c r="N954" s="137"/>
      <c r="O954" s="137"/>
      <c r="P954" s="137"/>
      <c r="Q954" s="137"/>
    </row>
    <row r="955" spans="1:17" ht="15" customHeight="1" x14ac:dyDescent="0.35">
      <c r="A955" s="129"/>
      <c r="B955" s="137"/>
      <c r="C955" s="137"/>
      <c r="D955" s="137"/>
      <c r="E955" s="137"/>
      <c r="F955" s="137"/>
      <c r="G955" s="137"/>
      <c r="H955" s="137"/>
      <c r="I955" s="137"/>
      <c r="J955" s="138"/>
      <c r="K955" s="137"/>
      <c r="L955" s="137"/>
      <c r="M955" s="137"/>
      <c r="N955" s="137"/>
      <c r="O955" s="137"/>
      <c r="P955" s="137"/>
      <c r="Q955" s="137"/>
    </row>
    <row r="956" spans="1:17" ht="15" customHeight="1" x14ac:dyDescent="0.35">
      <c r="A956" s="129"/>
      <c r="B956" s="137"/>
      <c r="C956" s="137"/>
      <c r="D956" s="137"/>
      <c r="E956" s="137"/>
      <c r="F956" s="137"/>
      <c r="G956" s="137"/>
      <c r="H956" s="137"/>
      <c r="I956" s="137"/>
      <c r="J956" s="138"/>
      <c r="K956" s="137"/>
      <c r="L956" s="137"/>
      <c r="M956" s="137"/>
      <c r="N956" s="137"/>
      <c r="O956" s="137"/>
      <c r="P956" s="137"/>
      <c r="Q956" s="137"/>
    </row>
    <row r="957" spans="1:17" ht="15" customHeight="1" x14ac:dyDescent="0.35">
      <c r="A957" s="129"/>
      <c r="B957" s="137"/>
      <c r="C957" s="137"/>
      <c r="D957" s="137"/>
      <c r="E957" s="137"/>
      <c r="F957" s="137"/>
      <c r="G957" s="137"/>
      <c r="H957" s="137"/>
      <c r="I957" s="137"/>
      <c r="J957" s="138"/>
      <c r="K957" s="137"/>
      <c r="L957" s="137"/>
      <c r="M957" s="137"/>
      <c r="N957" s="137"/>
      <c r="O957" s="137"/>
      <c r="P957" s="137"/>
      <c r="Q957" s="137"/>
    </row>
    <row r="958" spans="1:17" ht="15" customHeight="1" x14ac:dyDescent="0.35">
      <c r="A958" s="129"/>
      <c r="B958" s="137"/>
      <c r="C958" s="137"/>
      <c r="D958" s="137"/>
      <c r="E958" s="137"/>
      <c r="F958" s="137"/>
      <c r="G958" s="137"/>
      <c r="H958" s="137"/>
      <c r="I958" s="137"/>
      <c r="J958" s="138"/>
      <c r="K958" s="137"/>
      <c r="L958" s="137"/>
      <c r="M958" s="137"/>
      <c r="N958" s="137"/>
      <c r="O958" s="137"/>
      <c r="P958" s="137"/>
      <c r="Q958" s="137"/>
    </row>
    <row r="959" spans="1:17" ht="15" customHeight="1" x14ac:dyDescent="0.35">
      <c r="A959" s="129"/>
      <c r="B959" s="137"/>
      <c r="C959" s="137"/>
      <c r="D959" s="137"/>
      <c r="E959" s="137"/>
      <c r="F959" s="137"/>
      <c r="G959" s="137"/>
      <c r="H959" s="137"/>
      <c r="I959" s="137"/>
      <c r="J959" s="138"/>
      <c r="K959" s="137"/>
      <c r="L959" s="137"/>
      <c r="M959" s="137"/>
      <c r="N959" s="137"/>
      <c r="O959" s="137"/>
      <c r="P959" s="137"/>
      <c r="Q959" s="137"/>
    </row>
    <row r="960" spans="1:17" ht="15" customHeight="1" x14ac:dyDescent="0.35">
      <c r="A960" s="129"/>
      <c r="B960" s="137"/>
      <c r="C960" s="137"/>
      <c r="D960" s="137"/>
      <c r="E960" s="137"/>
      <c r="F960" s="137"/>
      <c r="G960" s="137"/>
      <c r="H960" s="137"/>
      <c r="I960" s="137"/>
      <c r="J960" s="138"/>
      <c r="K960" s="137"/>
      <c r="L960" s="137"/>
      <c r="M960" s="137"/>
      <c r="N960" s="137"/>
      <c r="O960" s="137"/>
      <c r="P960" s="137"/>
      <c r="Q960" s="137"/>
    </row>
    <row r="961" spans="1:17" ht="15" customHeight="1" x14ac:dyDescent="0.35">
      <c r="A961" s="129"/>
      <c r="B961" s="137"/>
      <c r="C961" s="137"/>
      <c r="D961" s="137"/>
      <c r="E961" s="137"/>
      <c r="F961" s="137"/>
      <c r="G961" s="137"/>
      <c r="H961" s="137"/>
      <c r="I961" s="137"/>
      <c r="J961" s="138"/>
      <c r="K961" s="137"/>
      <c r="L961" s="137"/>
      <c r="M961" s="137"/>
      <c r="N961" s="137"/>
      <c r="O961" s="137"/>
      <c r="P961" s="137"/>
      <c r="Q961" s="137"/>
    </row>
    <row r="962" spans="1:17" ht="15" customHeight="1" x14ac:dyDescent="0.35">
      <c r="A962" s="129"/>
      <c r="B962" s="137"/>
      <c r="C962" s="137"/>
      <c r="D962" s="137"/>
      <c r="E962" s="137"/>
      <c r="F962" s="137"/>
      <c r="G962" s="137"/>
      <c r="H962" s="137"/>
      <c r="I962" s="137"/>
      <c r="J962" s="138"/>
      <c r="K962" s="137"/>
      <c r="L962" s="137"/>
      <c r="M962" s="137"/>
      <c r="N962" s="137"/>
      <c r="O962" s="137"/>
      <c r="P962" s="137"/>
      <c r="Q962" s="137"/>
    </row>
    <row r="963" spans="1:17" ht="15" customHeight="1" x14ac:dyDescent="0.35">
      <c r="A963" s="129"/>
      <c r="B963" s="137"/>
      <c r="C963" s="137"/>
      <c r="D963" s="137"/>
      <c r="E963" s="137"/>
      <c r="F963" s="137"/>
      <c r="G963" s="137"/>
      <c r="H963" s="137"/>
      <c r="I963" s="137"/>
      <c r="J963" s="138"/>
      <c r="K963" s="137"/>
      <c r="L963" s="137"/>
      <c r="M963" s="137"/>
      <c r="N963" s="137"/>
      <c r="O963" s="137"/>
      <c r="P963" s="137"/>
      <c r="Q963" s="137"/>
    </row>
    <row r="964" spans="1:17" ht="15" customHeight="1" x14ac:dyDescent="0.35">
      <c r="A964" s="129"/>
      <c r="B964" s="137"/>
      <c r="C964" s="137"/>
      <c r="D964" s="137"/>
      <c r="E964" s="137"/>
      <c r="F964" s="137"/>
      <c r="G964" s="137"/>
      <c r="H964" s="137"/>
      <c r="I964" s="137"/>
      <c r="J964" s="138"/>
      <c r="K964" s="137"/>
      <c r="L964" s="137"/>
      <c r="M964" s="137"/>
      <c r="N964" s="137"/>
      <c r="O964" s="137"/>
      <c r="P964" s="137"/>
      <c r="Q964" s="137"/>
    </row>
    <row r="965" spans="1:17" ht="15" customHeight="1" x14ac:dyDescent="0.35">
      <c r="A965" s="129"/>
      <c r="B965" s="137"/>
      <c r="C965" s="137"/>
      <c r="D965" s="137"/>
      <c r="E965" s="137"/>
      <c r="F965" s="137"/>
      <c r="G965" s="137"/>
      <c r="H965" s="137"/>
      <c r="I965" s="137"/>
      <c r="J965" s="138"/>
      <c r="K965" s="137"/>
      <c r="L965" s="137"/>
      <c r="M965" s="137"/>
      <c r="N965" s="137"/>
      <c r="O965" s="137"/>
      <c r="P965" s="137"/>
      <c r="Q965" s="137"/>
    </row>
    <row r="966" spans="1:17" ht="15" customHeight="1" x14ac:dyDescent="0.35">
      <c r="A966" s="129"/>
      <c r="B966" s="137"/>
      <c r="C966" s="137"/>
      <c r="D966" s="137"/>
      <c r="E966" s="137"/>
      <c r="F966" s="137"/>
      <c r="G966" s="137"/>
      <c r="H966" s="137"/>
      <c r="I966" s="137"/>
      <c r="J966" s="138"/>
      <c r="K966" s="137"/>
      <c r="L966" s="137"/>
      <c r="M966" s="137"/>
      <c r="N966" s="137"/>
      <c r="O966" s="137"/>
      <c r="P966" s="137"/>
      <c r="Q966" s="137"/>
    </row>
    <row r="967" spans="1:17" ht="15" customHeight="1" x14ac:dyDescent="0.35">
      <c r="A967" s="129"/>
      <c r="B967" s="137"/>
      <c r="C967" s="137"/>
      <c r="D967" s="137"/>
      <c r="E967" s="137"/>
      <c r="F967" s="137"/>
      <c r="G967" s="137"/>
      <c r="H967" s="137"/>
      <c r="I967" s="137"/>
      <c r="J967" s="138"/>
      <c r="K967" s="137"/>
      <c r="L967" s="137"/>
      <c r="M967" s="137"/>
      <c r="N967" s="137"/>
      <c r="O967" s="137"/>
      <c r="P967" s="137"/>
      <c r="Q967" s="137"/>
    </row>
    <row r="968" spans="1:17" ht="15" customHeight="1" x14ac:dyDescent="0.35">
      <c r="A968" s="129"/>
      <c r="B968" s="137"/>
      <c r="C968" s="137"/>
      <c r="D968" s="137"/>
      <c r="E968" s="137"/>
      <c r="F968" s="137"/>
      <c r="G968" s="137"/>
      <c r="H968" s="137"/>
      <c r="I968" s="137"/>
      <c r="J968" s="138"/>
      <c r="K968" s="137"/>
      <c r="L968" s="137"/>
      <c r="M968" s="137"/>
      <c r="N968" s="137"/>
      <c r="O968" s="137"/>
      <c r="P968" s="137"/>
      <c r="Q968" s="137"/>
    </row>
    <row r="969" spans="1:17" ht="15" customHeight="1" x14ac:dyDescent="0.35">
      <c r="A969" s="129"/>
      <c r="B969" s="137"/>
      <c r="C969" s="137"/>
      <c r="D969" s="137"/>
      <c r="E969" s="137"/>
      <c r="F969" s="137"/>
      <c r="G969" s="137"/>
      <c r="H969" s="137"/>
      <c r="I969" s="137"/>
      <c r="J969" s="138"/>
      <c r="K969" s="137"/>
      <c r="L969" s="137"/>
      <c r="M969" s="137"/>
      <c r="N969" s="137"/>
      <c r="O969" s="137"/>
      <c r="P969" s="137"/>
      <c r="Q969" s="137"/>
    </row>
    <row r="970" spans="1:17" ht="15" customHeight="1" x14ac:dyDescent="0.35">
      <c r="A970" s="129"/>
      <c r="B970" s="137"/>
      <c r="C970" s="137"/>
      <c r="D970" s="137"/>
      <c r="E970" s="137"/>
      <c r="F970" s="137"/>
      <c r="G970" s="137"/>
      <c r="H970" s="137"/>
      <c r="I970" s="137"/>
      <c r="J970" s="138"/>
      <c r="K970" s="137"/>
      <c r="L970" s="137"/>
      <c r="M970" s="137"/>
      <c r="N970" s="137"/>
      <c r="O970" s="137"/>
      <c r="P970" s="137"/>
      <c r="Q970" s="137"/>
    </row>
    <row r="971" spans="1:17" ht="15" customHeight="1" x14ac:dyDescent="0.35">
      <c r="A971" s="129"/>
      <c r="B971" s="137"/>
      <c r="C971" s="137"/>
      <c r="D971" s="137"/>
      <c r="E971" s="137"/>
      <c r="F971" s="137"/>
      <c r="G971" s="137"/>
      <c r="H971" s="137"/>
      <c r="I971" s="137"/>
      <c r="J971" s="138"/>
      <c r="K971" s="137"/>
      <c r="L971" s="137"/>
      <c r="M971" s="137"/>
      <c r="N971" s="137"/>
      <c r="O971" s="137"/>
      <c r="P971" s="137"/>
      <c r="Q971" s="137"/>
    </row>
    <row r="972" spans="1:17" ht="15" customHeight="1" x14ac:dyDescent="0.35">
      <c r="A972" s="129"/>
      <c r="B972" s="137"/>
      <c r="C972" s="137"/>
      <c r="D972" s="137"/>
      <c r="E972" s="137"/>
      <c r="F972" s="137"/>
      <c r="G972" s="137"/>
      <c r="H972" s="137"/>
      <c r="I972" s="137"/>
      <c r="J972" s="138"/>
      <c r="K972" s="137"/>
      <c r="L972" s="137"/>
      <c r="M972" s="137"/>
      <c r="N972" s="137"/>
      <c r="O972" s="137"/>
      <c r="P972" s="137"/>
      <c r="Q972" s="137"/>
    </row>
    <row r="973" spans="1:17" ht="15" customHeight="1" x14ac:dyDescent="0.35">
      <c r="A973" s="129"/>
      <c r="B973" s="137"/>
      <c r="C973" s="137"/>
      <c r="D973" s="137"/>
      <c r="E973" s="137"/>
      <c r="F973" s="137"/>
      <c r="G973" s="137"/>
      <c r="H973" s="137"/>
      <c r="I973" s="137"/>
      <c r="J973" s="138"/>
      <c r="K973" s="137"/>
      <c r="L973" s="137"/>
      <c r="M973" s="137"/>
      <c r="N973" s="137"/>
      <c r="O973" s="137"/>
      <c r="P973" s="137"/>
      <c r="Q973" s="137"/>
    </row>
    <row r="974" spans="1:17" ht="15" customHeight="1" x14ac:dyDescent="0.35">
      <c r="A974" s="129"/>
      <c r="B974" s="137"/>
      <c r="C974" s="137"/>
      <c r="D974" s="137"/>
      <c r="E974" s="137"/>
      <c r="F974" s="137"/>
      <c r="G974" s="137"/>
      <c r="H974" s="137"/>
      <c r="I974" s="137"/>
      <c r="J974" s="138"/>
      <c r="K974" s="137"/>
      <c r="L974" s="137"/>
      <c r="M974" s="137"/>
      <c r="N974" s="137"/>
      <c r="O974" s="137"/>
      <c r="P974" s="137"/>
      <c r="Q974" s="137"/>
    </row>
    <row r="975" spans="1:17" ht="15" customHeight="1" x14ac:dyDescent="0.35">
      <c r="A975" s="129"/>
      <c r="B975" s="137"/>
      <c r="C975" s="137"/>
      <c r="D975" s="137"/>
      <c r="E975" s="137"/>
      <c r="F975" s="137"/>
      <c r="G975" s="137"/>
      <c r="H975" s="137"/>
      <c r="I975" s="137"/>
      <c r="J975" s="138"/>
      <c r="K975" s="137"/>
      <c r="L975" s="137"/>
      <c r="M975" s="137"/>
      <c r="N975" s="137"/>
      <c r="O975" s="137"/>
      <c r="P975" s="137"/>
      <c r="Q975" s="137"/>
    </row>
    <row r="976" spans="1:17" ht="15" customHeight="1" x14ac:dyDescent="0.35">
      <c r="A976" s="129"/>
      <c r="B976" s="137"/>
      <c r="C976" s="137"/>
      <c r="D976" s="137"/>
      <c r="E976" s="137"/>
      <c r="F976" s="137"/>
      <c r="G976" s="137"/>
      <c r="H976" s="137"/>
      <c r="I976" s="137"/>
      <c r="J976" s="138"/>
      <c r="K976" s="137"/>
      <c r="L976" s="137"/>
      <c r="M976" s="137"/>
      <c r="N976" s="137"/>
      <c r="O976" s="137"/>
      <c r="P976" s="137"/>
      <c r="Q976" s="137"/>
    </row>
    <row r="977" spans="1:17" ht="15" customHeight="1" x14ac:dyDescent="0.35">
      <c r="A977" s="129"/>
      <c r="B977" s="137"/>
      <c r="C977" s="137"/>
      <c r="D977" s="137"/>
      <c r="E977" s="137"/>
      <c r="F977" s="137"/>
      <c r="G977" s="137"/>
      <c r="H977" s="137"/>
      <c r="I977" s="137"/>
      <c r="J977" s="138"/>
      <c r="K977" s="137"/>
      <c r="L977" s="137"/>
      <c r="M977" s="137"/>
      <c r="N977" s="137"/>
      <c r="O977" s="137"/>
      <c r="P977" s="137"/>
      <c r="Q977" s="137"/>
    </row>
    <row r="978" spans="1:17" ht="15" customHeight="1" x14ac:dyDescent="0.35">
      <c r="A978" s="129"/>
      <c r="B978" s="137"/>
      <c r="C978" s="137"/>
      <c r="D978" s="137"/>
      <c r="E978" s="137"/>
      <c r="F978" s="137"/>
      <c r="G978" s="137"/>
      <c r="H978" s="137"/>
      <c r="I978" s="137"/>
      <c r="J978" s="138"/>
      <c r="K978" s="137"/>
      <c r="L978" s="137"/>
      <c r="M978" s="137"/>
      <c r="N978" s="137"/>
      <c r="O978" s="137"/>
      <c r="P978" s="137"/>
      <c r="Q978" s="137"/>
    </row>
    <row r="979" spans="1:17" ht="15" customHeight="1" x14ac:dyDescent="0.35">
      <c r="A979" s="129"/>
      <c r="B979" s="137"/>
      <c r="C979" s="137"/>
      <c r="D979" s="137"/>
      <c r="E979" s="137"/>
      <c r="F979" s="137"/>
      <c r="G979" s="137"/>
      <c r="H979" s="137"/>
      <c r="I979" s="137"/>
      <c r="J979" s="138"/>
      <c r="K979" s="137"/>
      <c r="L979" s="137"/>
      <c r="M979" s="137"/>
      <c r="N979" s="137"/>
      <c r="O979" s="137"/>
      <c r="P979" s="137"/>
      <c r="Q979" s="137"/>
    </row>
    <row r="980" spans="1:17" ht="15" customHeight="1" x14ac:dyDescent="0.35">
      <c r="A980" s="129"/>
      <c r="B980" s="137"/>
      <c r="C980" s="137"/>
      <c r="D980" s="137"/>
      <c r="E980" s="137"/>
      <c r="F980" s="137"/>
      <c r="G980" s="137"/>
      <c r="H980" s="137"/>
      <c r="I980" s="137"/>
      <c r="J980" s="138"/>
      <c r="K980" s="137"/>
      <c r="L980" s="137"/>
      <c r="M980" s="137"/>
      <c r="N980" s="137"/>
      <c r="O980" s="137"/>
      <c r="P980" s="137"/>
      <c r="Q980" s="137"/>
    </row>
    <row r="981" spans="1:17" ht="15" customHeight="1" x14ac:dyDescent="0.35">
      <c r="A981" s="129"/>
      <c r="B981" s="137"/>
      <c r="C981" s="137"/>
      <c r="D981" s="137"/>
      <c r="E981" s="137"/>
      <c r="F981" s="137"/>
      <c r="G981" s="137"/>
      <c r="H981" s="137"/>
      <c r="I981" s="137"/>
      <c r="J981" s="138"/>
      <c r="K981" s="137"/>
      <c r="L981" s="137"/>
      <c r="M981" s="137"/>
      <c r="N981" s="137"/>
      <c r="O981" s="137"/>
      <c r="P981" s="137"/>
      <c r="Q981" s="137"/>
    </row>
    <row r="982" spans="1:17" ht="15" customHeight="1" x14ac:dyDescent="0.35">
      <c r="A982" s="129"/>
      <c r="B982" s="137"/>
      <c r="C982" s="137"/>
      <c r="D982" s="137"/>
      <c r="E982" s="137"/>
      <c r="F982" s="137"/>
      <c r="G982" s="137"/>
      <c r="H982" s="137"/>
      <c r="I982" s="137"/>
      <c r="J982" s="138"/>
      <c r="K982" s="137"/>
      <c r="L982" s="137"/>
      <c r="M982" s="137"/>
      <c r="N982" s="137"/>
      <c r="O982" s="137"/>
      <c r="P982" s="137"/>
      <c r="Q982" s="137"/>
    </row>
    <row r="983" spans="1:17" ht="15" customHeight="1" x14ac:dyDescent="0.35">
      <c r="A983" s="129"/>
      <c r="B983" s="137"/>
      <c r="C983" s="137"/>
      <c r="D983" s="137"/>
      <c r="E983" s="137"/>
      <c r="F983" s="137"/>
      <c r="G983" s="137"/>
      <c r="H983" s="137"/>
      <c r="I983" s="137"/>
      <c r="J983" s="138"/>
      <c r="K983" s="137"/>
      <c r="L983" s="137"/>
      <c r="M983" s="137"/>
      <c r="N983" s="137"/>
      <c r="O983" s="137"/>
      <c r="P983" s="137"/>
      <c r="Q983" s="137"/>
    </row>
    <row r="984" spans="1:17" ht="15" customHeight="1" x14ac:dyDescent="0.35">
      <c r="A984" s="129"/>
      <c r="B984" s="137"/>
      <c r="C984" s="137"/>
      <c r="D984" s="137"/>
      <c r="E984" s="137"/>
      <c r="F984" s="137"/>
      <c r="G984" s="137"/>
      <c r="H984" s="137"/>
      <c r="I984" s="137"/>
      <c r="J984" s="138"/>
      <c r="K984" s="137"/>
      <c r="L984" s="137"/>
      <c r="M984" s="137"/>
      <c r="N984" s="137"/>
      <c r="O984" s="137"/>
      <c r="P984" s="137"/>
      <c r="Q984" s="137"/>
    </row>
    <row r="985" spans="1:17" ht="15" customHeight="1" x14ac:dyDescent="0.35">
      <c r="A985" s="129"/>
      <c r="B985" s="137"/>
      <c r="C985" s="137"/>
      <c r="D985" s="137"/>
      <c r="E985" s="137"/>
      <c r="F985" s="137"/>
      <c r="G985" s="137"/>
      <c r="H985" s="137"/>
      <c r="I985" s="137"/>
      <c r="J985" s="138"/>
      <c r="K985" s="137"/>
      <c r="L985" s="137"/>
      <c r="M985" s="137"/>
      <c r="N985" s="137"/>
      <c r="O985" s="137"/>
      <c r="P985" s="137"/>
      <c r="Q985" s="137"/>
    </row>
    <row r="986" spans="1:17" ht="15" customHeight="1" x14ac:dyDescent="0.35">
      <c r="A986" s="129"/>
      <c r="B986" s="137"/>
      <c r="C986" s="137"/>
      <c r="D986" s="137"/>
      <c r="E986" s="137"/>
      <c r="F986" s="137"/>
      <c r="G986" s="137"/>
      <c r="H986" s="137"/>
      <c r="I986" s="137"/>
      <c r="J986" s="138"/>
      <c r="K986" s="137"/>
      <c r="L986" s="137"/>
      <c r="M986" s="137"/>
      <c r="N986" s="137"/>
      <c r="O986" s="137"/>
      <c r="P986" s="137"/>
      <c r="Q986" s="137"/>
    </row>
    <row r="987" spans="1:17" ht="15" customHeight="1" x14ac:dyDescent="0.35">
      <c r="A987" s="129"/>
      <c r="B987" s="137"/>
      <c r="C987" s="137"/>
      <c r="D987" s="137"/>
      <c r="E987" s="137"/>
      <c r="F987" s="137"/>
      <c r="G987" s="137"/>
      <c r="H987" s="137"/>
      <c r="I987" s="137"/>
      <c r="J987" s="138"/>
      <c r="K987" s="137"/>
      <c r="L987" s="137"/>
      <c r="M987" s="137"/>
      <c r="N987" s="137"/>
      <c r="O987" s="137"/>
      <c r="P987" s="137"/>
      <c r="Q987" s="137"/>
    </row>
    <row r="988" spans="1:17" ht="15" customHeight="1" x14ac:dyDescent="0.35">
      <c r="A988" s="129"/>
      <c r="B988" s="137"/>
      <c r="C988" s="137"/>
      <c r="D988" s="137"/>
      <c r="E988" s="137"/>
      <c r="F988" s="137"/>
      <c r="G988" s="137"/>
      <c r="H988" s="137"/>
      <c r="I988" s="137"/>
      <c r="J988" s="138"/>
      <c r="K988" s="137"/>
      <c r="L988" s="137"/>
      <c r="M988" s="137"/>
      <c r="N988" s="137"/>
      <c r="O988" s="137"/>
      <c r="P988" s="137"/>
      <c r="Q988" s="137"/>
    </row>
    <row r="989" spans="1:17" ht="15" customHeight="1" x14ac:dyDescent="0.35">
      <c r="A989" s="129"/>
      <c r="B989" s="137"/>
      <c r="C989" s="137"/>
      <c r="D989" s="137"/>
      <c r="E989" s="137"/>
      <c r="F989" s="137"/>
      <c r="G989" s="137"/>
      <c r="H989" s="137"/>
      <c r="I989" s="137"/>
      <c r="J989" s="138"/>
      <c r="K989" s="137"/>
      <c r="L989" s="137"/>
      <c r="M989" s="137"/>
      <c r="N989" s="137"/>
      <c r="O989" s="137"/>
      <c r="P989" s="137"/>
      <c r="Q989" s="137"/>
    </row>
    <row r="990" spans="1:17" ht="15" customHeight="1" x14ac:dyDescent="0.35">
      <c r="A990" s="129"/>
      <c r="B990" s="137"/>
      <c r="C990" s="137"/>
      <c r="D990" s="137"/>
      <c r="E990" s="137"/>
      <c r="F990" s="137"/>
      <c r="G990" s="137"/>
      <c r="H990" s="137"/>
      <c r="I990" s="137"/>
      <c r="J990" s="138"/>
      <c r="K990" s="137"/>
      <c r="L990" s="137"/>
      <c r="M990" s="137"/>
      <c r="N990" s="137"/>
      <c r="O990" s="137"/>
      <c r="P990" s="137"/>
      <c r="Q990" s="137"/>
    </row>
    <row r="991" spans="1:17" ht="15" customHeight="1" x14ac:dyDescent="0.35">
      <c r="A991" s="129"/>
      <c r="B991" s="137"/>
      <c r="C991" s="137"/>
      <c r="D991" s="137"/>
      <c r="E991" s="137"/>
      <c r="F991" s="137"/>
      <c r="G991" s="137"/>
      <c r="H991" s="137"/>
      <c r="I991" s="137"/>
      <c r="J991" s="138"/>
      <c r="K991" s="137"/>
      <c r="L991" s="137"/>
      <c r="M991" s="137"/>
      <c r="N991" s="137"/>
      <c r="O991" s="137"/>
      <c r="P991" s="137"/>
      <c r="Q991" s="137"/>
    </row>
    <row r="992" spans="1:17" ht="15" customHeight="1" x14ac:dyDescent="0.35">
      <c r="A992" s="129"/>
      <c r="B992" s="137"/>
      <c r="C992" s="137"/>
      <c r="D992" s="137"/>
      <c r="E992" s="137"/>
      <c r="F992" s="137"/>
      <c r="G992" s="137"/>
      <c r="H992" s="137"/>
      <c r="I992" s="137"/>
      <c r="J992" s="138"/>
      <c r="K992" s="137"/>
      <c r="L992" s="137"/>
      <c r="M992" s="137"/>
      <c r="N992" s="137"/>
      <c r="O992" s="137"/>
      <c r="P992" s="137"/>
      <c r="Q992" s="137"/>
    </row>
    <row r="993" spans="1:17" ht="15" customHeight="1" x14ac:dyDescent="0.35">
      <c r="A993" s="129"/>
      <c r="B993" s="137"/>
      <c r="C993" s="137"/>
      <c r="D993" s="137"/>
      <c r="E993" s="137"/>
      <c r="F993" s="137"/>
      <c r="G993" s="137"/>
      <c r="H993" s="137"/>
      <c r="I993" s="137"/>
      <c r="J993" s="138"/>
      <c r="K993" s="137"/>
      <c r="L993" s="137"/>
      <c r="M993" s="137"/>
      <c r="N993" s="137"/>
      <c r="O993" s="137"/>
      <c r="P993" s="137"/>
      <c r="Q993" s="137"/>
    </row>
    <row r="994" spans="1:17" ht="15" customHeight="1" x14ac:dyDescent="0.35">
      <c r="A994" s="129"/>
      <c r="B994" s="137"/>
      <c r="C994" s="137"/>
      <c r="D994" s="137"/>
      <c r="E994" s="137"/>
      <c r="F994" s="137"/>
      <c r="G994" s="137"/>
      <c r="H994" s="137"/>
      <c r="I994" s="137"/>
      <c r="J994" s="138"/>
      <c r="K994" s="137"/>
      <c r="L994" s="137"/>
      <c r="M994" s="137"/>
      <c r="N994" s="137"/>
      <c r="O994" s="137"/>
      <c r="P994" s="137"/>
      <c r="Q994" s="137"/>
    </row>
    <row r="995" spans="1:17" ht="15" customHeight="1" x14ac:dyDescent="0.35">
      <c r="A995" s="129"/>
      <c r="B995" s="137"/>
      <c r="C995" s="137"/>
      <c r="D995" s="137"/>
      <c r="E995" s="137"/>
      <c r="F995" s="137"/>
      <c r="G995" s="137"/>
      <c r="H995" s="137"/>
      <c r="I995" s="137"/>
      <c r="J995" s="138"/>
      <c r="K995" s="137"/>
      <c r="L995" s="137"/>
      <c r="M995" s="137"/>
      <c r="N995" s="137"/>
      <c r="O995" s="137"/>
      <c r="P995" s="137"/>
      <c r="Q995" s="137"/>
    </row>
    <row r="996" spans="1:17" ht="15" customHeight="1" x14ac:dyDescent="0.35">
      <c r="A996" s="129"/>
      <c r="B996" s="137"/>
      <c r="C996" s="137"/>
      <c r="D996" s="137"/>
      <c r="E996" s="137"/>
      <c r="F996" s="137"/>
      <c r="G996" s="137"/>
      <c r="H996" s="137"/>
      <c r="I996" s="137"/>
      <c r="J996" s="138"/>
      <c r="K996" s="137"/>
      <c r="L996" s="137"/>
      <c r="M996" s="137"/>
      <c r="N996" s="137"/>
      <c r="O996" s="137"/>
      <c r="P996" s="137"/>
      <c r="Q996" s="137"/>
    </row>
    <row r="997" spans="1:17" ht="15" customHeight="1" x14ac:dyDescent="0.35">
      <c r="A997" s="129"/>
      <c r="B997" s="137"/>
      <c r="C997" s="137"/>
      <c r="D997" s="137"/>
      <c r="E997" s="137"/>
      <c r="F997" s="137"/>
      <c r="G997" s="137"/>
      <c r="H997" s="137"/>
      <c r="I997" s="137"/>
      <c r="J997" s="138"/>
      <c r="K997" s="137"/>
      <c r="L997" s="137"/>
      <c r="M997" s="137"/>
      <c r="N997" s="137"/>
      <c r="O997" s="137"/>
      <c r="P997" s="137"/>
      <c r="Q997" s="137"/>
    </row>
    <row r="998" spans="1:17" ht="15" customHeight="1" x14ac:dyDescent="0.35">
      <c r="A998" s="129"/>
      <c r="B998" s="137"/>
      <c r="C998" s="137"/>
      <c r="D998" s="137"/>
      <c r="E998" s="137"/>
      <c r="F998" s="137"/>
      <c r="G998" s="137"/>
      <c r="H998" s="137"/>
      <c r="I998" s="137"/>
      <c r="J998" s="138"/>
      <c r="K998" s="137"/>
      <c r="L998" s="137"/>
      <c r="M998" s="137"/>
      <c r="N998" s="137"/>
      <c r="O998" s="137"/>
      <c r="P998" s="137"/>
      <c r="Q998" s="137"/>
    </row>
    <row r="999" spans="1:17" ht="15" customHeight="1" x14ac:dyDescent="0.35">
      <c r="A999" s="129"/>
      <c r="B999" s="137"/>
      <c r="C999" s="137"/>
      <c r="D999" s="137"/>
      <c r="E999" s="137"/>
      <c r="F999" s="137"/>
      <c r="G999" s="137"/>
      <c r="H999" s="137"/>
      <c r="I999" s="137"/>
      <c r="J999" s="138"/>
      <c r="K999" s="137"/>
      <c r="L999" s="137"/>
      <c r="M999" s="137"/>
      <c r="N999" s="137"/>
      <c r="O999" s="137"/>
      <c r="P999" s="137"/>
      <c r="Q999" s="137"/>
    </row>
    <row r="1000" spans="1:17" ht="15" customHeight="1" x14ac:dyDescent="0.35">
      <c r="A1000" s="129"/>
      <c r="B1000" s="137"/>
      <c r="C1000" s="137"/>
      <c r="D1000" s="137"/>
      <c r="E1000" s="137"/>
      <c r="F1000" s="137"/>
      <c r="G1000" s="137"/>
      <c r="H1000" s="137"/>
      <c r="I1000" s="137"/>
      <c r="J1000" s="138"/>
      <c r="K1000" s="137"/>
      <c r="L1000" s="137"/>
      <c r="M1000" s="137"/>
      <c r="N1000" s="137"/>
      <c r="O1000" s="137"/>
      <c r="P1000" s="137"/>
      <c r="Q1000" s="137"/>
    </row>
    <row r="1001" spans="1:17" ht="15" customHeight="1" x14ac:dyDescent="0.35">
      <c r="A1001" s="129"/>
      <c r="B1001" s="137"/>
      <c r="C1001" s="137"/>
      <c r="D1001" s="137"/>
      <c r="E1001" s="137"/>
      <c r="F1001" s="137"/>
      <c r="G1001" s="137"/>
      <c r="H1001" s="137"/>
      <c r="I1001" s="137"/>
      <c r="J1001" s="138"/>
      <c r="K1001" s="137"/>
      <c r="L1001" s="137"/>
      <c r="M1001" s="137"/>
      <c r="N1001" s="137"/>
      <c r="O1001" s="137"/>
      <c r="P1001" s="137"/>
      <c r="Q1001" s="137"/>
    </row>
    <row r="1002" spans="1:17" ht="15" customHeight="1" x14ac:dyDescent="0.35">
      <c r="A1002" s="129"/>
      <c r="B1002" s="137"/>
      <c r="C1002" s="137"/>
      <c r="D1002" s="137"/>
      <c r="E1002" s="137"/>
      <c r="F1002" s="137"/>
      <c r="G1002" s="137"/>
      <c r="H1002" s="137"/>
      <c r="I1002" s="137"/>
      <c r="J1002" s="138"/>
      <c r="K1002" s="137"/>
      <c r="L1002" s="137"/>
      <c r="M1002" s="137"/>
      <c r="N1002" s="137"/>
      <c r="O1002" s="137"/>
      <c r="P1002" s="137"/>
      <c r="Q1002" s="137"/>
    </row>
    <row r="1003" spans="1:17" ht="15" customHeight="1" x14ac:dyDescent="0.35">
      <c r="A1003" s="129"/>
      <c r="B1003" s="137"/>
      <c r="C1003" s="137"/>
      <c r="D1003" s="137"/>
      <c r="E1003" s="137"/>
      <c r="F1003" s="137"/>
      <c r="G1003" s="137"/>
      <c r="H1003" s="137"/>
      <c r="I1003" s="137"/>
      <c r="J1003" s="138"/>
      <c r="K1003" s="137"/>
      <c r="L1003" s="137"/>
      <c r="M1003" s="137"/>
      <c r="N1003" s="137"/>
      <c r="O1003" s="137"/>
      <c r="P1003" s="137"/>
      <c r="Q1003" s="137"/>
    </row>
    <row r="1004" spans="1:17" ht="15" customHeight="1" x14ac:dyDescent="0.35">
      <c r="A1004" s="129"/>
      <c r="B1004" s="137"/>
      <c r="C1004" s="137"/>
      <c r="D1004" s="137"/>
      <c r="E1004" s="137"/>
      <c r="F1004" s="137"/>
      <c r="G1004" s="137"/>
      <c r="H1004" s="137"/>
      <c r="I1004" s="137"/>
      <c r="J1004" s="138"/>
      <c r="K1004" s="137"/>
      <c r="L1004" s="137"/>
      <c r="M1004" s="137"/>
      <c r="N1004" s="137"/>
      <c r="O1004" s="137"/>
      <c r="P1004" s="137"/>
      <c r="Q1004" s="137"/>
    </row>
    <row r="1005" spans="1:17" ht="15" customHeight="1" x14ac:dyDescent="0.35">
      <c r="A1005" s="129"/>
      <c r="B1005" s="137"/>
      <c r="C1005" s="137"/>
      <c r="D1005" s="137"/>
      <c r="E1005" s="137"/>
      <c r="F1005" s="137"/>
      <c r="G1005" s="137"/>
      <c r="H1005" s="137"/>
      <c r="I1005" s="137"/>
      <c r="J1005" s="138"/>
      <c r="K1005" s="137"/>
      <c r="L1005" s="137"/>
      <c r="M1005" s="137"/>
      <c r="N1005" s="137"/>
      <c r="O1005" s="137"/>
      <c r="P1005" s="137"/>
      <c r="Q1005" s="137"/>
    </row>
    <row r="1006" spans="1:17" ht="15" customHeight="1" x14ac:dyDescent="0.35">
      <c r="A1006" s="129"/>
      <c r="B1006" s="137"/>
      <c r="C1006" s="137"/>
      <c r="D1006" s="137"/>
      <c r="E1006" s="137"/>
      <c r="F1006" s="137"/>
      <c r="G1006" s="137"/>
      <c r="H1006" s="137"/>
      <c r="I1006" s="137"/>
      <c r="J1006" s="138"/>
      <c r="K1006" s="137"/>
      <c r="L1006" s="137"/>
      <c r="M1006" s="137"/>
      <c r="N1006" s="137"/>
      <c r="O1006" s="137"/>
      <c r="P1006" s="137"/>
      <c r="Q1006" s="137"/>
    </row>
    <row r="1007" spans="1:17" ht="15" customHeight="1" x14ac:dyDescent="0.35">
      <c r="A1007" s="129"/>
      <c r="B1007" s="137"/>
      <c r="C1007" s="137"/>
      <c r="D1007" s="137"/>
      <c r="E1007" s="137"/>
      <c r="F1007" s="137"/>
      <c r="G1007" s="137"/>
      <c r="H1007" s="137"/>
      <c r="I1007" s="137"/>
      <c r="J1007" s="138"/>
      <c r="K1007" s="137"/>
      <c r="L1007" s="137"/>
      <c r="M1007" s="137"/>
      <c r="N1007" s="137"/>
      <c r="O1007" s="137"/>
      <c r="P1007" s="137"/>
      <c r="Q1007" s="137"/>
    </row>
    <row r="1008" spans="1:17" ht="15" customHeight="1" x14ac:dyDescent="0.35">
      <c r="A1008" s="129"/>
      <c r="B1008" s="137"/>
      <c r="C1008" s="137"/>
      <c r="D1008" s="137"/>
      <c r="E1008" s="137"/>
      <c r="F1008" s="137"/>
      <c r="G1008" s="137"/>
      <c r="H1008" s="137"/>
      <c r="I1008" s="137"/>
      <c r="J1008" s="138"/>
      <c r="K1008" s="137"/>
      <c r="L1008" s="137"/>
      <c r="M1008" s="137"/>
      <c r="N1008" s="137"/>
      <c r="O1008" s="137"/>
      <c r="P1008" s="137"/>
      <c r="Q1008" s="137"/>
    </row>
    <row r="1009" spans="1:17" ht="15" customHeight="1" x14ac:dyDescent="0.35">
      <c r="A1009" s="129"/>
      <c r="B1009" s="137"/>
      <c r="C1009" s="137"/>
      <c r="D1009" s="137"/>
      <c r="E1009" s="137"/>
      <c r="F1009" s="137"/>
      <c r="G1009" s="137"/>
      <c r="H1009" s="137"/>
      <c r="I1009" s="137"/>
      <c r="J1009" s="138"/>
      <c r="K1009" s="137"/>
      <c r="L1009" s="137"/>
      <c r="M1009" s="137"/>
      <c r="N1009" s="137"/>
      <c r="O1009" s="137"/>
      <c r="P1009" s="137"/>
      <c r="Q1009" s="137"/>
    </row>
    <row r="1010" spans="1:17" ht="15" customHeight="1" x14ac:dyDescent="0.35">
      <c r="A1010" s="129"/>
      <c r="B1010" s="137"/>
      <c r="C1010" s="137"/>
      <c r="D1010" s="137"/>
      <c r="E1010" s="137"/>
      <c r="F1010" s="137"/>
      <c r="G1010" s="137"/>
      <c r="H1010" s="137"/>
      <c r="I1010" s="137"/>
      <c r="J1010" s="138"/>
      <c r="K1010" s="137"/>
      <c r="L1010" s="137"/>
      <c r="M1010" s="137"/>
      <c r="N1010" s="137"/>
      <c r="O1010" s="137"/>
      <c r="P1010" s="137"/>
      <c r="Q1010" s="137"/>
    </row>
    <row r="1011" spans="1:17" ht="15" customHeight="1" x14ac:dyDescent="0.35">
      <c r="A1011" s="129"/>
      <c r="B1011" s="137"/>
      <c r="C1011" s="137"/>
      <c r="D1011" s="137"/>
      <c r="E1011" s="137"/>
      <c r="F1011" s="137"/>
      <c r="G1011" s="137"/>
      <c r="H1011" s="137"/>
      <c r="I1011" s="137"/>
      <c r="J1011" s="138"/>
      <c r="K1011" s="137"/>
      <c r="L1011" s="137"/>
      <c r="M1011" s="137"/>
      <c r="N1011" s="137"/>
      <c r="O1011" s="137"/>
      <c r="P1011" s="137"/>
      <c r="Q1011" s="137"/>
    </row>
    <row r="1012" spans="1:17" ht="15" customHeight="1" x14ac:dyDescent="0.35">
      <c r="A1012" s="129"/>
      <c r="B1012" s="137"/>
      <c r="C1012" s="137"/>
      <c r="D1012" s="137"/>
      <c r="E1012" s="137"/>
      <c r="F1012" s="137"/>
      <c r="G1012" s="137"/>
      <c r="H1012" s="137"/>
      <c r="I1012" s="137"/>
      <c r="J1012" s="138"/>
      <c r="K1012" s="137"/>
      <c r="L1012" s="137"/>
      <c r="M1012" s="137"/>
      <c r="N1012" s="137"/>
      <c r="O1012" s="137"/>
      <c r="P1012" s="137"/>
      <c r="Q1012" s="137"/>
    </row>
    <row r="1013" spans="1:17" ht="15" customHeight="1" x14ac:dyDescent="0.35">
      <c r="A1013" s="129"/>
      <c r="B1013" s="137"/>
      <c r="C1013" s="137"/>
      <c r="D1013" s="137"/>
      <c r="E1013" s="137"/>
      <c r="F1013" s="137"/>
      <c r="G1013" s="137"/>
      <c r="H1013" s="137"/>
      <c r="I1013" s="137"/>
      <c r="J1013" s="138"/>
      <c r="K1013" s="137"/>
      <c r="L1013" s="137"/>
      <c r="M1013" s="137"/>
      <c r="N1013" s="137"/>
      <c r="O1013" s="137"/>
      <c r="P1013" s="137"/>
      <c r="Q1013" s="137"/>
    </row>
    <row r="1014" spans="1:17" ht="15" customHeight="1" x14ac:dyDescent="0.35">
      <c r="A1014" s="129"/>
      <c r="B1014" s="137"/>
      <c r="C1014" s="137"/>
      <c r="D1014" s="137"/>
      <c r="E1014" s="137"/>
      <c r="F1014" s="137"/>
      <c r="G1014" s="137"/>
      <c r="H1014" s="137"/>
      <c r="I1014" s="137"/>
      <c r="J1014" s="138"/>
      <c r="K1014" s="137"/>
      <c r="L1014" s="137"/>
      <c r="M1014" s="137"/>
      <c r="N1014" s="137"/>
      <c r="O1014" s="137"/>
      <c r="P1014" s="137"/>
      <c r="Q1014" s="137"/>
    </row>
    <row r="1015" spans="1:17" ht="15" customHeight="1" x14ac:dyDescent="0.35">
      <c r="A1015" s="129"/>
      <c r="B1015" s="137"/>
      <c r="C1015" s="137"/>
      <c r="D1015" s="137"/>
      <c r="E1015" s="137"/>
      <c r="F1015" s="137"/>
      <c r="G1015" s="137"/>
      <c r="H1015" s="137"/>
      <c r="I1015" s="137"/>
      <c r="J1015" s="138"/>
      <c r="K1015" s="137"/>
      <c r="L1015" s="137"/>
      <c r="M1015" s="137"/>
      <c r="N1015" s="137"/>
      <c r="O1015" s="137"/>
      <c r="P1015" s="137"/>
      <c r="Q1015" s="137"/>
    </row>
    <row r="1016" spans="1:17" ht="15" customHeight="1" x14ac:dyDescent="0.35">
      <c r="A1016" s="129"/>
      <c r="B1016" s="137"/>
      <c r="C1016" s="137"/>
      <c r="D1016" s="137"/>
      <c r="E1016" s="137"/>
      <c r="F1016" s="137"/>
      <c r="G1016" s="137"/>
      <c r="H1016" s="137"/>
      <c r="I1016" s="137"/>
      <c r="J1016" s="138"/>
      <c r="K1016" s="137"/>
      <c r="L1016" s="137"/>
      <c r="M1016" s="137"/>
      <c r="N1016" s="137"/>
      <c r="O1016" s="137"/>
      <c r="P1016" s="137"/>
      <c r="Q1016" s="137"/>
    </row>
    <row r="1017" spans="1:17" ht="15" customHeight="1" x14ac:dyDescent="0.35">
      <c r="A1017" s="129"/>
      <c r="B1017" s="137"/>
      <c r="C1017" s="137"/>
      <c r="D1017" s="137"/>
      <c r="E1017" s="137"/>
      <c r="F1017" s="137"/>
      <c r="G1017" s="137"/>
      <c r="H1017" s="137"/>
      <c r="I1017" s="137"/>
      <c r="J1017" s="138"/>
      <c r="K1017" s="137"/>
      <c r="L1017" s="137"/>
      <c r="M1017" s="137"/>
      <c r="N1017" s="137"/>
      <c r="O1017" s="137"/>
      <c r="P1017" s="137"/>
      <c r="Q1017" s="137"/>
    </row>
    <row r="1018" spans="1:17" ht="15" customHeight="1" x14ac:dyDescent="0.35">
      <c r="A1018" s="129"/>
      <c r="B1018" s="137"/>
      <c r="C1018" s="137"/>
      <c r="D1018" s="137"/>
      <c r="E1018" s="137"/>
      <c r="F1018" s="137"/>
      <c r="G1018" s="137"/>
      <c r="H1018" s="137"/>
      <c r="I1018" s="137"/>
      <c r="J1018" s="138"/>
      <c r="K1018" s="137"/>
      <c r="L1018" s="137"/>
      <c r="M1018" s="137"/>
      <c r="N1018" s="137"/>
      <c r="O1018" s="137"/>
      <c r="P1018" s="137"/>
      <c r="Q1018" s="137"/>
    </row>
    <row r="1019" spans="1:17" ht="15" customHeight="1" x14ac:dyDescent="0.35">
      <c r="A1019" s="129"/>
      <c r="B1019" s="137"/>
      <c r="C1019" s="137"/>
      <c r="D1019" s="137"/>
      <c r="E1019" s="137"/>
      <c r="F1019" s="137"/>
      <c r="G1019" s="137"/>
      <c r="H1019" s="137"/>
      <c r="I1019" s="137"/>
      <c r="J1019" s="138"/>
      <c r="K1019" s="137"/>
      <c r="L1019" s="137"/>
      <c r="M1019" s="137"/>
      <c r="N1019" s="137"/>
      <c r="O1019" s="137"/>
      <c r="P1019" s="137"/>
      <c r="Q1019" s="137"/>
    </row>
    <row r="1020" spans="1:17" ht="15" customHeight="1" x14ac:dyDescent="0.35">
      <c r="A1020" s="129"/>
      <c r="B1020" s="137"/>
      <c r="C1020" s="137"/>
      <c r="D1020" s="137"/>
      <c r="E1020" s="137"/>
      <c r="F1020" s="137"/>
      <c r="G1020" s="137"/>
      <c r="H1020" s="137"/>
      <c r="I1020" s="137"/>
      <c r="J1020" s="138"/>
      <c r="K1020" s="137"/>
      <c r="L1020" s="137"/>
      <c r="M1020" s="137"/>
      <c r="N1020" s="137"/>
      <c r="O1020" s="137"/>
      <c r="P1020" s="137"/>
      <c r="Q1020" s="137"/>
    </row>
    <row r="1021" spans="1:17" ht="15" customHeight="1" x14ac:dyDescent="0.35">
      <c r="A1021" s="129"/>
      <c r="B1021" s="137"/>
      <c r="C1021" s="137"/>
      <c r="D1021" s="137"/>
      <c r="E1021" s="137"/>
      <c r="F1021" s="137"/>
      <c r="G1021" s="137"/>
      <c r="H1021" s="137"/>
      <c r="I1021" s="137"/>
      <c r="J1021" s="138"/>
      <c r="K1021" s="137"/>
      <c r="L1021" s="137"/>
      <c r="M1021" s="137"/>
      <c r="N1021" s="137"/>
      <c r="O1021" s="137"/>
      <c r="P1021" s="137"/>
      <c r="Q1021" s="137"/>
    </row>
    <row r="1022" spans="1:17" ht="15" customHeight="1" x14ac:dyDescent="0.35">
      <c r="A1022" s="129"/>
      <c r="B1022" s="137"/>
      <c r="C1022" s="137"/>
      <c r="D1022" s="137"/>
      <c r="E1022" s="137"/>
      <c r="F1022" s="137"/>
      <c r="G1022" s="137"/>
      <c r="H1022" s="137"/>
      <c r="I1022" s="137"/>
      <c r="J1022" s="138"/>
      <c r="K1022" s="137"/>
      <c r="L1022" s="137"/>
      <c r="M1022" s="137"/>
      <c r="N1022" s="137"/>
      <c r="O1022" s="137"/>
      <c r="P1022" s="137"/>
      <c r="Q1022" s="137"/>
    </row>
    <row r="1023" spans="1:17" ht="15" customHeight="1" x14ac:dyDescent="0.35">
      <c r="A1023" s="129"/>
      <c r="B1023" s="137"/>
      <c r="C1023" s="137"/>
      <c r="D1023" s="137"/>
      <c r="E1023" s="137"/>
      <c r="F1023" s="137"/>
      <c r="G1023" s="137"/>
      <c r="H1023" s="137"/>
      <c r="I1023" s="137"/>
      <c r="J1023" s="138"/>
      <c r="K1023" s="137"/>
      <c r="L1023" s="137"/>
      <c r="M1023" s="137"/>
      <c r="N1023" s="137"/>
      <c r="O1023" s="137"/>
      <c r="P1023" s="137"/>
      <c r="Q1023" s="137"/>
    </row>
    <row r="1024" spans="1:17" ht="15" customHeight="1" x14ac:dyDescent="0.35">
      <c r="A1024" s="129"/>
      <c r="B1024" s="137"/>
      <c r="C1024" s="137"/>
      <c r="D1024" s="137"/>
      <c r="E1024" s="137"/>
      <c r="F1024" s="137"/>
      <c r="G1024" s="137"/>
      <c r="H1024" s="137"/>
      <c r="I1024" s="137"/>
      <c r="J1024" s="138"/>
      <c r="K1024" s="137"/>
      <c r="L1024" s="137"/>
      <c r="M1024" s="137"/>
      <c r="N1024" s="137"/>
      <c r="O1024" s="137"/>
      <c r="P1024" s="137"/>
      <c r="Q1024" s="137"/>
    </row>
    <row r="1025" spans="1:17" ht="15" customHeight="1" x14ac:dyDescent="0.35">
      <c r="A1025" s="129"/>
      <c r="B1025" s="137"/>
      <c r="C1025" s="137"/>
      <c r="D1025" s="137"/>
      <c r="E1025" s="137"/>
      <c r="F1025" s="137"/>
      <c r="G1025" s="137"/>
      <c r="H1025" s="137"/>
      <c r="I1025" s="137"/>
      <c r="J1025" s="138"/>
      <c r="K1025" s="137"/>
      <c r="L1025" s="137"/>
      <c r="M1025" s="137"/>
      <c r="N1025" s="137"/>
      <c r="O1025" s="137"/>
      <c r="P1025" s="137"/>
      <c r="Q1025" s="137"/>
    </row>
    <row r="1026" spans="1:17" ht="15" customHeight="1" x14ac:dyDescent="0.35">
      <c r="A1026" s="129"/>
      <c r="B1026" s="137"/>
      <c r="C1026" s="137"/>
      <c r="D1026" s="137"/>
      <c r="E1026" s="137"/>
      <c r="F1026" s="137"/>
      <c r="G1026" s="137"/>
      <c r="H1026" s="137"/>
      <c r="I1026" s="137"/>
      <c r="J1026" s="138"/>
      <c r="K1026" s="137"/>
      <c r="L1026" s="137"/>
      <c r="M1026" s="137"/>
      <c r="N1026" s="137"/>
      <c r="O1026" s="137"/>
      <c r="P1026" s="137"/>
      <c r="Q1026" s="137"/>
    </row>
    <row r="1027" spans="1:17" ht="15" customHeight="1" x14ac:dyDescent="0.35">
      <c r="A1027" s="129"/>
      <c r="B1027" s="137"/>
      <c r="C1027" s="137"/>
      <c r="D1027" s="137"/>
      <c r="E1027" s="137"/>
      <c r="F1027" s="137"/>
      <c r="G1027" s="137"/>
      <c r="H1027" s="137"/>
      <c r="I1027" s="137"/>
      <c r="J1027" s="138"/>
      <c r="K1027" s="137"/>
      <c r="L1027" s="137"/>
      <c r="M1027" s="137"/>
      <c r="N1027" s="137"/>
      <c r="O1027" s="137"/>
      <c r="P1027" s="137"/>
      <c r="Q1027" s="137"/>
    </row>
    <row r="1028" spans="1:17" ht="15" customHeight="1" x14ac:dyDescent="0.35">
      <c r="A1028" s="129"/>
      <c r="B1028" s="137"/>
      <c r="C1028" s="137"/>
      <c r="D1028" s="137"/>
      <c r="E1028" s="137"/>
      <c r="F1028" s="137"/>
      <c r="G1028" s="137"/>
      <c r="H1028" s="137"/>
      <c r="I1028" s="137"/>
      <c r="J1028" s="138"/>
      <c r="K1028" s="137"/>
      <c r="L1028" s="137"/>
      <c r="M1028" s="137"/>
      <c r="N1028" s="137"/>
      <c r="O1028" s="137"/>
      <c r="P1028" s="137"/>
      <c r="Q1028" s="137"/>
    </row>
    <row r="1029" spans="1:17" ht="15" customHeight="1" x14ac:dyDescent="0.35">
      <c r="A1029" s="129"/>
      <c r="B1029" s="137"/>
      <c r="C1029" s="137"/>
      <c r="D1029" s="137"/>
      <c r="E1029" s="137"/>
      <c r="F1029" s="137"/>
      <c r="G1029" s="137"/>
      <c r="H1029" s="137"/>
      <c r="I1029" s="137"/>
      <c r="J1029" s="138"/>
      <c r="K1029" s="137"/>
      <c r="L1029" s="137"/>
      <c r="M1029" s="137"/>
      <c r="N1029" s="137"/>
      <c r="O1029" s="137"/>
      <c r="P1029" s="137"/>
      <c r="Q1029" s="137"/>
    </row>
    <row r="1030" spans="1:17" ht="15" customHeight="1" x14ac:dyDescent="0.35">
      <c r="A1030" s="129"/>
      <c r="B1030" s="137"/>
      <c r="C1030" s="137"/>
      <c r="D1030" s="137"/>
      <c r="E1030" s="137"/>
      <c r="F1030" s="137"/>
      <c r="G1030" s="137"/>
      <c r="H1030" s="137"/>
      <c r="I1030" s="137"/>
      <c r="J1030" s="138"/>
      <c r="K1030" s="137"/>
      <c r="L1030" s="137"/>
      <c r="M1030" s="137"/>
      <c r="N1030" s="137"/>
      <c r="O1030" s="137"/>
      <c r="P1030" s="137"/>
      <c r="Q1030" s="137"/>
    </row>
    <row r="1031" spans="1:17" ht="15" customHeight="1" x14ac:dyDescent="0.35">
      <c r="A1031" s="129"/>
      <c r="B1031" s="137"/>
      <c r="C1031" s="137"/>
      <c r="D1031" s="137"/>
      <c r="E1031" s="137"/>
      <c r="F1031" s="137"/>
      <c r="G1031" s="137"/>
      <c r="H1031" s="137"/>
      <c r="I1031" s="137"/>
      <c r="J1031" s="138"/>
      <c r="K1031" s="137"/>
      <c r="L1031" s="137"/>
      <c r="M1031" s="137"/>
      <c r="N1031" s="137"/>
      <c r="O1031" s="137"/>
      <c r="P1031" s="137"/>
      <c r="Q1031" s="137"/>
    </row>
    <row r="1032" spans="1:17" ht="15" customHeight="1" x14ac:dyDescent="0.35">
      <c r="A1032" s="129"/>
      <c r="B1032" s="137"/>
      <c r="C1032" s="137"/>
      <c r="D1032" s="137"/>
      <c r="E1032" s="137"/>
      <c r="F1032" s="137"/>
      <c r="G1032" s="137"/>
      <c r="H1032" s="137"/>
      <c r="I1032" s="137"/>
      <c r="J1032" s="138"/>
      <c r="K1032" s="137"/>
      <c r="L1032" s="137"/>
      <c r="M1032" s="137"/>
      <c r="N1032" s="137"/>
      <c r="O1032" s="137"/>
      <c r="P1032" s="137"/>
      <c r="Q1032" s="137"/>
    </row>
    <row r="1033" spans="1:17" ht="15" customHeight="1" x14ac:dyDescent="0.35">
      <c r="A1033" s="129"/>
      <c r="B1033" s="137"/>
      <c r="C1033" s="137"/>
      <c r="D1033" s="137"/>
      <c r="E1033" s="137"/>
      <c r="F1033" s="137"/>
      <c r="G1033" s="137"/>
      <c r="H1033" s="137"/>
      <c r="I1033" s="137"/>
      <c r="J1033" s="138"/>
      <c r="K1033" s="137"/>
      <c r="L1033" s="137"/>
      <c r="M1033" s="137"/>
      <c r="N1033" s="137"/>
      <c r="O1033" s="137"/>
      <c r="P1033" s="137"/>
      <c r="Q1033" s="137"/>
    </row>
    <row r="1034" spans="1:17" ht="15" customHeight="1" x14ac:dyDescent="0.35">
      <c r="A1034" s="129"/>
      <c r="B1034" s="137"/>
      <c r="C1034" s="137"/>
      <c r="D1034" s="137"/>
      <c r="E1034" s="137"/>
      <c r="F1034" s="137"/>
      <c r="G1034" s="137"/>
      <c r="H1034" s="137"/>
      <c r="I1034" s="137"/>
      <c r="J1034" s="138"/>
      <c r="K1034" s="137"/>
      <c r="L1034" s="137"/>
      <c r="M1034" s="137"/>
      <c r="N1034" s="137"/>
      <c r="O1034" s="137"/>
      <c r="P1034" s="137"/>
      <c r="Q1034" s="137"/>
    </row>
    <row r="1035" spans="1:17" ht="15" customHeight="1" x14ac:dyDescent="0.35">
      <c r="A1035" s="129"/>
      <c r="B1035" s="137"/>
      <c r="C1035" s="137"/>
      <c r="D1035" s="137"/>
      <c r="E1035" s="137"/>
      <c r="F1035" s="137"/>
      <c r="G1035" s="137"/>
      <c r="H1035" s="137"/>
      <c r="I1035" s="137"/>
      <c r="J1035" s="138"/>
      <c r="K1035" s="137"/>
      <c r="L1035" s="137"/>
      <c r="M1035" s="137"/>
      <c r="N1035" s="137"/>
      <c r="O1035" s="137"/>
      <c r="P1035" s="137"/>
      <c r="Q1035" s="137"/>
    </row>
    <row r="1036" spans="1:17" ht="15" customHeight="1" x14ac:dyDescent="0.35">
      <c r="A1036" s="129"/>
      <c r="B1036" s="137"/>
      <c r="C1036" s="137"/>
      <c r="D1036" s="137"/>
      <c r="E1036" s="137"/>
      <c r="F1036" s="137"/>
      <c r="G1036" s="137"/>
      <c r="H1036" s="137"/>
      <c r="I1036" s="137"/>
      <c r="J1036" s="138"/>
      <c r="K1036" s="137"/>
      <c r="L1036" s="137"/>
      <c r="M1036" s="137"/>
      <c r="N1036" s="137"/>
      <c r="O1036" s="137"/>
      <c r="P1036" s="137"/>
      <c r="Q1036" s="137"/>
    </row>
    <row r="1037" spans="1:17" ht="15" customHeight="1" x14ac:dyDescent="0.35">
      <c r="A1037" s="129"/>
      <c r="B1037" s="137"/>
      <c r="C1037" s="137"/>
      <c r="D1037" s="137"/>
      <c r="E1037" s="137"/>
      <c r="F1037" s="137"/>
      <c r="G1037" s="137"/>
      <c r="H1037" s="137"/>
      <c r="I1037" s="137"/>
      <c r="J1037" s="138"/>
      <c r="K1037" s="137"/>
      <c r="L1037" s="137"/>
      <c r="M1037" s="137"/>
      <c r="N1037" s="137"/>
      <c r="O1037" s="137"/>
      <c r="P1037" s="137"/>
      <c r="Q1037" s="137"/>
    </row>
    <row r="1038" spans="1:17" ht="15" customHeight="1" x14ac:dyDescent="0.35">
      <c r="A1038" s="129"/>
      <c r="B1038" s="137"/>
      <c r="C1038" s="137"/>
      <c r="D1038" s="137"/>
      <c r="E1038" s="137"/>
      <c r="F1038" s="137"/>
      <c r="G1038" s="137"/>
      <c r="H1038" s="137"/>
      <c r="I1038" s="137"/>
      <c r="J1038" s="138"/>
      <c r="K1038" s="137"/>
      <c r="L1038" s="137"/>
      <c r="M1038" s="137"/>
      <c r="N1038" s="137"/>
      <c r="O1038" s="137"/>
      <c r="P1038" s="137"/>
      <c r="Q1038" s="137"/>
    </row>
    <row r="1039" spans="1:17" ht="15" customHeight="1" x14ac:dyDescent="0.35">
      <c r="A1039" s="129"/>
      <c r="B1039" s="137"/>
      <c r="C1039" s="137"/>
      <c r="D1039" s="137"/>
      <c r="E1039" s="137"/>
      <c r="F1039" s="137"/>
      <c r="G1039" s="137"/>
      <c r="H1039" s="137"/>
      <c r="I1039" s="137"/>
      <c r="J1039" s="138"/>
      <c r="K1039" s="137"/>
      <c r="L1039" s="137"/>
      <c r="M1039" s="137"/>
      <c r="N1039" s="137"/>
      <c r="O1039" s="137"/>
      <c r="P1039" s="137"/>
      <c r="Q1039" s="137"/>
    </row>
    <row r="1040" spans="1:17" ht="15" customHeight="1" x14ac:dyDescent="0.35">
      <c r="A1040" s="129"/>
      <c r="B1040" s="137"/>
      <c r="C1040" s="137"/>
      <c r="D1040" s="137"/>
      <c r="E1040" s="137"/>
      <c r="F1040" s="137"/>
      <c r="G1040" s="137"/>
      <c r="H1040" s="137"/>
      <c r="I1040" s="137"/>
      <c r="J1040" s="138"/>
      <c r="K1040" s="137"/>
      <c r="L1040" s="137"/>
      <c r="M1040" s="137"/>
      <c r="N1040" s="137"/>
      <c r="O1040" s="137"/>
      <c r="P1040" s="137"/>
      <c r="Q1040" s="137"/>
    </row>
    <row r="1041" spans="1:17" ht="15" customHeight="1" x14ac:dyDescent="0.35">
      <c r="A1041" s="129"/>
      <c r="B1041" s="137"/>
      <c r="C1041" s="137"/>
      <c r="D1041" s="137"/>
      <c r="E1041" s="137"/>
      <c r="F1041" s="137"/>
      <c r="G1041" s="137"/>
      <c r="H1041" s="137"/>
      <c r="I1041" s="137"/>
      <c r="J1041" s="138"/>
      <c r="K1041" s="137"/>
      <c r="L1041" s="137"/>
      <c r="M1041" s="137"/>
      <c r="N1041" s="137"/>
      <c r="O1041" s="137"/>
      <c r="P1041" s="137"/>
      <c r="Q1041" s="137"/>
    </row>
    <row r="1042" spans="1:17" ht="15" customHeight="1" x14ac:dyDescent="0.35">
      <c r="A1042" s="129"/>
      <c r="B1042" s="137"/>
      <c r="C1042" s="137"/>
      <c r="D1042" s="137"/>
      <c r="E1042" s="137"/>
      <c r="F1042" s="137"/>
      <c r="G1042" s="137"/>
      <c r="H1042" s="137"/>
      <c r="I1042" s="137"/>
      <c r="J1042" s="138"/>
      <c r="K1042" s="137"/>
      <c r="L1042" s="137"/>
      <c r="M1042" s="137"/>
      <c r="N1042" s="137"/>
      <c r="O1042" s="137"/>
      <c r="P1042" s="137"/>
      <c r="Q1042" s="137"/>
    </row>
    <row r="1043" spans="1:17" ht="15" customHeight="1" x14ac:dyDescent="0.35">
      <c r="A1043" s="129"/>
      <c r="B1043" s="137"/>
      <c r="C1043" s="137"/>
      <c r="D1043" s="137"/>
      <c r="E1043" s="137"/>
      <c r="F1043" s="137"/>
      <c r="G1043" s="137"/>
      <c r="H1043" s="137"/>
      <c r="I1043" s="137"/>
      <c r="J1043" s="138"/>
      <c r="K1043" s="137"/>
      <c r="L1043" s="137"/>
      <c r="M1043" s="137"/>
      <c r="N1043" s="137"/>
      <c r="O1043" s="137"/>
      <c r="P1043" s="137"/>
      <c r="Q1043" s="137"/>
    </row>
    <row r="1044" spans="1:17" ht="15" customHeight="1" x14ac:dyDescent="0.35">
      <c r="A1044" s="129"/>
      <c r="B1044" s="137"/>
      <c r="C1044" s="137"/>
      <c r="D1044" s="137"/>
      <c r="E1044" s="137"/>
      <c r="F1044" s="137"/>
      <c r="G1044" s="137"/>
      <c r="H1044" s="137"/>
      <c r="I1044" s="137"/>
      <c r="J1044" s="138"/>
      <c r="K1044" s="137"/>
      <c r="L1044" s="137"/>
      <c r="M1044" s="137"/>
      <c r="N1044" s="137"/>
      <c r="O1044" s="137"/>
      <c r="P1044" s="137"/>
      <c r="Q1044" s="137"/>
    </row>
    <row r="1045" spans="1:17" ht="15" customHeight="1" x14ac:dyDescent="0.35">
      <c r="A1045" s="129"/>
      <c r="B1045" s="137"/>
      <c r="C1045" s="137"/>
      <c r="D1045" s="137"/>
      <c r="E1045" s="137"/>
      <c r="F1045" s="137"/>
      <c r="G1045" s="137"/>
      <c r="H1045" s="137"/>
      <c r="I1045" s="137"/>
      <c r="J1045" s="138"/>
      <c r="K1045" s="137"/>
      <c r="L1045" s="137"/>
      <c r="M1045" s="137"/>
      <c r="N1045" s="137"/>
      <c r="O1045" s="137"/>
      <c r="P1045" s="137"/>
      <c r="Q1045" s="137"/>
    </row>
    <row r="1046" spans="1:17" ht="15" customHeight="1" x14ac:dyDescent="0.35">
      <c r="A1046" s="129"/>
      <c r="B1046" s="137"/>
      <c r="C1046" s="137"/>
      <c r="D1046" s="137"/>
      <c r="E1046" s="137"/>
      <c r="F1046" s="137"/>
      <c r="G1046" s="137"/>
      <c r="H1046" s="137"/>
      <c r="I1046" s="137"/>
      <c r="J1046" s="138"/>
      <c r="K1046" s="137"/>
      <c r="L1046" s="137"/>
      <c r="M1046" s="137"/>
      <c r="N1046" s="137"/>
      <c r="O1046" s="137"/>
      <c r="P1046" s="137"/>
      <c r="Q1046" s="137"/>
    </row>
    <row r="1047" spans="1:17" ht="15" customHeight="1" x14ac:dyDescent="0.35">
      <c r="A1047" s="129"/>
      <c r="B1047" s="137"/>
      <c r="C1047" s="137"/>
      <c r="D1047" s="137"/>
      <c r="E1047" s="137"/>
      <c r="F1047" s="137"/>
      <c r="G1047" s="137"/>
      <c r="H1047" s="137"/>
      <c r="I1047" s="137"/>
      <c r="J1047" s="138"/>
      <c r="K1047" s="137"/>
      <c r="L1047" s="137"/>
      <c r="M1047" s="137"/>
      <c r="N1047" s="137"/>
      <c r="O1047" s="137"/>
      <c r="P1047" s="137"/>
      <c r="Q1047" s="137"/>
    </row>
    <row r="1048" spans="1:17" ht="15" customHeight="1" x14ac:dyDescent="0.35">
      <c r="A1048" s="129"/>
      <c r="B1048" s="137"/>
      <c r="C1048" s="137"/>
      <c r="D1048" s="137"/>
      <c r="E1048" s="137"/>
      <c r="F1048" s="137"/>
      <c r="G1048" s="137"/>
      <c r="H1048" s="137"/>
      <c r="I1048" s="137"/>
      <c r="J1048" s="138"/>
      <c r="K1048" s="137"/>
      <c r="L1048" s="137"/>
      <c r="M1048" s="137"/>
      <c r="N1048" s="137"/>
      <c r="O1048" s="137"/>
      <c r="P1048" s="137"/>
      <c r="Q1048" s="137"/>
    </row>
    <row r="1049" spans="1:17" ht="15" customHeight="1" x14ac:dyDescent="0.35">
      <c r="A1049" s="129"/>
      <c r="B1049" s="137"/>
      <c r="C1049" s="137"/>
      <c r="D1049" s="137"/>
      <c r="E1049" s="137"/>
      <c r="F1049" s="137"/>
      <c r="G1049" s="137"/>
      <c r="H1049" s="137"/>
      <c r="I1049" s="137"/>
      <c r="J1049" s="138"/>
      <c r="K1049" s="137"/>
      <c r="L1049" s="137"/>
      <c r="M1049" s="137"/>
      <c r="N1049" s="137"/>
      <c r="O1049" s="137"/>
      <c r="P1049" s="137"/>
      <c r="Q1049" s="137"/>
    </row>
    <row r="1050" spans="1:17" ht="15" customHeight="1" x14ac:dyDescent="0.35">
      <c r="A1050" s="129"/>
      <c r="B1050" s="137"/>
      <c r="C1050" s="137"/>
      <c r="D1050" s="137"/>
      <c r="E1050" s="137"/>
      <c r="F1050" s="137"/>
      <c r="G1050" s="137"/>
      <c r="H1050" s="137"/>
      <c r="I1050" s="137"/>
      <c r="J1050" s="138"/>
      <c r="K1050" s="137"/>
      <c r="L1050" s="137"/>
      <c r="M1050" s="137"/>
      <c r="N1050" s="137"/>
      <c r="O1050" s="137"/>
      <c r="P1050" s="137"/>
      <c r="Q1050" s="137"/>
    </row>
    <row r="1051" spans="1:17" ht="15" customHeight="1" x14ac:dyDescent="0.35">
      <c r="A1051" s="129"/>
      <c r="B1051" s="137"/>
      <c r="C1051" s="137"/>
      <c r="D1051" s="137"/>
      <c r="E1051" s="137"/>
      <c r="F1051" s="137"/>
      <c r="G1051" s="137"/>
      <c r="H1051" s="137"/>
      <c r="I1051" s="137"/>
      <c r="J1051" s="138"/>
      <c r="K1051" s="137"/>
      <c r="L1051" s="137"/>
      <c r="M1051" s="137"/>
      <c r="N1051" s="137"/>
      <c r="O1051" s="137"/>
      <c r="P1051" s="137"/>
      <c r="Q1051" s="137"/>
    </row>
    <row r="1052" spans="1:17" ht="15" customHeight="1" x14ac:dyDescent="0.35">
      <c r="A1052" s="129"/>
      <c r="B1052" s="137"/>
      <c r="C1052" s="137"/>
      <c r="D1052" s="137"/>
      <c r="E1052" s="137"/>
      <c r="F1052" s="137"/>
      <c r="G1052" s="137"/>
      <c r="H1052" s="137"/>
      <c r="I1052" s="137"/>
      <c r="J1052" s="138"/>
      <c r="K1052" s="137"/>
      <c r="L1052" s="137"/>
      <c r="M1052" s="137"/>
      <c r="N1052" s="137"/>
      <c r="O1052" s="137"/>
      <c r="P1052" s="137"/>
      <c r="Q1052" s="137"/>
    </row>
    <row r="1053" spans="1:17" ht="15" customHeight="1" x14ac:dyDescent="0.35">
      <c r="A1053" s="129"/>
      <c r="B1053" s="137"/>
      <c r="C1053" s="137"/>
      <c r="D1053" s="137"/>
      <c r="E1053" s="137"/>
      <c r="F1053" s="137"/>
      <c r="G1053" s="137"/>
      <c r="H1053" s="137"/>
      <c r="I1053" s="137"/>
      <c r="J1053" s="138"/>
      <c r="K1053" s="137"/>
      <c r="L1053" s="137"/>
      <c r="M1053" s="137"/>
      <c r="N1053" s="137"/>
      <c r="O1053" s="137"/>
      <c r="P1053" s="137"/>
      <c r="Q1053" s="137"/>
    </row>
    <row r="1054" spans="1:17" ht="15" customHeight="1" x14ac:dyDescent="0.35">
      <c r="A1054" s="129"/>
      <c r="B1054" s="137"/>
      <c r="C1054" s="137"/>
      <c r="D1054" s="137"/>
      <c r="E1054" s="137"/>
      <c r="F1054" s="137"/>
      <c r="G1054" s="137"/>
      <c r="H1054" s="137"/>
      <c r="I1054" s="137"/>
      <c r="J1054" s="138"/>
      <c r="K1054" s="137"/>
      <c r="L1054" s="137"/>
      <c r="M1054" s="137"/>
      <c r="N1054" s="137"/>
      <c r="O1054" s="137"/>
      <c r="P1054" s="137"/>
      <c r="Q1054" s="137"/>
    </row>
    <row r="1055" spans="1:17" ht="15" customHeight="1" x14ac:dyDescent="0.35">
      <c r="A1055" s="129"/>
      <c r="B1055" s="137"/>
      <c r="C1055" s="137"/>
      <c r="D1055" s="137"/>
      <c r="E1055" s="137"/>
      <c r="F1055" s="137"/>
      <c r="G1055" s="137"/>
      <c r="H1055" s="137"/>
      <c r="I1055" s="137"/>
      <c r="J1055" s="138"/>
      <c r="K1055" s="137"/>
      <c r="L1055" s="137"/>
      <c r="M1055" s="137"/>
      <c r="N1055" s="137"/>
      <c r="O1055" s="137"/>
      <c r="P1055" s="137"/>
      <c r="Q1055" s="137"/>
    </row>
    <row r="1056" spans="1:17" ht="15" customHeight="1" x14ac:dyDescent="0.35">
      <c r="A1056" s="129"/>
      <c r="B1056" s="137"/>
      <c r="C1056" s="137"/>
      <c r="D1056" s="137"/>
      <c r="E1056" s="137"/>
      <c r="F1056" s="137"/>
      <c r="G1056" s="137"/>
      <c r="H1056" s="137"/>
      <c r="I1056" s="137"/>
      <c r="J1056" s="138"/>
      <c r="K1056" s="137"/>
      <c r="L1056" s="137"/>
      <c r="M1056" s="137"/>
      <c r="N1056" s="137"/>
      <c r="O1056" s="137"/>
      <c r="P1056" s="137"/>
      <c r="Q1056" s="137"/>
    </row>
    <row r="1057" spans="1:17" ht="15" customHeight="1" x14ac:dyDescent="0.35">
      <c r="A1057" s="129"/>
      <c r="B1057" s="137"/>
      <c r="C1057" s="137"/>
      <c r="D1057" s="137"/>
      <c r="E1057" s="137"/>
      <c r="F1057" s="137"/>
      <c r="G1057" s="137"/>
      <c r="H1057" s="137"/>
      <c r="I1057" s="137"/>
      <c r="J1057" s="138"/>
      <c r="K1057" s="137"/>
      <c r="L1057" s="137"/>
      <c r="M1057" s="137"/>
      <c r="N1057" s="137"/>
      <c r="O1057" s="137"/>
      <c r="P1057" s="137"/>
      <c r="Q1057" s="137"/>
    </row>
    <row r="1058" spans="1:17" ht="15" customHeight="1" x14ac:dyDescent="0.35">
      <c r="A1058" s="129"/>
      <c r="B1058" s="137"/>
      <c r="C1058" s="137"/>
      <c r="D1058" s="137"/>
      <c r="E1058" s="137"/>
      <c r="F1058" s="137"/>
      <c r="G1058" s="137"/>
      <c r="H1058" s="137"/>
      <c r="I1058" s="137"/>
      <c r="J1058" s="138"/>
      <c r="K1058" s="137"/>
      <c r="L1058" s="137"/>
      <c r="M1058" s="137"/>
      <c r="N1058" s="137"/>
      <c r="O1058" s="137"/>
      <c r="P1058" s="137"/>
      <c r="Q1058" s="137"/>
    </row>
    <row r="1059" spans="1:17" ht="15" customHeight="1" x14ac:dyDescent="0.35">
      <c r="A1059" s="129"/>
      <c r="B1059" s="137"/>
      <c r="C1059" s="137"/>
      <c r="D1059" s="137"/>
      <c r="E1059" s="137"/>
      <c r="F1059" s="137"/>
      <c r="G1059" s="137"/>
      <c r="H1059" s="137"/>
      <c r="I1059" s="137"/>
      <c r="J1059" s="138"/>
      <c r="K1059" s="137"/>
      <c r="L1059" s="137"/>
      <c r="M1059" s="137"/>
      <c r="N1059" s="137"/>
      <c r="O1059" s="137"/>
      <c r="P1059" s="137"/>
      <c r="Q1059" s="137"/>
    </row>
    <row r="1060" spans="1:17" ht="15" customHeight="1" x14ac:dyDescent="0.35">
      <c r="A1060" s="129"/>
      <c r="B1060" s="137"/>
      <c r="C1060" s="137"/>
      <c r="D1060" s="137"/>
      <c r="E1060" s="137"/>
      <c r="F1060" s="137"/>
      <c r="G1060" s="137"/>
      <c r="H1060" s="137"/>
      <c r="I1060" s="137"/>
      <c r="J1060" s="138"/>
      <c r="K1060" s="137"/>
      <c r="L1060" s="137"/>
      <c r="M1060" s="137"/>
      <c r="N1060" s="137"/>
      <c r="O1060" s="137"/>
      <c r="P1060" s="137"/>
      <c r="Q1060" s="137"/>
    </row>
    <row r="1061" spans="1:17" ht="15" customHeight="1" x14ac:dyDescent="0.35">
      <c r="A1061" s="129"/>
      <c r="B1061" s="137"/>
      <c r="C1061" s="137"/>
      <c r="D1061" s="137"/>
      <c r="E1061" s="137"/>
      <c r="F1061" s="137"/>
      <c r="G1061" s="137"/>
      <c r="H1061" s="137"/>
      <c r="I1061" s="137"/>
      <c r="J1061" s="138"/>
      <c r="K1061" s="137"/>
      <c r="L1061" s="137"/>
      <c r="M1061" s="137"/>
      <c r="N1061" s="137"/>
      <c r="O1061" s="137"/>
      <c r="P1061" s="137"/>
      <c r="Q1061" s="137"/>
    </row>
    <row r="1062" spans="1:17" ht="15" customHeight="1" x14ac:dyDescent="0.35">
      <c r="A1062" s="129"/>
      <c r="B1062" s="137"/>
      <c r="C1062" s="137"/>
      <c r="D1062" s="137"/>
      <c r="E1062" s="137"/>
      <c r="F1062" s="137"/>
      <c r="G1062" s="137"/>
      <c r="H1062" s="137"/>
      <c r="I1062" s="137"/>
      <c r="J1062" s="138"/>
      <c r="K1062" s="137"/>
      <c r="L1062" s="137"/>
      <c r="M1062" s="137"/>
      <c r="N1062" s="137"/>
      <c r="O1062" s="137"/>
      <c r="P1062" s="137"/>
      <c r="Q1062" s="137"/>
    </row>
    <row r="1063" spans="1:17" ht="15" customHeight="1" x14ac:dyDescent="0.35">
      <c r="A1063" s="129"/>
      <c r="B1063" s="137"/>
      <c r="C1063" s="137"/>
      <c r="D1063" s="137"/>
      <c r="E1063" s="137"/>
      <c r="F1063" s="137"/>
      <c r="G1063" s="137"/>
      <c r="H1063" s="137"/>
      <c r="I1063" s="137"/>
      <c r="J1063" s="138"/>
      <c r="K1063" s="137"/>
      <c r="L1063" s="137"/>
      <c r="M1063" s="137"/>
      <c r="N1063" s="137"/>
      <c r="O1063" s="137"/>
      <c r="P1063" s="137"/>
      <c r="Q1063" s="137"/>
    </row>
    <row r="1064" spans="1:17" ht="15" customHeight="1" x14ac:dyDescent="0.35">
      <c r="A1064" s="129"/>
      <c r="B1064" s="137"/>
      <c r="C1064" s="137"/>
      <c r="D1064" s="137"/>
      <c r="E1064" s="137"/>
      <c r="F1064" s="137"/>
      <c r="G1064" s="137"/>
      <c r="H1064" s="137"/>
      <c r="I1064" s="137"/>
      <c r="J1064" s="138"/>
      <c r="K1064" s="137"/>
      <c r="L1064" s="137"/>
      <c r="M1064" s="137"/>
      <c r="N1064" s="137"/>
      <c r="O1064" s="137"/>
      <c r="P1064" s="137"/>
      <c r="Q1064" s="137"/>
    </row>
    <row r="1065" spans="1:17" ht="15" customHeight="1" x14ac:dyDescent="0.35">
      <c r="A1065" s="129"/>
      <c r="B1065" s="137"/>
      <c r="C1065" s="137"/>
      <c r="D1065" s="137"/>
      <c r="E1065" s="137"/>
      <c r="F1065" s="137"/>
      <c r="G1065" s="137"/>
      <c r="H1065" s="137"/>
      <c r="I1065" s="137"/>
      <c r="J1065" s="138"/>
      <c r="K1065" s="137"/>
      <c r="L1065" s="137"/>
      <c r="M1065" s="137"/>
      <c r="N1065" s="137"/>
      <c r="O1065" s="137"/>
      <c r="P1065" s="137"/>
      <c r="Q1065" s="137"/>
    </row>
    <row r="1066" spans="1:17" ht="15" customHeight="1" x14ac:dyDescent="0.35">
      <c r="A1066" s="129"/>
      <c r="B1066" s="137"/>
      <c r="C1066" s="137"/>
      <c r="D1066" s="137"/>
      <c r="E1066" s="137"/>
      <c r="F1066" s="137"/>
      <c r="G1066" s="137"/>
      <c r="H1066" s="137"/>
      <c r="I1066" s="137"/>
      <c r="J1066" s="138"/>
      <c r="K1066" s="137"/>
      <c r="L1066" s="137"/>
      <c r="M1066" s="137"/>
      <c r="N1066" s="137"/>
      <c r="O1066" s="137"/>
      <c r="P1066" s="137"/>
      <c r="Q1066" s="137"/>
    </row>
    <row r="1067" spans="1:17" ht="15" customHeight="1" x14ac:dyDescent="0.35">
      <c r="A1067" s="129"/>
      <c r="B1067" s="137"/>
      <c r="C1067" s="137"/>
      <c r="D1067" s="137"/>
      <c r="E1067" s="137"/>
      <c r="F1067" s="137"/>
      <c r="G1067" s="137"/>
      <c r="H1067" s="137"/>
      <c r="I1067" s="137"/>
      <c r="J1067" s="138"/>
      <c r="K1067" s="137"/>
      <c r="L1067" s="137"/>
      <c r="M1067" s="137"/>
      <c r="N1067" s="137"/>
      <c r="O1067" s="137"/>
      <c r="P1067" s="137"/>
      <c r="Q1067" s="137"/>
    </row>
    <row r="1068" spans="1:17" ht="15" customHeight="1" x14ac:dyDescent="0.35">
      <c r="A1068" s="129"/>
      <c r="B1068" s="137"/>
      <c r="C1068" s="137"/>
      <c r="D1068" s="137"/>
      <c r="E1068" s="137"/>
      <c r="F1068" s="137"/>
      <c r="G1068" s="137"/>
      <c r="H1068" s="137"/>
      <c r="I1068" s="137"/>
      <c r="J1068" s="138"/>
      <c r="K1068" s="137"/>
      <c r="L1068" s="137"/>
      <c r="M1068" s="137"/>
      <c r="N1068" s="137"/>
      <c r="O1068" s="137"/>
      <c r="P1068" s="137"/>
      <c r="Q1068" s="137"/>
    </row>
    <row r="1069" spans="1:17" ht="15" customHeight="1" x14ac:dyDescent="0.35">
      <c r="A1069" s="129"/>
      <c r="B1069" s="137"/>
      <c r="C1069" s="137"/>
      <c r="D1069" s="137"/>
      <c r="E1069" s="137"/>
      <c r="F1069" s="137"/>
      <c r="G1069" s="137"/>
      <c r="H1069" s="137"/>
      <c r="I1069" s="137"/>
      <c r="J1069" s="138"/>
      <c r="K1069" s="137"/>
      <c r="L1069" s="137"/>
      <c r="M1069" s="137"/>
      <c r="N1069" s="137"/>
      <c r="O1069" s="137"/>
      <c r="P1069" s="137"/>
      <c r="Q1069" s="137"/>
    </row>
    <row r="1070" spans="1:17" ht="15" customHeight="1" x14ac:dyDescent="0.35">
      <c r="A1070" s="129"/>
      <c r="B1070" s="137"/>
      <c r="C1070" s="137"/>
      <c r="D1070" s="137"/>
      <c r="E1070" s="137"/>
      <c r="F1070" s="137"/>
      <c r="G1070" s="137"/>
      <c r="H1070" s="137"/>
      <c r="I1070" s="137"/>
      <c r="J1070" s="138"/>
      <c r="K1070" s="137"/>
      <c r="L1070" s="137"/>
      <c r="M1070" s="137"/>
      <c r="N1070" s="137"/>
      <c r="O1070" s="137"/>
      <c r="P1070" s="137"/>
      <c r="Q1070" s="137"/>
    </row>
    <row r="1071" spans="1:17" ht="15" customHeight="1" x14ac:dyDescent="0.35">
      <c r="A1071" s="129"/>
      <c r="B1071" s="137"/>
      <c r="C1071" s="137"/>
      <c r="D1071" s="137"/>
      <c r="E1071" s="137"/>
      <c r="F1071" s="137"/>
      <c r="G1071" s="137"/>
      <c r="H1071" s="137"/>
      <c r="I1071" s="137"/>
      <c r="J1071" s="138"/>
      <c r="K1071" s="137"/>
      <c r="L1071" s="137"/>
      <c r="M1071" s="137"/>
      <c r="N1071" s="137"/>
      <c r="O1071" s="137"/>
      <c r="P1071" s="137"/>
      <c r="Q1071" s="137"/>
    </row>
    <row r="1072" spans="1:17" ht="15" customHeight="1" x14ac:dyDescent="0.35">
      <c r="A1072" s="129"/>
      <c r="B1072" s="137"/>
      <c r="C1072" s="137"/>
      <c r="D1072" s="137"/>
      <c r="E1072" s="137"/>
      <c r="F1072" s="137"/>
      <c r="G1072" s="137"/>
      <c r="H1072" s="137"/>
      <c r="I1072" s="137"/>
      <c r="J1072" s="138"/>
      <c r="K1072" s="137"/>
      <c r="L1072" s="137"/>
      <c r="M1072" s="137"/>
      <c r="N1072" s="137"/>
      <c r="O1072" s="137"/>
      <c r="P1072" s="137"/>
      <c r="Q1072" s="137"/>
    </row>
    <row r="1073" spans="1:17" ht="15" customHeight="1" x14ac:dyDescent="0.35">
      <c r="A1073" s="129"/>
      <c r="B1073" s="137"/>
      <c r="C1073" s="137"/>
      <c r="D1073" s="137"/>
      <c r="E1073" s="137"/>
      <c r="F1073" s="137"/>
      <c r="G1073" s="137"/>
      <c r="H1073" s="137"/>
      <c r="I1073" s="137"/>
      <c r="J1073" s="138"/>
      <c r="K1073" s="137"/>
      <c r="L1073" s="137"/>
      <c r="M1073" s="137"/>
      <c r="N1073" s="137"/>
      <c r="O1073" s="137"/>
      <c r="P1073" s="137"/>
      <c r="Q1073" s="137"/>
    </row>
    <row r="1074" spans="1:17" ht="15" customHeight="1" x14ac:dyDescent="0.35">
      <c r="A1074" s="129"/>
      <c r="B1074" s="137"/>
      <c r="C1074" s="137"/>
      <c r="D1074" s="137"/>
      <c r="E1074" s="137"/>
      <c r="F1074" s="137"/>
      <c r="G1074" s="137"/>
      <c r="H1074" s="137"/>
      <c r="I1074" s="137"/>
      <c r="J1074" s="138"/>
      <c r="K1074" s="137"/>
      <c r="L1074" s="137"/>
      <c r="M1074" s="137"/>
      <c r="N1074" s="137"/>
      <c r="O1074" s="137"/>
      <c r="P1074" s="137"/>
      <c r="Q1074" s="137"/>
    </row>
    <row r="1075" spans="1:17" ht="15" customHeight="1" x14ac:dyDescent="0.35">
      <c r="A1075" s="129"/>
      <c r="B1075" s="137"/>
      <c r="C1075" s="137"/>
      <c r="D1075" s="137"/>
      <c r="E1075" s="137"/>
      <c r="F1075" s="137"/>
      <c r="G1075" s="137"/>
      <c r="H1075" s="137"/>
      <c r="I1075" s="137"/>
      <c r="J1075" s="138"/>
      <c r="K1075" s="137"/>
      <c r="L1075" s="137"/>
      <c r="M1075" s="137"/>
      <c r="N1075" s="137"/>
      <c r="O1075" s="137"/>
      <c r="P1075" s="137"/>
      <c r="Q1075" s="137"/>
    </row>
    <row r="1076" spans="1:17" ht="15" customHeight="1" x14ac:dyDescent="0.35">
      <c r="A1076" s="129"/>
      <c r="B1076" s="137"/>
      <c r="C1076" s="137"/>
      <c r="D1076" s="137"/>
      <c r="E1076" s="137"/>
      <c r="F1076" s="137"/>
      <c r="G1076" s="137"/>
      <c r="H1076" s="137"/>
      <c r="I1076" s="137"/>
      <c r="J1076" s="138"/>
      <c r="K1076" s="137"/>
      <c r="L1076" s="137"/>
      <c r="M1076" s="137"/>
      <c r="N1076" s="137"/>
      <c r="O1076" s="137"/>
      <c r="P1076" s="137"/>
      <c r="Q1076" s="137"/>
    </row>
    <row r="1077" spans="1:17" ht="15" customHeight="1" x14ac:dyDescent="0.35">
      <c r="A1077" s="129"/>
      <c r="B1077" s="137"/>
      <c r="C1077" s="137"/>
      <c r="D1077" s="137"/>
      <c r="E1077" s="137"/>
      <c r="F1077" s="137"/>
      <c r="G1077" s="137"/>
      <c r="H1077" s="137"/>
      <c r="I1077" s="137"/>
      <c r="J1077" s="138"/>
      <c r="K1077" s="137"/>
      <c r="L1077" s="137"/>
      <c r="M1077" s="137"/>
      <c r="N1077" s="137"/>
      <c r="O1077" s="137"/>
      <c r="P1077" s="137"/>
      <c r="Q1077" s="137"/>
    </row>
    <row r="1078" spans="1:17" ht="15" customHeight="1" x14ac:dyDescent="0.35">
      <c r="A1078" s="129"/>
      <c r="B1078" s="137"/>
      <c r="C1078" s="137"/>
      <c r="D1078" s="137"/>
      <c r="E1078" s="137"/>
      <c r="F1078" s="137"/>
      <c r="G1078" s="137"/>
      <c r="H1078" s="137"/>
      <c r="I1078" s="137"/>
      <c r="J1078" s="138"/>
      <c r="K1078" s="137"/>
      <c r="L1078" s="137"/>
      <c r="M1078" s="137"/>
      <c r="N1078" s="137"/>
      <c r="O1078" s="137"/>
      <c r="P1078" s="137"/>
      <c r="Q1078" s="137"/>
    </row>
    <row r="1079" spans="1:17" ht="15" customHeight="1" x14ac:dyDescent="0.35">
      <c r="A1079" s="129"/>
      <c r="B1079" s="137"/>
      <c r="C1079" s="137"/>
      <c r="D1079" s="137"/>
      <c r="E1079" s="137"/>
      <c r="F1079" s="137"/>
      <c r="G1079" s="137"/>
      <c r="H1079" s="137"/>
      <c r="I1079" s="137"/>
      <c r="J1079" s="138"/>
      <c r="K1079" s="137"/>
      <c r="L1079" s="137"/>
      <c r="M1079" s="137"/>
      <c r="N1079" s="137"/>
      <c r="O1079" s="137"/>
      <c r="P1079" s="137"/>
      <c r="Q1079" s="137"/>
    </row>
    <row r="1080" spans="1:17" ht="15" customHeight="1" x14ac:dyDescent="0.35">
      <c r="A1080" s="129"/>
      <c r="B1080" s="137"/>
      <c r="C1080" s="137"/>
      <c r="D1080" s="137"/>
      <c r="E1080" s="137"/>
      <c r="F1080" s="137"/>
      <c r="G1080" s="137"/>
      <c r="H1080" s="137"/>
      <c r="I1080" s="137"/>
      <c r="J1080" s="138"/>
      <c r="K1080" s="137"/>
      <c r="L1080" s="137"/>
      <c r="M1080" s="137"/>
      <c r="N1080" s="137"/>
      <c r="O1080" s="137"/>
      <c r="P1080" s="137"/>
      <c r="Q1080" s="137"/>
    </row>
    <row r="1081" spans="1:17" ht="15" customHeight="1" x14ac:dyDescent="0.35">
      <c r="A1081" s="129"/>
      <c r="B1081" s="137"/>
      <c r="C1081" s="137"/>
      <c r="D1081" s="137"/>
      <c r="E1081" s="137"/>
      <c r="F1081" s="137"/>
      <c r="G1081" s="137"/>
      <c r="H1081" s="137"/>
      <c r="I1081" s="137"/>
      <c r="J1081" s="138"/>
      <c r="K1081" s="137"/>
      <c r="L1081" s="137"/>
      <c r="M1081" s="137"/>
      <c r="N1081" s="137"/>
      <c r="O1081" s="137"/>
      <c r="P1081" s="137"/>
      <c r="Q1081" s="137"/>
    </row>
    <row r="1082" spans="1:17" ht="15" customHeight="1" x14ac:dyDescent="0.35">
      <c r="A1082" s="129"/>
      <c r="B1082" s="137"/>
      <c r="C1082" s="137"/>
      <c r="D1082" s="137"/>
      <c r="E1082" s="137"/>
      <c r="F1082" s="137"/>
      <c r="G1082" s="137"/>
      <c r="H1082" s="137"/>
      <c r="I1082" s="137"/>
      <c r="J1082" s="138"/>
      <c r="K1082" s="137"/>
      <c r="L1082" s="137"/>
      <c r="M1082" s="137"/>
      <c r="N1082" s="137"/>
      <c r="O1082" s="137"/>
      <c r="P1082" s="137"/>
      <c r="Q1082" s="137"/>
    </row>
    <row r="1083" spans="1:17" ht="15" customHeight="1" x14ac:dyDescent="0.35">
      <c r="A1083" s="129"/>
      <c r="B1083" s="137"/>
      <c r="C1083" s="137"/>
      <c r="D1083" s="137"/>
      <c r="E1083" s="137"/>
      <c r="F1083" s="137"/>
      <c r="G1083" s="137"/>
      <c r="H1083" s="137"/>
      <c r="I1083" s="137"/>
      <c r="J1083" s="138"/>
      <c r="K1083" s="137"/>
      <c r="L1083" s="137"/>
      <c r="M1083" s="137"/>
      <c r="N1083" s="137"/>
      <c r="O1083" s="137"/>
      <c r="P1083" s="137"/>
      <c r="Q1083" s="137"/>
    </row>
    <row r="1084" spans="1:17" ht="15" customHeight="1" x14ac:dyDescent="0.35">
      <c r="A1084" s="129"/>
      <c r="B1084" s="137"/>
      <c r="C1084" s="137"/>
      <c r="D1084" s="137"/>
      <c r="E1084" s="137"/>
      <c r="F1084" s="137"/>
      <c r="G1084" s="137"/>
      <c r="H1084" s="137"/>
      <c r="I1084" s="137"/>
      <c r="J1084" s="138"/>
      <c r="K1084" s="137"/>
      <c r="L1084" s="137"/>
      <c r="M1084" s="137"/>
      <c r="N1084" s="137"/>
      <c r="O1084" s="137"/>
      <c r="P1084" s="137"/>
      <c r="Q1084" s="137"/>
    </row>
    <row r="1085" spans="1:17" ht="15" customHeight="1" x14ac:dyDescent="0.35">
      <c r="A1085" s="129"/>
      <c r="B1085" s="137"/>
      <c r="C1085" s="137"/>
      <c r="D1085" s="137"/>
      <c r="E1085" s="137"/>
      <c r="F1085" s="137"/>
      <c r="G1085" s="137"/>
      <c r="H1085" s="137"/>
      <c r="I1085" s="137"/>
      <c r="J1085" s="138"/>
      <c r="K1085" s="137"/>
      <c r="L1085" s="137"/>
      <c r="M1085" s="137"/>
      <c r="N1085" s="137"/>
      <c r="O1085" s="137"/>
      <c r="P1085" s="137"/>
      <c r="Q1085" s="137"/>
    </row>
    <row r="1086" spans="1:17" ht="15" customHeight="1" x14ac:dyDescent="0.35">
      <c r="A1086" s="129"/>
      <c r="B1086" s="137"/>
      <c r="C1086" s="137"/>
      <c r="D1086" s="137"/>
      <c r="E1086" s="137"/>
      <c r="F1086" s="137"/>
      <c r="G1086" s="137"/>
      <c r="H1086" s="137"/>
      <c r="I1086" s="137"/>
      <c r="J1086" s="138"/>
      <c r="K1086" s="137"/>
      <c r="L1086" s="137"/>
      <c r="M1086" s="137"/>
      <c r="N1086" s="137"/>
      <c r="O1086" s="137"/>
      <c r="P1086" s="137"/>
      <c r="Q1086" s="137"/>
    </row>
    <row r="1087" spans="1:17" ht="15" customHeight="1" x14ac:dyDescent="0.35">
      <c r="A1087" s="129"/>
      <c r="B1087" s="137"/>
      <c r="C1087" s="137"/>
      <c r="D1087" s="137"/>
      <c r="E1087" s="137"/>
      <c r="F1087" s="137"/>
      <c r="G1087" s="137"/>
      <c r="H1087" s="137"/>
      <c r="I1087" s="137"/>
      <c r="J1087" s="138"/>
      <c r="K1087" s="137"/>
      <c r="L1087" s="137"/>
      <c r="M1087" s="137"/>
      <c r="N1087" s="137"/>
      <c r="O1087" s="137"/>
      <c r="P1087" s="137"/>
      <c r="Q1087" s="137"/>
    </row>
    <row r="1088" spans="1:17" ht="15" customHeight="1" x14ac:dyDescent="0.35">
      <c r="A1088" s="129"/>
      <c r="B1088" s="137"/>
      <c r="C1088" s="137"/>
      <c r="D1088" s="137"/>
      <c r="E1088" s="137"/>
      <c r="F1088" s="137"/>
      <c r="G1088" s="137"/>
      <c r="H1088" s="137"/>
      <c r="I1088" s="137"/>
      <c r="J1088" s="138"/>
      <c r="K1088" s="137"/>
      <c r="L1088" s="137"/>
      <c r="M1088" s="137"/>
      <c r="N1088" s="137"/>
      <c r="O1088" s="137"/>
      <c r="P1088" s="137"/>
      <c r="Q1088" s="137"/>
    </row>
    <row r="1089" spans="1:17" ht="15" customHeight="1" x14ac:dyDescent="0.35">
      <c r="A1089" s="129"/>
      <c r="B1089" s="137"/>
      <c r="C1089" s="137"/>
      <c r="D1089" s="137"/>
      <c r="E1089" s="137"/>
      <c r="F1089" s="137"/>
      <c r="G1089" s="137"/>
      <c r="H1089" s="137"/>
      <c r="I1089" s="137"/>
      <c r="J1089" s="138"/>
      <c r="K1089" s="137"/>
      <c r="L1089" s="137"/>
      <c r="M1089" s="137"/>
      <c r="N1089" s="137"/>
      <c r="O1089" s="137"/>
      <c r="P1089" s="137"/>
      <c r="Q1089" s="137"/>
    </row>
    <row r="1090" spans="1:17" ht="15" customHeight="1" x14ac:dyDescent="0.35">
      <c r="A1090" s="129"/>
      <c r="B1090" s="137"/>
      <c r="C1090" s="137"/>
      <c r="D1090" s="137"/>
      <c r="E1090" s="137"/>
      <c r="F1090" s="137"/>
      <c r="G1090" s="137"/>
      <c r="H1090" s="137"/>
      <c r="I1090" s="137"/>
      <c r="J1090" s="138"/>
      <c r="K1090" s="137"/>
      <c r="L1090" s="137"/>
      <c r="M1090" s="137"/>
      <c r="N1090" s="137"/>
      <c r="O1090" s="137"/>
      <c r="P1090" s="137"/>
      <c r="Q1090" s="137"/>
    </row>
    <row r="1091" spans="1:17" ht="15" customHeight="1" x14ac:dyDescent="0.35">
      <c r="A1091" s="129"/>
      <c r="B1091" s="137"/>
      <c r="C1091" s="137"/>
      <c r="D1091" s="137"/>
      <c r="E1091" s="137"/>
      <c r="F1091" s="137"/>
      <c r="G1091" s="137"/>
      <c r="H1091" s="137"/>
      <c r="I1091" s="137"/>
      <c r="J1091" s="138"/>
      <c r="K1091" s="137"/>
      <c r="L1091" s="137"/>
      <c r="M1091" s="137"/>
      <c r="N1091" s="137"/>
      <c r="O1091" s="137"/>
      <c r="P1091" s="137"/>
      <c r="Q1091" s="137"/>
    </row>
    <row r="1092" spans="1:17" ht="15" customHeight="1" x14ac:dyDescent="0.35">
      <c r="A1092" s="129"/>
      <c r="B1092" s="137"/>
      <c r="C1092" s="137"/>
      <c r="D1092" s="137"/>
      <c r="E1092" s="137"/>
      <c r="F1092" s="137"/>
      <c r="G1092" s="137"/>
      <c r="H1092" s="137"/>
      <c r="I1092" s="137"/>
      <c r="J1092" s="138"/>
      <c r="K1092" s="137"/>
      <c r="L1092" s="137"/>
      <c r="M1092" s="137"/>
      <c r="N1092" s="137"/>
      <c r="O1092" s="137"/>
      <c r="P1092" s="137"/>
      <c r="Q1092" s="137"/>
    </row>
    <row r="1093" spans="1:17" ht="15" customHeight="1" x14ac:dyDescent="0.35">
      <c r="A1093" s="129"/>
      <c r="B1093" s="137"/>
      <c r="C1093" s="137"/>
      <c r="D1093" s="137"/>
      <c r="E1093" s="137"/>
      <c r="F1093" s="137"/>
      <c r="G1093" s="137"/>
      <c r="H1093" s="137"/>
      <c r="I1093" s="137"/>
      <c r="J1093" s="138"/>
      <c r="K1093" s="137"/>
      <c r="L1093" s="137"/>
      <c r="M1093" s="137"/>
      <c r="N1093" s="137"/>
      <c r="O1093" s="137"/>
      <c r="P1093" s="137"/>
      <c r="Q1093" s="137"/>
    </row>
    <row r="1094" spans="1:17" ht="15" customHeight="1" x14ac:dyDescent="0.35">
      <c r="A1094" s="129"/>
      <c r="B1094" s="137"/>
      <c r="C1094" s="137"/>
      <c r="D1094" s="137"/>
      <c r="E1094" s="137"/>
      <c r="F1094" s="137"/>
      <c r="G1094" s="137"/>
      <c r="H1094" s="137"/>
      <c r="I1094" s="137"/>
      <c r="J1094" s="138"/>
      <c r="K1094" s="137"/>
      <c r="L1094" s="137"/>
      <c r="M1094" s="137"/>
      <c r="N1094" s="137"/>
      <c r="O1094" s="137"/>
      <c r="P1094" s="137"/>
      <c r="Q1094" s="137"/>
    </row>
    <row r="1095" spans="1:17" ht="15" customHeight="1" x14ac:dyDescent="0.35">
      <c r="A1095" s="129"/>
      <c r="B1095" s="137"/>
      <c r="C1095" s="137"/>
      <c r="D1095" s="137"/>
      <c r="E1095" s="137"/>
      <c r="F1095" s="137"/>
      <c r="G1095" s="137"/>
      <c r="H1095" s="137"/>
      <c r="I1095" s="137"/>
      <c r="J1095" s="138"/>
      <c r="K1095" s="137"/>
      <c r="L1095" s="137"/>
      <c r="M1095" s="137"/>
      <c r="N1095" s="137"/>
      <c r="O1095" s="137"/>
      <c r="P1095" s="137"/>
      <c r="Q1095" s="137"/>
    </row>
    <row r="1096" spans="1:17" ht="15" customHeight="1" x14ac:dyDescent="0.35">
      <c r="A1096" s="129"/>
      <c r="B1096" s="137"/>
      <c r="C1096" s="137"/>
      <c r="D1096" s="137"/>
      <c r="E1096" s="137"/>
      <c r="F1096" s="137"/>
      <c r="G1096" s="137"/>
      <c r="H1096" s="137"/>
      <c r="I1096" s="137"/>
      <c r="J1096" s="138"/>
      <c r="K1096" s="137"/>
      <c r="L1096" s="137"/>
      <c r="M1096" s="137"/>
      <c r="N1096" s="137"/>
      <c r="O1096" s="137"/>
      <c r="P1096" s="137"/>
      <c r="Q1096" s="137"/>
    </row>
    <row r="1097" spans="1:17" ht="15" customHeight="1" x14ac:dyDescent="0.35">
      <c r="A1097" s="129"/>
      <c r="B1097" s="137"/>
      <c r="C1097" s="137"/>
      <c r="D1097" s="137"/>
      <c r="E1097" s="137"/>
      <c r="F1097" s="137"/>
      <c r="G1097" s="137"/>
      <c r="H1097" s="137"/>
      <c r="I1097" s="137"/>
      <c r="J1097" s="138"/>
      <c r="K1097" s="137"/>
      <c r="L1097" s="137"/>
      <c r="M1097" s="137"/>
      <c r="N1097" s="137"/>
      <c r="O1097" s="137"/>
      <c r="P1097" s="137"/>
      <c r="Q1097" s="137"/>
    </row>
    <row r="1098" spans="1:17" ht="15" customHeight="1" x14ac:dyDescent="0.35">
      <c r="A1098" s="129"/>
      <c r="B1098" s="137"/>
      <c r="C1098" s="137"/>
      <c r="D1098" s="137"/>
      <c r="E1098" s="137"/>
      <c r="F1098" s="137"/>
      <c r="G1098" s="137"/>
      <c r="H1098" s="137"/>
      <c r="I1098" s="137"/>
      <c r="J1098" s="138"/>
      <c r="K1098" s="137"/>
      <c r="L1098" s="137"/>
      <c r="M1098" s="137"/>
      <c r="N1098" s="137"/>
      <c r="O1098" s="137"/>
      <c r="P1098" s="137"/>
      <c r="Q1098" s="137"/>
    </row>
    <row r="1099" spans="1:17" ht="15" customHeight="1" x14ac:dyDescent="0.35">
      <c r="A1099" s="129"/>
      <c r="B1099" s="137"/>
      <c r="C1099" s="137"/>
      <c r="D1099" s="137"/>
      <c r="E1099" s="137"/>
      <c r="F1099" s="137"/>
      <c r="G1099" s="137"/>
      <c r="H1099" s="137"/>
      <c r="I1099" s="137"/>
      <c r="J1099" s="138"/>
      <c r="K1099" s="137"/>
      <c r="L1099" s="137"/>
      <c r="M1099" s="137"/>
      <c r="N1099" s="137"/>
      <c r="O1099" s="137"/>
      <c r="P1099" s="137"/>
      <c r="Q1099" s="137"/>
    </row>
    <row r="1100" spans="1:17" ht="15" customHeight="1" x14ac:dyDescent="0.35">
      <c r="A1100" s="129"/>
      <c r="B1100" s="137"/>
      <c r="C1100" s="137"/>
      <c r="D1100" s="137"/>
      <c r="E1100" s="137"/>
      <c r="F1100" s="137"/>
      <c r="G1100" s="137"/>
      <c r="H1100" s="137"/>
      <c r="I1100" s="137"/>
      <c r="J1100" s="138"/>
      <c r="K1100" s="137"/>
      <c r="L1100" s="137"/>
      <c r="M1100" s="137"/>
      <c r="N1100" s="137"/>
      <c r="O1100" s="137"/>
      <c r="P1100" s="137"/>
      <c r="Q1100" s="137"/>
    </row>
    <row r="1101" spans="1:17" ht="15" customHeight="1" x14ac:dyDescent="0.35">
      <c r="A1101" s="129"/>
      <c r="B1101" s="137"/>
      <c r="C1101" s="137"/>
      <c r="D1101" s="137"/>
      <c r="E1101" s="137"/>
      <c r="F1101" s="137"/>
      <c r="G1101" s="137"/>
      <c r="H1101" s="137"/>
      <c r="I1101" s="137"/>
      <c r="J1101" s="138"/>
      <c r="K1101" s="137"/>
      <c r="L1101" s="137"/>
      <c r="M1101" s="137"/>
      <c r="N1101" s="137"/>
      <c r="O1101" s="137"/>
      <c r="P1101" s="137"/>
      <c r="Q1101" s="137"/>
    </row>
    <row r="1102" spans="1:17" ht="15" customHeight="1" x14ac:dyDescent="0.35">
      <c r="A1102" s="129"/>
      <c r="B1102" s="137"/>
      <c r="C1102" s="137"/>
      <c r="D1102" s="137"/>
      <c r="E1102" s="137"/>
      <c r="F1102" s="137"/>
      <c r="G1102" s="137"/>
      <c r="H1102" s="137"/>
      <c r="I1102" s="137"/>
      <c r="J1102" s="138"/>
      <c r="K1102" s="137"/>
      <c r="L1102" s="137"/>
      <c r="M1102" s="137"/>
      <c r="N1102" s="137"/>
      <c r="O1102" s="137"/>
      <c r="P1102" s="137"/>
      <c r="Q1102" s="137"/>
    </row>
    <row r="1103" spans="1:17" ht="15" customHeight="1" x14ac:dyDescent="0.35">
      <c r="A1103" s="129"/>
      <c r="B1103" s="137"/>
      <c r="C1103" s="137"/>
      <c r="D1103" s="137"/>
      <c r="E1103" s="137"/>
      <c r="F1103" s="137"/>
      <c r="G1103" s="137"/>
      <c r="H1103" s="137"/>
      <c r="I1103" s="137"/>
      <c r="J1103" s="138"/>
      <c r="K1103" s="137"/>
      <c r="L1103" s="137"/>
      <c r="M1103" s="137"/>
      <c r="N1103" s="137"/>
      <c r="O1103" s="137"/>
      <c r="P1103" s="137"/>
      <c r="Q1103" s="137"/>
    </row>
    <row r="1104" spans="1:17" ht="15" customHeight="1" x14ac:dyDescent="0.35">
      <c r="A1104" s="129"/>
      <c r="B1104" s="137"/>
      <c r="C1104" s="137"/>
      <c r="D1104" s="137"/>
      <c r="E1104" s="137"/>
      <c r="F1104" s="137"/>
      <c r="G1104" s="137"/>
      <c r="H1104" s="137"/>
      <c r="I1104" s="137"/>
      <c r="J1104" s="138"/>
      <c r="K1104" s="137"/>
      <c r="L1104" s="137"/>
      <c r="M1104" s="137"/>
      <c r="N1104" s="137"/>
      <c r="O1104" s="137"/>
      <c r="P1104" s="137"/>
      <c r="Q1104" s="137"/>
    </row>
    <row r="1105" spans="1:17" ht="15" customHeight="1" x14ac:dyDescent="0.35">
      <c r="A1105" s="129"/>
      <c r="B1105" s="137"/>
      <c r="C1105" s="137"/>
      <c r="D1105" s="137"/>
      <c r="E1105" s="137"/>
      <c r="F1105" s="137"/>
      <c r="G1105" s="137"/>
      <c r="H1105" s="137"/>
      <c r="I1105" s="137"/>
      <c r="J1105" s="138"/>
      <c r="K1105" s="137"/>
      <c r="L1105" s="137"/>
      <c r="M1105" s="137"/>
      <c r="N1105" s="137"/>
      <c r="O1105" s="137"/>
      <c r="P1105" s="137"/>
      <c r="Q1105" s="137"/>
    </row>
    <row r="1106" spans="1:17" ht="15" customHeight="1" x14ac:dyDescent="0.35">
      <c r="A1106" s="129"/>
      <c r="B1106" s="137"/>
      <c r="C1106" s="137"/>
      <c r="D1106" s="137"/>
      <c r="E1106" s="137"/>
      <c r="F1106" s="137"/>
      <c r="G1106" s="137"/>
      <c r="H1106" s="137"/>
      <c r="I1106" s="137"/>
      <c r="J1106" s="138"/>
      <c r="K1106" s="137"/>
      <c r="L1106" s="137"/>
      <c r="M1106" s="137"/>
      <c r="N1106" s="137"/>
      <c r="O1106" s="137"/>
      <c r="P1106" s="137"/>
      <c r="Q1106" s="137"/>
    </row>
    <row r="1107" spans="1:17" ht="15" customHeight="1" x14ac:dyDescent="0.35">
      <c r="A1107" s="129"/>
      <c r="B1107" s="137"/>
      <c r="C1107" s="137"/>
      <c r="D1107" s="137"/>
      <c r="E1107" s="137"/>
      <c r="F1107" s="137"/>
      <c r="G1107" s="137"/>
      <c r="H1107" s="137"/>
      <c r="I1107" s="137"/>
      <c r="J1107" s="138"/>
      <c r="K1107" s="137"/>
      <c r="L1107" s="137"/>
      <c r="M1107" s="137"/>
      <c r="N1107" s="137"/>
      <c r="O1107" s="137"/>
      <c r="P1107" s="137"/>
      <c r="Q1107" s="137"/>
    </row>
    <row r="1108" spans="1:17" ht="15" customHeight="1" x14ac:dyDescent="0.35">
      <c r="A1108" s="129"/>
      <c r="B1108" s="137"/>
      <c r="C1108" s="137"/>
      <c r="D1108" s="137"/>
      <c r="E1108" s="137"/>
      <c r="F1108" s="137"/>
      <c r="G1108" s="137"/>
      <c r="H1108" s="137"/>
      <c r="I1108" s="137"/>
      <c r="J1108" s="138"/>
      <c r="K1108" s="137"/>
      <c r="L1108" s="137"/>
      <c r="M1108" s="137"/>
      <c r="N1108" s="137"/>
      <c r="O1108" s="137"/>
      <c r="P1108" s="137"/>
      <c r="Q1108" s="137"/>
    </row>
    <row r="1109" spans="1:17" ht="15" customHeight="1" x14ac:dyDescent="0.35">
      <c r="A1109" s="129"/>
      <c r="B1109" s="137"/>
      <c r="C1109" s="137"/>
      <c r="D1109" s="137"/>
      <c r="E1109" s="137"/>
      <c r="F1109" s="137"/>
      <c r="G1109" s="137"/>
      <c r="H1109" s="137"/>
      <c r="I1109" s="137"/>
      <c r="J1109" s="138"/>
      <c r="K1109" s="137"/>
      <c r="L1109" s="137"/>
      <c r="M1109" s="137"/>
      <c r="N1109" s="137"/>
      <c r="O1109" s="137"/>
      <c r="P1109" s="137"/>
      <c r="Q1109" s="137"/>
    </row>
    <row r="1110" spans="1:17" ht="15" customHeight="1" x14ac:dyDescent="0.35">
      <c r="A1110" s="129"/>
      <c r="B1110" s="137"/>
      <c r="C1110" s="137"/>
      <c r="D1110" s="137"/>
      <c r="E1110" s="137"/>
      <c r="F1110" s="137"/>
      <c r="G1110" s="137"/>
      <c r="H1110" s="137"/>
      <c r="I1110" s="137"/>
      <c r="J1110" s="138"/>
      <c r="K1110" s="137"/>
      <c r="L1110" s="137"/>
      <c r="M1110" s="137"/>
      <c r="N1110" s="137"/>
      <c r="O1110" s="137"/>
      <c r="P1110" s="137"/>
      <c r="Q1110" s="137"/>
    </row>
    <row r="1111" spans="1:17" ht="15" customHeight="1" x14ac:dyDescent="0.35">
      <c r="A1111" s="129"/>
      <c r="B1111" s="137"/>
      <c r="C1111" s="137"/>
      <c r="D1111" s="137"/>
      <c r="E1111" s="137"/>
      <c r="F1111" s="137"/>
      <c r="G1111" s="137"/>
      <c r="H1111" s="137"/>
      <c r="I1111" s="137"/>
      <c r="J1111" s="138"/>
      <c r="K1111" s="137"/>
      <c r="L1111" s="137"/>
      <c r="M1111" s="137"/>
      <c r="N1111" s="137"/>
      <c r="O1111" s="137"/>
      <c r="P1111" s="137"/>
      <c r="Q1111" s="137"/>
    </row>
    <row r="1112" spans="1:17" ht="15" customHeight="1" x14ac:dyDescent="0.35">
      <c r="A1112" s="129"/>
      <c r="B1112" s="137"/>
      <c r="C1112" s="137"/>
      <c r="D1112" s="137"/>
      <c r="E1112" s="137"/>
      <c r="F1112" s="137"/>
      <c r="G1112" s="137"/>
      <c r="H1112" s="137"/>
      <c r="I1112" s="137"/>
      <c r="J1112" s="138"/>
      <c r="K1112" s="137"/>
      <c r="L1112" s="137"/>
      <c r="M1112" s="137"/>
      <c r="N1112" s="137"/>
      <c r="O1112" s="137"/>
      <c r="P1112" s="137"/>
      <c r="Q1112" s="137"/>
    </row>
    <row r="1113" spans="1:17" ht="15" customHeight="1" x14ac:dyDescent="0.35">
      <c r="A1113" s="129"/>
      <c r="B1113" s="137"/>
      <c r="C1113" s="137"/>
      <c r="D1113" s="137"/>
      <c r="E1113" s="137"/>
      <c r="F1113" s="137"/>
      <c r="G1113" s="137"/>
      <c r="H1113" s="137"/>
      <c r="I1113" s="137"/>
      <c r="J1113" s="138"/>
      <c r="K1113" s="137"/>
      <c r="L1113" s="137"/>
      <c r="M1113" s="137"/>
      <c r="N1113" s="137"/>
      <c r="O1113" s="137"/>
      <c r="P1113" s="137"/>
      <c r="Q1113" s="137"/>
    </row>
    <row r="1114" spans="1:17" ht="15" customHeight="1" x14ac:dyDescent="0.35">
      <c r="A1114" s="129"/>
      <c r="B1114" s="137"/>
      <c r="C1114" s="137"/>
      <c r="D1114" s="137"/>
      <c r="E1114" s="137"/>
      <c r="F1114" s="137"/>
      <c r="G1114" s="137"/>
      <c r="H1114" s="137"/>
      <c r="I1114" s="137"/>
      <c r="J1114" s="138"/>
      <c r="K1114" s="137"/>
      <c r="L1114" s="137"/>
      <c r="M1114" s="137"/>
      <c r="N1114" s="137"/>
      <c r="O1114" s="137"/>
      <c r="P1114" s="137"/>
      <c r="Q1114" s="137"/>
    </row>
    <row r="1115" spans="1:17" ht="15" customHeight="1" x14ac:dyDescent="0.35">
      <c r="A1115" s="129"/>
      <c r="B1115" s="137"/>
      <c r="C1115" s="137"/>
      <c r="D1115" s="137"/>
      <c r="E1115" s="137"/>
      <c r="F1115" s="137"/>
      <c r="G1115" s="137"/>
      <c r="H1115" s="137"/>
      <c r="I1115" s="137"/>
      <c r="J1115" s="138"/>
      <c r="K1115" s="137"/>
      <c r="L1115" s="137"/>
      <c r="M1115" s="137"/>
      <c r="N1115" s="137"/>
      <c r="O1115" s="137"/>
      <c r="P1115" s="137"/>
      <c r="Q1115" s="137"/>
    </row>
    <row r="1116" spans="1:17" ht="15" customHeight="1" x14ac:dyDescent="0.35">
      <c r="A1116" s="129"/>
      <c r="B1116" s="137"/>
      <c r="C1116" s="137"/>
      <c r="D1116" s="137"/>
      <c r="E1116" s="137"/>
      <c r="F1116" s="137"/>
      <c r="G1116" s="137"/>
      <c r="H1116" s="137"/>
      <c r="I1116" s="137"/>
      <c r="J1116" s="138"/>
      <c r="K1116" s="137"/>
      <c r="L1116" s="137"/>
      <c r="M1116" s="137"/>
      <c r="N1116" s="137"/>
      <c r="O1116" s="137"/>
      <c r="P1116" s="137"/>
      <c r="Q1116" s="137"/>
    </row>
    <row r="1117" spans="1:17" ht="15" customHeight="1" x14ac:dyDescent="0.35">
      <c r="A1117" s="129"/>
      <c r="B1117" s="137"/>
      <c r="C1117" s="137"/>
      <c r="D1117" s="137"/>
      <c r="E1117" s="137"/>
      <c r="F1117" s="137"/>
      <c r="G1117" s="137"/>
      <c r="H1117" s="137"/>
      <c r="I1117" s="137"/>
      <c r="J1117" s="138"/>
      <c r="K1117" s="137"/>
      <c r="L1117" s="137"/>
      <c r="M1117" s="137"/>
      <c r="N1117" s="137"/>
      <c r="O1117" s="137"/>
      <c r="P1117" s="137"/>
      <c r="Q1117" s="137"/>
    </row>
    <row r="1118" spans="1:17" ht="15" customHeight="1" x14ac:dyDescent="0.35">
      <c r="A1118" s="129"/>
      <c r="B1118" s="137"/>
      <c r="C1118" s="137"/>
      <c r="D1118" s="137"/>
      <c r="E1118" s="137"/>
      <c r="F1118" s="137"/>
      <c r="G1118" s="137"/>
      <c r="H1118" s="137"/>
      <c r="I1118" s="137"/>
      <c r="J1118" s="138"/>
      <c r="K1118" s="137"/>
      <c r="L1118" s="137"/>
      <c r="M1118" s="137"/>
      <c r="N1118" s="137"/>
      <c r="O1118" s="137"/>
      <c r="P1118" s="137"/>
      <c r="Q1118" s="137"/>
    </row>
    <row r="1119" spans="1:17" ht="15" customHeight="1" x14ac:dyDescent="0.35">
      <c r="A1119" s="129"/>
      <c r="B1119" s="137"/>
      <c r="C1119" s="137"/>
      <c r="D1119" s="137"/>
      <c r="E1119" s="137"/>
      <c r="F1119" s="137"/>
      <c r="G1119" s="137"/>
      <c r="H1119" s="137"/>
      <c r="I1119" s="137"/>
      <c r="J1119" s="138"/>
      <c r="K1119" s="137"/>
      <c r="L1119" s="137"/>
      <c r="M1119" s="137"/>
      <c r="N1119" s="137"/>
      <c r="O1119" s="137"/>
      <c r="P1119" s="137"/>
      <c r="Q1119" s="137"/>
    </row>
    <row r="1120" spans="1:17" ht="15" customHeight="1" x14ac:dyDescent="0.35">
      <c r="A1120" s="129"/>
      <c r="B1120" s="137"/>
      <c r="C1120" s="137"/>
      <c r="D1120" s="137"/>
      <c r="E1120" s="137"/>
      <c r="F1120" s="137"/>
      <c r="G1120" s="137"/>
      <c r="H1120" s="137"/>
      <c r="I1120" s="137"/>
      <c r="J1120" s="138"/>
      <c r="K1120" s="137"/>
      <c r="L1120" s="137"/>
      <c r="M1120" s="137"/>
      <c r="N1120" s="137"/>
      <c r="O1120" s="137"/>
      <c r="P1120" s="137"/>
      <c r="Q1120" s="137"/>
    </row>
    <row r="1121" spans="1:17" ht="15" customHeight="1" x14ac:dyDescent="0.35">
      <c r="A1121" s="129"/>
      <c r="B1121" s="137"/>
      <c r="C1121" s="137"/>
      <c r="D1121" s="137"/>
      <c r="E1121" s="137"/>
      <c r="F1121" s="137"/>
      <c r="G1121" s="137"/>
      <c r="H1121" s="137"/>
      <c r="I1121" s="137"/>
      <c r="J1121" s="138"/>
      <c r="K1121" s="137"/>
      <c r="L1121" s="137"/>
      <c r="M1121" s="137"/>
      <c r="N1121" s="137"/>
      <c r="O1121" s="137"/>
      <c r="P1121" s="137"/>
      <c r="Q1121" s="137"/>
    </row>
    <row r="1122" spans="1:17" ht="15" customHeight="1" x14ac:dyDescent="0.35">
      <c r="A1122" s="129"/>
      <c r="B1122" s="137"/>
      <c r="C1122" s="137"/>
      <c r="D1122" s="137"/>
      <c r="E1122" s="137"/>
      <c r="F1122" s="137"/>
      <c r="G1122" s="137"/>
      <c r="H1122" s="137"/>
      <c r="I1122" s="137"/>
      <c r="J1122" s="138"/>
      <c r="K1122" s="137"/>
      <c r="L1122" s="137"/>
      <c r="M1122" s="137"/>
      <c r="N1122" s="137"/>
      <c r="O1122" s="137"/>
      <c r="P1122" s="137"/>
      <c r="Q1122" s="137"/>
    </row>
    <row r="1123" spans="1:17" ht="15" customHeight="1" x14ac:dyDescent="0.35">
      <c r="A1123" s="129"/>
      <c r="B1123" s="137"/>
      <c r="C1123" s="137"/>
      <c r="D1123" s="137"/>
      <c r="E1123" s="137"/>
      <c r="F1123" s="137"/>
      <c r="G1123" s="137"/>
      <c r="H1123" s="137"/>
      <c r="I1123" s="137"/>
      <c r="J1123" s="138"/>
      <c r="K1123" s="137"/>
      <c r="L1123" s="137"/>
      <c r="M1123" s="137"/>
      <c r="N1123" s="137"/>
      <c r="O1123" s="137"/>
      <c r="P1123" s="137"/>
      <c r="Q1123" s="137"/>
    </row>
    <row r="1124" spans="1:17" ht="15" customHeight="1" x14ac:dyDescent="0.35">
      <c r="A1124" s="129"/>
      <c r="B1124" s="137"/>
      <c r="C1124" s="137"/>
      <c r="D1124" s="137"/>
      <c r="E1124" s="137"/>
      <c r="F1124" s="137"/>
      <c r="G1124" s="137"/>
      <c r="H1124" s="137"/>
      <c r="I1124" s="137"/>
      <c r="J1124" s="138"/>
      <c r="K1124" s="137"/>
      <c r="L1124" s="137"/>
      <c r="M1124" s="137"/>
      <c r="N1124" s="137"/>
      <c r="O1124" s="137"/>
      <c r="P1124" s="137"/>
      <c r="Q1124" s="137"/>
    </row>
    <row r="1125" spans="1:17" ht="15" customHeight="1" x14ac:dyDescent="0.35">
      <c r="A1125" s="129"/>
      <c r="B1125" s="137"/>
      <c r="C1125" s="137"/>
      <c r="D1125" s="137"/>
      <c r="E1125" s="137"/>
      <c r="F1125" s="137"/>
      <c r="G1125" s="137"/>
      <c r="H1125" s="137"/>
      <c r="I1125" s="137"/>
      <c r="J1125" s="138"/>
      <c r="K1125" s="137"/>
      <c r="L1125" s="137"/>
      <c r="M1125" s="137"/>
      <c r="N1125" s="137"/>
      <c r="O1125" s="137"/>
      <c r="P1125" s="137"/>
      <c r="Q1125" s="137"/>
    </row>
    <row r="1126" spans="1:17" ht="15" customHeight="1" x14ac:dyDescent="0.35">
      <c r="A1126" s="129"/>
      <c r="B1126" s="137"/>
      <c r="C1126" s="137"/>
      <c r="D1126" s="137"/>
      <c r="E1126" s="137"/>
      <c r="F1126" s="137"/>
      <c r="G1126" s="137"/>
      <c r="H1126" s="137"/>
      <c r="I1126" s="137"/>
      <c r="J1126" s="138"/>
      <c r="K1126" s="137"/>
      <c r="L1126" s="137"/>
      <c r="M1126" s="137"/>
      <c r="N1126" s="137"/>
      <c r="O1126" s="137"/>
      <c r="P1126" s="137"/>
      <c r="Q1126" s="137"/>
    </row>
    <row r="1127" spans="1:17" ht="15" customHeight="1" x14ac:dyDescent="0.35">
      <c r="A1127" s="129"/>
      <c r="B1127" s="137"/>
      <c r="C1127" s="137"/>
      <c r="D1127" s="137"/>
      <c r="E1127" s="137"/>
      <c r="F1127" s="137"/>
      <c r="G1127" s="137"/>
      <c r="H1127" s="137"/>
      <c r="I1127" s="137"/>
      <c r="J1127" s="138"/>
      <c r="K1127" s="137"/>
      <c r="L1127" s="137"/>
      <c r="M1127" s="137"/>
      <c r="N1127" s="137"/>
      <c r="O1127" s="137"/>
      <c r="P1127" s="137"/>
      <c r="Q1127" s="137"/>
    </row>
    <row r="1128" spans="1:17" ht="15" customHeight="1" x14ac:dyDescent="0.35">
      <c r="A1128" s="129"/>
      <c r="B1128" s="137"/>
      <c r="C1128" s="137"/>
      <c r="D1128" s="137"/>
      <c r="E1128" s="137"/>
      <c r="F1128" s="137"/>
      <c r="G1128" s="137"/>
      <c r="H1128" s="137"/>
      <c r="I1128" s="137"/>
      <c r="J1128" s="138"/>
      <c r="K1128" s="137"/>
      <c r="L1128" s="137"/>
      <c r="M1128" s="137"/>
      <c r="N1128" s="137"/>
      <c r="O1128" s="137"/>
      <c r="P1128" s="137"/>
      <c r="Q1128" s="137"/>
    </row>
    <row r="1129" spans="1:17" ht="15" customHeight="1" x14ac:dyDescent="0.35">
      <c r="A1129" s="129"/>
      <c r="B1129" s="137"/>
      <c r="C1129" s="137"/>
      <c r="D1129" s="137"/>
      <c r="E1129" s="137"/>
      <c r="F1129" s="137"/>
      <c r="G1129" s="137"/>
      <c r="H1129" s="137"/>
      <c r="I1129" s="137"/>
      <c r="J1129" s="138"/>
      <c r="K1129" s="137"/>
      <c r="L1129" s="137"/>
      <c r="M1129" s="137"/>
      <c r="N1129" s="137"/>
      <c r="O1129" s="137"/>
      <c r="P1129" s="137"/>
      <c r="Q1129" s="137"/>
    </row>
    <row r="1130" spans="1:17" ht="15" customHeight="1" x14ac:dyDescent="0.35">
      <c r="A1130" s="129"/>
      <c r="B1130" s="137"/>
      <c r="C1130" s="137"/>
      <c r="D1130" s="137"/>
      <c r="E1130" s="137"/>
      <c r="F1130" s="137"/>
      <c r="G1130" s="137"/>
      <c r="H1130" s="137"/>
      <c r="I1130" s="137"/>
      <c r="J1130" s="138"/>
      <c r="K1130" s="137"/>
      <c r="L1130" s="137"/>
      <c r="M1130" s="137"/>
      <c r="N1130" s="137"/>
      <c r="O1130" s="137"/>
      <c r="P1130" s="137"/>
      <c r="Q1130" s="137"/>
    </row>
    <row r="1131" spans="1:17" ht="15" customHeight="1" x14ac:dyDescent="0.35">
      <c r="A1131" s="129"/>
      <c r="B1131" s="137"/>
      <c r="C1131" s="137"/>
      <c r="D1131" s="137"/>
      <c r="E1131" s="137"/>
      <c r="F1131" s="137"/>
      <c r="G1131" s="137"/>
      <c r="H1131" s="137"/>
      <c r="I1131" s="137"/>
      <c r="J1131" s="138"/>
      <c r="K1131" s="137"/>
      <c r="L1131" s="137"/>
      <c r="M1131" s="137"/>
      <c r="N1131" s="137"/>
      <c r="O1131" s="137"/>
      <c r="P1131" s="137"/>
      <c r="Q1131" s="137"/>
    </row>
    <row r="1132" spans="1:17" ht="15" customHeight="1" x14ac:dyDescent="0.35">
      <c r="A1132" s="129"/>
      <c r="B1132" s="137"/>
      <c r="C1132" s="137"/>
      <c r="D1132" s="137"/>
      <c r="E1132" s="137"/>
      <c r="F1132" s="137"/>
      <c r="G1132" s="137"/>
      <c r="H1132" s="137"/>
      <c r="I1132" s="137"/>
      <c r="J1132" s="138"/>
      <c r="K1132" s="137"/>
      <c r="L1132" s="137"/>
      <c r="M1132" s="137"/>
      <c r="N1132" s="137"/>
      <c r="O1132" s="137"/>
      <c r="P1132" s="137"/>
      <c r="Q1132" s="137"/>
    </row>
    <row r="1133" spans="1:17" ht="15" customHeight="1" x14ac:dyDescent="0.35">
      <c r="A1133" s="129"/>
      <c r="B1133" s="137"/>
      <c r="C1133" s="137"/>
      <c r="D1133" s="137"/>
      <c r="E1133" s="137"/>
      <c r="F1133" s="137"/>
      <c r="G1133" s="137"/>
      <c r="H1133" s="137"/>
      <c r="I1133" s="137"/>
      <c r="J1133" s="138"/>
      <c r="K1133" s="137"/>
      <c r="L1133" s="137"/>
      <c r="M1133" s="137"/>
      <c r="N1133" s="137"/>
      <c r="O1133" s="137"/>
      <c r="P1133" s="137"/>
      <c r="Q1133" s="137"/>
    </row>
    <row r="1134" spans="1:17" ht="15" customHeight="1" x14ac:dyDescent="0.35">
      <c r="A1134" s="129"/>
      <c r="B1134" s="137"/>
      <c r="C1134" s="137"/>
      <c r="D1134" s="137"/>
      <c r="E1134" s="137"/>
      <c r="F1134" s="137"/>
      <c r="G1134" s="137"/>
      <c r="H1134" s="137"/>
      <c r="I1134" s="137"/>
      <c r="J1134" s="138"/>
      <c r="K1134" s="137"/>
      <c r="L1134" s="137"/>
      <c r="M1134" s="137"/>
      <c r="N1134" s="137"/>
      <c r="O1134" s="137"/>
      <c r="P1134" s="137"/>
      <c r="Q1134" s="137"/>
    </row>
    <row r="1135" spans="1:17" ht="15" customHeight="1" x14ac:dyDescent="0.35">
      <c r="A1135" s="129"/>
      <c r="B1135" s="137"/>
      <c r="C1135" s="137"/>
      <c r="D1135" s="137"/>
      <c r="E1135" s="137"/>
      <c r="F1135" s="137"/>
      <c r="G1135" s="137"/>
      <c r="H1135" s="137"/>
      <c r="I1135" s="137"/>
      <c r="J1135" s="138"/>
      <c r="K1135" s="137"/>
      <c r="L1135" s="137"/>
      <c r="M1135" s="137"/>
      <c r="N1135" s="137"/>
      <c r="O1135" s="137"/>
      <c r="P1135" s="137"/>
      <c r="Q1135" s="137"/>
    </row>
    <row r="1136" spans="1:17" ht="15" customHeight="1" x14ac:dyDescent="0.35">
      <c r="A1136" s="129"/>
      <c r="B1136" s="137"/>
      <c r="C1136" s="137"/>
      <c r="D1136" s="137"/>
      <c r="E1136" s="137"/>
      <c r="F1136" s="137"/>
      <c r="G1136" s="137"/>
      <c r="H1136" s="137"/>
      <c r="I1136" s="137"/>
      <c r="J1136" s="138"/>
      <c r="K1136" s="137"/>
      <c r="L1136" s="137"/>
      <c r="M1136" s="137"/>
      <c r="N1136" s="137"/>
      <c r="O1136" s="137"/>
      <c r="P1136" s="137"/>
      <c r="Q1136" s="137"/>
    </row>
    <row r="1137" spans="1:17" ht="15" customHeight="1" x14ac:dyDescent="0.35">
      <c r="A1137" s="129"/>
      <c r="B1137" s="137"/>
      <c r="C1137" s="137"/>
      <c r="D1137" s="137"/>
      <c r="E1137" s="137"/>
      <c r="F1137" s="137"/>
      <c r="G1137" s="137"/>
      <c r="H1137" s="137"/>
      <c r="I1137" s="137"/>
      <c r="J1137" s="138"/>
      <c r="K1137" s="137"/>
      <c r="L1137" s="137"/>
      <c r="M1137" s="137"/>
      <c r="N1137" s="137"/>
      <c r="O1137" s="137"/>
      <c r="P1137" s="137"/>
      <c r="Q1137" s="137"/>
    </row>
    <row r="1138" spans="1:17" ht="15" customHeight="1" x14ac:dyDescent="0.35">
      <c r="A1138" s="129"/>
      <c r="B1138" s="137"/>
      <c r="C1138" s="137"/>
      <c r="D1138" s="137"/>
      <c r="E1138" s="137"/>
      <c r="F1138" s="137"/>
      <c r="G1138" s="137"/>
      <c r="H1138" s="137"/>
      <c r="I1138" s="137"/>
      <c r="J1138" s="138"/>
      <c r="K1138" s="137"/>
      <c r="L1138" s="137"/>
      <c r="M1138" s="137"/>
      <c r="N1138" s="137"/>
      <c r="O1138" s="137"/>
      <c r="P1138" s="137"/>
      <c r="Q1138" s="137"/>
    </row>
    <row r="1139" spans="1:17" ht="15" customHeight="1" x14ac:dyDescent="0.35">
      <c r="A1139" s="129"/>
      <c r="B1139" s="137"/>
      <c r="C1139" s="137"/>
      <c r="D1139" s="137"/>
      <c r="E1139" s="137"/>
      <c r="F1139" s="137"/>
      <c r="G1139" s="137"/>
      <c r="H1139" s="137"/>
      <c r="I1139" s="137"/>
      <c r="J1139" s="138"/>
      <c r="K1139" s="137"/>
      <c r="L1139" s="137"/>
      <c r="M1139" s="137"/>
      <c r="N1139" s="137"/>
      <c r="O1139" s="137"/>
      <c r="P1139" s="137"/>
      <c r="Q1139" s="137"/>
    </row>
    <row r="1140" spans="1:17" ht="15" customHeight="1" x14ac:dyDescent="0.35">
      <c r="A1140" s="129"/>
      <c r="B1140" s="137"/>
      <c r="C1140" s="137"/>
      <c r="D1140" s="137"/>
      <c r="E1140" s="137"/>
      <c r="F1140" s="137"/>
      <c r="G1140" s="137"/>
      <c r="H1140" s="137"/>
      <c r="I1140" s="137"/>
      <c r="J1140" s="138"/>
      <c r="K1140" s="137"/>
      <c r="L1140" s="137"/>
      <c r="M1140" s="137"/>
      <c r="N1140" s="137"/>
      <c r="O1140" s="137"/>
      <c r="P1140" s="137"/>
      <c r="Q1140" s="137"/>
    </row>
    <row r="1141" spans="1:17" ht="15" customHeight="1" x14ac:dyDescent="0.35">
      <c r="A1141" s="129"/>
      <c r="B1141" s="137"/>
      <c r="C1141" s="137"/>
      <c r="D1141" s="137"/>
      <c r="E1141" s="137"/>
      <c r="F1141" s="137"/>
      <c r="G1141" s="137"/>
      <c r="H1141" s="137"/>
      <c r="I1141" s="137"/>
      <c r="J1141" s="138"/>
      <c r="K1141" s="137"/>
      <c r="L1141" s="137"/>
      <c r="M1141" s="137"/>
      <c r="N1141" s="137"/>
      <c r="O1141" s="137"/>
      <c r="P1141" s="137"/>
      <c r="Q1141" s="137"/>
    </row>
    <row r="1142" spans="1:17" ht="15" customHeight="1" x14ac:dyDescent="0.35">
      <c r="A1142" s="129"/>
      <c r="B1142" s="137"/>
      <c r="C1142" s="137"/>
      <c r="D1142" s="137"/>
      <c r="E1142" s="137"/>
      <c r="F1142" s="137"/>
      <c r="G1142" s="137"/>
      <c r="H1142" s="137"/>
      <c r="I1142" s="137"/>
      <c r="J1142" s="138"/>
      <c r="K1142" s="137"/>
      <c r="L1142" s="137"/>
      <c r="M1142" s="137"/>
      <c r="N1142" s="137"/>
      <c r="O1142" s="137"/>
      <c r="P1142" s="137"/>
      <c r="Q1142" s="137"/>
    </row>
    <row r="1143" spans="1:17" ht="15" customHeight="1" x14ac:dyDescent="0.35">
      <c r="A1143" s="129"/>
      <c r="B1143" s="137"/>
      <c r="C1143" s="137"/>
      <c r="D1143" s="137"/>
      <c r="E1143" s="137"/>
      <c r="F1143" s="137"/>
      <c r="G1143" s="137"/>
      <c r="H1143" s="137"/>
      <c r="I1143" s="137"/>
      <c r="J1143" s="138"/>
      <c r="K1143" s="137"/>
      <c r="L1143" s="137"/>
      <c r="M1143" s="137"/>
      <c r="N1143" s="137"/>
      <c r="O1143" s="137"/>
      <c r="P1143" s="137"/>
      <c r="Q1143" s="137"/>
    </row>
    <row r="1144" spans="1:17" ht="15" customHeight="1" x14ac:dyDescent="0.35">
      <c r="A1144" s="129"/>
      <c r="B1144" s="137"/>
      <c r="C1144" s="137"/>
      <c r="D1144" s="137"/>
      <c r="E1144" s="137"/>
      <c r="F1144" s="137"/>
      <c r="G1144" s="137"/>
      <c r="H1144" s="137"/>
      <c r="I1144" s="137"/>
      <c r="J1144" s="138"/>
      <c r="K1144" s="137"/>
      <c r="L1144" s="137"/>
      <c r="M1144" s="137"/>
      <c r="N1144" s="137"/>
      <c r="O1144" s="137"/>
      <c r="P1144" s="137"/>
      <c r="Q1144" s="137"/>
    </row>
    <row r="1145" spans="1:17" ht="15" customHeight="1" x14ac:dyDescent="0.35">
      <c r="A1145" s="129"/>
      <c r="B1145" s="137"/>
      <c r="C1145" s="137"/>
      <c r="D1145" s="137"/>
      <c r="E1145" s="137"/>
      <c r="F1145" s="137"/>
      <c r="G1145" s="137"/>
      <c r="H1145" s="137"/>
      <c r="I1145" s="137"/>
      <c r="J1145" s="138"/>
      <c r="K1145" s="137"/>
      <c r="L1145" s="137"/>
      <c r="M1145" s="137"/>
      <c r="N1145" s="137"/>
      <c r="O1145" s="137"/>
      <c r="P1145" s="137"/>
      <c r="Q1145" s="137"/>
    </row>
    <row r="1146" spans="1:17" ht="15" customHeight="1" x14ac:dyDescent="0.35">
      <c r="A1146" s="129"/>
      <c r="B1146" s="137"/>
      <c r="C1146" s="137"/>
      <c r="D1146" s="137"/>
      <c r="E1146" s="137"/>
      <c r="F1146" s="137"/>
      <c r="G1146" s="137"/>
      <c r="H1146" s="137"/>
      <c r="I1146" s="137"/>
      <c r="J1146" s="138"/>
      <c r="K1146" s="137"/>
      <c r="L1146" s="137"/>
      <c r="M1146" s="137"/>
      <c r="N1146" s="137"/>
      <c r="O1146" s="137"/>
      <c r="P1146" s="137"/>
      <c r="Q1146" s="137"/>
    </row>
    <row r="1147" spans="1:17" ht="15" customHeight="1" x14ac:dyDescent="0.35">
      <c r="A1147" s="129"/>
      <c r="B1147" s="137"/>
      <c r="C1147" s="137"/>
      <c r="D1147" s="137"/>
      <c r="E1147" s="137"/>
      <c r="F1147" s="137"/>
      <c r="G1147" s="137"/>
      <c r="H1147" s="137"/>
      <c r="I1147" s="137"/>
      <c r="J1147" s="138"/>
      <c r="K1147" s="137"/>
      <c r="L1147" s="137"/>
      <c r="M1147" s="137"/>
      <c r="N1147" s="137"/>
      <c r="O1147" s="137"/>
      <c r="P1147" s="137"/>
      <c r="Q1147" s="137"/>
    </row>
    <row r="1148" spans="1:17" ht="15" customHeight="1" x14ac:dyDescent="0.35">
      <c r="A1148" s="129"/>
      <c r="B1148" s="137"/>
      <c r="C1148" s="137"/>
      <c r="D1148" s="137"/>
      <c r="E1148" s="137"/>
      <c r="F1148" s="137"/>
      <c r="G1148" s="137"/>
      <c r="H1148" s="137"/>
      <c r="I1148" s="137"/>
      <c r="J1148" s="138"/>
      <c r="K1148" s="137"/>
      <c r="L1148" s="137"/>
      <c r="M1148" s="137"/>
      <c r="N1148" s="137"/>
      <c r="O1148" s="137"/>
      <c r="P1148" s="137"/>
      <c r="Q1148" s="137"/>
    </row>
    <row r="1149" spans="1:17" ht="15" customHeight="1" x14ac:dyDescent="0.35">
      <c r="A1149" s="129"/>
      <c r="B1149" s="137"/>
      <c r="C1149" s="137"/>
      <c r="D1149" s="137"/>
      <c r="E1149" s="137"/>
      <c r="F1149" s="137"/>
      <c r="G1149" s="137"/>
      <c r="H1149" s="137"/>
      <c r="I1149" s="137"/>
      <c r="J1149" s="138"/>
      <c r="K1149" s="137"/>
      <c r="L1149" s="137"/>
      <c r="M1149" s="137"/>
      <c r="N1149" s="137"/>
      <c r="O1149" s="137"/>
      <c r="P1149" s="137"/>
      <c r="Q1149" s="137"/>
    </row>
    <row r="1150" spans="1:17" ht="15" customHeight="1" x14ac:dyDescent="0.35">
      <c r="A1150" s="129"/>
      <c r="B1150" s="137"/>
      <c r="C1150" s="137"/>
      <c r="D1150" s="137"/>
      <c r="E1150" s="137"/>
      <c r="F1150" s="137"/>
      <c r="G1150" s="137"/>
      <c r="H1150" s="137"/>
      <c r="I1150" s="137"/>
      <c r="J1150" s="138"/>
      <c r="K1150" s="137"/>
      <c r="L1150" s="137"/>
      <c r="M1150" s="137"/>
      <c r="N1150" s="137"/>
      <c r="O1150" s="137"/>
      <c r="P1150" s="137"/>
      <c r="Q1150" s="137"/>
    </row>
    <row r="1151" spans="1:17" ht="15" customHeight="1" x14ac:dyDescent="0.35">
      <c r="A1151" s="129"/>
      <c r="B1151" s="137"/>
      <c r="C1151" s="137"/>
      <c r="D1151" s="137"/>
      <c r="E1151" s="137"/>
      <c r="F1151" s="137"/>
      <c r="G1151" s="137"/>
      <c r="H1151" s="137"/>
      <c r="I1151" s="137"/>
      <c r="J1151" s="138"/>
      <c r="K1151" s="137"/>
      <c r="L1151" s="137"/>
      <c r="M1151" s="137"/>
      <c r="N1151" s="137"/>
      <c r="O1151" s="137"/>
      <c r="P1151" s="137"/>
      <c r="Q1151" s="137"/>
    </row>
    <row r="1152" spans="1:17" ht="15" customHeight="1" x14ac:dyDescent="0.35">
      <c r="A1152" s="129"/>
      <c r="B1152" s="137"/>
      <c r="C1152" s="137"/>
      <c r="D1152" s="137"/>
      <c r="E1152" s="137"/>
      <c r="F1152" s="137"/>
      <c r="G1152" s="137"/>
      <c r="H1152" s="137"/>
      <c r="I1152" s="137"/>
      <c r="J1152" s="138"/>
      <c r="K1152" s="137"/>
      <c r="L1152" s="137"/>
      <c r="M1152" s="137"/>
      <c r="N1152" s="137"/>
      <c r="O1152" s="137"/>
      <c r="P1152" s="137"/>
      <c r="Q1152" s="137"/>
    </row>
    <row r="1153" spans="1:17" ht="15" customHeight="1" x14ac:dyDescent="0.35">
      <c r="A1153" s="129"/>
      <c r="B1153" s="137"/>
      <c r="C1153" s="137"/>
      <c r="D1153" s="137"/>
      <c r="E1153" s="137"/>
      <c r="F1153" s="137"/>
      <c r="G1153" s="137"/>
      <c r="H1153" s="137"/>
      <c r="I1153" s="137"/>
      <c r="J1153" s="138"/>
      <c r="K1153" s="137"/>
      <c r="L1153" s="137"/>
      <c r="M1153" s="137"/>
      <c r="N1153" s="137"/>
      <c r="O1153" s="137"/>
      <c r="P1153" s="137"/>
      <c r="Q1153" s="137"/>
    </row>
    <row r="1154" spans="1:17" ht="15" customHeight="1" x14ac:dyDescent="0.35">
      <c r="A1154" s="129"/>
      <c r="B1154" s="137"/>
      <c r="C1154" s="137"/>
      <c r="D1154" s="137"/>
      <c r="E1154" s="137"/>
      <c r="F1154" s="137"/>
      <c r="G1154" s="137"/>
      <c r="H1154" s="137"/>
      <c r="I1154" s="137"/>
      <c r="J1154" s="138"/>
      <c r="K1154" s="137"/>
      <c r="L1154" s="137"/>
      <c r="M1154" s="137"/>
      <c r="N1154" s="137"/>
      <c r="O1154" s="137"/>
      <c r="P1154" s="137"/>
      <c r="Q1154" s="137"/>
    </row>
    <row r="1155" spans="1:17" ht="15" customHeight="1" x14ac:dyDescent="0.35">
      <c r="A1155" s="129"/>
      <c r="B1155" s="137"/>
      <c r="C1155" s="137"/>
      <c r="D1155" s="137"/>
      <c r="E1155" s="137"/>
      <c r="F1155" s="137"/>
      <c r="G1155" s="137"/>
      <c r="H1155" s="137"/>
      <c r="I1155" s="137"/>
      <c r="J1155" s="138"/>
      <c r="K1155" s="137"/>
      <c r="L1155" s="137"/>
      <c r="M1155" s="137"/>
      <c r="N1155" s="137"/>
      <c r="O1155" s="137"/>
      <c r="P1155" s="137"/>
      <c r="Q1155" s="137"/>
    </row>
    <row r="1156" spans="1:17" ht="15" customHeight="1" x14ac:dyDescent="0.35">
      <c r="A1156" s="129"/>
      <c r="B1156" s="137"/>
      <c r="C1156" s="137"/>
      <c r="D1156" s="137"/>
      <c r="E1156" s="137"/>
      <c r="F1156" s="137"/>
      <c r="G1156" s="137"/>
      <c r="H1156" s="137"/>
      <c r="I1156" s="137"/>
      <c r="J1156" s="138"/>
      <c r="K1156" s="137"/>
      <c r="L1156" s="137"/>
      <c r="M1156" s="137"/>
      <c r="N1156" s="137"/>
      <c r="O1156" s="137"/>
      <c r="P1156" s="137"/>
      <c r="Q1156" s="137"/>
    </row>
    <row r="1157" spans="1:17" ht="15" customHeight="1" x14ac:dyDescent="0.35">
      <c r="A1157" s="129"/>
      <c r="B1157" s="137"/>
      <c r="C1157" s="137"/>
      <c r="D1157" s="137"/>
      <c r="E1157" s="137"/>
      <c r="F1157" s="137"/>
      <c r="G1157" s="137"/>
      <c r="H1157" s="137"/>
      <c r="I1157" s="137"/>
      <c r="J1157" s="138"/>
      <c r="K1157" s="137"/>
      <c r="L1157" s="137"/>
      <c r="M1157" s="137"/>
      <c r="N1157" s="137"/>
      <c r="O1157" s="137"/>
      <c r="P1157" s="137"/>
      <c r="Q1157" s="137"/>
    </row>
    <row r="1158" spans="1:17" ht="15" customHeight="1" x14ac:dyDescent="0.35">
      <c r="A1158" s="129"/>
      <c r="B1158" s="137"/>
      <c r="C1158" s="137"/>
      <c r="D1158" s="137"/>
      <c r="E1158" s="137"/>
      <c r="F1158" s="137"/>
      <c r="G1158" s="137"/>
      <c r="H1158" s="137"/>
      <c r="I1158" s="137"/>
      <c r="J1158" s="138"/>
      <c r="K1158" s="137"/>
      <c r="L1158" s="137"/>
      <c r="M1158" s="137"/>
      <c r="N1158" s="137"/>
      <c r="O1158" s="137"/>
      <c r="P1158" s="137"/>
      <c r="Q1158" s="137"/>
    </row>
    <row r="1159" spans="1:17" ht="15" customHeight="1" x14ac:dyDescent="0.35">
      <c r="A1159" s="129"/>
      <c r="B1159" s="137"/>
      <c r="C1159" s="137"/>
      <c r="D1159" s="137"/>
      <c r="E1159" s="137"/>
      <c r="F1159" s="137"/>
      <c r="G1159" s="137"/>
      <c r="H1159" s="137"/>
      <c r="I1159" s="137"/>
      <c r="J1159" s="138"/>
      <c r="K1159" s="137"/>
      <c r="L1159" s="137"/>
      <c r="M1159" s="137"/>
      <c r="N1159" s="137"/>
      <c r="O1159" s="137"/>
      <c r="P1159" s="137"/>
      <c r="Q1159" s="137"/>
    </row>
    <row r="1160" spans="1:17" ht="15" customHeight="1" x14ac:dyDescent="0.35">
      <c r="A1160" s="129"/>
      <c r="B1160" s="137"/>
      <c r="C1160" s="137"/>
      <c r="D1160" s="137"/>
      <c r="E1160" s="137"/>
      <c r="F1160" s="137"/>
      <c r="G1160" s="137"/>
      <c r="H1160" s="137"/>
      <c r="I1160" s="137"/>
      <c r="J1160" s="138"/>
      <c r="K1160" s="137"/>
      <c r="L1160" s="137"/>
      <c r="M1160" s="137"/>
      <c r="N1160" s="137"/>
      <c r="O1160" s="137"/>
      <c r="P1160" s="137"/>
      <c r="Q1160" s="137"/>
    </row>
    <row r="1161" spans="1:17" ht="15" customHeight="1" x14ac:dyDescent="0.35">
      <c r="A1161" s="129"/>
      <c r="B1161" s="137"/>
      <c r="C1161" s="137"/>
      <c r="D1161" s="137"/>
      <c r="E1161" s="137"/>
      <c r="F1161" s="137"/>
      <c r="G1161" s="137"/>
      <c r="H1161" s="137"/>
      <c r="I1161" s="137"/>
      <c r="J1161" s="138"/>
      <c r="K1161" s="137"/>
      <c r="L1161" s="137"/>
      <c r="M1161" s="137"/>
      <c r="N1161" s="137"/>
      <c r="O1161" s="137"/>
      <c r="P1161" s="137"/>
      <c r="Q1161" s="137"/>
    </row>
    <row r="1162" spans="1:17" ht="15" customHeight="1" x14ac:dyDescent="0.35">
      <c r="A1162" s="129"/>
      <c r="B1162" s="137"/>
      <c r="C1162" s="137"/>
      <c r="D1162" s="137"/>
      <c r="E1162" s="137"/>
      <c r="F1162" s="137"/>
      <c r="G1162" s="137"/>
      <c r="H1162" s="137"/>
      <c r="I1162" s="137"/>
      <c r="J1162" s="138"/>
      <c r="K1162" s="137"/>
      <c r="L1162" s="137"/>
      <c r="M1162" s="137"/>
      <c r="N1162" s="137"/>
      <c r="O1162" s="137"/>
      <c r="P1162" s="137"/>
      <c r="Q1162" s="137"/>
    </row>
    <row r="1163" spans="1:17" ht="15" customHeight="1" x14ac:dyDescent="0.35">
      <c r="A1163" s="129"/>
      <c r="B1163" s="137"/>
      <c r="C1163" s="137"/>
      <c r="D1163" s="137"/>
      <c r="E1163" s="137"/>
      <c r="F1163" s="137"/>
      <c r="G1163" s="137"/>
      <c r="H1163" s="137"/>
      <c r="I1163" s="137"/>
      <c r="J1163" s="138"/>
      <c r="K1163" s="137"/>
      <c r="L1163" s="137"/>
      <c r="M1163" s="137"/>
      <c r="N1163" s="137"/>
      <c r="O1163" s="137"/>
      <c r="P1163" s="137"/>
      <c r="Q1163" s="137"/>
    </row>
    <row r="1164" spans="1:17" ht="15" customHeight="1" x14ac:dyDescent="0.35">
      <c r="A1164" s="129"/>
      <c r="B1164" s="137"/>
      <c r="C1164" s="137"/>
      <c r="D1164" s="137"/>
      <c r="E1164" s="137"/>
      <c r="F1164" s="137"/>
      <c r="G1164" s="137"/>
      <c r="H1164" s="137"/>
      <c r="I1164" s="137"/>
      <c r="J1164" s="138"/>
      <c r="K1164" s="137"/>
      <c r="L1164" s="137"/>
      <c r="M1164" s="137"/>
      <c r="N1164" s="137"/>
      <c r="O1164" s="137"/>
      <c r="P1164" s="137"/>
      <c r="Q1164" s="137"/>
    </row>
    <row r="1165" spans="1:17" ht="15" customHeight="1" x14ac:dyDescent="0.35">
      <c r="A1165" s="129"/>
      <c r="B1165" s="137"/>
      <c r="C1165" s="137"/>
      <c r="D1165" s="137"/>
      <c r="E1165" s="137"/>
      <c r="F1165" s="137"/>
      <c r="G1165" s="137"/>
      <c r="H1165" s="137"/>
      <c r="I1165" s="137"/>
      <c r="J1165" s="138"/>
      <c r="K1165" s="137"/>
      <c r="L1165" s="137"/>
      <c r="M1165" s="137"/>
      <c r="N1165" s="137"/>
      <c r="O1165" s="137"/>
      <c r="P1165" s="137"/>
      <c r="Q1165" s="137"/>
    </row>
    <row r="1166" spans="1:17" ht="15" customHeight="1" x14ac:dyDescent="0.35">
      <c r="A1166" s="129"/>
      <c r="B1166" s="137"/>
      <c r="C1166" s="137"/>
      <c r="D1166" s="137"/>
      <c r="E1166" s="137"/>
      <c r="F1166" s="137"/>
      <c r="G1166" s="137"/>
      <c r="H1166" s="137"/>
      <c r="I1166" s="137"/>
      <c r="J1166" s="138"/>
      <c r="K1166" s="137"/>
      <c r="L1166" s="137"/>
      <c r="M1166" s="137"/>
      <c r="N1166" s="137"/>
      <c r="O1166" s="137"/>
      <c r="P1166" s="137"/>
      <c r="Q1166" s="137"/>
    </row>
    <row r="1167" spans="1:17" ht="15" customHeight="1" x14ac:dyDescent="0.35">
      <c r="A1167" s="129"/>
      <c r="B1167" s="137"/>
      <c r="C1167" s="137"/>
      <c r="D1167" s="137"/>
      <c r="E1167" s="137"/>
      <c r="F1167" s="137"/>
      <c r="G1167" s="137"/>
      <c r="H1167" s="137"/>
      <c r="I1167" s="137"/>
      <c r="J1167" s="138"/>
      <c r="K1167" s="137"/>
      <c r="L1167" s="137"/>
      <c r="M1167" s="137"/>
      <c r="N1167" s="137"/>
      <c r="O1167" s="137"/>
      <c r="P1167" s="137"/>
      <c r="Q1167" s="137"/>
    </row>
    <row r="1168" spans="1:17" ht="15" customHeight="1" x14ac:dyDescent="0.35">
      <c r="A1168" s="129"/>
      <c r="B1168" s="137"/>
      <c r="C1168" s="137"/>
      <c r="D1168" s="137"/>
      <c r="E1168" s="137"/>
      <c r="F1168" s="137"/>
      <c r="G1168" s="137"/>
      <c r="H1168" s="137"/>
      <c r="I1168" s="137"/>
      <c r="J1168" s="138"/>
      <c r="K1168" s="137"/>
      <c r="L1168" s="137"/>
      <c r="M1168" s="137"/>
      <c r="N1168" s="137"/>
      <c r="O1168" s="137"/>
      <c r="P1168" s="137"/>
      <c r="Q1168" s="137"/>
    </row>
    <row r="1169" spans="1:17" ht="15" customHeight="1" x14ac:dyDescent="0.35">
      <c r="A1169" s="129"/>
      <c r="B1169" s="137"/>
      <c r="C1169" s="137"/>
      <c r="D1169" s="137"/>
      <c r="E1169" s="137"/>
      <c r="F1169" s="137"/>
      <c r="G1169" s="137"/>
      <c r="H1169" s="137"/>
      <c r="I1169" s="137"/>
      <c r="J1169" s="138"/>
      <c r="K1169" s="137"/>
      <c r="L1169" s="137"/>
      <c r="M1169" s="137"/>
      <c r="N1169" s="137"/>
      <c r="O1169" s="137"/>
      <c r="P1169" s="137"/>
      <c r="Q1169" s="137"/>
    </row>
    <row r="1170" spans="1:17" ht="15" customHeight="1" x14ac:dyDescent="0.35">
      <c r="A1170" s="129"/>
      <c r="B1170" s="137"/>
      <c r="C1170" s="137"/>
      <c r="D1170" s="137"/>
      <c r="E1170" s="137"/>
      <c r="F1170" s="137"/>
      <c r="G1170" s="137"/>
      <c r="H1170" s="137"/>
      <c r="I1170" s="137"/>
      <c r="J1170" s="138"/>
      <c r="K1170" s="137"/>
      <c r="L1170" s="137"/>
      <c r="M1170" s="137"/>
      <c r="N1170" s="137"/>
      <c r="O1170" s="137"/>
      <c r="P1170" s="137"/>
      <c r="Q1170" s="137"/>
    </row>
    <row r="1171" spans="1:17" ht="15" customHeight="1" x14ac:dyDescent="0.35">
      <c r="A1171" s="129"/>
      <c r="B1171" s="137"/>
      <c r="C1171" s="137"/>
      <c r="D1171" s="137"/>
      <c r="E1171" s="137"/>
      <c r="F1171" s="137"/>
      <c r="G1171" s="137"/>
      <c r="H1171" s="137"/>
      <c r="I1171" s="137"/>
      <c r="J1171" s="138"/>
      <c r="K1171" s="137"/>
      <c r="L1171" s="137"/>
      <c r="M1171" s="137"/>
      <c r="N1171" s="137"/>
      <c r="O1171" s="137"/>
      <c r="P1171" s="137"/>
      <c r="Q1171" s="137"/>
    </row>
    <row r="1172" spans="1:17" ht="15" customHeight="1" x14ac:dyDescent="0.35">
      <c r="A1172" s="129"/>
      <c r="B1172" s="137"/>
      <c r="C1172" s="137"/>
      <c r="D1172" s="137"/>
      <c r="E1172" s="137"/>
      <c r="F1172" s="137"/>
      <c r="G1172" s="137"/>
      <c r="H1172" s="137"/>
      <c r="I1172" s="137"/>
      <c r="J1172" s="138"/>
      <c r="K1172" s="137"/>
      <c r="L1172" s="137"/>
      <c r="M1172" s="137"/>
      <c r="N1172" s="137"/>
      <c r="O1172" s="137"/>
      <c r="P1172" s="137"/>
      <c r="Q1172" s="137"/>
    </row>
    <row r="1173" spans="1:17" ht="15" customHeight="1" x14ac:dyDescent="0.35">
      <c r="A1173" s="129"/>
      <c r="B1173" s="137"/>
      <c r="C1173" s="137"/>
      <c r="D1173" s="137"/>
      <c r="E1173" s="137"/>
      <c r="F1173" s="137"/>
      <c r="G1173" s="137"/>
      <c r="H1173" s="137"/>
      <c r="I1173" s="137"/>
      <c r="J1173" s="138"/>
      <c r="K1173" s="137"/>
      <c r="L1173" s="137"/>
      <c r="M1173" s="137"/>
      <c r="N1173" s="137"/>
      <c r="O1173" s="137"/>
      <c r="P1173" s="137"/>
      <c r="Q1173" s="137"/>
    </row>
    <row r="1174" spans="1:17" ht="15" customHeight="1" x14ac:dyDescent="0.35">
      <c r="A1174" s="129"/>
      <c r="B1174" s="137"/>
      <c r="C1174" s="137"/>
      <c r="D1174" s="137"/>
      <c r="E1174" s="137"/>
      <c r="F1174" s="137"/>
      <c r="G1174" s="137"/>
      <c r="H1174" s="137"/>
      <c r="I1174" s="137"/>
      <c r="J1174" s="138"/>
      <c r="K1174" s="137"/>
      <c r="L1174" s="137"/>
      <c r="M1174" s="137"/>
      <c r="N1174" s="137"/>
      <c r="O1174" s="137"/>
      <c r="P1174" s="137"/>
      <c r="Q1174" s="137"/>
    </row>
    <row r="1175" spans="1:17" ht="15" customHeight="1" x14ac:dyDescent="0.35">
      <c r="A1175" s="129"/>
      <c r="B1175" s="137"/>
      <c r="C1175" s="137"/>
      <c r="D1175" s="137"/>
      <c r="E1175" s="137"/>
      <c r="F1175" s="137"/>
      <c r="G1175" s="137"/>
      <c r="H1175" s="137"/>
      <c r="I1175" s="137"/>
      <c r="J1175" s="138"/>
      <c r="K1175" s="137"/>
      <c r="L1175" s="137"/>
      <c r="M1175" s="137"/>
      <c r="N1175" s="137"/>
      <c r="O1175" s="137"/>
      <c r="P1175" s="137"/>
      <c r="Q1175" s="137"/>
    </row>
    <row r="1176" spans="1:17" ht="15" customHeight="1" x14ac:dyDescent="0.35">
      <c r="A1176" s="129"/>
      <c r="B1176" s="137"/>
      <c r="C1176" s="137"/>
      <c r="D1176" s="137"/>
      <c r="E1176" s="137"/>
      <c r="F1176" s="137"/>
      <c r="G1176" s="137"/>
      <c r="H1176" s="137"/>
      <c r="I1176" s="137"/>
      <c r="J1176" s="138"/>
      <c r="K1176" s="137"/>
      <c r="L1176" s="137"/>
      <c r="M1176" s="137"/>
      <c r="N1176" s="137"/>
      <c r="O1176" s="137"/>
      <c r="P1176" s="137"/>
      <c r="Q1176" s="137"/>
    </row>
    <row r="1177" spans="1:17" ht="15" customHeight="1" x14ac:dyDescent="0.35">
      <c r="A1177" s="129"/>
      <c r="B1177" s="137"/>
      <c r="C1177" s="137"/>
      <c r="D1177" s="137"/>
      <c r="E1177" s="137"/>
      <c r="F1177" s="137"/>
      <c r="G1177" s="137"/>
      <c r="H1177" s="137"/>
      <c r="I1177" s="137"/>
      <c r="J1177" s="138"/>
      <c r="K1177" s="137"/>
      <c r="L1177" s="137"/>
      <c r="M1177" s="137"/>
      <c r="N1177" s="137"/>
      <c r="O1177" s="137"/>
      <c r="P1177" s="137"/>
      <c r="Q1177" s="137"/>
    </row>
    <row r="1178" spans="1:17" ht="15" customHeight="1" x14ac:dyDescent="0.35">
      <c r="A1178" s="129"/>
      <c r="B1178" s="137"/>
      <c r="C1178" s="137"/>
      <c r="D1178" s="137"/>
      <c r="E1178" s="137"/>
      <c r="F1178" s="137"/>
      <c r="G1178" s="137"/>
      <c r="H1178" s="137"/>
      <c r="I1178" s="137"/>
      <c r="J1178" s="138"/>
      <c r="K1178" s="137"/>
      <c r="L1178" s="137"/>
      <c r="M1178" s="137"/>
      <c r="N1178" s="137"/>
      <c r="O1178" s="137"/>
      <c r="P1178" s="137"/>
      <c r="Q1178" s="137"/>
    </row>
    <row r="1179" spans="1:17" ht="15" customHeight="1" x14ac:dyDescent="0.35">
      <c r="A1179" s="129"/>
      <c r="B1179" s="137"/>
      <c r="C1179" s="137"/>
      <c r="D1179" s="137"/>
      <c r="E1179" s="137"/>
      <c r="F1179" s="137"/>
      <c r="G1179" s="137"/>
      <c r="H1179" s="137"/>
      <c r="I1179" s="137"/>
      <c r="J1179" s="138"/>
      <c r="K1179" s="137"/>
      <c r="L1179" s="137"/>
      <c r="M1179" s="137"/>
      <c r="N1179" s="137"/>
      <c r="O1179" s="137"/>
      <c r="P1179" s="137"/>
      <c r="Q1179" s="137"/>
    </row>
    <row r="1180" spans="1:17" ht="15" customHeight="1" x14ac:dyDescent="0.35">
      <c r="A1180" s="129"/>
      <c r="B1180" s="137"/>
      <c r="C1180" s="137"/>
      <c r="D1180" s="137"/>
      <c r="E1180" s="137"/>
      <c r="F1180" s="137"/>
      <c r="G1180" s="137"/>
      <c r="H1180" s="137"/>
      <c r="I1180" s="137"/>
      <c r="J1180" s="138"/>
      <c r="K1180" s="137"/>
      <c r="L1180" s="137"/>
      <c r="M1180" s="137"/>
      <c r="N1180" s="137"/>
      <c r="O1180" s="137"/>
      <c r="P1180" s="137"/>
      <c r="Q1180" s="137"/>
    </row>
    <row r="1181" spans="1:17" ht="15" customHeight="1" x14ac:dyDescent="0.35">
      <c r="A1181" s="129"/>
      <c r="B1181" s="137"/>
      <c r="C1181" s="137"/>
      <c r="D1181" s="137"/>
      <c r="E1181" s="137"/>
      <c r="F1181" s="137"/>
      <c r="G1181" s="137"/>
      <c r="H1181" s="137"/>
      <c r="I1181" s="137"/>
      <c r="J1181" s="138"/>
      <c r="K1181" s="137"/>
      <c r="L1181" s="137"/>
      <c r="M1181" s="137"/>
      <c r="N1181" s="137"/>
      <c r="O1181" s="137"/>
      <c r="P1181" s="137"/>
      <c r="Q1181" s="137"/>
    </row>
    <row r="1182" spans="1:17" ht="15" customHeight="1" x14ac:dyDescent="0.35">
      <c r="A1182" s="129"/>
      <c r="B1182" s="137"/>
      <c r="C1182" s="137"/>
      <c r="D1182" s="137"/>
      <c r="E1182" s="137"/>
      <c r="F1182" s="137"/>
      <c r="G1182" s="137"/>
      <c r="H1182" s="137"/>
      <c r="I1182" s="137"/>
      <c r="J1182" s="138"/>
      <c r="K1182" s="137"/>
      <c r="L1182" s="137"/>
      <c r="M1182" s="137"/>
      <c r="N1182" s="137"/>
      <c r="O1182" s="137"/>
      <c r="P1182" s="137"/>
      <c r="Q1182" s="137"/>
    </row>
    <row r="1183" spans="1:17" ht="15" customHeight="1" x14ac:dyDescent="0.35">
      <c r="A1183" s="129"/>
      <c r="B1183" s="137"/>
      <c r="C1183" s="137"/>
      <c r="D1183" s="137"/>
      <c r="E1183" s="137"/>
      <c r="F1183" s="137"/>
      <c r="G1183" s="137"/>
      <c r="H1183" s="137"/>
      <c r="I1183" s="137"/>
      <c r="J1183" s="138"/>
      <c r="K1183" s="137"/>
      <c r="L1183" s="137"/>
      <c r="M1183" s="137"/>
      <c r="N1183" s="137"/>
      <c r="O1183" s="137"/>
      <c r="P1183" s="137"/>
      <c r="Q1183" s="137"/>
    </row>
    <row r="1184" spans="1:17" ht="15" customHeight="1" x14ac:dyDescent="0.35">
      <c r="A1184" s="129"/>
      <c r="B1184" s="137"/>
      <c r="C1184" s="137"/>
      <c r="D1184" s="137"/>
      <c r="E1184" s="137"/>
      <c r="F1184" s="137"/>
      <c r="G1184" s="137"/>
      <c r="H1184" s="137"/>
      <c r="I1184" s="137"/>
      <c r="J1184" s="138"/>
      <c r="K1184" s="137"/>
      <c r="L1184" s="137"/>
      <c r="M1184" s="137"/>
      <c r="N1184" s="137"/>
      <c r="O1184" s="137"/>
      <c r="P1184" s="137"/>
      <c r="Q1184" s="137"/>
    </row>
    <row r="1185" spans="1:17" ht="15" customHeight="1" x14ac:dyDescent="0.35">
      <c r="A1185" s="129"/>
      <c r="B1185" s="137"/>
      <c r="C1185" s="137"/>
      <c r="D1185" s="137"/>
      <c r="E1185" s="137"/>
      <c r="F1185" s="137"/>
      <c r="G1185" s="137"/>
      <c r="H1185" s="137"/>
      <c r="I1185" s="137"/>
      <c r="J1185" s="138"/>
      <c r="K1185" s="137"/>
      <c r="L1185" s="137"/>
      <c r="M1185" s="137"/>
      <c r="N1185" s="137"/>
      <c r="O1185" s="137"/>
      <c r="P1185" s="137"/>
      <c r="Q1185" s="137"/>
    </row>
    <row r="1186" spans="1:17" ht="15" customHeight="1" x14ac:dyDescent="0.35">
      <c r="A1186" s="129"/>
      <c r="B1186" s="137"/>
      <c r="C1186" s="137"/>
      <c r="D1186" s="137"/>
      <c r="E1186" s="137"/>
      <c r="F1186" s="137"/>
      <c r="G1186" s="137"/>
      <c r="H1186" s="137"/>
      <c r="I1186" s="137"/>
      <c r="J1186" s="138"/>
      <c r="K1186" s="137"/>
      <c r="L1186" s="137"/>
      <c r="M1186" s="137"/>
      <c r="N1186" s="137"/>
      <c r="O1186" s="137"/>
      <c r="P1186" s="137"/>
      <c r="Q1186" s="137"/>
    </row>
    <row r="1187" spans="1:17" ht="15" customHeight="1" x14ac:dyDescent="0.35">
      <c r="A1187" s="129"/>
      <c r="B1187" s="137"/>
      <c r="C1187" s="137"/>
      <c r="D1187" s="137"/>
      <c r="E1187" s="137"/>
      <c r="F1187" s="137"/>
      <c r="G1187" s="137"/>
      <c r="H1187" s="137"/>
      <c r="I1187" s="137"/>
      <c r="J1187" s="138"/>
      <c r="K1187" s="137"/>
      <c r="L1187" s="137"/>
      <c r="M1187" s="137"/>
      <c r="N1187" s="137"/>
      <c r="O1187" s="137"/>
      <c r="P1187" s="137"/>
      <c r="Q1187" s="137"/>
    </row>
    <row r="1188" spans="1:17" ht="15" customHeight="1" x14ac:dyDescent="0.35">
      <c r="A1188" s="129"/>
      <c r="B1188" s="137"/>
      <c r="C1188" s="137"/>
      <c r="D1188" s="137"/>
      <c r="E1188" s="137"/>
      <c r="F1188" s="137"/>
      <c r="G1188" s="137"/>
      <c r="H1188" s="137"/>
      <c r="I1188" s="137"/>
      <c r="J1188" s="138"/>
      <c r="K1188" s="137"/>
      <c r="L1188" s="137"/>
      <c r="M1188" s="137"/>
      <c r="N1188" s="137"/>
      <c r="O1188" s="137"/>
      <c r="P1188" s="137"/>
      <c r="Q1188" s="137"/>
    </row>
    <row r="1189" spans="1:17" ht="15" customHeight="1" x14ac:dyDescent="0.35">
      <c r="A1189" s="129"/>
      <c r="B1189" s="137"/>
      <c r="C1189" s="137"/>
      <c r="D1189" s="137"/>
      <c r="E1189" s="137"/>
      <c r="F1189" s="137"/>
      <c r="G1189" s="137"/>
      <c r="H1189" s="137"/>
      <c r="I1189" s="137"/>
      <c r="J1189" s="138"/>
      <c r="K1189" s="137"/>
      <c r="L1189" s="137"/>
      <c r="M1189" s="137"/>
      <c r="N1189" s="137"/>
      <c r="O1189" s="137"/>
      <c r="P1189" s="137"/>
      <c r="Q1189" s="137"/>
    </row>
    <row r="1190" spans="1:17" ht="15" customHeight="1" x14ac:dyDescent="0.35">
      <c r="A1190" s="129"/>
      <c r="B1190" s="137"/>
      <c r="C1190" s="137"/>
      <c r="D1190" s="137"/>
      <c r="E1190" s="137"/>
      <c r="F1190" s="137"/>
      <c r="G1190" s="137"/>
      <c r="H1190" s="137"/>
      <c r="I1190" s="137"/>
      <c r="J1190" s="138"/>
      <c r="K1190" s="137"/>
      <c r="L1190" s="137"/>
      <c r="M1190" s="137"/>
      <c r="N1190" s="137"/>
      <c r="O1190" s="137"/>
      <c r="P1190" s="137"/>
      <c r="Q1190" s="137"/>
    </row>
    <row r="1191" spans="1:17" ht="15" customHeight="1" x14ac:dyDescent="0.35">
      <c r="A1191" s="129"/>
      <c r="B1191" s="137"/>
      <c r="C1191" s="137"/>
      <c r="D1191" s="137"/>
      <c r="E1191" s="137"/>
      <c r="F1191" s="137"/>
      <c r="G1191" s="137"/>
      <c r="H1191" s="137"/>
      <c r="I1191" s="137"/>
      <c r="J1191" s="138"/>
      <c r="K1191" s="137"/>
      <c r="L1191" s="137"/>
      <c r="M1191" s="137"/>
      <c r="N1191" s="137"/>
      <c r="O1191" s="137"/>
      <c r="P1191" s="137"/>
      <c r="Q1191" s="137"/>
    </row>
    <row r="1192" spans="1:17" ht="15" customHeight="1" x14ac:dyDescent="0.35">
      <c r="A1192" s="129"/>
      <c r="B1192" s="137"/>
      <c r="C1192" s="137"/>
      <c r="D1192" s="137"/>
      <c r="E1192" s="137"/>
      <c r="F1192" s="137"/>
      <c r="G1192" s="137"/>
      <c r="H1192" s="137"/>
      <c r="I1192" s="137"/>
      <c r="J1192" s="138"/>
      <c r="K1192" s="137"/>
      <c r="L1192" s="137"/>
      <c r="M1192" s="137"/>
      <c r="N1192" s="137"/>
      <c r="O1192" s="137"/>
      <c r="P1192" s="137"/>
      <c r="Q1192" s="137"/>
    </row>
    <row r="1193" spans="1:17" ht="15" customHeight="1" x14ac:dyDescent="0.35">
      <c r="A1193" s="129"/>
      <c r="B1193" s="137"/>
      <c r="C1193" s="137"/>
      <c r="D1193" s="137"/>
      <c r="E1193" s="137"/>
      <c r="F1193" s="137"/>
      <c r="G1193" s="137"/>
      <c r="H1193" s="137"/>
      <c r="I1193" s="137"/>
      <c r="J1193" s="138"/>
      <c r="K1193" s="137"/>
      <c r="L1193" s="137"/>
      <c r="M1193" s="137"/>
      <c r="N1193" s="137"/>
      <c r="O1193" s="137"/>
      <c r="P1193" s="137"/>
      <c r="Q1193" s="137"/>
    </row>
    <row r="1194" spans="1:17" ht="15" customHeight="1" x14ac:dyDescent="0.35">
      <c r="A1194" s="129"/>
      <c r="B1194" s="137"/>
      <c r="C1194" s="137"/>
      <c r="D1194" s="137"/>
      <c r="E1194" s="137"/>
      <c r="F1194" s="137"/>
      <c r="G1194" s="137"/>
      <c r="H1194" s="137"/>
      <c r="I1194" s="137"/>
      <c r="J1194" s="138"/>
      <c r="K1194" s="137"/>
      <c r="L1194" s="137"/>
      <c r="M1194" s="137"/>
      <c r="N1194" s="137"/>
      <c r="O1194" s="137"/>
      <c r="P1194" s="137"/>
      <c r="Q1194" s="137"/>
    </row>
    <row r="1195" spans="1:17" ht="15" customHeight="1" x14ac:dyDescent="0.35">
      <c r="A1195" s="129"/>
      <c r="B1195" s="137"/>
      <c r="C1195" s="137"/>
      <c r="D1195" s="137"/>
      <c r="E1195" s="137"/>
      <c r="F1195" s="137"/>
      <c r="G1195" s="137"/>
      <c r="H1195" s="137"/>
      <c r="I1195" s="137"/>
      <c r="J1195" s="138"/>
      <c r="K1195" s="137"/>
      <c r="L1195" s="137"/>
      <c r="M1195" s="137"/>
      <c r="N1195" s="137"/>
      <c r="O1195" s="137"/>
      <c r="P1195" s="137"/>
      <c r="Q1195" s="137"/>
    </row>
    <row r="1196" spans="1:17" ht="15" customHeight="1" x14ac:dyDescent="0.35">
      <c r="A1196" s="129"/>
      <c r="B1196" s="137"/>
      <c r="C1196" s="137"/>
      <c r="D1196" s="137"/>
      <c r="E1196" s="137"/>
      <c r="F1196" s="137"/>
      <c r="G1196" s="137"/>
      <c r="H1196" s="137"/>
      <c r="I1196" s="137"/>
      <c r="J1196" s="138"/>
      <c r="K1196" s="137"/>
      <c r="L1196" s="137"/>
      <c r="M1196" s="137"/>
      <c r="N1196" s="137"/>
      <c r="O1196" s="137"/>
      <c r="P1196" s="137"/>
      <c r="Q1196" s="137"/>
    </row>
    <row r="1197" spans="1:17" ht="15" customHeight="1" x14ac:dyDescent="0.35">
      <c r="A1197" s="129"/>
      <c r="B1197" s="137"/>
      <c r="C1197" s="137"/>
      <c r="D1197" s="137"/>
      <c r="E1197" s="137"/>
      <c r="F1197" s="137"/>
      <c r="G1197" s="137"/>
      <c r="H1197" s="137"/>
      <c r="I1197" s="137"/>
      <c r="J1197" s="138"/>
      <c r="K1197" s="137"/>
      <c r="L1197" s="137"/>
      <c r="M1197" s="137"/>
      <c r="N1197" s="137"/>
      <c r="O1197" s="137"/>
      <c r="P1197" s="137"/>
      <c r="Q1197" s="137"/>
    </row>
    <row r="1198" spans="1:17" ht="15" customHeight="1" x14ac:dyDescent="0.35">
      <c r="A1198" s="129"/>
      <c r="B1198" s="137"/>
      <c r="C1198" s="137"/>
      <c r="D1198" s="137"/>
      <c r="E1198" s="137"/>
      <c r="F1198" s="137"/>
      <c r="G1198" s="137"/>
      <c r="H1198" s="137"/>
      <c r="I1198" s="137"/>
      <c r="J1198" s="138"/>
      <c r="K1198" s="137"/>
      <c r="L1198" s="137"/>
      <c r="M1198" s="137"/>
      <c r="N1198" s="137"/>
      <c r="O1198" s="137"/>
      <c r="P1198" s="137"/>
      <c r="Q1198" s="137"/>
    </row>
    <row r="1199" spans="1:17" ht="15" customHeight="1" x14ac:dyDescent="0.35">
      <c r="A1199" s="129"/>
      <c r="B1199" s="137"/>
      <c r="C1199" s="137"/>
      <c r="D1199" s="137"/>
      <c r="E1199" s="137"/>
      <c r="F1199" s="137"/>
      <c r="G1199" s="137"/>
      <c r="H1199" s="137"/>
      <c r="I1199" s="137"/>
      <c r="J1199" s="138"/>
      <c r="K1199" s="137"/>
      <c r="L1199" s="137"/>
      <c r="M1199" s="137"/>
      <c r="N1199" s="137"/>
      <c r="O1199" s="137"/>
      <c r="P1199" s="137"/>
      <c r="Q1199" s="137"/>
    </row>
    <row r="1200" spans="1:17" ht="15" customHeight="1" x14ac:dyDescent="0.35">
      <c r="A1200" s="129"/>
      <c r="B1200" s="137"/>
      <c r="C1200" s="137"/>
      <c r="D1200" s="137"/>
      <c r="E1200" s="137"/>
      <c r="F1200" s="137"/>
      <c r="G1200" s="137"/>
      <c r="H1200" s="137"/>
      <c r="I1200" s="137"/>
      <c r="J1200" s="138"/>
      <c r="K1200" s="137"/>
      <c r="L1200" s="137"/>
      <c r="M1200" s="137"/>
      <c r="N1200" s="137"/>
      <c r="O1200" s="137"/>
      <c r="P1200" s="137"/>
      <c r="Q1200" s="137"/>
    </row>
    <row r="1201" spans="1:17" ht="15" customHeight="1" x14ac:dyDescent="0.35">
      <c r="A1201" s="129"/>
      <c r="B1201" s="137"/>
      <c r="C1201" s="137"/>
      <c r="D1201" s="137"/>
      <c r="E1201" s="137"/>
      <c r="F1201" s="137"/>
      <c r="G1201" s="137"/>
      <c r="H1201" s="137"/>
      <c r="I1201" s="137"/>
      <c r="J1201" s="138"/>
      <c r="K1201" s="137"/>
      <c r="L1201" s="137"/>
      <c r="M1201" s="137"/>
      <c r="N1201" s="137"/>
      <c r="O1201" s="137"/>
      <c r="P1201" s="137"/>
      <c r="Q1201" s="137"/>
    </row>
    <row r="1202" spans="1:17" ht="15" customHeight="1" x14ac:dyDescent="0.35">
      <c r="A1202" s="129"/>
      <c r="B1202" s="137"/>
      <c r="C1202" s="137"/>
      <c r="D1202" s="137"/>
      <c r="E1202" s="137"/>
      <c r="F1202" s="137"/>
      <c r="G1202" s="137"/>
      <c r="H1202" s="137"/>
      <c r="I1202" s="137"/>
      <c r="J1202" s="138"/>
      <c r="K1202" s="137"/>
      <c r="L1202" s="137"/>
      <c r="M1202" s="137"/>
      <c r="N1202" s="137"/>
      <c r="O1202" s="137"/>
      <c r="P1202" s="137"/>
      <c r="Q1202" s="137"/>
    </row>
    <row r="1203" spans="1:17" ht="15" customHeight="1" x14ac:dyDescent="0.35">
      <c r="A1203" s="129"/>
      <c r="B1203" s="137"/>
      <c r="C1203" s="137"/>
      <c r="D1203" s="137"/>
      <c r="E1203" s="137"/>
      <c r="F1203" s="137"/>
      <c r="G1203" s="137"/>
      <c r="H1203" s="137"/>
      <c r="I1203" s="137"/>
      <c r="J1203" s="138"/>
      <c r="K1203" s="137"/>
      <c r="L1203" s="137"/>
      <c r="M1203" s="137"/>
      <c r="N1203" s="137"/>
      <c r="O1203" s="137"/>
      <c r="P1203" s="137"/>
      <c r="Q1203" s="137"/>
    </row>
    <row r="1204" spans="1:17" ht="15" customHeight="1" x14ac:dyDescent="0.35">
      <c r="A1204" s="129"/>
      <c r="B1204" s="137"/>
      <c r="C1204" s="137"/>
      <c r="D1204" s="137"/>
      <c r="E1204" s="137"/>
      <c r="F1204" s="137"/>
      <c r="G1204" s="137"/>
      <c r="H1204" s="137"/>
      <c r="I1204" s="137"/>
      <c r="J1204" s="138"/>
      <c r="K1204" s="137"/>
      <c r="L1204" s="137"/>
      <c r="M1204" s="137"/>
      <c r="N1204" s="137"/>
      <c r="O1204" s="137"/>
      <c r="P1204" s="137"/>
      <c r="Q1204" s="137"/>
    </row>
    <row r="1205" spans="1:17" ht="15" customHeight="1" x14ac:dyDescent="0.35">
      <c r="A1205" s="129"/>
      <c r="B1205" s="137"/>
      <c r="C1205" s="137"/>
      <c r="D1205" s="137"/>
      <c r="E1205" s="137"/>
      <c r="F1205" s="137"/>
      <c r="G1205" s="137"/>
      <c r="H1205" s="137"/>
      <c r="I1205" s="137"/>
      <c r="J1205" s="138"/>
      <c r="K1205" s="137"/>
      <c r="L1205" s="137"/>
      <c r="M1205" s="137"/>
      <c r="N1205" s="137"/>
      <c r="O1205" s="137"/>
      <c r="P1205" s="137"/>
      <c r="Q1205" s="137"/>
    </row>
    <row r="1206" spans="1:17" ht="15" customHeight="1" x14ac:dyDescent="0.35">
      <c r="A1206" s="129"/>
      <c r="B1206" s="137"/>
      <c r="C1206" s="137"/>
      <c r="D1206" s="137"/>
      <c r="E1206" s="137"/>
      <c r="F1206" s="137"/>
      <c r="G1206" s="137"/>
      <c r="H1206" s="137"/>
      <c r="I1206" s="137"/>
      <c r="J1206" s="138"/>
      <c r="K1206" s="137"/>
      <c r="L1206" s="137"/>
      <c r="M1206" s="137"/>
      <c r="N1206" s="137"/>
      <c r="O1206" s="137"/>
      <c r="P1206" s="137"/>
      <c r="Q1206" s="137"/>
    </row>
    <row r="1207" spans="1:17" ht="15" customHeight="1" x14ac:dyDescent="0.35">
      <c r="A1207" s="129"/>
      <c r="B1207" s="137"/>
      <c r="C1207" s="137"/>
      <c r="D1207" s="137"/>
      <c r="E1207" s="137"/>
      <c r="F1207" s="137"/>
      <c r="G1207" s="137"/>
      <c r="H1207" s="137"/>
      <c r="I1207" s="137"/>
      <c r="J1207" s="138"/>
      <c r="K1207" s="137"/>
      <c r="L1207" s="137"/>
      <c r="M1207" s="137"/>
      <c r="N1207" s="137"/>
      <c r="O1207" s="137"/>
      <c r="P1207" s="137"/>
      <c r="Q1207" s="137"/>
    </row>
    <row r="1208" spans="1:17" ht="15" customHeight="1" x14ac:dyDescent="0.35">
      <c r="A1208" s="129"/>
      <c r="B1208" s="137"/>
      <c r="C1208" s="137"/>
      <c r="D1208" s="137"/>
      <c r="E1208" s="137"/>
      <c r="F1208" s="137"/>
      <c r="G1208" s="137"/>
      <c r="H1208" s="137"/>
      <c r="I1208" s="137"/>
      <c r="J1208" s="138"/>
      <c r="K1208" s="137"/>
      <c r="L1208" s="137"/>
      <c r="M1208" s="137"/>
      <c r="N1208" s="137"/>
      <c r="O1208" s="137"/>
      <c r="P1208" s="137"/>
      <c r="Q1208" s="137"/>
    </row>
    <row r="1209" spans="1:17" ht="15" customHeight="1" x14ac:dyDescent="0.35">
      <c r="A1209" s="129"/>
      <c r="B1209" s="137"/>
      <c r="C1209" s="137"/>
      <c r="D1209" s="137"/>
      <c r="E1209" s="137"/>
      <c r="F1209" s="137"/>
      <c r="G1209" s="137"/>
      <c r="H1209" s="137"/>
      <c r="I1209" s="137"/>
      <c r="J1209" s="138"/>
      <c r="K1209" s="137"/>
      <c r="L1209" s="137"/>
      <c r="M1209" s="137"/>
      <c r="N1209" s="137"/>
      <c r="O1209" s="137"/>
      <c r="P1209" s="137"/>
      <c r="Q1209" s="137"/>
    </row>
    <row r="1210" spans="1:17" ht="15" customHeight="1" x14ac:dyDescent="0.35">
      <c r="A1210" s="129"/>
      <c r="B1210" s="137"/>
      <c r="C1210" s="137"/>
      <c r="D1210" s="137"/>
      <c r="E1210" s="137"/>
      <c r="F1210" s="137"/>
      <c r="G1210" s="137"/>
      <c r="H1210" s="137"/>
      <c r="I1210" s="137"/>
      <c r="J1210" s="138"/>
      <c r="K1210" s="137"/>
      <c r="L1210" s="137"/>
      <c r="M1210" s="137"/>
      <c r="N1210" s="137"/>
      <c r="O1210" s="137"/>
      <c r="P1210" s="137"/>
      <c r="Q1210" s="137"/>
    </row>
    <row r="1211" spans="1:17" ht="15" customHeight="1" x14ac:dyDescent="0.35">
      <c r="A1211" s="129"/>
      <c r="B1211" s="137"/>
      <c r="C1211" s="137"/>
      <c r="D1211" s="137"/>
      <c r="E1211" s="137"/>
      <c r="F1211" s="137"/>
      <c r="G1211" s="137"/>
      <c r="H1211" s="137"/>
      <c r="I1211" s="137"/>
      <c r="J1211" s="138"/>
      <c r="K1211" s="137"/>
      <c r="L1211" s="137"/>
      <c r="M1211" s="137"/>
      <c r="N1211" s="137"/>
      <c r="O1211" s="137"/>
      <c r="P1211" s="137"/>
      <c r="Q1211" s="137"/>
    </row>
    <row r="1212" spans="1:17" ht="15" customHeight="1" x14ac:dyDescent="0.35">
      <c r="A1212" s="129"/>
      <c r="B1212" s="137"/>
      <c r="C1212" s="137"/>
      <c r="D1212" s="137"/>
      <c r="E1212" s="137"/>
      <c r="F1212" s="137"/>
      <c r="G1212" s="137"/>
      <c r="H1212" s="137"/>
      <c r="I1212" s="137"/>
      <c r="J1212" s="138"/>
      <c r="K1212" s="137"/>
      <c r="L1212" s="137"/>
      <c r="M1212" s="137"/>
      <c r="N1212" s="137"/>
      <c r="O1212" s="137"/>
      <c r="P1212" s="137"/>
      <c r="Q1212" s="137"/>
    </row>
    <row r="1213" spans="1:17" ht="15" customHeight="1" x14ac:dyDescent="0.35">
      <c r="A1213" s="129"/>
      <c r="B1213" s="137"/>
      <c r="C1213" s="137"/>
      <c r="D1213" s="137"/>
      <c r="E1213" s="137"/>
      <c r="F1213" s="137"/>
      <c r="G1213" s="137"/>
      <c r="H1213" s="137"/>
      <c r="I1213" s="137"/>
      <c r="J1213" s="138"/>
      <c r="K1213" s="137"/>
      <c r="L1213" s="137"/>
      <c r="M1213" s="137"/>
      <c r="N1213" s="137"/>
      <c r="O1213" s="137"/>
      <c r="P1213" s="137"/>
      <c r="Q1213" s="137"/>
    </row>
    <row r="1214" spans="1:17" ht="15" customHeight="1" x14ac:dyDescent="0.35">
      <c r="A1214" s="129"/>
      <c r="B1214" s="137"/>
      <c r="C1214" s="137"/>
      <c r="D1214" s="137"/>
      <c r="E1214" s="137"/>
      <c r="F1214" s="137"/>
      <c r="G1214" s="137"/>
      <c r="H1214" s="137"/>
      <c r="I1214" s="137"/>
      <c r="J1214" s="138"/>
      <c r="K1214" s="137"/>
      <c r="L1214" s="137"/>
      <c r="M1214" s="137"/>
      <c r="N1214" s="137"/>
      <c r="O1214" s="137"/>
      <c r="P1214" s="137"/>
      <c r="Q1214" s="137"/>
    </row>
    <row r="1215" spans="1:17" ht="15" customHeight="1" x14ac:dyDescent="0.35">
      <c r="A1215" s="129"/>
      <c r="B1215" s="137"/>
      <c r="C1215" s="137"/>
      <c r="D1215" s="137"/>
      <c r="E1215" s="137"/>
      <c r="F1215" s="137"/>
      <c r="G1215" s="137"/>
      <c r="H1215" s="137"/>
      <c r="I1215" s="137"/>
      <c r="J1215" s="138"/>
      <c r="K1215" s="137"/>
      <c r="L1215" s="137"/>
      <c r="M1215" s="137"/>
      <c r="N1215" s="137"/>
      <c r="O1215" s="137"/>
      <c r="P1215" s="137"/>
      <c r="Q1215" s="137"/>
    </row>
    <row r="1216" spans="1:17" ht="15" customHeight="1" x14ac:dyDescent="0.35">
      <c r="A1216" s="129"/>
      <c r="B1216" s="137"/>
      <c r="C1216" s="137"/>
      <c r="D1216" s="137"/>
      <c r="E1216" s="137"/>
      <c r="F1216" s="137"/>
      <c r="G1216" s="137"/>
      <c r="H1216" s="137"/>
      <c r="I1216" s="137"/>
      <c r="J1216" s="138"/>
      <c r="K1216" s="137"/>
      <c r="L1216" s="137"/>
      <c r="M1216" s="137"/>
      <c r="N1216" s="137"/>
      <c r="O1216" s="137"/>
      <c r="P1216" s="137"/>
      <c r="Q1216" s="137"/>
    </row>
    <row r="1217" spans="1:17" ht="15" customHeight="1" x14ac:dyDescent="0.35">
      <c r="A1217" s="129"/>
      <c r="B1217" s="137"/>
      <c r="C1217" s="137"/>
      <c r="D1217" s="137"/>
      <c r="E1217" s="137"/>
      <c r="F1217" s="137"/>
      <c r="G1217" s="137"/>
      <c r="H1217" s="137"/>
      <c r="I1217" s="137"/>
      <c r="J1217" s="138"/>
      <c r="K1217" s="137"/>
      <c r="L1217" s="137"/>
      <c r="M1217" s="137"/>
      <c r="N1217" s="137"/>
      <c r="O1217" s="137"/>
      <c r="P1217" s="137"/>
      <c r="Q1217" s="137"/>
    </row>
    <row r="1218" spans="1:17" ht="15" customHeight="1" x14ac:dyDescent="0.35">
      <c r="A1218" s="129"/>
      <c r="B1218" s="137"/>
      <c r="C1218" s="137"/>
      <c r="D1218" s="137"/>
      <c r="E1218" s="137"/>
      <c r="F1218" s="137"/>
      <c r="G1218" s="137"/>
      <c r="H1218" s="137"/>
      <c r="I1218" s="137"/>
      <c r="J1218" s="138"/>
      <c r="K1218" s="137"/>
      <c r="L1218" s="137"/>
      <c r="M1218" s="137"/>
      <c r="N1218" s="137"/>
      <c r="O1218" s="137"/>
      <c r="P1218" s="137"/>
      <c r="Q1218" s="137"/>
    </row>
    <row r="1219" spans="1:17" ht="15" customHeight="1" x14ac:dyDescent="0.35">
      <c r="A1219" s="129"/>
      <c r="B1219" s="137"/>
      <c r="C1219" s="137"/>
      <c r="D1219" s="137"/>
      <c r="E1219" s="137"/>
      <c r="F1219" s="137"/>
      <c r="G1219" s="137"/>
      <c r="H1219" s="137"/>
      <c r="I1219" s="137"/>
      <c r="J1219" s="138"/>
      <c r="K1219" s="137"/>
      <c r="L1219" s="137"/>
      <c r="M1219" s="137"/>
      <c r="N1219" s="137"/>
      <c r="O1219" s="137"/>
      <c r="P1219" s="137"/>
      <c r="Q1219" s="137"/>
    </row>
    <row r="1220" spans="1:17" ht="15" customHeight="1" x14ac:dyDescent="0.35">
      <c r="A1220" s="129"/>
      <c r="B1220" s="137"/>
      <c r="C1220" s="137"/>
      <c r="D1220" s="137"/>
      <c r="E1220" s="137"/>
      <c r="F1220" s="137"/>
      <c r="G1220" s="137"/>
      <c r="H1220" s="137"/>
      <c r="I1220" s="137"/>
      <c r="J1220" s="138"/>
      <c r="K1220" s="137"/>
      <c r="L1220" s="137"/>
      <c r="M1220" s="137"/>
      <c r="N1220" s="137"/>
      <c r="O1220" s="137"/>
      <c r="P1220" s="137"/>
      <c r="Q1220" s="137"/>
    </row>
    <row r="1221" spans="1:17" ht="15" customHeight="1" x14ac:dyDescent="0.35">
      <c r="A1221" s="129"/>
      <c r="B1221" s="137"/>
      <c r="C1221" s="137"/>
      <c r="D1221" s="137"/>
      <c r="E1221" s="137"/>
      <c r="F1221" s="137"/>
      <c r="G1221" s="137"/>
      <c r="H1221" s="137"/>
      <c r="I1221" s="137"/>
      <c r="J1221" s="138"/>
      <c r="K1221" s="137"/>
      <c r="L1221" s="137"/>
      <c r="M1221" s="137"/>
      <c r="N1221" s="137"/>
      <c r="O1221" s="137"/>
      <c r="P1221" s="137"/>
      <c r="Q1221" s="137"/>
    </row>
    <row r="1222" spans="1:17" ht="15" customHeight="1" x14ac:dyDescent="0.35">
      <c r="A1222" s="129"/>
      <c r="B1222" s="137"/>
      <c r="C1222" s="137"/>
      <c r="D1222" s="137"/>
      <c r="E1222" s="137"/>
      <c r="F1222" s="137"/>
      <c r="G1222" s="137"/>
      <c r="H1222" s="137"/>
      <c r="I1222" s="137"/>
      <c r="J1222" s="138"/>
      <c r="K1222" s="137"/>
      <c r="L1222" s="137"/>
      <c r="M1222" s="137"/>
      <c r="N1222" s="137"/>
      <c r="O1222" s="137"/>
      <c r="P1222" s="137"/>
      <c r="Q1222" s="137"/>
    </row>
    <row r="1223" spans="1:17" ht="15" customHeight="1" x14ac:dyDescent="0.35">
      <c r="A1223" s="129"/>
      <c r="B1223" s="137"/>
      <c r="C1223" s="137"/>
      <c r="D1223" s="137"/>
      <c r="E1223" s="137"/>
      <c r="F1223" s="137"/>
      <c r="G1223" s="137"/>
      <c r="H1223" s="137"/>
      <c r="I1223" s="137"/>
      <c r="J1223" s="138"/>
      <c r="K1223" s="137"/>
      <c r="L1223" s="137"/>
      <c r="M1223" s="137"/>
      <c r="N1223" s="137"/>
      <c r="O1223" s="137"/>
      <c r="P1223" s="137"/>
      <c r="Q1223" s="137"/>
    </row>
    <row r="1224" spans="1:17" ht="15" customHeight="1" x14ac:dyDescent="0.35">
      <c r="A1224" s="129"/>
      <c r="B1224" s="137"/>
      <c r="C1224" s="137"/>
      <c r="D1224" s="137"/>
      <c r="E1224" s="137"/>
      <c r="F1224" s="137"/>
      <c r="G1224" s="137"/>
      <c r="H1224" s="137"/>
      <c r="I1224" s="137"/>
      <c r="J1224" s="138"/>
      <c r="K1224" s="137"/>
      <c r="L1224" s="137"/>
      <c r="M1224" s="137"/>
      <c r="N1224" s="137"/>
      <c r="O1224" s="137"/>
      <c r="P1224" s="137"/>
      <c r="Q1224" s="137"/>
    </row>
    <row r="1225" spans="1:17" ht="15" customHeight="1" x14ac:dyDescent="0.35">
      <c r="A1225" s="129"/>
      <c r="B1225" s="137"/>
      <c r="C1225" s="137"/>
      <c r="D1225" s="137"/>
      <c r="E1225" s="137"/>
      <c r="F1225" s="137"/>
      <c r="G1225" s="137"/>
      <c r="H1225" s="137"/>
      <c r="I1225" s="137"/>
      <c r="J1225" s="138"/>
      <c r="K1225" s="137"/>
      <c r="L1225" s="137"/>
      <c r="M1225" s="137"/>
      <c r="N1225" s="137"/>
      <c r="O1225" s="137"/>
      <c r="P1225" s="137"/>
      <c r="Q1225" s="137"/>
    </row>
    <row r="1226" spans="1:17" ht="15" customHeight="1" x14ac:dyDescent="0.35">
      <c r="A1226" s="129"/>
      <c r="B1226" s="137"/>
      <c r="C1226" s="137"/>
      <c r="D1226" s="137"/>
      <c r="E1226" s="137"/>
      <c r="F1226" s="137"/>
      <c r="G1226" s="137"/>
      <c r="H1226" s="137"/>
      <c r="I1226" s="137"/>
      <c r="J1226" s="138"/>
      <c r="K1226" s="137"/>
      <c r="L1226" s="137"/>
      <c r="M1226" s="137"/>
      <c r="N1226" s="137"/>
      <c r="O1226" s="137"/>
      <c r="P1226" s="137"/>
      <c r="Q1226" s="137"/>
    </row>
    <row r="1227" spans="1:17" ht="15" customHeight="1" x14ac:dyDescent="0.35">
      <c r="A1227" s="129"/>
      <c r="B1227" s="137"/>
      <c r="C1227" s="137"/>
      <c r="D1227" s="137"/>
      <c r="E1227" s="137"/>
      <c r="F1227" s="137"/>
      <c r="G1227" s="137"/>
      <c r="H1227" s="137"/>
      <c r="I1227" s="137"/>
      <c r="J1227" s="138"/>
      <c r="K1227" s="137"/>
      <c r="L1227" s="137"/>
      <c r="M1227" s="137"/>
      <c r="N1227" s="137"/>
      <c r="O1227" s="137"/>
      <c r="P1227" s="137"/>
      <c r="Q1227" s="137"/>
    </row>
    <row r="1228" spans="1:17" ht="15" customHeight="1" x14ac:dyDescent="0.35">
      <c r="A1228" s="129"/>
      <c r="B1228" s="137"/>
      <c r="C1228" s="137"/>
      <c r="D1228" s="137"/>
      <c r="E1228" s="137"/>
      <c r="F1228" s="137"/>
      <c r="G1228" s="137"/>
      <c r="H1228" s="137"/>
      <c r="I1228" s="137"/>
      <c r="J1228" s="138"/>
      <c r="K1228" s="137"/>
      <c r="L1228" s="137"/>
      <c r="M1228" s="137"/>
      <c r="N1228" s="137"/>
      <c r="O1228" s="137"/>
      <c r="P1228" s="137"/>
      <c r="Q1228" s="137"/>
    </row>
    <row r="1229" spans="1:17" ht="15" customHeight="1" x14ac:dyDescent="0.35">
      <c r="A1229" s="129"/>
      <c r="B1229" s="137"/>
      <c r="C1229" s="137"/>
      <c r="D1229" s="137"/>
      <c r="E1229" s="137"/>
      <c r="F1229" s="137"/>
      <c r="G1229" s="137"/>
      <c r="H1229" s="137"/>
      <c r="I1229" s="137"/>
      <c r="J1229" s="138"/>
      <c r="K1229" s="137"/>
      <c r="L1229" s="137"/>
      <c r="M1229" s="137"/>
      <c r="N1229" s="137"/>
      <c r="O1229" s="137"/>
      <c r="P1229" s="137"/>
      <c r="Q1229" s="137"/>
    </row>
    <row r="1230" spans="1:17" ht="15" customHeight="1" x14ac:dyDescent="0.35">
      <c r="A1230" s="129"/>
      <c r="B1230" s="137"/>
      <c r="C1230" s="137"/>
      <c r="D1230" s="137"/>
      <c r="E1230" s="137"/>
      <c r="F1230" s="137"/>
      <c r="G1230" s="137"/>
      <c r="H1230" s="137"/>
      <c r="I1230" s="137"/>
      <c r="J1230" s="138"/>
      <c r="K1230" s="137"/>
      <c r="L1230" s="137"/>
      <c r="M1230" s="137"/>
      <c r="N1230" s="137"/>
      <c r="O1230" s="137"/>
      <c r="P1230" s="137"/>
      <c r="Q1230" s="137"/>
    </row>
    <row r="1231" spans="1:17" ht="15" customHeight="1" x14ac:dyDescent="0.35">
      <c r="A1231" s="129"/>
      <c r="B1231" s="137"/>
      <c r="C1231" s="137"/>
      <c r="D1231" s="137"/>
      <c r="E1231" s="137"/>
      <c r="F1231" s="137"/>
      <c r="G1231" s="137"/>
      <c r="H1231" s="137"/>
      <c r="I1231" s="137"/>
      <c r="J1231" s="138"/>
      <c r="K1231" s="137"/>
      <c r="L1231" s="137"/>
      <c r="M1231" s="137"/>
      <c r="N1231" s="137"/>
      <c r="O1231" s="137"/>
      <c r="P1231" s="137"/>
      <c r="Q1231" s="137"/>
    </row>
    <row r="1232" spans="1:17" ht="15" customHeight="1" x14ac:dyDescent="0.35">
      <c r="A1232" s="129"/>
      <c r="B1232" s="137"/>
      <c r="C1232" s="137"/>
      <c r="D1232" s="137"/>
      <c r="E1232" s="137"/>
      <c r="F1232" s="137"/>
      <c r="G1232" s="137"/>
      <c r="H1232" s="137"/>
      <c r="I1232" s="137"/>
      <c r="J1232" s="138"/>
      <c r="K1232" s="137"/>
      <c r="L1232" s="137"/>
      <c r="M1232" s="137"/>
      <c r="N1232" s="137"/>
      <c r="O1232" s="137"/>
      <c r="P1232" s="137"/>
      <c r="Q1232" s="137"/>
    </row>
    <row r="1233" spans="1:17" ht="15" customHeight="1" x14ac:dyDescent="0.35">
      <c r="A1233" s="129"/>
      <c r="B1233" s="137"/>
      <c r="C1233" s="137"/>
      <c r="D1233" s="137"/>
      <c r="E1233" s="137"/>
      <c r="F1233" s="137"/>
      <c r="G1233" s="137"/>
      <c r="H1233" s="137"/>
      <c r="I1233" s="137"/>
      <c r="J1233" s="138"/>
      <c r="K1233" s="137"/>
      <c r="L1233" s="137"/>
      <c r="M1233" s="137"/>
      <c r="N1233" s="137"/>
      <c r="O1233" s="137"/>
      <c r="P1233" s="137"/>
      <c r="Q1233" s="137"/>
    </row>
    <row r="1234" spans="1:17" ht="15" customHeight="1" x14ac:dyDescent="0.35">
      <c r="A1234" s="129"/>
      <c r="B1234" s="137"/>
      <c r="C1234" s="137"/>
      <c r="D1234" s="137"/>
      <c r="E1234" s="137"/>
      <c r="F1234" s="137"/>
      <c r="G1234" s="137"/>
      <c r="H1234" s="137"/>
      <c r="I1234" s="137"/>
      <c r="J1234" s="138"/>
      <c r="K1234" s="137"/>
      <c r="L1234" s="137"/>
      <c r="M1234" s="137"/>
      <c r="N1234" s="137"/>
      <c r="O1234" s="137"/>
      <c r="P1234" s="137"/>
      <c r="Q1234" s="137"/>
    </row>
    <row r="1235" spans="1:17" ht="15" customHeight="1" x14ac:dyDescent="0.35">
      <c r="A1235" s="129"/>
      <c r="B1235" s="137"/>
      <c r="C1235" s="137"/>
      <c r="D1235" s="137"/>
      <c r="E1235" s="137"/>
      <c r="F1235" s="137"/>
      <c r="G1235" s="137"/>
      <c r="H1235" s="137"/>
      <c r="I1235" s="137"/>
      <c r="J1235" s="138"/>
      <c r="K1235" s="137"/>
      <c r="L1235" s="137"/>
      <c r="M1235" s="137"/>
      <c r="N1235" s="137"/>
      <c r="O1235" s="137"/>
      <c r="P1235" s="137"/>
      <c r="Q1235" s="137"/>
    </row>
    <row r="1236" spans="1:17" ht="15" customHeight="1" x14ac:dyDescent="0.35">
      <c r="A1236" s="129"/>
      <c r="B1236" s="137"/>
      <c r="C1236" s="137"/>
      <c r="D1236" s="137"/>
      <c r="E1236" s="137"/>
      <c r="F1236" s="137"/>
      <c r="G1236" s="137"/>
      <c r="H1236" s="137"/>
      <c r="I1236" s="137"/>
      <c r="J1236" s="138"/>
      <c r="K1236" s="137"/>
      <c r="L1236" s="137"/>
      <c r="M1236" s="137"/>
      <c r="N1236" s="137"/>
      <c r="O1236" s="137"/>
      <c r="P1236" s="137"/>
      <c r="Q1236" s="137"/>
    </row>
    <row r="1237" spans="1:17" ht="15" customHeight="1" x14ac:dyDescent="0.35">
      <c r="A1237" s="129"/>
      <c r="B1237" s="137"/>
      <c r="C1237" s="137"/>
      <c r="D1237" s="137"/>
      <c r="E1237" s="137"/>
      <c r="F1237" s="137"/>
      <c r="G1237" s="137"/>
      <c r="H1237" s="137"/>
      <c r="I1237" s="137"/>
      <c r="J1237" s="138"/>
      <c r="K1237" s="137"/>
      <c r="L1237" s="137"/>
      <c r="M1237" s="137"/>
      <c r="N1237" s="137"/>
      <c r="O1237" s="137"/>
      <c r="P1237" s="137"/>
      <c r="Q1237" s="137"/>
    </row>
    <row r="1238" spans="1:17" ht="15" customHeight="1" x14ac:dyDescent="0.35">
      <c r="A1238" s="129"/>
      <c r="B1238" s="137"/>
      <c r="C1238" s="137"/>
      <c r="D1238" s="137"/>
      <c r="E1238" s="137"/>
      <c r="F1238" s="137"/>
      <c r="G1238" s="137"/>
      <c r="H1238" s="137"/>
      <c r="I1238" s="137"/>
      <c r="J1238" s="138"/>
      <c r="K1238" s="137"/>
      <c r="L1238" s="137"/>
      <c r="M1238" s="137"/>
      <c r="N1238" s="137"/>
      <c r="O1238" s="137"/>
      <c r="P1238" s="137"/>
      <c r="Q1238" s="137"/>
    </row>
    <row r="1239" spans="1:17" ht="15" customHeight="1" x14ac:dyDescent="0.35">
      <c r="A1239" s="129"/>
      <c r="B1239" s="137"/>
      <c r="C1239" s="137"/>
      <c r="D1239" s="137"/>
      <c r="E1239" s="137"/>
      <c r="F1239" s="137"/>
      <c r="G1239" s="137"/>
      <c r="H1239" s="137"/>
      <c r="I1239" s="137"/>
      <c r="J1239" s="138"/>
      <c r="K1239" s="137"/>
      <c r="L1239" s="137"/>
      <c r="M1239" s="137"/>
      <c r="N1239" s="137"/>
      <c r="O1239" s="137"/>
      <c r="P1239" s="137"/>
      <c r="Q1239" s="137"/>
    </row>
    <row r="1240" spans="1:17" ht="15" customHeight="1" x14ac:dyDescent="0.35">
      <c r="A1240" s="129"/>
      <c r="B1240" s="137"/>
      <c r="C1240" s="137"/>
      <c r="D1240" s="137"/>
      <c r="E1240" s="137"/>
      <c r="F1240" s="137"/>
      <c r="G1240" s="137"/>
      <c r="H1240" s="137"/>
      <c r="I1240" s="137"/>
      <c r="J1240" s="138"/>
      <c r="K1240" s="137"/>
      <c r="L1240" s="137"/>
      <c r="M1240" s="137"/>
      <c r="N1240" s="137"/>
      <c r="O1240" s="137"/>
      <c r="P1240" s="137"/>
      <c r="Q1240" s="137"/>
    </row>
    <row r="1241" spans="1:17" ht="15" customHeight="1" x14ac:dyDescent="0.35">
      <c r="A1241" s="129"/>
      <c r="B1241" s="137"/>
      <c r="C1241" s="137"/>
      <c r="D1241" s="137"/>
      <c r="E1241" s="137"/>
      <c r="F1241" s="137"/>
      <c r="G1241" s="137"/>
      <c r="H1241" s="137"/>
      <c r="I1241" s="137"/>
      <c r="J1241" s="138"/>
      <c r="K1241" s="137"/>
      <c r="L1241" s="137"/>
      <c r="M1241" s="137"/>
      <c r="N1241" s="137"/>
      <c r="O1241" s="137"/>
      <c r="P1241" s="137"/>
      <c r="Q1241" s="137"/>
    </row>
    <row r="1242" spans="1:17" ht="15" customHeight="1" x14ac:dyDescent="0.35">
      <c r="A1242" s="129"/>
      <c r="B1242" s="137"/>
      <c r="C1242" s="137"/>
      <c r="D1242" s="137"/>
      <c r="E1242" s="137"/>
      <c r="F1242" s="137"/>
      <c r="G1242" s="137"/>
      <c r="H1242" s="137"/>
      <c r="I1242" s="137"/>
      <c r="J1242" s="138"/>
      <c r="K1242" s="137"/>
      <c r="L1242" s="137"/>
      <c r="M1242" s="137"/>
      <c r="N1242" s="137"/>
      <c r="O1242" s="137"/>
      <c r="P1242" s="137"/>
      <c r="Q1242" s="137"/>
    </row>
    <row r="1243" spans="1:17" ht="15" customHeight="1" x14ac:dyDescent="0.35">
      <c r="A1243" s="129"/>
      <c r="B1243" s="137"/>
      <c r="C1243" s="137"/>
      <c r="D1243" s="137"/>
      <c r="E1243" s="137"/>
      <c r="F1243" s="137"/>
      <c r="G1243" s="137"/>
      <c r="H1243" s="137"/>
      <c r="I1243" s="137"/>
      <c r="J1243" s="138"/>
      <c r="K1243" s="137"/>
      <c r="L1243" s="137"/>
      <c r="M1243" s="137"/>
      <c r="N1243" s="137"/>
      <c r="O1243" s="137"/>
      <c r="P1243" s="137"/>
      <c r="Q1243" s="137"/>
    </row>
    <row r="1244" spans="1:17" ht="15" customHeight="1" x14ac:dyDescent="0.35">
      <c r="A1244" s="129"/>
      <c r="B1244" s="137"/>
      <c r="C1244" s="137"/>
      <c r="D1244" s="137"/>
      <c r="E1244" s="137"/>
      <c r="F1244" s="137"/>
      <c r="G1244" s="137"/>
      <c r="H1244" s="137"/>
      <c r="I1244" s="137"/>
      <c r="J1244" s="138"/>
      <c r="K1244" s="137"/>
      <c r="L1244" s="137"/>
      <c r="M1244" s="137"/>
      <c r="N1244" s="137"/>
      <c r="O1244" s="137"/>
      <c r="P1244" s="137"/>
      <c r="Q1244" s="137"/>
    </row>
    <row r="1245" spans="1:17" ht="15" customHeight="1" x14ac:dyDescent="0.35">
      <c r="A1245" s="129"/>
      <c r="B1245" s="137"/>
      <c r="C1245" s="137"/>
      <c r="D1245" s="137"/>
      <c r="E1245" s="137"/>
      <c r="F1245" s="137"/>
      <c r="G1245" s="137"/>
      <c r="H1245" s="137"/>
      <c r="I1245" s="137"/>
      <c r="J1245" s="138"/>
      <c r="K1245" s="137"/>
      <c r="L1245" s="137"/>
      <c r="M1245" s="137"/>
      <c r="N1245" s="137"/>
      <c r="O1245" s="137"/>
      <c r="P1245" s="137"/>
      <c r="Q1245" s="137"/>
    </row>
    <row r="1246" spans="1:17" ht="15" customHeight="1" x14ac:dyDescent="0.35">
      <c r="A1246" s="129"/>
      <c r="B1246" s="137"/>
      <c r="C1246" s="137"/>
      <c r="D1246" s="137"/>
      <c r="E1246" s="137"/>
      <c r="F1246" s="137"/>
      <c r="G1246" s="137"/>
      <c r="H1246" s="137"/>
      <c r="I1246" s="137"/>
      <c r="J1246" s="138"/>
      <c r="K1246" s="137"/>
      <c r="L1246" s="137"/>
      <c r="M1246" s="137"/>
      <c r="N1246" s="137"/>
      <c r="O1246" s="137"/>
      <c r="P1246" s="137"/>
      <c r="Q1246" s="137"/>
    </row>
    <row r="1247" spans="1:17" ht="15" customHeight="1" x14ac:dyDescent="0.35">
      <c r="A1247" s="129"/>
      <c r="B1247" s="137"/>
      <c r="C1247" s="137"/>
      <c r="D1247" s="137"/>
      <c r="E1247" s="137"/>
      <c r="F1247" s="137"/>
      <c r="G1247" s="137"/>
      <c r="H1247" s="137"/>
      <c r="I1247" s="137"/>
      <c r="J1247" s="138"/>
      <c r="K1247" s="137"/>
      <c r="L1247" s="137"/>
      <c r="M1247" s="137"/>
      <c r="N1247" s="137"/>
      <c r="O1247" s="137"/>
      <c r="P1247" s="137"/>
      <c r="Q1247" s="137"/>
    </row>
    <row r="1248" spans="1:17" ht="15" customHeight="1" x14ac:dyDescent="0.35">
      <c r="A1248" s="129"/>
      <c r="B1248" s="137"/>
      <c r="C1248" s="137"/>
      <c r="D1248" s="137"/>
      <c r="E1248" s="137"/>
      <c r="F1248" s="137"/>
      <c r="G1248" s="137"/>
      <c r="H1248" s="137"/>
      <c r="I1248" s="137"/>
      <c r="J1248" s="138"/>
      <c r="K1248" s="137"/>
      <c r="L1248" s="137"/>
      <c r="M1248" s="137"/>
      <c r="N1248" s="137"/>
      <c r="O1248" s="137"/>
      <c r="P1248" s="137"/>
      <c r="Q1248" s="137"/>
    </row>
    <row r="1249" spans="1:17" ht="15" customHeight="1" x14ac:dyDescent="0.35">
      <c r="A1249" s="129"/>
      <c r="B1249" s="137"/>
      <c r="C1249" s="137"/>
      <c r="D1249" s="137"/>
      <c r="E1249" s="137"/>
      <c r="F1249" s="137"/>
      <c r="G1249" s="137"/>
      <c r="H1249" s="137"/>
      <c r="I1249" s="137"/>
      <c r="J1249" s="138"/>
      <c r="K1249" s="137"/>
      <c r="L1249" s="137"/>
      <c r="M1249" s="137"/>
      <c r="N1249" s="137"/>
      <c r="O1249" s="137"/>
      <c r="P1249" s="137"/>
      <c r="Q1249" s="137"/>
    </row>
    <row r="1250" spans="1:17" ht="15" customHeight="1" x14ac:dyDescent="0.35">
      <c r="A1250" s="129"/>
      <c r="B1250" s="137"/>
      <c r="C1250" s="137"/>
      <c r="D1250" s="137"/>
      <c r="E1250" s="137"/>
      <c r="F1250" s="137"/>
      <c r="G1250" s="137"/>
      <c r="H1250" s="137"/>
      <c r="I1250" s="137"/>
      <c r="J1250" s="138"/>
      <c r="K1250" s="137"/>
      <c r="L1250" s="137"/>
      <c r="M1250" s="137"/>
      <c r="N1250" s="137"/>
      <c r="O1250" s="137"/>
      <c r="P1250" s="137"/>
      <c r="Q1250" s="137"/>
    </row>
    <row r="1251" spans="1:17" ht="15" customHeight="1" x14ac:dyDescent="0.35">
      <c r="A1251" s="129"/>
      <c r="B1251" s="137"/>
      <c r="C1251" s="137"/>
      <c r="D1251" s="137"/>
      <c r="E1251" s="137"/>
      <c r="F1251" s="137"/>
      <c r="G1251" s="137"/>
      <c r="H1251" s="137"/>
      <c r="I1251" s="137"/>
      <c r="J1251" s="138"/>
      <c r="K1251" s="137"/>
      <c r="L1251" s="137"/>
      <c r="M1251" s="137"/>
      <c r="N1251" s="137"/>
      <c r="O1251" s="137"/>
      <c r="P1251" s="137"/>
      <c r="Q1251" s="137"/>
    </row>
    <row r="1252" spans="1:17" ht="15" customHeight="1" x14ac:dyDescent="0.35">
      <c r="A1252" s="129"/>
      <c r="B1252" s="137"/>
      <c r="C1252" s="137"/>
      <c r="D1252" s="137"/>
      <c r="E1252" s="137"/>
      <c r="F1252" s="137"/>
      <c r="G1252" s="137"/>
      <c r="H1252" s="137"/>
      <c r="I1252" s="137"/>
      <c r="J1252" s="138"/>
      <c r="K1252" s="137"/>
      <c r="L1252" s="137"/>
      <c r="M1252" s="137"/>
      <c r="N1252" s="137"/>
      <c r="O1252" s="137"/>
      <c r="P1252" s="137"/>
      <c r="Q1252" s="137"/>
    </row>
    <row r="1253" spans="1:17" ht="15" customHeight="1" x14ac:dyDescent="0.35">
      <c r="A1253" s="129"/>
      <c r="B1253" s="137"/>
      <c r="C1253" s="137"/>
      <c r="D1253" s="137"/>
      <c r="E1253" s="137"/>
      <c r="F1253" s="137"/>
      <c r="G1253" s="137"/>
      <c r="H1253" s="137"/>
      <c r="I1253" s="137"/>
      <c r="J1253" s="138"/>
      <c r="K1253" s="137"/>
      <c r="L1253" s="137"/>
      <c r="M1253" s="137"/>
      <c r="N1253" s="137"/>
      <c r="O1253" s="137"/>
      <c r="P1253" s="137"/>
      <c r="Q1253" s="137"/>
    </row>
    <row r="1254" spans="1:17" ht="15" customHeight="1" x14ac:dyDescent="0.35">
      <c r="A1254" s="129"/>
      <c r="B1254" s="137"/>
      <c r="C1254" s="137"/>
      <c r="D1254" s="137"/>
      <c r="E1254" s="137"/>
      <c r="F1254" s="137"/>
      <c r="G1254" s="137"/>
      <c r="H1254" s="137"/>
      <c r="I1254" s="137"/>
      <c r="J1254" s="138"/>
      <c r="K1254" s="137"/>
      <c r="L1254" s="137"/>
      <c r="M1254" s="137"/>
      <c r="N1254" s="137"/>
      <c r="O1254" s="137"/>
      <c r="P1254" s="137"/>
      <c r="Q1254" s="137"/>
    </row>
    <row r="1255" spans="1:17" ht="15" customHeight="1" x14ac:dyDescent="0.35">
      <c r="A1255" s="129"/>
      <c r="B1255" s="137"/>
      <c r="C1255" s="137"/>
      <c r="D1255" s="137"/>
      <c r="E1255" s="137"/>
      <c r="F1255" s="137"/>
      <c r="G1255" s="137"/>
      <c r="H1255" s="137"/>
      <c r="I1255" s="137"/>
      <c r="J1255" s="138"/>
      <c r="K1255" s="137"/>
      <c r="L1255" s="137"/>
      <c r="M1255" s="137"/>
      <c r="N1255" s="137"/>
      <c r="O1255" s="137"/>
      <c r="P1255" s="137"/>
      <c r="Q1255" s="137"/>
    </row>
    <row r="1256" spans="1:17" ht="15" customHeight="1" x14ac:dyDescent="0.35">
      <c r="A1256" s="129"/>
      <c r="B1256" s="137"/>
      <c r="C1256" s="137"/>
      <c r="D1256" s="137"/>
      <c r="E1256" s="137"/>
      <c r="F1256" s="137"/>
      <c r="G1256" s="137"/>
      <c r="H1256" s="137"/>
      <c r="I1256" s="137"/>
      <c r="J1256" s="138"/>
      <c r="K1256" s="137"/>
      <c r="L1256" s="137"/>
      <c r="M1256" s="137"/>
      <c r="N1256" s="137"/>
      <c r="O1256" s="137"/>
      <c r="P1256" s="137"/>
      <c r="Q1256" s="137"/>
    </row>
    <row r="1257" spans="1:17" ht="15" customHeight="1" x14ac:dyDescent="0.35">
      <c r="A1257" s="129"/>
      <c r="B1257" s="137"/>
      <c r="C1257" s="137"/>
      <c r="D1257" s="137"/>
      <c r="E1257" s="137"/>
      <c r="F1257" s="137"/>
      <c r="G1257" s="137"/>
      <c r="H1257" s="137"/>
      <c r="I1257" s="137"/>
      <c r="J1257" s="138"/>
      <c r="K1257" s="137"/>
      <c r="L1257" s="137"/>
      <c r="M1257" s="137"/>
      <c r="N1257" s="137"/>
      <c r="O1257" s="137"/>
      <c r="P1257" s="137"/>
      <c r="Q1257" s="137"/>
    </row>
    <row r="1258" spans="1:17" ht="15" customHeight="1" x14ac:dyDescent="0.35">
      <c r="A1258" s="129"/>
      <c r="B1258" s="137"/>
      <c r="C1258" s="137"/>
      <c r="D1258" s="137"/>
      <c r="E1258" s="137"/>
      <c r="F1258" s="137"/>
      <c r="G1258" s="137"/>
      <c r="H1258" s="137"/>
      <c r="I1258" s="137"/>
      <c r="J1258" s="138"/>
      <c r="K1258" s="137"/>
      <c r="L1258" s="137"/>
      <c r="M1258" s="137"/>
      <c r="N1258" s="137"/>
      <c r="O1258" s="137"/>
      <c r="P1258" s="137"/>
      <c r="Q1258" s="137"/>
    </row>
    <row r="1259" spans="1:17" ht="15" customHeight="1" x14ac:dyDescent="0.35">
      <c r="A1259" s="129"/>
      <c r="B1259" s="137"/>
      <c r="C1259" s="137"/>
      <c r="D1259" s="137"/>
      <c r="E1259" s="137"/>
      <c r="F1259" s="137"/>
      <c r="G1259" s="137"/>
      <c r="H1259" s="137"/>
      <c r="I1259" s="137"/>
      <c r="J1259" s="138"/>
      <c r="K1259" s="137"/>
      <c r="L1259" s="137"/>
      <c r="M1259" s="137"/>
      <c r="N1259" s="137"/>
      <c r="O1259" s="137"/>
      <c r="P1259" s="137"/>
      <c r="Q1259" s="137"/>
    </row>
    <row r="1260" spans="1:17" ht="15" customHeight="1" x14ac:dyDescent="0.35">
      <c r="A1260" s="129"/>
      <c r="B1260" s="137"/>
      <c r="C1260" s="137"/>
      <c r="D1260" s="137"/>
      <c r="E1260" s="137"/>
      <c r="F1260" s="137"/>
      <c r="G1260" s="137"/>
      <c r="H1260" s="137"/>
      <c r="I1260" s="137"/>
      <c r="J1260" s="138"/>
      <c r="K1260" s="137"/>
      <c r="L1260" s="137"/>
      <c r="M1260" s="137"/>
      <c r="N1260" s="137"/>
      <c r="O1260" s="137"/>
      <c r="P1260" s="137"/>
      <c r="Q1260" s="137"/>
    </row>
    <row r="1261" spans="1:17" ht="15" customHeight="1" x14ac:dyDescent="0.35">
      <c r="A1261" s="129"/>
      <c r="B1261" s="137"/>
      <c r="C1261" s="137"/>
      <c r="D1261" s="137"/>
      <c r="E1261" s="137"/>
      <c r="F1261" s="137"/>
      <c r="G1261" s="137"/>
      <c r="H1261" s="137"/>
      <c r="I1261" s="137"/>
      <c r="J1261" s="138"/>
      <c r="K1261" s="137"/>
      <c r="L1261" s="137"/>
      <c r="M1261" s="137"/>
      <c r="N1261" s="137"/>
      <c r="O1261" s="137"/>
      <c r="P1261" s="137"/>
      <c r="Q1261" s="137"/>
    </row>
    <row r="1262" spans="1:17" ht="15" customHeight="1" x14ac:dyDescent="0.35">
      <c r="A1262" s="129"/>
      <c r="B1262" s="137"/>
      <c r="C1262" s="137"/>
      <c r="D1262" s="137"/>
      <c r="E1262" s="137"/>
      <c r="F1262" s="137"/>
      <c r="G1262" s="137"/>
      <c r="H1262" s="137"/>
      <c r="I1262" s="137"/>
      <c r="J1262" s="138"/>
      <c r="K1262" s="137"/>
      <c r="L1262" s="137"/>
      <c r="M1262" s="137"/>
      <c r="N1262" s="137"/>
      <c r="O1262" s="137"/>
      <c r="P1262" s="137"/>
      <c r="Q1262" s="137"/>
    </row>
    <row r="1263" spans="1:17" ht="15" customHeight="1" x14ac:dyDescent="0.35">
      <c r="A1263" s="129"/>
      <c r="B1263" s="137"/>
      <c r="C1263" s="137"/>
      <c r="D1263" s="137"/>
      <c r="E1263" s="137"/>
      <c r="F1263" s="137"/>
      <c r="G1263" s="137"/>
      <c r="H1263" s="137"/>
      <c r="I1263" s="137"/>
      <c r="J1263" s="138"/>
      <c r="K1263" s="137"/>
      <c r="L1263" s="137"/>
      <c r="M1263" s="137"/>
      <c r="N1263" s="137"/>
      <c r="O1263" s="137"/>
      <c r="P1263" s="137"/>
      <c r="Q1263" s="137"/>
    </row>
    <row r="1264" spans="1:17" ht="15" customHeight="1" x14ac:dyDescent="0.35">
      <c r="A1264" s="129"/>
      <c r="B1264" s="137"/>
      <c r="C1264" s="137"/>
      <c r="D1264" s="137"/>
      <c r="E1264" s="137"/>
      <c r="F1264" s="137"/>
      <c r="G1264" s="137"/>
      <c r="H1264" s="137"/>
      <c r="I1264" s="137"/>
      <c r="J1264" s="138"/>
      <c r="K1264" s="137"/>
      <c r="L1264" s="137"/>
      <c r="M1264" s="137"/>
      <c r="N1264" s="137"/>
      <c r="O1264" s="137"/>
      <c r="P1264" s="137"/>
      <c r="Q1264" s="137"/>
    </row>
    <row r="1265" spans="1:17" ht="15" customHeight="1" x14ac:dyDescent="0.35">
      <c r="A1265" s="129"/>
      <c r="B1265" s="137"/>
      <c r="C1265" s="137"/>
      <c r="D1265" s="137"/>
      <c r="E1265" s="137"/>
      <c r="F1265" s="137"/>
      <c r="G1265" s="137"/>
      <c r="H1265" s="137"/>
      <c r="I1265" s="137"/>
      <c r="J1265" s="138"/>
      <c r="K1265" s="137"/>
      <c r="L1265" s="137"/>
      <c r="M1265" s="137"/>
      <c r="N1265" s="137"/>
      <c r="O1265" s="137"/>
      <c r="P1265" s="137"/>
      <c r="Q1265" s="137"/>
    </row>
    <row r="1266" spans="1:17" ht="15" customHeight="1" x14ac:dyDescent="0.35">
      <c r="A1266" s="129"/>
      <c r="B1266" s="137"/>
      <c r="C1266" s="137"/>
      <c r="D1266" s="137"/>
      <c r="E1266" s="137"/>
      <c r="F1266" s="137"/>
      <c r="G1266" s="137"/>
      <c r="H1266" s="137"/>
      <c r="I1266" s="137"/>
      <c r="J1266" s="138"/>
      <c r="K1266" s="137"/>
      <c r="L1266" s="137"/>
      <c r="M1266" s="137"/>
      <c r="N1266" s="137"/>
      <c r="O1266" s="137"/>
      <c r="P1266" s="137"/>
      <c r="Q1266" s="137"/>
    </row>
    <row r="1267" spans="1:17" ht="15" customHeight="1" x14ac:dyDescent="0.35">
      <c r="A1267" s="129"/>
      <c r="B1267" s="137"/>
      <c r="C1267" s="137"/>
      <c r="D1267" s="137"/>
      <c r="E1267" s="137"/>
      <c r="F1267" s="137"/>
      <c r="G1267" s="137"/>
      <c r="H1267" s="137"/>
      <c r="I1267" s="137"/>
      <c r="J1267" s="138"/>
      <c r="K1267" s="137"/>
      <c r="L1267" s="137"/>
      <c r="M1267" s="137"/>
      <c r="N1267" s="137"/>
      <c r="O1267" s="137"/>
      <c r="P1267" s="137"/>
      <c r="Q1267" s="137"/>
    </row>
    <row r="1268" spans="1:17" ht="15" customHeight="1" x14ac:dyDescent="0.35">
      <c r="A1268" s="129"/>
      <c r="B1268" s="137"/>
      <c r="C1268" s="137"/>
      <c r="D1268" s="137"/>
      <c r="E1268" s="137"/>
      <c r="F1268" s="137"/>
      <c r="G1268" s="137"/>
      <c r="H1268" s="137"/>
      <c r="I1268" s="137"/>
      <c r="J1268" s="138"/>
      <c r="K1268" s="137"/>
      <c r="L1268" s="137"/>
      <c r="M1268" s="137"/>
      <c r="N1268" s="137"/>
      <c r="O1268" s="137"/>
      <c r="P1268" s="137"/>
      <c r="Q1268" s="137"/>
    </row>
    <row r="1269" spans="1:17" ht="15" customHeight="1" x14ac:dyDescent="0.35">
      <c r="A1269" s="129"/>
      <c r="B1269" s="137"/>
      <c r="C1269" s="137"/>
      <c r="D1269" s="137"/>
      <c r="E1269" s="137"/>
      <c r="F1269" s="137"/>
      <c r="G1269" s="137"/>
      <c r="H1269" s="137"/>
      <c r="I1269" s="137"/>
      <c r="J1269" s="138"/>
      <c r="K1269" s="137"/>
      <c r="L1269" s="137"/>
      <c r="M1269" s="137"/>
      <c r="N1269" s="137"/>
      <c r="O1269" s="137"/>
      <c r="P1269" s="137"/>
      <c r="Q1269" s="137"/>
    </row>
    <row r="1270" spans="1:17" ht="15" customHeight="1" x14ac:dyDescent="0.35">
      <c r="A1270" s="129"/>
      <c r="B1270" s="137"/>
      <c r="C1270" s="137"/>
      <c r="D1270" s="137"/>
      <c r="E1270" s="137"/>
      <c r="F1270" s="137"/>
      <c r="G1270" s="137"/>
      <c r="H1270" s="137"/>
      <c r="I1270" s="137"/>
      <c r="J1270" s="138"/>
      <c r="K1270" s="137"/>
      <c r="L1270" s="137"/>
      <c r="M1270" s="137"/>
      <c r="N1270" s="137"/>
      <c r="O1270" s="137"/>
      <c r="P1270" s="137"/>
      <c r="Q1270" s="137"/>
    </row>
    <row r="1271" spans="1:17" ht="15" customHeight="1" x14ac:dyDescent="0.35">
      <c r="A1271" s="129"/>
      <c r="B1271" s="137"/>
      <c r="C1271" s="137"/>
      <c r="D1271" s="137"/>
      <c r="E1271" s="137"/>
      <c r="F1271" s="137"/>
      <c r="G1271" s="137"/>
      <c r="H1271" s="137"/>
      <c r="I1271" s="137"/>
      <c r="J1271" s="138"/>
      <c r="K1271" s="137"/>
      <c r="L1271" s="137"/>
      <c r="M1271" s="137"/>
      <c r="N1271" s="137"/>
      <c r="O1271" s="137"/>
      <c r="P1271" s="137"/>
      <c r="Q1271" s="137"/>
    </row>
    <row r="1272" spans="1:17" ht="15" customHeight="1" x14ac:dyDescent="0.35">
      <c r="A1272" s="129"/>
      <c r="B1272" s="137"/>
      <c r="C1272" s="137"/>
      <c r="D1272" s="137"/>
      <c r="E1272" s="137"/>
      <c r="F1272" s="137"/>
      <c r="G1272" s="137"/>
      <c r="H1272" s="137"/>
      <c r="I1272" s="137"/>
      <c r="J1272" s="138"/>
      <c r="K1272" s="137"/>
      <c r="L1272" s="137"/>
      <c r="M1272" s="137"/>
      <c r="N1272" s="137"/>
      <c r="O1272" s="137"/>
      <c r="P1272" s="137"/>
      <c r="Q1272" s="137"/>
    </row>
    <row r="1273" spans="1:17" ht="15" customHeight="1" x14ac:dyDescent="0.35">
      <c r="A1273" s="129"/>
      <c r="B1273" s="137"/>
      <c r="C1273" s="137"/>
      <c r="D1273" s="137"/>
      <c r="E1273" s="137"/>
      <c r="F1273" s="137"/>
      <c r="G1273" s="137"/>
      <c r="H1273" s="137"/>
      <c r="I1273" s="137"/>
      <c r="J1273" s="138"/>
      <c r="K1273" s="137"/>
      <c r="L1273" s="137"/>
      <c r="M1273" s="137"/>
      <c r="N1273" s="137"/>
      <c r="O1273" s="137"/>
      <c r="P1273" s="137"/>
      <c r="Q1273" s="137"/>
    </row>
    <row r="1274" spans="1:17" ht="15" customHeight="1" x14ac:dyDescent="0.35">
      <c r="A1274" s="129"/>
      <c r="B1274" s="137"/>
      <c r="C1274" s="137"/>
      <c r="D1274" s="137"/>
      <c r="E1274" s="137"/>
      <c r="F1274" s="137"/>
      <c r="G1274" s="137"/>
      <c r="H1274" s="137"/>
      <c r="I1274" s="137"/>
      <c r="J1274" s="138"/>
      <c r="K1274" s="137"/>
      <c r="L1274" s="137"/>
      <c r="M1274" s="137"/>
      <c r="N1274" s="137"/>
      <c r="O1274" s="137"/>
      <c r="P1274" s="137"/>
      <c r="Q1274" s="137"/>
    </row>
    <row r="1275" spans="1:17" ht="15" customHeight="1" x14ac:dyDescent="0.35">
      <c r="A1275" s="129"/>
      <c r="B1275" s="137"/>
      <c r="C1275" s="137"/>
      <c r="D1275" s="137"/>
      <c r="E1275" s="137"/>
      <c r="F1275" s="137"/>
      <c r="G1275" s="137"/>
      <c r="H1275" s="137"/>
      <c r="I1275" s="137"/>
      <c r="J1275" s="138"/>
      <c r="K1275" s="137"/>
      <c r="L1275" s="137"/>
      <c r="M1275" s="137"/>
      <c r="N1275" s="137"/>
      <c r="O1275" s="137"/>
      <c r="P1275" s="137"/>
      <c r="Q1275" s="137"/>
    </row>
    <row r="1276" spans="1:17" ht="15" customHeight="1" x14ac:dyDescent="0.35">
      <c r="A1276" s="129"/>
      <c r="B1276" s="137"/>
      <c r="C1276" s="137"/>
      <c r="D1276" s="137"/>
      <c r="E1276" s="137"/>
      <c r="F1276" s="137"/>
      <c r="G1276" s="137"/>
      <c r="H1276" s="137"/>
      <c r="I1276" s="137"/>
      <c r="J1276" s="138"/>
      <c r="K1276" s="137"/>
      <c r="L1276" s="137"/>
      <c r="M1276" s="137"/>
      <c r="N1276" s="137"/>
      <c r="O1276" s="137"/>
      <c r="P1276" s="137"/>
      <c r="Q1276" s="137"/>
    </row>
    <row r="1277" spans="1:17" ht="15" customHeight="1" x14ac:dyDescent="0.35">
      <c r="A1277" s="129"/>
      <c r="B1277" s="137"/>
      <c r="C1277" s="137"/>
      <c r="D1277" s="137"/>
      <c r="E1277" s="137"/>
      <c r="F1277" s="137"/>
      <c r="G1277" s="137"/>
      <c r="H1277" s="137"/>
      <c r="I1277" s="137"/>
      <c r="J1277" s="138"/>
      <c r="K1277" s="137"/>
      <c r="L1277" s="137"/>
      <c r="M1277" s="137"/>
      <c r="N1277" s="137"/>
      <c r="O1277" s="137"/>
      <c r="P1277" s="137"/>
      <c r="Q1277" s="137"/>
    </row>
    <row r="1278" spans="1:17" ht="15" customHeight="1" x14ac:dyDescent="0.35">
      <c r="A1278" s="129"/>
      <c r="B1278" s="137"/>
      <c r="C1278" s="137"/>
      <c r="D1278" s="137"/>
      <c r="E1278" s="137"/>
      <c r="F1278" s="137"/>
      <c r="G1278" s="137"/>
      <c r="H1278" s="137"/>
      <c r="I1278" s="137"/>
      <c r="J1278" s="138"/>
      <c r="K1278" s="137"/>
      <c r="L1278" s="137"/>
      <c r="M1278" s="137"/>
      <c r="N1278" s="137"/>
      <c r="O1278" s="137"/>
      <c r="P1278" s="137"/>
      <c r="Q1278" s="137"/>
    </row>
    <row r="1279" spans="1:17" ht="15" customHeight="1" x14ac:dyDescent="0.35">
      <c r="A1279" s="129"/>
      <c r="B1279" s="137"/>
      <c r="C1279" s="137"/>
      <c r="D1279" s="137"/>
      <c r="E1279" s="137"/>
      <c r="F1279" s="137"/>
      <c r="G1279" s="137"/>
      <c r="H1279" s="137"/>
      <c r="I1279" s="137"/>
      <c r="J1279" s="138"/>
      <c r="K1279" s="137"/>
      <c r="L1279" s="137"/>
      <c r="M1279" s="137"/>
      <c r="N1279" s="137"/>
      <c r="O1279" s="137"/>
      <c r="P1279" s="137"/>
      <c r="Q1279" s="137"/>
    </row>
    <row r="1280" spans="1:17" ht="15" customHeight="1" x14ac:dyDescent="0.35">
      <c r="A1280" s="129"/>
      <c r="B1280" s="137"/>
      <c r="C1280" s="137"/>
      <c r="D1280" s="137"/>
      <c r="E1280" s="137"/>
      <c r="F1280" s="137"/>
      <c r="G1280" s="137"/>
      <c r="H1280" s="137"/>
      <c r="I1280" s="137"/>
      <c r="J1280" s="138"/>
      <c r="K1280" s="137"/>
      <c r="L1280" s="137"/>
      <c r="M1280" s="137"/>
      <c r="N1280" s="137"/>
      <c r="O1280" s="137"/>
      <c r="P1280" s="137"/>
      <c r="Q1280" s="137"/>
    </row>
    <row r="1281" spans="1:17" ht="15" customHeight="1" x14ac:dyDescent="0.35">
      <c r="A1281" s="129"/>
      <c r="B1281" s="137"/>
      <c r="C1281" s="137"/>
      <c r="D1281" s="137"/>
      <c r="E1281" s="137"/>
      <c r="F1281" s="137"/>
      <c r="G1281" s="137"/>
      <c r="H1281" s="137"/>
      <c r="I1281" s="137"/>
      <c r="J1281" s="138"/>
      <c r="K1281" s="137"/>
      <c r="L1281" s="137"/>
      <c r="M1281" s="137"/>
      <c r="N1281" s="137"/>
      <c r="O1281" s="137"/>
      <c r="P1281" s="137"/>
      <c r="Q1281" s="137"/>
    </row>
    <row r="1282" spans="1:17" ht="15" customHeight="1" x14ac:dyDescent="0.35">
      <c r="A1282" s="129"/>
      <c r="B1282" s="137"/>
      <c r="C1282" s="137"/>
      <c r="D1282" s="137"/>
      <c r="E1282" s="137"/>
      <c r="F1282" s="137"/>
      <c r="G1282" s="137"/>
      <c r="H1282" s="137"/>
      <c r="I1282" s="137"/>
      <c r="J1282" s="138"/>
      <c r="K1282" s="137"/>
      <c r="L1282" s="137"/>
      <c r="M1282" s="137"/>
      <c r="N1282" s="137"/>
      <c r="O1282" s="137"/>
      <c r="P1282" s="137"/>
      <c r="Q1282" s="137"/>
    </row>
    <row r="1283" spans="1:17" ht="15" customHeight="1" x14ac:dyDescent="0.35">
      <c r="A1283" s="129"/>
      <c r="B1283" s="137"/>
      <c r="C1283" s="137"/>
      <c r="D1283" s="137"/>
      <c r="E1283" s="137"/>
      <c r="F1283" s="137"/>
      <c r="G1283" s="137"/>
      <c r="H1283" s="137"/>
      <c r="I1283" s="137"/>
      <c r="J1283" s="138"/>
      <c r="K1283" s="137"/>
      <c r="L1283" s="137"/>
      <c r="M1283" s="137"/>
      <c r="N1283" s="137"/>
      <c r="O1283" s="137"/>
      <c r="P1283" s="137"/>
      <c r="Q1283" s="137"/>
    </row>
    <row r="1284" spans="1:17" ht="15" customHeight="1" x14ac:dyDescent="0.35">
      <c r="A1284" s="129"/>
      <c r="B1284" s="137"/>
      <c r="C1284" s="137"/>
      <c r="D1284" s="137"/>
      <c r="E1284" s="137"/>
      <c r="F1284" s="137"/>
      <c r="G1284" s="137"/>
      <c r="H1284" s="137"/>
      <c r="I1284" s="137"/>
      <c r="J1284" s="138"/>
      <c r="K1284" s="137"/>
      <c r="L1284" s="137"/>
      <c r="M1284" s="137"/>
      <c r="N1284" s="137"/>
      <c r="O1284" s="137"/>
      <c r="P1284" s="137"/>
      <c r="Q1284" s="137"/>
    </row>
    <row r="1285" spans="1:17" ht="15" customHeight="1" x14ac:dyDescent="0.35">
      <c r="A1285" s="129"/>
      <c r="B1285" s="137"/>
      <c r="C1285" s="137"/>
      <c r="D1285" s="137"/>
      <c r="E1285" s="137"/>
      <c r="F1285" s="137"/>
      <c r="G1285" s="137"/>
      <c r="H1285" s="137"/>
      <c r="I1285" s="137"/>
      <c r="J1285" s="138"/>
      <c r="K1285" s="137"/>
      <c r="L1285" s="137"/>
      <c r="M1285" s="137"/>
      <c r="N1285" s="137"/>
      <c r="O1285" s="137"/>
      <c r="P1285" s="137"/>
      <c r="Q1285" s="137"/>
    </row>
    <row r="1286" spans="1:17" ht="15" customHeight="1" x14ac:dyDescent="0.35">
      <c r="A1286" s="129"/>
      <c r="B1286" s="137"/>
      <c r="C1286" s="137"/>
      <c r="D1286" s="137"/>
      <c r="E1286" s="137"/>
      <c r="F1286" s="137"/>
      <c r="G1286" s="137"/>
      <c r="H1286" s="137"/>
      <c r="I1286" s="137"/>
      <c r="J1286" s="138"/>
      <c r="K1286" s="137"/>
      <c r="L1286" s="137"/>
      <c r="M1286" s="137"/>
      <c r="N1286" s="137"/>
      <c r="O1286" s="137"/>
      <c r="P1286" s="137"/>
      <c r="Q1286" s="137"/>
    </row>
    <row r="1287" spans="1:17" ht="15" customHeight="1" x14ac:dyDescent="0.35">
      <c r="A1287" s="129"/>
      <c r="B1287" s="137"/>
      <c r="C1287" s="137"/>
      <c r="D1287" s="137"/>
      <c r="E1287" s="137"/>
      <c r="F1287" s="137"/>
      <c r="G1287" s="137"/>
      <c r="H1287" s="137"/>
      <c r="I1287" s="137"/>
      <c r="J1287" s="138"/>
      <c r="K1287" s="137"/>
      <c r="L1287" s="137"/>
      <c r="M1287" s="137"/>
      <c r="N1287" s="137"/>
      <c r="O1287" s="137"/>
      <c r="P1287" s="137"/>
      <c r="Q1287" s="137"/>
    </row>
    <row r="1288" spans="1:17" ht="15" customHeight="1" x14ac:dyDescent="0.35">
      <c r="A1288" s="129"/>
      <c r="B1288" s="137"/>
      <c r="C1288" s="137"/>
      <c r="D1288" s="137"/>
      <c r="E1288" s="137"/>
      <c r="F1288" s="137"/>
      <c r="G1288" s="137"/>
      <c r="H1288" s="137"/>
      <c r="I1288" s="137"/>
      <c r="J1288" s="138"/>
      <c r="K1288" s="137"/>
      <c r="L1288" s="137"/>
      <c r="M1288" s="137"/>
      <c r="N1288" s="137"/>
      <c r="O1288" s="137"/>
      <c r="P1288" s="137"/>
      <c r="Q1288" s="137"/>
    </row>
    <row r="1289" spans="1:17" ht="15" customHeight="1" x14ac:dyDescent="0.35">
      <c r="A1289" s="129"/>
      <c r="B1289" s="137"/>
      <c r="C1289" s="137"/>
      <c r="D1289" s="137"/>
      <c r="E1289" s="137"/>
      <c r="F1289" s="137"/>
      <c r="G1289" s="137"/>
      <c r="H1289" s="137"/>
      <c r="I1289" s="137"/>
      <c r="J1289" s="138"/>
      <c r="K1289" s="137"/>
      <c r="L1289" s="137"/>
      <c r="M1289" s="137"/>
      <c r="N1289" s="137"/>
      <c r="O1289" s="137"/>
      <c r="P1289" s="137"/>
      <c r="Q1289" s="137"/>
    </row>
    <row r="1290" spans="1:17" ht="15" customHeight="1" x14ac:dyDescent="0.35">
      <c r="A1290" s="129"/>
      <c r="B1290" s="137"/>
      <c r="C1290" s="137"/>
      <c r="D1290" s="137"/>
      <c r="E1290" s="137"/>
      <c r="F1290" s="137"/>
      <c r="G1290" s="137"/>
      <c r="H1290" s="137"/>
      <c r="I1290" s="137"/>
      <c r="J1290" s="138"/>
      <c r="K1290" s="137"/>
      <c r="L1290" s="137"/>
      <c r="M1290" s="137"/>
      <c r="N1290" s="137"/>
      <c r="O1290" s="137"/>
      <c r="P1290" s="137"/>
      <c r="Q1290" s="137"/>
    </row>
    <row r="1291" spans="1:17" ht="15" customHeight="1" x14ac:dyDescent="0.35">
      <c r="A1291" s="129"/>
      <c r="B1291" s="137"/>
      <c r="C1291" s="137"/>
      <c r="D1291" s="137"/>
      <c r="E1291" s="137"/>
      <c r="F1291" s="137"/>
      <c r="G1291" s="137"/>
      <c r="H1291" s="137"/>
      <c r="I1291" s="137"/>
      <c r="J1291" s="138"/>
      <c r="K1291" s="137"/>
      <c r="L1291" s="137"/>
      <c r="M1291" s="137"/>
      <c r="N1291" s="137"/>
      <c r="O1291" s="137"/>
      <c r="P1291" s="137"/>
      <c r="Q1291" s="137"/>
    </row>
    <row r="1292" spans="1:17" ht="15" customHeight="1" x14ac:dyDescent="0.35">
      <c r="A1292" s="129"/>
      <c r="B1292" s="137"/>
      <c r="C1292" s="137"/>
      <c r="D1292" s="137"/>
      <c r="E1292" s="137"/>
      <c r="F1292" s="137"/>
      <c r="G1292" s="137"/>
      <c r="H1292" s="137"/>
      <c r="I1292" s="137"/>
      <c r="J1292" s="138"/>
      <c r="K1292" s="137"/>
      <c r="L1292" s="137"/>
      <c r="M1292" s="137"/>
      <c r="N1292" s="137"/>
      <c r="O1292" s="137"/>
      <c r="P1292" s="137"/>
      <c r="Q1292" s="137"/>
    </row>
    <row r="1293" spans="1:17" ht="15" customHeight="1" x14ac:dyDescent="0.35">
      <c r="A1293" s="129"/>
      <c r="B1293" s="137"/>
      <c r="C1293" s="137"/>
      <c r="D1293" s="137"/>
      <c r="E1293" s="137"/>
      <c r="F1293" s="137"/>
      <c r="G1293" s="137"/>
      <c r="H1293" s="137"/>
      <c r="I1293" s="137"/>
      <c r="J1293" s="138"/>
      <c r="K1293" s="137"/>
      <c r="L1293" s="137"/>
      <c r="M1293" s="137"/>
      <c r="N1293" s="137"/>
      <c r="O1293" s="137"/>
      <c r="P1293" s="137"/>
      <c r="Q1293" s="137"/>
    </row>
    <row r="1294" spans="1:17" ht="15" customHeight="1" x14ac:dyDescent="0.35">
      <c r="A1294" s="129"/>
      <c r="B1294" s="137"/>
      <c r="C1294" s="137"/>
      <c r="D1294" s="137"/>
      <c r="E1294" s="137"/>
      <c r="F1294" s="137"/>
      <c r="G1294" s="137"/>
      <c r="H1294" s="137"/>
      <c r="I1294" s="137"/>
      <c r="J1294" s="138"/>
      <c r="K1294" s="137"/>
      <c r="L1294" s="137"/>
      <c r="M1294" s="137"/>
      <c r="N1294" s="137"/>
      <c r="O1294" s="137"/>
      <c r="P1294" s="137"/>
      <c r="Q1294" s="137"/>
    </row>
    <row r="1295" spans="1:17" ht="15" customHeight="1" x14ac:dyDescent="0.35">
      <c r="A1295" s="129"/>
      <c r="B1295" s="137"/>
      <c r="C1295" s="137"/>
      <c r="D1295" s="137"/>
      <c r="E1295" s="137"/>
      <c r="F1295" s="137"/>
      <c r="G1295" s="137"/>
      <c r="H1295" s="137"/>
      <c r="I1295" s="137"/>
      <c r="J1295" s="138"/>
      <c r="K1295" s="137"/>
      <c r="L1295" s="137"/>
      <c r="M1295" s="137"/>
      <c r="N1295" s="137"/>
      <c r="O1295" s="137"/>
      <c r="P1295" s="137"/>
      <c r="Q1295" s="137"/>
    </row>
    <row r="1296" spans="1:17" ht="15" customHeight="1" x14ac:dyDescent="0.35">
      <c r="A1296" s="129"/>
      <c r="B1296" s="137"/>
      <c r="C1296" s="137"/>
      <c r="D1296" s="137"/>
      <c r="E1296" s="137"/>
      <c r="F1296" s="137"/>
      <c r="G1296" s="137"/>
      <c r="H1296" s="137"/>
      <c r="I1296" s="137"/>
      <c r="J1296" s="138"/>
      <c r="K1296" s="137"/>
      <c r="L1296" s="137"/>
      <c r="M1296" s="137"/>
      <c r="N1296" s="137"/>
      <c r="O1296" s="137"/>
      <c r="P1296" s="137"/>
      <c r="Q1296" s="137"/>
    </row>
    <row r="1297" spans="1:17" ht="15" customHeight="1" x14ac:dyDescent="0.35">
      <c r="A1297" s="129"/>
      <c r="B1297" s="137"/>
      <c r="C1297" s="137"/>
      <c r="D1297" s="137"/>
      <c r="E1297" s="137"/>
      <c r="F1297" s="137"/>
      <c r="G1297" s="137"/>
      <c r="H1297" s="137"/>
      <c r="I1297" s="137"/>
      <c r="J1297" s="138"/>
      <c r="K1297" s="137"/>
      <c r="L1297" s="137"/>
      <c r="M1297" s="137"/>
      <c r="N1297" s="137"/>
      <c r="O1297" s="137"/>
      <c r="P1297" s="137"/>
      <c r="Q1297" s="137"/>
    </row>
    <row r="1298" spans="1:17" ht="15" customHeight="1" x14ac:dyDescent="0.35">
      <c r="A1298" s="129"/>
      <c r="B1298" s="137"/>
      <c r="C1298" s="137"/>
      <c r="D1298" s="137"/>
      <c r="E1298" s="137"/>
      <c r="F1298" s="137"/>
      <c r="G1298" s="137"/>
      <c r="H1298" s="137"/>
      <c r="I1298" s="137"/>
      <c r="J1298" s="138"/>
      <c r="K1298" s="137"/>
      <c r="L1298" s="137"/>
      <c r="M1298" s="137"/>
      <c r="N1298" s="137"/>
      <c r="O1298" s="137"/>
      <c r="P1298" s="137"/>
      <c r="Q1298" s="137"/>
    </row>
    <row r="1299" spans="1:17" ht="15" customHeight="1" x14ac:dyDescent="0.35">
      <c r="A1299" s="129"/>
      <c r="B1299" s="137"/>
      <c r="C1299" s="137"/>
      <c r="D1299" s="137"/>
      <c r="E1299" s="137"/>
      <c r="F1299" s="137"/>
      <c r="G1299" s="137"/>
      <c r="H1299" s="137"/>
      <c r="I1299" s="137"/>
      <c r="J1299" s="138"/>
      <c r="K1299" s="137"/>
      <c r="L1299" s="137"/>
      <c r="M1299" s="137"/>
      <c r="N1299" s="137"/>
      <c r="O1299" s="137"/>
      <c r="P1299" s="137"/>
      <c r="Q1299" s="137"/>
    </row>
    <row r="1300" spans="1:17" ht="15" customHeight="1" x14ac:dyDescent="0.35">
      <c r="A1300" s="129"/>
      <c r="B1300" s="137"/>
      <c r="C1300" s="137"/>
      <c r="D1300" s="137"/>
      <c r="E1300" s="137"/>
      <c r="F1300" s="137"/>
      <c r="G1300" s="137"/>
      <c r="H1300" s="137"/>
      <c r="I1300" s="137"/>
      <c r="J1300" s="138"/>
      <c r="K1300" s="137"/>
      <c r="L1300" s="137"/>
      <c r="M1300" s="137"/>
      <c r="N1300" s="137"/>
      <c r="O1300" s="137"/>
      <c r="P1300" s="137"/>
      <c r="Q1300" s="137"/>
    </row>
    <row r="1301" spans="1:17" ht="15" customHeight="1" x14ac:dyDescent="0.35">
      <c r="A1301" s="129"/>
      <c r="B1301" s="137"/>
      <c r="C1301" s="137"/>
      <c r="D1301" s="137"/>
      <c r="E1301" s="137"/>
      <c r="F1301" s="137"/>
      <c r="G1301" s="137"/>
      <c r="H1301" s="137"/>
      <c r="I1301" s="137"/>
      <c r="J1301" s="138"/>
      <c r="K1301" s="137"/>
      <c r="L1301" s="137"/>
      <c r="M1301" s="137"/>
      <c r="N1301" s="137"/>
      <c r="O1301" s="137"/>
      <c r="P1301" s="137"/>
      <c r="Q1301" s="137"/>
    </row>
    <row r="1302" spans="1:17" ht="15" customHeight="1" x14ac:dyDescent="0.35">
      <c r="A1302" s="129"/>
      <c r="B1302" s="137"/>
      <c r="C1302" s="137"/>
      <c r="D1302" s="137"/>
      <c r="E1302" s="137"/>
      <c r="F1302" s="137"/>
      <c r="G1302" s="137"/>
      <c r="H1302" s="137"/>
      <c r="I1302" s="137"/>
      <c r="J1302" s="138"/>
      <c r="K1302" s="137"/>
      <c r="L1302" s="137"/>
      <c r="M1302" s="137"/>
      <c r="N1302" s="137"/>
      <c r="O1302" s="137"/>
      <c r="P1302" s="137"/>
      <c r="Q1302" s="137"/>
    </row>
    <row r="1303" spans="1:17" ht="15" customHeight="1" x14ac:dyDescent="0.35">
      <c r="A1303" s="129"/>
      <c r="B1303" s="137"/>
      <c r="C1303" s="137"/>
      <c r="D1303" s="137"/>
      <c r="E1303" s="137"/>
      <c r="F1303" s="137"/>
      <c r="G1303" s="137"/>
      <c r="H1303" s="137"/>
      <c r="I1303" s="137"/>
      <c r="J1303" s="138"/>
      <c r="K1303" s="137"/>
      <c r="L1303" s="137"/>
      <c r="M1303" s="137"/>
      <c r="N1303" s="137"/>
      <c r="O1303" s="137"/>
      <c r="P1303" s="137"/>
      <c r="Q1303" s="137"/>
    </row>
    <row r="1304" spans="1:17" ht="15" customHeight="1" x14ac:dyDescent="0.35">
      <c r="A1304" s="129"/>
      <c r="B1304" s="137"/>
      <c r="C1304" s="137"/>
      <c r="D1304" s="137"/>
      <c r="E1304" s="137"/>
      <c r="F1304" s="137"/>
      <c r="G1304" s="137"/>
      <c r="H1304" s="137"/>
      <c r="I1304" s="137"/>
      <c r="J1304" s="138"/>
      <c r="K1304" s="137"/>
      <c r="L1304" s="137"/>
      <c r="M1304" s="137"/>
      <c r="N1304" s="137"/>
      <c r="O1304" s="137"/>
      <c r="P1304" s="137"/>
      <c r="Q1304" s="137"/>
    </row>
    <row r="1305" spans="1:17" ht="15" customHeight="1" x14ac:dyDescent="0.35">
      <c r="A1305" s="129"/>
      <c r="B1305" s="137"/>
      <c r="C1305" s="137"/>
      <c r="D1305" s="137"/>
      <c r="E1305" s="137"/>
      <c r="F1305" s="137"/>
      <c r="G1305" s="137"/>
      <c r="H1305" s="137"/>
      <c r="I1305" s="137"/>
      <c r="J1305" s="138"/>
      <c r="K1305" s="137"/>
      <c r="L1305" s="137"/>
      <c r="M1305" s="137"/>
      <c r="N1305" s="137"/>
      <c r="O1305" s="137"/>
      <c r="P1305" s="137"/>
      <c r="Q1305" s="137"/>
    </row>
    <row r="1306" spans="1:17" ht="15" customHeight="1" x14ac:dyDescent="0.35">
      <c r="A1306" s="129"/>
      <c r="B1306" s="137"/>
      <c r="C1306" s="137"/>
      <c r="D1306" s="137"/>
      <c r="E1306" s="137"/>
      <c r="F1306" s="137"/>
      <c r="G1306" s="137"/>
      <c r="H1306" s="137"/>
      <c r="I1306" s="137"/>
      <c r="J1306" s="138"/>
      <c r="K1306" s="137"/>
      <c r="L1306" s="137"/>
      <c r="M1306" s="137"/>
      <c r="N1306" s="137"/>
      <c r="O1306" s="137"/>
      <c r="P1306" s="137"/>
      <c r="Q1306" s="137"/>
    </row>
    <row r="1307" spans="1:17" ht="15" customHeight="1" x14ac:dyDescent="0.35">
      <c r="A1307" s="129"/>
      <c r="B1307" s="137"/>
      <c r="C1307" s="137"/>
      <c r="D1307" s="137"/>
      <c r="E1307" s="137"/>
      <c r="F1307" s="137"/>
      <c r="G1307" s="137"/>
      <c r="H1307" s="137"/>
      <c r="I1307" s="137"/>
      <c r="J1307" s="138"/>
      <c r="K1307" s="137"/>
      <c r="L1307" s="137"/>
      <c r="M1307" s="137"/>
      <c r="N1307" s="137"/>
      <c r="O1307" s="137"/>
      <c r="P1307" s="137"/>
      <c r="Q1307" s="137"/>
    </row>
    <row r="1308" spans="1:17" ht="15" customHeight="1" x14ac:dyDescent="0.35">
      <c r="A1308" s="129"/>
      <c r="B1308" s="137"/>
      <c r="C1308" s="137"/>
      <c r="D1308" s="137"/>
      <c r="E1308" s="137"/>
      <c r="F1308" s="137"/>
      <c r="G1308" s="137"/>
      <c r="H1308" s="137"/>
      <c r="I1308" s="137"/>
      <c r="J1308" s="138"/>
      <c r="K1308" s="137"/>
      <c r="L1308" s="137"/>
      <c r="M1308" s="137"/>
      <c r="N1308" s="137"/>
      <c r="O1308" s="137"/>
      <c r="P1308" s="137"/>
      <c r="Q1308" s="137"/>
    </row>
    <row r="1309" spans="1:17" ht="15" customHeight="1" x14ac:dyDescent="0.35">
      <c r="A1309" s="129"/>
      <c r="B1309" s="137"/>
      <c r="C1309" s="137"/>
      <c r="D1309" s="137"/>
      <c r="E1309" s="137"/>
      <c r="F1309" s="137"/>
      <c r="G1309" s="137"/>
      <c r="H1309" s="137"/>
      <c r="I1309" s="137"/>
      <c r="J1309" s="138"/>
      <c r="K1309" s="137"/>
      <c r="L1309" s="137"/>
      <c r="M1309" s="137"/>
      <c r="N1309" s="137"/>
      <c r="O1309" s="137"/>
      <c r="P1309" s="137"/>
      <c r="Q1309" s="137"/>
    </row>
    <row r="1310" spans="1:17" ht="15" customHeight="1" x14ac:dyDescent="0.35">
      <c r="A1310" s="129"/>
      <c r="B1310" s="137"/>
      <c r="C1310" s="137"/>
      <c r="D1310" s="137"/>
      <c r="E1310" s="137"/>
      <c r="F1310" s="137"/>
      <c r="G1310" s="137"/>
      <c r="H1310" s="137"/>
      <c r="I1310" s="137"/>
      <c r="J1310" s="138"/>
      <c r="K1310" s="137"/>
      <c r="L1310" s="137"/>
      <c r="M1310" s="137"/>
      <c r="N1310" s="137"/>
      <c r="O1310" s="137"/>
      <c r="P1310" s="137"/>
      <c r="Q1310" s="137"/>
    </row>
    <row r="1311" spans="1:17" ht="15" customHeight="1" x14ac:dyDescent="0.35">
      <c r="A1311" s="129"/>
      <c r="B1311" s="137"/>
      <c r="C1311" s="137"/>
      <c r="D1311" s="137"/>
      <c r="E1311" s="137"/>
      <c r="F1311" s="137"/>
      <c r="G1311" s="137"/>
      <c r="H1311" s="137"/>
      <c r="I1311" s="137"/>
      <c r="J1311" s="138"/>
      <c r="K1311" s="137"/>
      <c r="L1311" s="137"/>
      <c r="M1311" s="137"/>
      <c r="N1311" s="137"/>
      <c r="O1311" s="137"/>
      <c r="P1311" s="137"/>
      <c r="Q1311" s="137"/>
    </row>
    <row r="1312" spans="1:17" ht="15" customHeight="1" x14ac:dyDescent="0.35">
      <c r="A1312" s="129"/>
      <c r="B1312" s="137"/>
      <c r="C1312" s="137"/>
      <c r="D1312" s="137"/>
      <c r="E1312" s="137"/>
      <c r="F1312" s="137"/>
      <c r="G1312" s="137"/>
      <c r="H1312" s="137"/>
      <c r="I1312" s="137"/>
      <c r="J1312" s="138"/>
      <c r="K1312" s="137"/>
      <c r="L1312" s="137"/>
      <c r="M1312" s="137"/>
      <c r="N1312" s="137"/>
      <c r="O1312" s="137"/>
      <c r="P1312" s="137"/>
      <c r="Q1312" s="137"/>
    </row>
    <row r="1313" spans="1:17" ht="15" customHeight="1" x14ac:dyDescent="0.35">
      <c r="A1313" s="129"/>
      <c r="B1313" s="137"/>
      <c r="C1313" s="137"/>
      <c r="D1313" s="137"/>
      <c r="E1313" s="137"/>
      <c r="F1313" s="137"/>
      <c r="G1313" s="137"/>
      <c r="H1313" s="137"/>
      <c r="I1313" s="137"/>
      <c r="J1313" s="138"/>
      <c r="K1313" s="137"/>
      <c r="L1313" s="137"/>
      <c r="M1313" s="137"/>
      <c r="N1313" s="137"/>
      <c r="O1313" s="137"/>
      <c r="P1313" s="137"/>
      <c r="Q1313" s="137"/>
    </row>
    <row r="1314" spans="1:17" ht="15" customHeight="1" x14ac:dyDescent="0.35">
      <c r="A1314" s="129"/>
      <c r="B1314" s="137"/>
      <c r="C1314" s="137"/>
      <c r="D1314" s="137"/>
      <c r="E1314" s="137"/>
      <c r="F1314" s="137"/>
      <c r="G1314" s="137"/>
      <c r="H1314" s="137"/>
      <c r="I1314" s="137"/>
      <c r="J1314" s="138"/>
      <c r="K1314" s="137"/>
      <c r="L1314" s="137"/>
      <c r="M1314" s="137"/>
      <c r="N1314" s="137"/>
      <c r="O1314" s="137"/>
      <c r="P1314" s="137"/>
      <c r="Q1314" s="137"/>
    </row>
    <row r="1315" spans="1:17" ht="15" customHeight="1" x14ac:dyDescent="0.35">
      <c r="A1315" s="129"/>
      <c r="B1315" s="137"/>
      <c r="C1315" s="137"/>
      <c r="D1315" s="137"/>
      <c r="E1315" s="137"/>
      <c r="F1315" s="137"/>
      <c r="G1315" s="137"/>
      <c r="H1315" s="137"/>
      <c r="I1315" s="137"/>
      <c r="J1315" s="138"/>
      <c r="K1315" s="137"/>
      <c r="L1315" s="137"/>
      <c r="M1315" s="137"/>
      <c r="N1315" s="137"/>
      <c r="O1315" s="137"/>
      <c r="P1315" s="137"/>
      <c r="Q1315" s="137"/>
    </row>
    <row r="1316" spans="1:17" ht="15" customHeight="1" x14ac:dyDescent="0.35">
      <c r="A1316" s="129"/>
      <c r="B1316" s="137"/>
      <c r="C1316" s="137"/>
      <c r="D1316" s="137"/>
      <c r="E1316" s="137"/>
      <c r="F1316" s="137"/>
      <c r="G1316" s="137"/>
      <c r="H1316" s="137"/>
      <c r="I1316" s="137"/>
      <c r="J1316" s="138"/>
      <c r="K1316" s="137"/>
      <c r="L1316" s="137"/>
      <c r="M1316" s="137"/>
      <c r="N1316" s="137"/>
      <c r="O1316" s="137"/>
      <c r="P1316" s="137"/>
      <c r="Q1316" s="137"/>
    </row>
    <row r="1317" spans="1:17" ht="15" customHeight="1" x14ac:dyDescent="0.35">
      <c r="A1317" s="129"/>
      <c r="B1317" s="137"/>
      <c r="C1317" s="137"/>
      <c r="D1317" s="137"/>
      <c r="E1317" s="137"/>
      <c r="F1317" s="137"/>
      <c r="G1317" s="137"/>
      <c r="H1317" s="137"/>
      <c r="I1317" s="137"/>
      <c r="J1317" s="138"/>
      <c r="K1317" s="137"/>
      <c r="L1317" s="137"/>
      <c r="M1317" s="137"/>
      <c r="N1317" s="137"/>
      <c r="O1317" s="137"/>
      <c r="P1317" s="137"/>
      <c r="Q1317" s="137"/>
    </row>
    <row r="1318" spans="1:17" ht="15" customHeight="1" x14ac:dyDescent="0.35">
      <c r="A1318" s="129"/>
      <c r="B1318" s="137"/>
      <c r="C1318" s="137"/>
      <c r="D1318" s="137"/>
      <c r="E1318" s="137"/>
      <c r="F1318" s="137"/>
      <c r="G1318" s="137"/>
      <c r="H1318" s="137"/>
      <c r="I1318" s="137"/>
      <c r="J1318" s="138"/>
      <c r="K1318" s="137"/>
      <c r="L1318" s="137"/>
      <c r="M1318" s="137"/>
      <c r="N1318" s="137"/>
      <c r="O1318" s="137"/>
      <c r="P1318" s="137"/>
      <c r="Q1318" s="137"/>
    </row>
    <row r="1319" spans="1:17" ht="15" customHeight="1" x14ac:dyDescent="0.35">
      <c r="A1319" s="129"/>
      <c r="B1319" s="137"/>
      <c r="C1319" s="137"/>
      <c r="D1319" s="137"/>
      <c r="E1319" s="137"/>
      <c r="F1319" s="137"/>
      <c r="G1319" s="137"/>
      <c r="H1319" s="137"/>
      <c r="I1319" s="137"/>
      <c r="J1319" s="138"/>
      <c r="K1319" s="137"/>
      <c r="L1319" s="137"/>
      <c r="M1319" s="137"/>
      <c r="N1319" s="137"/>
      <c r="O1319" s="137"/>
      <c r="P1319" s="137"/>
      <c r="Q1319" s="137"/>
    </row>
    <row r="1320" spans="1:17" ht="15" customHeight="1" x14ac:dyDescent="0.35">
      <c r="A1320" s="129"/>
      <c r="B1320" s="137"/>
      <c r="C1320" s="137"/>
      <c r="D1320" s="137"/>
      <c r="E1320" s="137"/>
      <c r="F1320" s="137"/>
      <c r="G1320" s="137"/>
      <c r="H1320" s="137"/>
      <c r="I1320" s="137"/>
      <c r="J1320" s="138"/>
      <c r="K1320" s="137"/>
      <c r="L1320" s="137"/>
      <c r="M1320" s="137"/>
      <c r="N1320" s="137"/>
      <c r="O1320" s="137"/>
      <c r="P1320" s="137"/>
      <c r="Q1320" s="137"/>
    </row>
    <row r="1321" spans="1:17" ht="15" customHeight="1" x14ac:dyDescent="0.35">
      <c r="A1321" s="129"/>
      <c r="B1321" s="137"/>
      <c r="C1321" s="137"/>
      <c r="D1321" s="137"/>
      <c r="E1321" s="137"/>
      <c r="F1321" s="137"/>
      <c r="G1321" s="137"/>
      <c r="H1321" s="137"/>
      <c r="I1321" s="137"/>
      <c r="J1321" s="138"/>
      <c r="K1321" s="137"/>
      <c r="L1321" s="137"/>
      <c r="M1321" s="137"/>
      <c r="N1321" s="137"/>
      <c r="O1321" s="137"/>
      <c r="P1321" s="137"/>
      <c r="Q1321" s="137"/>
    </row>
    <row r="1322" spans="1:17" ht="15" customHeight="1" x14ac:dyDescent="0.35">
      <c r="A1322" s="129"/>
      <c r="B1322" s="137"/>
      <c r="C1322" s="137"/>
      <c r="D1322" s="137"/>
      <c r="E1322" s="137"/>
      <c r="F1322" s="137"/>
      <c r="G1322" s="137"/>
      <c r="H1322" s="137"/>
      <c r="I1322" s="137"/>
      <c r="J1322" s="138"/>
      <c r="K1322" s="137"/>
      <c r="L1322" s="137"/>
      <c r="M1322" s="137"/>
      <c r="N1322" s="137"/>
      <c r="O1322" s="137"/>
      <c r="P1322" s="137"/>
      <c r="Q1322" s="137"/>
    </row>
    <row r="1323" spans="1:17" ht="15" customHeight="1" x14ac:dyDescent="0.35">
      <c r="A1323" s="129"/>
      <c r="B1323" s="137"/>
      <c r="C1323" s="137"/>
      <c r="D1323" s="137"/>
      <c r="E1323" s="137"/>
      <c r="F1323" s="137"/>
      <c r="G1323" s="137"/>
      <c r="H1323" s="137"/>
      <c r="I1323" s="137"/>
      <c r="J1323" s="138"/>
      <c r="K1323" s="137"/>
      <c r="L1323" s="137"/>
      <c r="M1323" s="137"/>
      <c r="N1323" s="137"/>
      <c r="O1323" s="137"/>
      <c r="P1323" s="137"/>
      <c r="Q1323" s="137"/>
    </row>
    <row r="1324" spans="1:17" ht="15" customHeight="1" x14ac:dyDescent="0.35">
      <c r="A1324" s="129"/>
      <c r="B1324" s="137"/>
      <c r="C1324" s="137"/>
      <c r="D1324" s="137"/>
      <c r="E1324" s="137"/>
      <c r="F1324" s="137"/>
      <c r="G1324" s="137"/>
      <c r="H1324" s="137"/>
      <c r="I1324" s="137"/>
      <c r="J1324" s="138"/>
      <c r="K1324" s="137"/>
      <c r="L1324" s="137"/>
      <c r="M1324" s="137"/>
      <c r="N1324" s="137"/>
      <c r="O1324" s="137"/>
      <c r="P1324" s="137"/>
      <c r="Q1324" s="137"/>
    </row>
    <row r="1325" spans="1:17" ht="15" customHeight="1" x14ac:dyDescent="0.35">
      <c r="A1325" s="129"/>
      <c r="B1325" s="137"/>
      <c r="C1325" s="137"/>
      <c r="D1325" s="137"/>
      <c r="E1325" s="137"/>
      <c r="F1325" s="137"/>
      <c r="G1325" s="137"/>
      <c r="H1325" s="137"/>
      <c r="I1325" s="137"/>
      <c r="J1325" s="138"/>
      <c r="K1325" s="137"/>
      <c r="L1325" s="137"/>
      <c r="M1325" s="137"/>
      <c r="N1325" s="137"/>
      <c r="O1325" s="137"/>
      <c r="P1325" s="137"/>
      <c r="Q1325" s="137"/>
    </row>
    <row r="1326" spans="1:17" ht="15" customHeight="1" x14ac:dyDescent="0.35">
      <c r="A1326" s="129"/>
      <c r="B1326" s="137"/>
      <c r="C1326" s="137"/>
      <c r="D1326" s="137"/>
      <c r="E1326" s="137"/>
      <c r="F1326" s="137"/>
      <c r="G1326" s="137"/>
      <c r="H1326" s="137"/>
      <c r="I1326" s="137"/>
      <c r="J1326" s="138"/>
      <c r="K1326" s="137"/>
      <c r="L1326" s="137"/>
      <c r="M1326" s="137"/>
      <c r="N1326" s="137"/>
      <c r="O1326" s="137"/>
      <c r="P1326" s="137"/>
      <c r="Q1326" s="137"/>
    </row>
    <row r="1327" spans="1:17" ht="15" customHeight="1" x14ac:dyDescent="0.35">
      <c r="A1327" s="129"/>
      <c r="B1327" s="137"/>
      <c r="C1327" s="137"/>
      <c r="D1327" s="137"/>
      <c r="E1327" s="137"/>
      <c r="F1327" s="137"/>
      <c r="G1327" s="137"/>
      <c r="H1327" s="137"/>
      <c r="I1327" s="137"/>
      <c r="J1327" s="138"/>
      <c r="K1327" s="137"/>
      <c r="L1327" s="137"/>
      <c r="M1327" s="137"/>
      <c r="N1327" s="137"/>
      <c r="O1327" s="137"/>
      <c r="P1327" s="137"/>
      <c r="Q1327" s="137"/>
    </row>
    <row r="1328" spans="1:17" ht="15" customHeight="1" x14ac:dyDescent="0.35">
      <c r="A1328" s="129"/>
      <c r="B1328" s="137"/>
      <c r="C1328" s="137"/>
      <c r="D1328" s="137"/>
      <c r="E1328" s="137"/>
      <c r="F1328" s="137"/>
      <c r="G1328" s="137"/>
      <c r="H1328" s="137"/>
      <c r="I1328" s="137"/>
      <c r="J1328" s="138"/>
      <c r="K1328" s="137"/>
      <c r="L1328" s="137"/>
      <c r="M1328" s="137"/>
      <c r="N1328" s="137"/>
      <c r="O1328" s="137"/>
      <c r="P1328" s="137"/>
      <c r="Q1328" s="137"/>
    </row>
    <row r="1329" spans="1:17" ht="15" customHeight="1" x14ac:dyDescent="0.35">
      <c r="A1329" s="129"/>
      <c r="B1329" s="137"/>
      <c r="C1329" s="137"/>
      <c r="D1329" s="137"/>
      <c r="E1329" s="137"/>
      <c r="F1329" s="137"/>
      <c r="G1329" s="137"/>
      <c r="H1329" s="137"/>
      <c r="I1329" s="137"/>
      <c r="J1329" s="138"/>
      <c r="K1329" s="137"/>
      <c r="L1329" s="137"/>
      <c r="M1329" s="137"/>
      <c r="N1329" s="137"/>
      <c r="O1329" s="137"/>
      <c r="P1329" s="137"/>
      <c r="Q1329" s="137"/>
    </row>
    <row r="1330" spans="1:17" ht="15" customHeight="1" x14ac:dyDescent="0.35">
      <c r="A1330" s="129"/>
      <c r="B1330" s="137"/>
      <c r="C1330" s="137"/>
      <c r="D1330" s="137"/>
      <c r="E1330" s="137"/>
      <c r="F1330" s="137"/>
      <c r="G1330" s="137"/>
      <c r="H1330" s="137"/>
      <c r="I1330" s="137"/>
      <c r="J1330" s="138"/>
      <c r="K1330" s="137"/>
      <c r="L1330" s="137"/>
      <c r="M1330" s="137"/>
      <c r="N1330" s="137"/>
      <c r="O1330" s="137"/>
      <c r="P1330" s="137"/>
      <c r="Q1330" s="137"/>
    </row>
    <row r="1331" spans="1:17" ht="15" customHeight="1" x14ac:dyDescent="0.35">
      <c r="A1331" s="129"/>
      <c r="B1331" s="137"/>
      <c r="C1331" s="137"/>
      <c r="D1331" s="137"/>
      <c r="E1331" s="137"/>
      <c r="F1331" s="137"/>
      <c r="G1331" s="137"/>
      <c r="H1331" s="137"/>
      <c r="I1331" s="137"/>
      <c r="J1331" s="138"/>
      <c r="K1331" s="137"/>
      <c r="L1331" s="137"/>
      <c r="M1331" s="137"/>
      <c r="N1331" s="137"/>
      <c r="O1331" s="137"/>
      <c r="P1331" s="137"/>
      <c r="Q1331" s="137"/>
    </row>
    <row r="1332" spans="1:17" ht="15" customHeight="1" x14ac:dyDescent="0.35">
      <c r="A1332" s="129"/>
      <c r="B1332" s="137"/>
      <c r="C1332" s="137"/>
      <c r="D1332" s="137"/>
      <c r="E1332" s="137"/>
      <c r="F1332" s="137"/>
      <c r="G1332" s="137"/>
      <c r="H1332" s="137"/>
      <c r="I1332" s="137"/>
      <c r="J1332" s="138"/>
      <c r="K1332" s="137"/>
      <c r="L1332" s="137"/>
      <c r="M1332" s="137"/>
      <c r="N1332" s="137"/>
      <c r="O1332" s="137"/>
      <c r="P1332" s="137"/>
      <c r="Q1332" s="137"/>
    </row>
    <row r="1333" spans="1:17" ht="15" customHeight="1" x14ac:dyDescent="0.35">
      <c r="A1333" s="129"/>
      <c r="B1333" s="137"/>
      <c r="C1333" s="137"/>
      <c r="D1333" s="137"/>
      <c r="E1333" s="137"/>
      <c r="F1333" s="137"/>
      <c r="G1333" s="137"/>
      <c r="H1333" s="137"/>
      <c r="I1333" s="137"/>
      <c r="J1333" s="138"/>
      <c r="K1333" s="137"/>
      <c r="L1333" s="137"/>
      <c r="M1333" s="137"/>
      <c r="N1333" s="137"/>
      <c r="O1333" s="137"/>
      <c r="P1333" s="137"/>
      <c r="Q1333" s="137"/>
    </row>
    <row r="1334" spans="1:17" ht="15" customHeight="1" x14ac:dyDescent="0.35">
      <c r="A1334" s="129"/>
      <c r="B1334" s="137"/>
      <c r="C1334" s="137"/>
      <c r="D1334" s="137"/>
      <c r="E1334" s="137"/>
      <c r="F1334" s="137"/>
      <c r="G1334" s="137"/>
      <c r="H1334" s="137"/>
      <c r="I1334" s="137"/>
      <c r="J1334" s="138"/>
      <c r="K1334" s="137"/>
      <c r="L1334" s="137"/>
      <c r="M1334" s="137"/>
      <c r="N1334" s="137"/>
      <c r="O1334" s="137"/>
      <c r="P1334" s="137"/>
      <c r="Q1334" s="137"/>
    </row>
    <row r="1335" spans="1:17" ht="15" customHeight="1" x14ac:dyDescent="0.35">
      <c r="A1335" s="129"/>
      <c r="B1335" s="137"/>
      <c r="C1335" s="137"/>
      <c r="D1335" s="137"/>
      <c r="E1335" s="137"/>
      <c r="F1335" s="137"/>
      <c r="G1335" s="137"/>
      <c r="H1335" s="137"/>
      <c r="I1335" s="137"/>
      <c r="J1335" s="138"/>
      <c r="K1335" s="137"/>
      <c r="L1335" s="137"/>
      <c r="M1335" s="137"/>
      <c r="N1335" s="137"/>
      <c r="O1335" s="137"/>
      <c r="P1335" s="137"/>
      <c r="Q1335" s="137"/>
    </row>
    <row r="1336" spans="1:17" ht="15" customHeight="1" x14ac:dyDescent="0.35">
      <c r="A1336" s="129"/>
      <c r="B1336" s="137"/>
      <c r="C1336" s="137"/>
      <c r="D1336" s="137"/>
      <c r="E1336" s="137"/>
      <c r="F1336" s="137"/>
      <c r="G1336" s="137"/>
      <c r="H1336" s="137"/>
      <c r="I1336" s="137"/>
      <c r="J1336" s="138"/>
      <c r="K1336" s="137"/>
      <c r="L1336" s="137"/>
      <c r="M1336" s="137"/>
      <c r="N1336" s="137"/>
      <c r="O1336" s="137"/>
      <c r="P1336" s="137"/>
      <c r="Q1336" s="137"/>
    </row>
    <row r="1337" spans="1:17" ht="15" customHeight="1" x14ac:dyDescent="0.35">
      <c r="A1337" s="129"/>
      <c r="B1337" s="137"/>
      <c r="C1337" s="137"/>
      <c r="D1337" s="137"/>
      <c r="E1337" s="137"/>
      <c r="F1337" s="137"/>
      <c r="G1337" s="137"/>
      <c r="H1337" s="137"/>
      <c r="I1337" s="137"/>
      <c r="J1337" s="138"/>
      <c r="K1337" s="137"/>
      <c r="L1337" s="137"/>
      <c r="M1337" s="137"/>
      <c r="N1337" s="137"/>
      <c r="O1337" s="137"/>
      <c r="P1337" s="137"/>
      <c r="Q1337" s="137"/>
    </row>
    <row r="1338" spans="1:17" ht="15" customHeight="1" x14ac:dyDescent="0.35">
      <c r="A1338" s="129"/>
      <c r="B1338" s="137"/>
      <c r="C1338" s="137"/>
      <c r="D1338" s="137"/>
      <c r="E1338" s="137"/>
      <c r="F1338" s="137"/>
      <c r="G1338" s="137"/>
      <c r="H1338" s="137"/>
      <c r="I1338" s="137"/>
      <c r="J1338" s="138"/>
      <c r="K1338" s="137"/>
      <c r="L1338" s="137"/>
      <c r="M1338" s="137"/>
      <c r="N1338" s="137"/>
      <c r="O1338" s="137"/>
      <c r="P1338" s="137"/>
      <c r="Q1338" s="137"/>
    </row>
    <row r="1339" spans="1:17" ht="15" customHeight="1" x14ac:dyDescent="0.35">
      <c r="A1339" s="129"/>
      <c r="B1339" s="137"/>
      <c r="C1339" s="137"/>
      <c r="D1339" s="137"/>
      <c r="E1339" s="137"/>
      <c r="F1339" s="137"/>
      <c r="G1339" s="137"/>
      <c r="H1339" s="137"/>
      <c r="I1339" s="137"/>
      <c r="J1339" s="138"/>
      <c r="K1339" s="137"/>
      <c r="L1339" s="137"/>
      <c r="M1339" s="137"/>
      <c r="N1339" s="137"/>
      <c r="O1339" s="137"/>
      <c r="P1339" s="137"/>
      <c r="Q1339" s="137"/>
    </row>
    <row r="1340" spans="1:17" ht="15" customHeight="1" x14ac:dyDescent="0.35">
      <c r="A1340" s="129"/>
      <c r="B1340" s="137"/>
      <c r="C1340" s="137"/>
      <c r="D1340" s="137"/>
      <c r="E1340" s="137"/>
      <c r="F1340" s="137"/>
      <c r="G1340" s="137"/>
      <c r="H1340" s="137"/>
      <c r="I1340" s="137"/>
      <c r="J1340" s="138"/>
      <c r="K1340" s="137"/>
      <c r="L1340" s="137"/>
      <c r="M1340" s="137"/>
      <c r="N1340" s="137"/>
      <c r="O1340" s="137"/>
      <c r="P1340" s="137"/>
      <c r="Q1340" s="137"/>
    </row>
    <row r="1341" spans="1:17" ht="15" customHeight="1" x14ac:dyDescent="0.35">
      <c r="A1341" s="129"/>
      <c r="B1341" s="137"/>
      <c r="C1341" s="137"/>
      <c r="D1341" s="137"/>
      <c r="E1341" s="137"/>
      <c r="F1341" s="137"/>
      <c r="G1341" s="137"/>
      <c r="H1341" s="137"/>
      <c r="I1341" s="137"/>
      <c r="J1341" s="138"/>
      <c r="K1341" s="137"/>
      <c r="L1341" s="137"/>
      <c r="M1341" s="137"/>
      <c r="N1341" s="137"/>
      <c r="O1341" s="137"/>
      <c r="P1341" s="137"/>
      <c r="Q1341" s="137"/>
    </row>
    <row r="1342" spans="1:17" ht="15" customHeight="1" x14ac:dyDescent="0.35">
      <c r="A1342" s="129"/>
      <c r="B1342" s="137"/>
      <c r="C1342" s="137"/>
      <c r="D1342" s="137"/>
      <c r="E1342" s="137"/>
      <c r="F1342" s="137"/>
      <c r="G1342" s="137"/>
      <c r="H1342" s="137"/>
      <c r="I1342" s="137"/>
      <c r="J1342" s="138"/>
      <c r="K1342" s="137"/>
      <c r="L1342" s="137"/>
      <c r="M1342" s="137"/>
      <c r="N1342" s="137"/>
      <c r="O1342" s="137"/>
      <c r="P1342" s="137"/>
      <c r="Q1342" s="137"/>
    </row>
    <row r="1343" spans="1:17" ht="15" customHeight="1" x14ac:dyDescent="0.35">
      <c r="A1343" s="129"/>
      <c r="B1343" s="137"/>
      <c r="C1343" s="137"/>
      <c r="D1343" s="137"/>
      <c r="E1343" s="137"/>
      <c r="F1343" s="137"/>
      <c r="G1343" s="137"/>
      <c r="H1343" s="137"/>
      <c r="I1343" s="137"/>
      <c r="J1343" s="138"/>
      <c r="K1343" s="137"/>
      <c r="L1343" s="137"/>
      <c r="M1343" s="137"/>
      <c r="N1343" s="137"/>
      <c r="O1343" s="137"/>
      <c r="P1343" s="137"/>
      <c r="Q1343" s="137"/>
    </row>
    <row r="1344" spans="1:17" ht="15" customHeight="1" x14ac:dyDescent="0.35">
      <c r="A1344" s="129"/>
      <c r="B1344" s="137"/>
      <c r="C1344" s="137"/>
      <c r="D1344" s="137"/>
      <c r="E1344" s="137"/>
      <c r="F1344" s="137"/>
      <c r="G1344" s="137"/>
      <c r="H1344" s="137"/>
      <c r="I1344" s="137"/>
      <c r="J1344" s="138"/>
      <c r="K1344" s="137"/>
      <c r="L1344" s="137"/>
      <c r="M1344" s="137"/>
      <c r="N1344" s="137"/>
      <c r="O1344" s="137"/>
      <c r="P1344" s="137"/>
      <c r="Q1344" s="137"/>
    </row>
    <row r="1345" spans="1:17" ht="15" customHeight="1" x14ac:dyDescent="0.35">
      <c r="A1345" s="129"/>
      <c r="B1345" s="137"/>
      <c r="C1345" s="137"/>
      <c r="D1345" s="137"/>
      <c r="E1345" s="137"/>
      <c r="F1345" s="137"/>
      <c r="G1345" s="137"/>
      <c r="H1345" s="137"/>
      <c r="I1345" s="137"/>
      <c r="J1345" s="138"/>
      <c r="K1345" s="137"/>
      <c r="L1345" s="137"/>
      <c r="M1345" s="137"/>
      <c r="N1345" s="137"/>
      <c r="O1345" s="137"/>
      <c r="P1345" s="137"/>
      <c r="Q1345" s="137"/>
    </row>
    <row r="1346" spans="1:17" ht="15" customHeight="1" x14ac:dyDescent="0.35">
      <c r="A1346" s="129"/>
      <c r="B1346" s="137"/>
      <c r="C1346" s="137"/>
      <c r="D1346" s="137"/>
      <c r="E1346" s="137"/>
      <c r="F1346" s="137"/>
      <c r="G1346" s="137"/>
      <c r="H1346" s="137"/>
      <c r="I1346" s="137"/>
      <c r="J1346" s="138"/>
      <c r="K1346" s="137"/>
      <c r="L1346" s="137"/>
      <c r="M1346" s="137"/>
      <c r="N1346" s="137"/>
      <c r="O1346" s="137"/>
      <c r="P1346" s="137"/>
      <c r="Q1346" s="137"/>
    </row>
    <row r="1347" spans="1:17" ht="15" customHeight="1" x14ac:dyDescent="0.35">
      <c r="A1347" s="129"/>
      <c r="B1347" s="137"/>
      <c r="C1347" s="137"/>
      <c r="D1347" s="137"/>
      <c r="E1347" s="137"/>
      <c r="F1347" s="137"/>
      <c r="G1347" s="137"/>
      <c r="H1347" s="137"/>
      <c r="I1347" s="137"/>
      <c r="J1347" s="138"/>
      <c r="K1347" s="137"/>
      <c r="L1347" s="137"/>
      <c r="M1347" s="137"/>
      <c r="N1347" s="137"/>
      <c r="O1347" s="137"/>
      <c r="P1347" s="137"/>
      <c r="Q1347" s="137"/>
    </row>
    <row r="1348" spans="1:17" ht="15" customHeight="1" x14ac:dyDescent="0.35">
      <c r="A1348" s="129"/>
      <c r="B1348" s="137"/>
      <c r="C1348" s="137"/>
      <c r="D1348" s="137"/>
      <c r="E1348" s="137"/>
      <c r="F1348" s="137"/>
      <c r="G1348" s="137"/>
      <c r="H1348" s="137"/>
      <c r="I1348" s="137"/>
      <c r="J1348" s="138"/>
      <c r="K1348" s="137"/>
      <c r="L1348" s="137"/>
      <c r="M1348" s="137"/>
      <c r="N1348" s="137"/>
      <c r="O1348" s="137"/>
      <c r="P1348" s="137"/>
      <c r="Q1348" s="137"/>
    </row>
    <row r="1349" spans="1:17" ht="15" customHeight="1" x14ac:dyDescent="0.35">
      <c r="A1349" s="129"/>
      <c r="B1349" s="137"/>
      <c r="C1349" s="137"/>
      <c r="D1349" s="137"/>
      <c r="E1349" s="137"/>
      <c r="F1349" s="137"/>
      <c r="G1349" s="137"/>
      <c r="H1349" s="137"/>
      <c r="I1349" s="137"/>
      <c r="J1349" s="138"/>
      <c r="K1349" s="137"/>
      <c r="L1349" s="137"/>
      <c r="M1349" s="137"/>
      <c r="N1349" s="137"/>
      <c r="O1349" s="137"/>
      <c r="P1349" s="137"/>
      <c r="Q1349" s="137"/>
    </row>
    <row r="1350" spans="1:17" ht="15" customHeight="1" x14ac:dyDescent="0.35">
      <c r="A1350" s="129"/>
      <c r="B1350" s="137"/>
      <c r="C1350" s="137"/>
      <c r="D1350" s="137"/>
      <c r="E1350" s="137"/>
      <c r="F1350" s="137"/>
      <c r="G1350" s="137"/>
      <c r="H1350" s="137"/>
      <c r="I1350" s="137"/>
      <c r="J1350" s="138"/>
      <c r="K1350" s="137"/>
      <c r="L1350" s="137"/>
      <c r="M1350" s="137"/>
      <c r="N1350" s="137"/>
      <c r="O1350" s="137"/>
      <c r="P1350" s="137"/>
      <c r="Q1350" s="137"/>
    </row>
    <row r="1351" spans="1:17" ht="15" customHeight="1" x14ac:dyDescent="0.35">
      <c r="A1351" s="129"/>
      <c r="B1351" s="137"/>
      <c r="C1351" s="137"/>
      <c r="D1351" s="137"/>
      <c r="E1351" s="137"/>
      <c r="F1351" s="137"/>
      <c r="G1351" s="137"/>
      <c r="H1351" s="137"/>
      <c r="I1351" s="137"/>
      <c r="J1351" s="138"/>
      <c r="K1351" s="137"/>
      <c r="L1351" s="137"/>
      <c r="M1351" s="137"/>
      <c r="N1351" s="137"/>
      <c r="O1351" s="137"/>
      <c r="P1351" s="137"/>
      <c r="Q1351" s="137"/>
    </row>
    <row r="1352" spans="1:17" ht="15" customHeight="1" x14ac:dyDescent="0.35">
      <c r="A1352" s="129"/>
      <c r="B1352" s="137"/>
      <c r="C1352" s="137"/>
      <c r="D1352" s="137"/>
      <c r="E1352" s="137"/>
      <c r="F1352" s="137"/>
      <c r="G1352" s="137"/>
      <c r="H1352" s="137"/>
      <c r="I1352" s="137"/>
      <c r="J1352" s="138"/>
      <c r="K1352" s="137"/>
      <c r="L1352" s="137"/>
      <c r="M1352" s="137"/>
      <c r="N1352" s="137"/>
      <c r="O1352" s="137"/>
      <c r="P1352" s="137"/>
      <c r="Q1352" s="137"/>
    </row>
    <row r="1353" spans="1:17" ht="15" customHeight="1" x14ac:dyDescent="0.35">
      <c r="A1353" s="129"/>
      <c r="B1353" s="137"/>
      <c r="C1353" s="137"/>
      <c r="D1353" s="137"/>
      <c r="E1353" s="137"/>
      <c r="F1353" s="137"/>
      <c r="G1353" s="137"/>
      <c r="H1353" s="137"/>
      <c r="I1353" s="137"/>
      <c r="J1353" s="138"/>
      <c r="K1353" s="137"/>
      <c r="L1353" s="137"/>
      <c r="M1353" s="137"/>
      <c r="N1353" s="137"/>
      <c r="O1353" s="137"/>
      <c r="P1353" s="137"/>
      <c r="Q1353" s="137"/>
    </row>
    <row r="1354" spans="1:17" ht="15" customHeight="1" x14ac:dyDescent="0.35">
      <c r="A1354" s="129"/>
      <c r="B1354" s="137"/>
      <c r="C1354" s="137"/>
      <c r="D1354" s="137"/>
      <c r="E1354" s="137"/>
      <c r="F1354" s="137"/>
      <c r="G1354" s="137"/>
      <c r="H1354" s="137"/>
      <c r="I1354" s="137"/>
      <c r="J1354" s="138"/>
      <c r="K1354" s="137"/>
      <c r="L1354" s="137"/>
      <c r="M1354" s="137"/>
      <c r="N1354" s="137"/>
      <c r="O1354" s="137"/>
      <c r="P1354" s="137"/>
      <c r="Q1354" s="137"/>
    </row>
    <row r="1355" spans="1:17" ht="15" customHeight="1" x14ac:dyDescent="0.35">
      <c r="A1355" s="129"/>
      <c r="B1355" s="137"/>
      <c r="C1355" s="137"/>
      <c r="D1355" s="137"/>
      <c r="E1355" s="137"/>
      <c r="F1355" s="137"/>
      <c r="G1355" s="137"/>
      <c r="H1355" s="137"/>
      <c r="I1355" s="137"/>
      <c r="J1355" s="138"/>
      <c r="K1355" s="137"/>
      <c r="L1355" s="137"/>
      <c r="M1355" s="137"/>
      <c r="N1355" s="137"/>
      <c r="O1355" s="137"/>
      <c r="P1355" s="137"/>
      <c r="Q1355" s="137"/>
    </row>
    <row r="1356" spans="1:17" ht="15" customHeight="1" x14ac:dyDescent="0.35">
      <c r="A1356" s="129"/>
      <c r="B1356" s="137"/>
      <c r="C1356" s="137"/>
      <c r="D1356" s="137"/>
      <c r="E1356" s="137"/>
      <c r="F1356" s="137"/>
      <c r="G1356" s="137"/>
      <c r="H1356" s="137"/>
      <c r="I1356" s="137"/>
      <c r="J1356" s="138"/>
      <c r="K1356" s="137"/>
      <c r="L1356" s="137"/>
      <c r="M1356" s="137"/>
      <c r="N1356" s="137"/>
      <c r="O1356" s="137"/>
      <c r="P1356" s="137"/>
      <c r="Q1356" s="137"/>
    </row>
    <row r="1357" spans="1:17" ht="15" customHeight="1" x14ac:dyDescent="0.35">
      <c r="A1357" s="129"/>
      <c r="B1357" s="137"/>
      <c r="C1357" s="137"/>
      <c r="D1357" s="137"/>
      <c r="E1357" s="137"/>
      <c r="F1357" s="137"/>
      <c r="G1357" s="137"/>
      <c r="H1357" s="137"/>
      <c r="I1357" s="137"/>
      <c r="J1357" s="138"/>
      <c r="K1357" s="137"/>
      <c r="L1357" s="137"/>
      <c r="M1357" s="137"/>
      <c r="N1357" s="137"/>
      <c r="O1357" s="137"/>
      <c r="P1357" s="137"/>
      <c r="Q1357" s="137"/>
    </row>
    <row r="1358" spans="1:17" ht="15" customHeight="1" x14ac:dyDescent="0.35">
      <c r="A1358" s="129"/>
      <c r="B1358" s="137"/>
      <c r="C1358" s="137"/>
      <c r="D1358" s="137"/>
      <c r="E1358" s="137"/>
      <c r="F1358" s="137"/>
      <c r="G1358" s="137"/>
      <c r="H1358" s="137"/>
      <c r="I1358" s="137"/>
      <c r="J1358" s="138"/>
      <c r="K1358" s="137"/>
      <c r="L1358" s="137"/>
      <c r="M1358" s="137"/>
      <c r="N1358" s="137"/>
      <c r="O1358" s="137"/>
      <c r="P1358" s="137"/>
      <c r="Q1358" s="137"/>
    </row>
    <row r="1359" spans="1:17" ht="15" customHeight="1" x14ac:dyDescent="0.35">
      <c r="A1359" s="129"/>
      <c r="B1359" s="137"/>
      <c r="C1359" s="137"/>
      <c r="D1359" s="137"/>
      <c r="E1359" s="137"/>
      <c r="F1359" s="137"/>
      <c r="G1359" s="137"/>
      <c r="H1359" s="137"/>
      <c r="I1359" s="137"/>
      <c r="J1359" s="138"/>
      <c r="K1359" s="137"/>
      <c r="L1359" s="137"/>
      <c r="M1359" s="137"/>
      <c r="N1359" s="137"/>
      <c r="O1359" s="137"/>
      <c r="P1359" s="137"/>
      <c r="Q1359" s="137"/>
    </row>
    <row r="1360" spans="1:17" ht="15" customHeight="1" x14ac:dyDescent="0.35">
      <c r="A1360" s="129"/>
      <c r="B1360" s="137"/>
      <c r="C1360" s="137"/>
      <c r="D1360" s="137"/>
      <c r="E1360" s="137"/>
      <c r="F1360" s="137"/>
      <c r="G1360" s="137"/>
      <c r="H1360" s="137"/>
      <c r="I1360" s="137"/>
      <c r="J1360" s="138"/>
      <c r="K1360" s="137"/>
      <c r="L1360" s="137"/>
      <c r="M1360" s="137"/>
      <c r="N1360" s="137"/>
      <c r="O1360" s="137"/>
      <c r="P1360" s="137"/>
      <c r="Q1360" s="137"/>
    </row>
    <row r="1361" spans="1:17" ht="15" customHeight="1" x14ac:dyDescent="0.35">
      <c r="A1361" s="129"/>
      <c r="B1361" s="137"/>
      <c r="C1361" s="137"/>
      <c r="D1361" s="137"/>
      <c r="E1361" s="137"/>
      <c r="F1361" s="137"/>
      <c r="G1361" s="137"/>
      <c r="H1361" s="137"/>
      <c r="I1361" s="137"/>
      <c r="J1361" s="138"/>
      <c r="K1361" s="137"/>
      <c r="L1361" s="137"/>
      <c r="M1361" s="137"/>
      <c r="N1361" s="137"/>
      <c r="O1361" s="137"/>
      <c r="P1361" s="137"/>
      <c r="Q1361" s="137"/>
    </row>
    <row r="1362" spans="1:17" ht="15" customHeight="1" x14ac:dyDescent="0.35">
      <c r="A1362" s="129"/>
      <c r="B1362" s="137"/>
      <c r="C1362" s="137"/>
      <c r="D1362" s="137"/>
      <c r="E1362" s="137"/>
      <c r="F1362" s="137"/>
      <c r="G1362" s="137"/>
      <c r="H1362" s="137"/>
      <c r="I1362" s="137"/>
      <c r="J1362" s="138"/>
      <c r="K1362" s="137"/>
      <c r="L1362" s="137"/>
      <c r="M1362" s="137"/>
      <c r="N1362" s="137"/>
      <c r="O1362" s="137"/>
      <c r="P1362" s="137"/>
      <c r="Q1362" s="137"/>
    </row>
    <row r="1363" spans="1:17" ht="15" customHeight="1" x14ac:dyDescent="0.35">
      <c r="A1363" s="129"/>
      <c r="B1363" s="137"/>
      <c r="C1363" s="137"/>
      <c r="D1363" s="137"/>
      <c r="E1363" s="137"/>
      <c r="F1363" s="137"/>
      <c r="G1363" s="137"/>
      <c r="H1363" s="137"/>
      <c r="I1363" s="137"/>
      <c r="J1363" s="138"/>
      <c r="K1363" s="137"/>
      <c r="L1363" s="137"/>
      <c r="M1363" s="137"/>
      <c r="N1363" s="137"/>
      <c r="O1363" s="137"/>
      <c r="P1363" s="137"/>
      <c r="Q1363" s="137"/>
    </row>
    <row r="1364" spans="1:17" ht="15" customHeight="1" x14ac:dyDescent="0.35">
      <c r="A1364" s="129"/>
      <c r="B1364" s="137"/>
      <c r="C1364" s="137"/>
      <c r="D1364" s="137"/>
      <c r="E1364" s="137"/>
      <c r="F1364" s="137"/>
      <c r="G1364" s="137"/>
      <c r="H1364" s="137"/>
      <c r="I1364" s="137"/>
      <c r="J1364" s="138"/>
      <c r="K1364" s="137"/>
      <c r="L1364" s="137"/>
      <c r="M1364" s="137"/>
      <c r="N1364" s="137"/>
      <c r="O1364" s="137"/>
      <c r="P1364" s="137"/>
      <c r="Q1364" s="137"/>
    </row>
    <row r="1365" spans="1:17" ht="15" customHeight="1" x14ac:dyDescent="0.35">
      <c r="A1365" s="129"/>
      <c r="B1365" s="137"/>
      <c r="C1365" s="137"/>
      <c r="D1365" s="137"/>
      <c r="E1365" s="137"/>
      <c r="F1365" s="137"/>
      <c r="G1365" s="137"/>
      <c r="H1365" s="137"/>
      <c r="I1365" s="137"/>
      <c r="J1365" s="138"/>
      <c r="K1365" s="137"/>
      <c r="L1365" s="137"/>
      <c r="M1365" s="137"/>
      <c r="N1365" s="137"/>
      <c r="O1365" s="137"/>
      <c r="P1365" s="137"/>
      <c r="Q1365" s="137"/>
    </row>
    <row r="1366" spans="1:17" ht="15" customHeight="1" x14ac:dyDescent="0.35">
      <c r="A1366" s="129"/>
      <c r="B1366" s="137"/>
      <c r="C1366" s="137"/>
      <c r="D1366" s="137"/>
      <c r="E1366" s="137"/>
      <c r="F1366" s="137"/>
      <c r="G1366" s="137"/>
      <c r="H1366" s="137"/>
      <c r="I1366" s="137"/>
      <c r="J1366" s="138"/>
      <c r="K1366" s="137"/>
      <c r="L1366" s="137"/>
      <c r="M1366" s="137"/>
      <c r="N1366" s="137"/>
      <c r="O1366" s="137"/>
      <c r="P1366" s="137"/>
      <c r="Q1366" s="137"/>
    </row>
    <row r="1367" spans="1:17" ht="15" customHeight="1" x14ac:dyDescent="0.35">
      <c r="A1367" s="129"/>
      <c r="B1367" s="137"/>
      <c r="C1367" s="137"/>
      <c r="D1367" s="137"/>
      <c r="E1367" s="137"/>
      <c r="F1367" s="137"/>
      <c r="G1367" s="137"/>
      <c r="H1367" s="137"/>
      <c r="I1367" s="137"/>
      <c r="J1367" s="138"/>
      <c r="K1367" s="137"/>
      <c r="L1367" s="137"/>
      <c r="M1367" s="137"/>
      <c r="N1367" s="137"/>
      <c r="O1367" s="137"/>
      <c r="P1367" s="137"/>
      <c r="Q1367" s="137"/>
    </row>
    <row r="1368" spans="1:17" ht="15" customHeight="1" x14ac:dyDescent="0.35">
      <c r="A1368" s="129"/>
      <c r="B1368" s="137"/>
      <c r="C1368" s="137"/>
      <c r="D1368" s="137"/>
      <c r="E1368" s="137"/>
      <c r="F1368" s="137"/>
      <c r="G1368" s="137"/>
      <c r="H1368" s="137"/>
      <c r="I1368" s="137"/>
      <c r="J1368" s="138"/>
      <c r="K1368" s="137"/>
      <c r="L1368" s="137"/>
      <c r="M1368" s="137"/>
      <c r="N1368" s="137"/>
      <c r="O1368" s="137"/>
      <c r="P1368" s="137"/>
      <c r="Q1368" s="137"/>
    </row>
    <row r="1369" spans="1:17" ht="15" customHeight="1" x14ac:dyDescent="0.35">
      <c r="A1369" s="129"/>
      <c r="B1369" s="137"/>
      <c r="C1369" s="137"/>
      <c r="D1369" s="137"/>
      <c r="E1369" s="137"/>
      <c r="F1369" s="137"/>
      <c r="G1369" s="137"/>
      <c r="H1369" s="137"/>
      <c r="I1369" s="137"/>
      <c r="J1369" s="138"/>
      <c r="K1369" s="137"/>
      <c r="L1369" s="137"/>
      <c r="M1369" s="137"/>
      <c r="N1369" s="137"/>
      <c r="O1369" s="137"/>
      <c r="P1369" s="137"/>
      <c r="Q1369" s="137"/>
    </row>
    <row r="1370" spans="1:17" ht="15" customHeight="1" x14ac:dyDescent="0.35">
      <c r="A1370" s="129"/>
      <c r="B1370" s="137"/>
      <c r="C1370" s="137"/>
      <c r="D1370" s="137"/>
      <c r="E1370" s="137"/>
      <c r="F1370" s="137"/>
      <c r="G1370" s="137"/>
      <c r="H1370" s="137"/>
      <c r="I1370" s="137"/>
      <c r="J1370" s="138"/>
      <c r="K1370" s="137"/>
      <c r="L1370" s="137"/>
      <c r="M1370" s="137"/>
      <c r="N1370" s="137"/>
      <c r="O1370" s="137"/>
      <c r="P1370" s="137"/>
      <c r="Q1370" s="137"/>
    </row>
    <row r="1371" spans="1:17" ht="15" customHeight="1" x14ac:dyDescent="0.35">
      <c r="A1371" s="129"/>
      <c r="B1371" s="137"/>
      <c r="C1371" s="137"/>
      <c r="D1371" s="137"/>
      <c r="E1371" s="137"/>
      <c r="F1371" s="137"/>
      <c r="G1371" s="137"/>
      <c r="H1371" s="137"/>
      <c r="I1371" s="137"/>
      <c r="J1371" s="138"/>
      <c r="K1371" s="137"/>
      <c r="L1371" s="137"/>
      <c r="M1371" s="137"/>
      <c r="N1371" s="137"/>
      <c r="O1371" s="137"/>
      <c r="P1371" s="137"/>
      <c r="Q1371" s="137"/>
    </row>
    <row r="1372" spans="1:17" ht="15" customHeight="1" x14ac:dyDescent="0.35">
      <c r="A1372" s="129"/>
      <c r="B1372" s="137"/>
      <c r="C1372" s="137"/>
      <c r="D1372" s="137"/>
      <c r="E1372" s="137"/>
      <c r="F1372" s="137"/>
      <c r="G1372" s="137"/>
      <c r="H1372" s="137"/>
      <c r="I1372" s="137"/>
      <c r="J1372" s="138"/>
      <c r="K1372" s="137"/>
      <c r="L1372" s="137"/>
      <c r="M1372" s="137"/>
      <c r="N1372" s="137"/>
      <c r="O1372" s="137"/>
      <c r="P1372" s="137"/>
      <c r="Q1372" s="137"/>
    </row>
    <row r="1373" spans="1:17" ht="15" customHeight="1" x14ac:dyDescent="0.35">
      <c r="A1373" s="129"/>
      <c r="B1373" s="137"/>
      <c r="C1373" s="137"/>
      <c r="D1373" s="137"/>
      <c r="E1373" s="137"/>
      <c r="F1373" s="137"/>
      <c r="G1373" s="137"/>
      <c r="H1373" s="137"/>
      <c r="I1373" s="137"/>
      <c r="J1373" s="138"/>
      <c r="K1373" s="137"/>
      <c r="L1373" s="137"/>
      <c r="M1373" s="137"/>
      <c r="N1373" s="137"/>
      <c r="O1373" s="137"/>
      <c r="P1373" s="137"/>
      <c r="Q1373" s="137"/>
    </row>
    <row r="1374" spans="1:17" ht="15" customHeight="1" x14ac:dyDescent="0.35">
      <c r="A1374" s="129"/>
      <c r="B1374" s="137"/>
      <c r="C1374" s="137"/>
      <c r="D1374" s="137"/>
      <c r="E1374" s="137"/>
      <c r="F1374" s="137"/>
      <c r="G1374" s="137"/>
      <c r="H1374" s="137"/>
      <c r="I1374" s="137"/>
      <c r="J1374" s="138"/>
      <c r="K1374" s="137"/>
      <c r="L1374" s="137"/>
      <c r="M1374" s="137"/>
      <c r="N1374" s="137"/>
      <c r="O1374" s="137"/>
      <c r="P1374" s="137"/>
      <c r="Q1374" s="137"/>
    </row>
    <row r="1375" spans="1:17" ht="15" customHeight="1" x14ac:dyDescent="0.35">
      <c r="A1375" s="129"/>
      <c r="B1375" s="137"/>
      <c r="C1375" s="137"/>
      <c r="D1375" s="137"/>
      <c r="E1375" s="137"/>
      <c r="F1375" s="137"/>
      <c r="G1375" s="137"/>
      <c r="H1375" s="137"/>
      <c r="I1375" s="137"/>
      <c r="J1375" s="138"/>
      <c r="K1375" s="137"/>
      <c r="L1375" s="137"/>
      <c r="M1375" s="137"/>
      <c r="N1375" s="137"/>
      <c r="O1375" s="137"/>
      <c r="P1375" s="137"/>
      <c r="Q1375" s="137"/>
    </row>
    <row r="1376" spans="1:17" ht="15" customHeight="1" x14ac:dyDescent="0.35">
      <c r="A1376" s="129"/>
      <c r="B1376" s="137"/>
      <c r="C1376" s="137"/>
      <c r="D1376" s="137"/>
      <c r="E1376" s="137"/>
      <c r="F1376" s="137"/>
      <c r="G1376" s="137"/>
      <c r="H1376" s="137"/>
      <c r="I1376" s="137"/>
      <c r="J1376" s="138"/>
      <c r="K1376" s="137"/>
      <c r="L1376" s="137"/>
      <c r="M1376" s="137"/>
      <c r="N1376" s="137"/>
      <c r="O1376" s="137"/>
      <c r="P1376" s="137"/>
      <c r="Q1376" s="137"/>
    </row>
    <row r="1377" spans="1:17" ht="15" customHeight="1" x14ac:dyDescent="0.35">
      <c r="A1377" s="129"/>
      <c r="B1377" s="137"/>
      <c r="C1377" s="137"/>
      <c r="D1377" s="137"/>
      <c r="E1377" s="137"/>
      <c r="F1377" s="137"/>
      <c r="G1377" s="137"/>
      <c r="H1377" s="137"/>
      <c r="I1377" s="137"/>
      <c r="J1377" s="138"/>
      <c r="K1377" s="137"/>
      <c r="L1377" s="137"/>
      <c r="M1377" s="137"/>
      <c r="N1377" s="137"/>
      <c r="O1377" s="137"/>
      <c r="P1377" s="137"/>
      <c r="Q1377" s="137"/>
    </row>
    <row r="1378" spans="1:17" ht="15" customHeight="1" x14ac:dyDescent="0.35">
      <c r="A1378" s="129"/>
      <c r="B1378" s="137"/>
      <c r="C1378" s="137"/>
      <c r="D1378" s="137"/>
      <c r="E1378" s="137"/>
      <c r="F1378" s="137"/>
      <c r="G1378" s="137"/>
      <c r="H1378" s="137"/>
      <c r="I1378" s="137"/>
      <c r="J1378" s="138"/>
      <c r="K1378" s="137"/>
      <c r="L1378" s="137"/>
      <c r="M1378" s="137"/>
      <c r="N1378" s="137"/>
      <c r="O1378" s="137"/>
      <c r="P1378" s="137"/>
      <c r="Q1378" s="137"/>
    </row>
    <row r="1379" spans="1:17" ht="15" customHeight="1" x14ac:dyDescent="0.35">
      <c r="A1379" s="129"/>
      <c r="B1379" s="137"/>
      <c r="C1379" s="137"/>
      <c r="D1379" s="137"/>
      <c r="E1379" s="137"/>
      <c r="F1379" s="137"/>
      <c r="G1379" s="137"/>
      <c r="H1379" s="137"/>
      <c r="I1379" s="137"/>
      <c r="J1379" s="138"/>
      <c r="K1379" s="137"/>
      <c r="L1379" s="137"/>
      <c r="M1379" s="137"/>
      <c r="N1379" s="137"/>
      <c r="O1379" s="137"/>
      <c r="P1379" s="137"/>
      <c r="Q1379" s="137"/>
    </row>
    <row r="1380" spans="1:17" ht="15" customHeight="1" x14ac:dyDescent="0.35">
      <c r="A1380" s="129"/>
      <c r="B1380" s="137"/>
      <c r="C1380" s="137"/>
      <c r="D1380" s="137"/>
      <c r="E1380" s="137"/>
      <c r="F1380" s="137"/>
      <c r="G1380" s="137"/>
      <c r="H1380" s="137"/>
      <c r="I1380" s="137"/>
      <c r="J1380" s="138"/>
      <c r="K1380" s="137"/>
      <c r="L1380" s="137"/>
      <c r="M1380" s="137"/>
      <c r="N1380" s="137"/>
      <c r="O1380" s="137"/>
      <c r="P1380" s="137"/>
      <c r="Q1380" s="137"/>
    </row>
    <row r="1381" spans="1:17" ht="15" customHeight="1" x14ac:dyDescent="0.35">
      <c r="A1381" s="129"/>
      <c r="B1381" s="137"/>
      <c r="C1381" s="137"/>
      <c r="D1381" s="137"/>
      <c r="E1381" s="137"/>
      <c r="F1381" s="137"/>
      <c r="G1381" s="137"/>
      <c r="H1381" s="137"/>
      <c r="I1381" s="137"/>
      <c r="J1381" s="138"/>
      <c r="K1381" s="137"/>
      <c r="L1381" s="137"/>
      <c r="M1381" s="137"/>
      <c r="N1381" s="137"/>
      <c r="O1381" s="137"/>
      <c r="P1381" s="137"/>
      <c r="Q1381" s="137"/>
    </row>
    <row r="1382" spans="1:17" ht="15" customHeight="1" x14ac:dyDescent="0.35">
      <c r="A1382" s="129"/>
      <c r="B1382" s="137"/>
      <c r="C1382" s="137"/>
      <c r="D1382" s="137"/>
      <c r="E1382" s="137"/>
      <c r="F1382" s="137"/>
      <c r="G1382" s="137"/>
      <c r="H1382" s="137"/>
      <c r="I1382" s="137"/>
      <c r="J1382" s="138"/>
      <c r="K1382" s="137"/>
      <c r="L1382" s="137"/>
      <c r="M1382" s="137"/>
      <c r="N1382" s="137"/>
      <c r="O1382" s="137"/>
      <c r="P1382" s="137"/>
      <c r="Q1382" s="137"/>
    </row>
    <row r="1383" spans="1:17" ht="15" customHeight="1" x14ac:dyDescent="0.35">
      <c r="A1383" s="129"/>
      <c r="B1383" s="137"/>
      <c r="C1383" s="137"/>
      <c r="D1383" s="137"/>
      <c r="E1383" s="137"/>
      <c r="F1383" s="137"/>
      <c r="G1383" s="137"/>
      <c r="H1383" s="137"/>
      <c r="I1383" s="137"/>
      <c r="J1383" s="138"/>
      <c r="K1383" s="137"/>
      <c r="L1383" s="137"/>
      <c r="M1383" s="137"/>
      <c r="N1383" s="137"/>
      <c r="O1383" s="137"/>
      <c r="P1383" s="137"/>
      <c r="Q1383" s="137"/>
    </row>
    <row r="1384" spans="1:17" ht="15" customHeight="1" x14ac:dyDescent="0.35">
      <c r="A1384" s="129"/>
      <c r="B1384" s="137"/>
      <c r="C1384" s="137"/>
      <c r="D1384" s="137"/>
      <c r="E1384" s="137"/>
      <c r="F1384" s="137"/>
      <c r="G1384" s="137"/>
      <c r="H1384" s="137"/>
      <c r="I1384" s="137"/>
      <c r="J1384" s="138"/>
      <c r="K1384" s="137"/>
      <c r="L1384" s="137"/>
      <c r="M1384" s="137"/>
      <c r="N1384" s="137"/>
      <c r="O1384" s="137"/>
      <c r="P1384" s="137"/>
      <c r="Q1384" s="137"/>
    </row>
    <row r="1385" spans="1:17" ht="15" customHeight="1" x14ac:dyDescent="0.35">
      <c r="A1385" s="129"/>
      <c r="B1385" s="137"/>
      <c r="C1385" s="137"/>
      <c r="D1385" s="137"/>
      <c r="E1385" s="137"/>
      <c r="F1385" s="137"/>
      <c r="G1385" s="137"/>
      <c r="H1385" s="137"/>
      <c r="I1385" s="137"/>
      <c r="J1385" s="138"/>
      <c r="K1385" s="137"/>
      <c r="L1385" s="137"/>
      <c r="M1385" s="137"/>
      <c r="N1385" s="137"/>
      <c r="O1385" s="137"/>
      <c r="P1385" s="137"/>
      <c r="Q1385" s="137"/>
    </row>
    <row r="1386" spans="1:17" ht="15" customHeight="1" x14ac:dyDescent="0.35">
      <c r="A1386" s="129"/>
      <c r="B1386" s="137"/>
      <c r="C1386" s="137"/>
      <c r="D1386" s="137"/>
      <c r="E1386" s="137"/>
      <c r="F1386" s="137"/>
      <c r="G1386" s="137"/>
      <c r="H1386" s="137"/>
      <c r="I1386" s="137"/>
      <c r="J1386" s="138"/>
      <c r="K1386" s="137"/>
      <c r="L1386" s="137"/>
      <c r="M1386" s="137"/>
      <c r="N1386" s="137"/>
      <c r="O1386" s="137"/>
      <c r="P1386" s="137"/>
      <c r="Q1386" s="137"/>
    </row>
    <row r="1387" spans="1:17" ht="15" customHeight="1" x14ac:dyDescent="0.35">
      <c r="A1387" s="129"/>
      <c r="B1387" s="137"/>
      <c r="C1387" s="137"/>
      <c r="D1387" s="137"/>
      <c r="E1387" s="137"/>
      <c r="F1387" s="137"/>
      <c r="G1387" s="137"/>
      <c r="H1387" s="137"/>
      <c r="I1387" s="137"/>
      <c r="J1387" s="138"/>
      <c r="K1387" s="137"/>
      <c r="L1387" s="137"/>
      <c r="M1387" s="137"/>
      <c r="N1387" s="137"/>
      <c r="O1387" s="137"/>
      <c r="P1387" s="137"/>
      <c r="Q1387" s="137"/>
    </row>
    <row r="1388" spans="1:17" ht="15" customHeight="1" x14ac:dyDescent="0.35">
      <c r="A1388" s="129"/>
      <c r="B1388" s="137"/>
      <c r="C1388" s="137"/>
      <c r="D1388" s="137"/>
      <c r="E1388" s="137"/>
      <c r="F1388" s="137"/>
      <c r="G1388" s="137"/>
      <c r="H1388" s="137"/>
      <c r="I1388" s="137"/>
      <c r="J1388" s="138"/>
      <c r="K1388" s="137"/>
      <c r="L1388" s="137"/>
      <c r="M1388" s="137"/>
      <c r="N1388" s="137"/>
      <c r="O1388" s="137"/>
      <c r="P1388" s="137"/>
      <c r="Q1388" s="137"/>
    </row>
    <row r="1389" spans="1:17" ht="15" customHeight="1" x14ac:dyDescent="0.35">
      <c r="A1389" s="129"/>
      <c r="B1389" s="137"/>
      <c r="C1389" s="137"/>
      <c r="D1389" s="137"/>
      <c r="E1389" s="137"/>
      <c r="F1389" s="137"/>
      <c r="G1389" s="137"/>
      <c r="H1389" s="137"/>
      <c r="I1389" s="137"/>
      <c r="J1389" s="138"/>
      <c r="K1389" s="137"/>
      <c r="L1389" s="137"/>
      <c r="M1389" s="137"/>
      <c r="N1389" s="137"/>
      <c r="O1389" s="137"/>
      <c r="P1389" s="137"/>
      <c r="Q1389" s="137"/>
    </row>
    <row r="1390" spans="1:17" ht="15" customHeight="1" x14ac:dyDescent="0.35">
      <c r="A1390" s="129"/>
      <c r="B1390" s="137"/>
      <c r="C1390" s="137"/>
      <c r="D1390" s="137"/>
      <c r="E1390" s="137"/>
      <c r="F1390" s="137"/>
      <c r="G1390" s="137"/>
      <c r="H1390" s="137"/>
      <c r="I1390" s="137"/>
      <c r="J1390" s="138"/>
      <c r="K1390" s="137"/>
      <c r="L1390" s="137"/>
      <c r="M1390" s="137"/>
      <c r="N1390" s="137"/>
      <c r="O1390" s="137"/>
      <c r="P1390" s="137"/>
      <c r="Q1390" s="137"/>
    </row>
    <row r="1391" spans="1:17" ht="15" customHeight="1" x14ac:dyDescent="0.35">
      <c r="A1391" s="129"/>
      <c r="B1391" s="137"/>
      <c r="C1391" s="137"/>
      <c r="D1391" s="137"/>
      <c r="E1391" s="137"/>
      <c r="F1391" s="137"/>
      <c r="G1391" s="137"/>
      <c r="H1391" s="137"/>
      <c r="I1391" s="137"/>
      <c r="J1391" s="138"/>
      <c r="K1391" s="137"/>
      <c r="L1391" s="137"/>
      <c r="M1391" s="137"/>
      <c r="N1391" s="137"/>
      <c r="O1391" s="137"/>
      <c r="P1391" s="137"/>
      <c r="Q1391" s="137"/>
    </row>
    <row r="1392" spans="1:17" ht="15" customHeight="1" x14ac:dyDescent="0.35">
      <c r="A1392" s="129"/>
      <c r="B1392" s="137"/>
      <c r="C1392" s="137"/>
      <c r="D1392" s="137"/>
      <c r="E1392" s="137"/>
      <c r="F1392" s="137"/>
      <c r="G1392" s="137"/>
      <c r="H1392" s="137"/>
      <c r="I1392" s="137"/>
      <c r="J1392" s="138"/>
      <c r="K1392" s="137"/>
      <c r="L1392" s="137"/>
      <c r="M1392" s="137"/>
      <c r="N1392" s="137"/>
      <c r="O1392" s="137"/>
      <c r="P1392" s="137"/>
      <c r="Q1392" s="137"/>
    </row>
    <row r="1393" spans="1:17" ht="15" customHeight="1" x14ac:dyDescent="0.35">
      <c r="A1393" s="129"/>
      <c r="B1393" s="137"/>
      <c r="C1393" s="137"/>
      <c r="D1393" s="137"/>
      <c r="E1393" s="137"/>
      <c r="F1393" s="137"/>
      <c r="G1393" s="137"/>
      <c r="H1393" s="137"/>
      <c r="I1393" s="137"/>
      <c r="J1393" s="138"/>
      <c r="K1393" s="137"/>
      <c r="L1393" s="137"/>
      <c r="M1393" s="137"/>
      <c r="N1393" s="137"/>
      <c r="O1393" s="137"/>
      <c r="P1393" s="137"/>
      <c r="Q1393" s="137"/>
    </row>
    <row r="1394" spans="1:17" ht="15" customHeight="1" x14ac:dyDescent="0.35">
      <c r="A1394" s="129"/>
      <c r="B1394" s="137"/>
      <c r="C1394" s="137"/>
      <c r="D1394" s="137"/>
      <c r="E1394" s="137"/>
      <c r="F1394" s="137"/>
      <c r="G1394" s="137"/>
      <c r="H1394" s="137"/>
      <c r="I1394" s="137"/>
      <c r="J1394" s="138"/>
      <c r="K1394" s="137"/>
      <c r="L1394" s="137"/>
      <c r="M1394" s="137"/>
      <c r="N1394" s="137"/>
      <c r="O1394" s="137"/>
      <c r="P1394" s="137"/>
      <c r="Q1394" s="137"/>
    </row>
    <row r="1395" spans="1:17" ht="15" customHeight="1" x14ac:dyDescent="0.35">
      <c r="A1395" s="129"/>
      <c r="B1395" s="137"/>
      <c r="C1395" s="137"/>
      <c r="D1395" s="137"/>
      <c r="E1395" s="137"/>
      <c r="F1395" s="137"/>
      <c r="G1395" s="137"/>
      <c r="H1395" s="137"/>
      <c r="I1395" s="137"/>
      <c r="J1395" s="138"/>
      <c r="K1395" s="137"/>
      <c r="L1395" s="137"/>
      <c r="M1395" s="137"/>
      <c r="N1395" s="137"/>
      <c r="O1395" s="137"/>
      <c r="P1395" s="137"/>
      <c r="Q1395" s="137"/>
    </row>
    <row r="1396" spans="1:17" ht="15" customHeight="1" x14ac:dyDescent="0.35">
      <c r="A1396" s="129"/>
      <c r="B1396" s="137"/>
      <c r="C1396" s="137"/>
      <c r="D1396" s="137"/>
      <c r="E1396" s="137"/>
      <c r="F1396" s="137"/>
      <c r="G1396" s="137"/>
      <c r="H1396" s="137"/>
      <c r="I1396" s="137"/>
      <c r="J1396" s="138"/>
      <c r="K1396" s="137"/>
      <c r="L1396" s="137"/>
      <c r="M1396" s="137"/>
      <c r="N1396" s="137"/>
      <c r="O1396" s="137"/>
      <c r="P1396" s="137"/>
      <c r="Q1396" s="137"/>
    </row>
    <row r="1397" spans="1:17" ht="15" customHeight="1" x14ac:dyDescent="0.35">
      <c r="A1397" s="129"/>
      <c r="B1397" s="137"/>
      <c r="C1397" s="137"/>
      <c r="D1397" s="137"/>
      <c r="E1397" s="137"/>
      <c r="F1397" s="137"/>
      <c r="G1397" s="137"/>
      <c r="H1397" s="137"/>
      <c r="I1397" s="137"/>
      <c r="J1397" s="138"/>
      <c r="K1397" s="137"/>
      <c r="L1397" s="137"/>
      <c r="M1397" s="137"/>
      <c r="N1397" s="137"/>
      <c r="O1397" s="137"/>
      <c r="P1397" s="137"/>
      <c r="Q1397" s="137"/>
    </row>
    <row r="1398" spans="1:17" ht="15" customHeight="1" x14ac:dyDescent="0.35">
      <c r="A1398" s="129"/>
      <c r="B1398" s="137"/>
      <c r="C1398" s="137"/>
      <c r="D1398" s="137"/>
      <c r="E1398" s="137"/>
      <c r="F1398" s="137"/>
      <c r="G1398" s="137"/>
      <c r="H1398" s="137"/>
      <c r="I1398" s="137"/>
      <c r="J1398" s="138"/>
      <c r="K1398" s="137"/>
      <c r="L1398" s="137"/>
      <c r="M1398" s="137"/>
      <c r="N1398" s="137"/>
      <c r="O1398" s="137"/>
      <c r="P1398" s="137"/>
      <c r="Q1398" s="137"/>
    </row>
    <row r="1399" spans="1:17" ht="15" customHeight="1" x14ac:dyDescent="0.35">
      <c r="A1399" s="129"/>
      <c r="B1399" s="137"/>
      <c r="C1399" s="137"/>
      <c r="D1399" s="137"/>
      <c r="E1399" s="137"/>
      <c r="F1399" s="137"/>
      <c r="G1399" s="137"/>
      <c r="H1399" s="137"/>
      <c r="I1399" s="137"/>
      <c r="J1399" s="138"/>
      <c r="K1399" s="137"/>
      <c r="L1399" s="137"/>
      <c r="M1399" s="137"/>
      <c r="N1399" s="137"/>
      <c r="O1399" s="137"/>
      <c r="P1399" s="137"/>
      <c r="Q1399" s="137"/>
    </row>
    <row r="1400" spans="1:17" ht="15" customHeight="1" x14ac:dyDescent="0.35">
      <c r="A1400" s="129"/>
      <c r="B1400" s="137"/>
      <c r="C1400" s="137"/>
      <c r="D1400" s="137"/>
      <c r="E1400" s="137"/>
      <c r="F1400" s="137"/>
      <c r="G1400" s="137"/>
      <c r="H1400" s="137"/>
      <c r="I1400" s="137"/>
      <c r="J1400" s="138"/>
      <c r="K1400" s="137"/>
      <c r="L1400" s="137"/>
      <c r="M1400" s="137"/>
      <c r="N1400" s="137"/>
      <c r="O1400" s="137"/>
      <c r="P1400" s="137"/>
      <c r="Q1400" s="137"/>
    </row>
    <row r="1401" spans="1:17" ht="15" customHeight="1" x14ac:dyDescent="0.35">
      <c r="A1401" s="129"/>
      <c r="B1401" s="137"/>
      <c r="C1401" s="137"/>
      <c r="D1401" s="137"/>
      <c r="E1401" s="137"/>
      <c r="F1401" s="137"/>
      <c r="G1401" s="137"/>
      <c r="H1401" s="137"/>
      <c r="I1401" s="137"/>
      <c r="J1401" s="138"/>
      <c r="K1401" s="137"/>
      <c r="L1401" s="137"/>
      <c r="M1401" s="137"/>
      <c r="N1401" s="137"/>
      <c r="O1401" s="137"/>
      <c r="P1401" s="137"/>
      <c r="Q1401" s="137"/>
    </row>
    <row r="1402" spans="1:17" ht="15" customHeight="1" x14ac:dyDescent="0.35">
      <c r="A1402" s="129"/>
      <c r="B1402" s="137"/>
      <c r="C1402" s="137"/>
      <c r="D1402" s="137"/>
      <c r="E1402" s="137"/>
      <c r="F1402" s="137"/>
      <c r="G1402" s="137"/>
      <c r="H1402" s="137"/>
      <c r="I1402" s="137"/>
      <c r="J1402" s="138"/>
      <c r="K1402" s="137"/>
      <c r="L1402" s="137"/>
      <c r="M1402" s="137"/>
      <c r="N1402" s="137"/>
      <c r="O1402" s="137"/>
      <c r="P1402" s="137"/>
      <c r="Q1402" s="137"/>
    </row>
    <row r="1403" spans="1:17" ht="15" customHeight="1" x14ac:dyDescent="0.35">
      <c r="A1403" s="129"/>
      <c r="B1403" s="137"/>
      <c r="C1403" s="137"/>
      <c r="D1403" s="137"/>
      <c r="E1403" s="137"/>
      <c r="F1403" s="137"/>
      <c r="G1403" s="137"/>
      <c r="H1403" s="137"/>
      <c r="I1403" s="137"/>
      <c r="J1403" s="138"/>
      <c r="K1403" s="137"/>
      <c r="L1403" s="137"/>
      <c r="M1403" s="137"/>
      <c r="N1403" s="137"/>
      <c r="O1403" s="137"/>
      <c r="P1403" s="137"/>
      <c r="Q1403" s="137"/>
    </row>
    <row r="1404" spans="1:17" ht="15" customHeight="1" x14ac:dyDescent="0.35">
      <c r="A1404" s="129"/>
      <c r="B1404" s="137"/>
      <c r="C1404" s="137"/>
      <c r="D1404" s="137"/>
      <c r="E1404" s="137"/>
      <c r="F1404" s="137"/>
      <c r="G1404" s="137"/>
      <c r="H1404" s="137"/>
      <c r="I1404" s="137"/>
      <c r="J1404" s="138"/>
      <c r="K1404" s="137"/>
      <c r="L1404" s="137"/>
      <c r="M1404" s="137"/>
      <c r="N1404" s="137"/>
      <c r="O1404" s="137"/>
      <c r="P1404" s="137"/>
      <c r="Q1404" s="137"/>
    </row>
    <row r="1405" spans="1:17" ht="15" customHeight="1" x14ac:dyDescent="0.35">
      <c r="A1405" s="129"/>
      <c r="B1405" s="137"/>
      <c r="C1405" s="137"/>
      <c r="D1405" s="137"/>
      <c r="E1405" s="137"/>
      <c r="F1405" s="137"/>
      <c r="G1405" s="137"/>
      <c r="H1405" s="137"/>
      <c r="I1405" s="137"/>
      <c r="J1405" s="138"/>
      <c r="K1405" s="137"/>
      <c r="L1405" s="137"/>
      <c r="M1405" s="137"/>
      <c r="N1405" s="137"/>
      <c r="O1405" s="137"/>
      <c r="P1405" s="137"/>
      <c r="Q1405" s="137"/>
    </row>
    <row r="1406" spans="1:17" ht="15" customHeight="1" x14ac:dyDescent="0.35">
      <c r="A1406" s="129"/>
      <c r="B1406" s="137"/>
      <c r="C1406" s="137"/>
      <c r="D1406" s="137"/>
      <c r="E1406" s="137"/>
      <c r="F1406" s="137"/>
      <c r="G1406" s="137"/>
      <c r="H1406" s="137"/>
      <c r="I1406" s="137"/>
      <c r="J1406" s="138"/>
      <c r="K1406" s="137"/>
      <c r="L1406" s="137"/>
      <c r="M1406" s="137"/>
      <c r="N1406" s="137"/>
      <c r="O1406" s="137"/>
      <c r="P1406" s="137"/>
      <c r="Q1406" s="137"/>
    </row>
    <row r="1407" spans="1:17" ht="15" customHeight="1" x14ac:dyDescent="0.35">
      <c r="A1407" s="129"/>
      <c r="B1407" s="137"/>
      <c r="C1407" s="137"/>
      <c r="D1407" s="137"/>
      <c r="E1407" s="137"/>
      <c r="F1407" s="137"/>
      <c r="G1407" s="137"/>
      <c r="H1407" s="137"/>
      <c r="I1407" s="137"/>
      <c r="J1407" s="138"/>
      <c r="K1407" s="137"/>
      <c r="L1407" s="137"/>
      <c r="M1407" s="137"/>
      <c r="N1407" s="137"/>
      <c r="O1407" s="137"/>
      <c r="P1407" s="137"/>
      <c r="Q1407" s="137"/>
    </row>
    <row r="1408" spans="1:17" ht="15" customHeight="1" x14ac:dyDescent="0.35">
      <c r="A1408" s="129"/>
      <c r="B1408" s="137"/>
      <c r="C1408" s="137"/>
      <c r="D1408" s="137"/>
      <c r="E1408" s="137"/>
      <c r="F1408" s="137"/>
      <c r="G1408" s="137"/>
      <c r="H1408" s="137"/>
      <c r="I1408" s="137"/>
      <c r="J1408" s="138"/>
      <c r="K1408" s="137"/>
      <c r="L1408" s="137"/>
      <c r="M1408" s="137"/>
      <c r="N1408" s="137"/>
      <c r="O1408" s="137"/>
      <c r="P1408" s="137"/>
      <c r="Q1408" s="137"/>
    </row>
    <row r="1409" spans="1:17" ht="15" customHeight="1" x14ac:dyDescent="0.35">
      <c r="A1409" s="129"/>
      <c r="B1409" s="137"/>
      <c r="C1409" s="137"/>
      <c r="D1409" s="137"/>
      <c r="E1409" s="137"/>
      <c r="F1409" s="137"/>
      <c r="G1409" s="137"/>
      <c r="H1409" s="137"/>
      <c r="I1409" s="137"/>
      <c r="J1409" s="138"/>
      <c r="K1409" s="137"/>
      <c r="L1409" s="137"/>
      <c r="M1409" s="137"/>
      <c r="N1409" s="137"/>
      <c r="O1409" s="137"/>
      <c r="P1409" s="137"/>
      <c r="Q1409" s="137"/>
    </row>
    <row r="1410" spans="1:17" ht="15" customHeight="1" x14ac:dyDescent="0.35">
      <c r="A1410" s="129"/>
      <c r="B1410" s="137"/>
      <c r="C1410" s="137"/>
      <c r="D1410" s="137"/>
      <c r="E1410" s="137"/>
      <c r="F1410" s="137"/>
      <c r="G1410" s="137"/>
      <c r="H1410" s="137"/>
      <c r="I1410" s="137"/>
      <c r="J1410" s="138"/>
      <c r="K1410" s="137"/>
      <c r="L1410" s="137"/>
      <c r="M1410" s="137"/>
      <c r="N1410" s="137"/>
      <c r="O1410" s="137"/>
      <c r="P1410" s="137"/>
      <c r="Q1410" s="137"/>
    </row>
    <row r="1411" spans="1:17" ht="15" customHeight="1" x14ac:dyDescent="0.35">
      <c r="A1411" s="129"/>
      <c r="B1411" s="137"/>
      <c r="C1411" s="137"/>
      <c r="D1411" s="137"/>
      <c r="E1411" s="137"/>
      <c r="F1411" s="137"/>
      <c r="G1411" s="137"/>
      <c r="H1411" s="137"/>
      <c r="I1411" s="137"/>
      <c r="J1411" s="138"/>
      <c r="K1411" s="137"/>
      <c r="L1411" s="137"/>
      <c r="M1411" s="137"/>
      <c r="N1411" s="137"/>
      <c r="O1411" s="137"/>
      <c r="P1411" s="137"/>
      <c r="Q1411" s="137"/>
    </row>
    <row r="1412" spans="1:17" ht="15" customHeight="1" x14ac:dyDescent="0.35">
      <c r="A1412" s="129"/>
      <c r="B1412" s="137"/>
      <c r="C1412" s="137"/>
      <c r="D1412" s="137"/>
      <c r="E1412" s="137"/>
      <c r="F1412" s="137"/>
      <c r="G1412" s="137"/>
      <c r="H1412" s="137"/>
      <c r="I1412" s="137"/>
      <c r="J1412" s="138"/>
      <c r="K1412" s="137"/>
      <c r="L1412" s="137"/>
      <c r="M1412" s="137"/>
      <c r="N1412" s="137"/>
      <c r="O1412" s="137"/>
      <c r="P1412" s="137"/>
      <c r="Q1412" s="137"/>
    </row>
    <row r="1413" spans="1:17" ht="15" customHeight="1" x14ac:dyDescent="0.35">
      <c r="A1413" s="129"/>
      <c r="B1413" s="137"/>
      <c r="C1413" s="137"/>
      <c r="D1413" s="137"/>
      <c r="E1413" s="137"/>
      <c r="F1413" s="137"/>
      <c r="G1413" s="137"/>
      <c r="H1413" s="137"/>
      <c r="I1413" s="137"/>
      <c r="J1413" s="138"/>
      <c r="K1413" s="137"/>
      <c r="L1413" s="137"/>
      <c r="M1413" s="137"/>
      <c r="N1413" s="137"/>
      <c r="O1413" s="137"/>
      <c r="P1413" s="137"/>
      <c r="Q1413" s="137"/>
    </row>
    <row r="1414" spans="1:17" ht="15" customHeight="1" x14ac:dyDescent="0.35">
      <c r="A1414" s="129"/>
      <c r="B1414" s="137"/>
      <c r="C1414" s="137"/>
      <c r="D1414" s="137"/>
      <c r="E1414" s="137"/>
      <c r="F1414" s="137"/>
      <c r="G1414" s="137"/>
      <c r="H1414" s="137"/>
      <c r="I1414" s="137"/>
      <c r="J1414" s="138"/>
      <c r="K1414" s="137"/>
      <c r="L1414" s="137"/>
      <c r="M1414" s="137"/>
      <c r="N1414" s="137"/>
      <c r="O1414" s="137"/>
      <c r="P1414" s="137"/>
      <c r="Q1414" s="137"/>
    </row>
    <row r="1415" spans="1:17" ht="15" customHeight="1" x14ac:dyDescent="0.35">
      <c r="A1415" s="129"/>
      <c r="B1415" s="137"/>
      <c r="C1415" s="137"/>
      <c r="D1415" s="137"/>
      <c r="E1415" s="137"/>
      <c r="F1415" s="137"/>
      <c r="G1415" s="137"/>
      <c r="H1415" s="137"/>
      <c r="I1415" s="137"/>
      <c r="J1415" s="138"/>
      <c r="K1415" s="137"/>
      <c r="L1415" s="137"/>
      <c r="M1415" s="137"/>
      <c r="N1415" s="137"/>
      <c r="O1415" s="137"/>
      <c r="P1415" s="137"/>
      <c r="Q1415" s="137"/>
    </row>
    <row r="1416" spans="1:17" ht="15" customHeight="1" x14ac:dyDescent="0.35">
      <c r="A1416" s="129"/>
      <c r="B1416" s="137"/>
      <c r="C1416" s="137"/>
      <c r="D1416" s="137"/>
      <c r="E1416" s="137"/>
      <c r="F1416" s="137"/>
      <c r="G1416" s="137"/>
      <c r="H1416" s="137"/>
      <c r="I1416" s="137"/>
      <c r="J1416" s="138"/>
      <c r="K1416" s="137"/>
      <c r="L1416" s="137"/>
      <c r="M1416" s="137"/>
      <c r="N1416" s="137"/>
      <c r="O1416" s="137"/>
      <c r="P1416" s="137"/>
      <c r="Q1416" s="137"/>
    </row>
    <row r="1417" spans="1:17" ht="15" customHeight="1" x14ac:dyDescent="0.35">
      <c r="A1417" s="129"/>
      <c r="B1417" s="137"/>
      <c r="C1417" s="137"/>
      <c r="D1417" s="137"/>
      <c r="E1417" s="137"/>
      <c r="F1417" s="137"/>
      <c r="G1417" s="137"/>
      <c r="H1417" s="137"/>
      <c r="I1417" s="137"/>
      <c r="J1417" s="138"/>
      <c r="K1417" s="137"/>
      <c r="L1417" s="137"/>
      <c r="M1417" s="137"/>
      <c r="N1417" s="137"/>
      <c r="O1417" s="137"/>
      <c r="P1417" s="137"/>
      <c r="Q1417" s="137"/>
    </row>
    <row r="1418" spans="1:17" ht="15" customHeight="1" x14ac:dyDescent="0.35">
      <c r="A1418" s="129"/>
      <c r="B1418" s="137"/>
      <c r="C1418" s="137"/>
      <c r="D1418" s="137"/>
      <c r="E1418" s="137"/>
      <c r="F1418" s="137"/>
      <c r="G1418" s="137"/>
      <c r="H1418" s="137"/>
      <c r="I1418" s="137"/>
      <c r="J1418" s="138"/>
      <c r="K1418" s="137"/>
      <c r="L1418" s="137"/>
      <c r="M1418" s="137"/>
      <c r="N1418" s="137"/>
      <c r="O1418" s="137"/>
      <c r="P1418" s="137"/>
      <c r="Q1418" s="137"/>
    </row>
    <row r="1419" spans="1:17" ht="15" customHeight="1" x14ac:dyDescent="0.35">
      <c r="A1419" s="129"/>
      <c r="B1419" s="137"/>
      <c r="C1419" s="137"/>
      <c r="D1419" s="137"/>
      <c r="E1419" s="137"/>
      <c r="F1419" s="137"/>
      <c r="G1419" s="137"/>
      <c r="H1419" s="137"/>
      <c r="I1419" s="137"/>
      <c r="J1419" s="138"/>
      <c r="K1419" s="137"/>
      <c r="L1419" s="137"/>
      <c r="M1419" s="137"/>
      <c r="N1419" s="137"/>
      <c r="O1419" s="137"/>
      <c r="P1419" s="137"/>
      <c r="Q1419" s="137"/>
    </row>
    <row r="1420" spans="1:17" ht="15" customHeight="1" x14ac:dyDescent="0.35">
      <c r="A1420" s="129"/>
      <c r="B1420" s="137"/>
      <c r="C1420" s="137"/>
      <c r="D1420" s="137"/>
      <c r="E1420" s="137"/>
      <c r="F1420" s="137"/>
      <c r="G1420" s="137"/>
      <c r="H1420" s="137"/>
      <c r="I1420" s="137"/>
      <c r="J1420" s="138"/>
      <c r="K1420" s="137"/>
      <c r="L1420" s="137"/>
      <c r="M1420" s="137"/>
      <c r="N1420" s="137"/>
      <c r="O1420" s="137"/>
      <c r="P1420" s="137"/>
      <c r="Q1420" s="137"/>
    </row>
    <row r="1421" spans="1:17" ht="15" customHeight="1" x14ac:dyDescent="0.35">
      <c r="A1421" s="129"/>
      <c r="B1421" s="137"/>
      <c r="C1421" s="137"/>
      <c r="D1421" s="137"/>
      <c r="E1421" s="137"/>
      <c r="F1421" s="137"/>
      <c r="G1421" s="137"/>
      <c r="H1421" s="137"/>
      <c r="I1421" s="137"/>
      <c r="J1421" s="138"/>
      <c r="K1421" s="137"/>
      <c r="L1421" s="137"/>
      <c r="M1421" s="137"/>
      <c r="N1421" s="137"/>
      <c r="O1421" s="137"/>
      <c r="P1421" s="137"/>
      <c r="Q1421" s="137"/>
    </row>
    <row r="1422" spans="1:17" ht="15" customHeight="1" x14ac:dyDescent="0.35">
      <c r="A1422" s="129"/>
      <c r="B1422" s="137"/>
      <c r="C1422" s="137"/>
      <c r="D1422" s="137"/>
      <c r="E1422" s="137"/>
      <c r="F1422" s="137"/>
      <c r="G1422" s="137"/>
      <c r="H1422" s="137"/>
      <c r="I1422" s="137"/>
      <c r="J1422" s="138"/>
      <c r="K1422" s="137"/>
      <c r="L1422" s="137"/>
      <c r="M1422" s="137"/>
      <c r="N1422" s="137"/>
      <c r="O1422" s="137"/>
      <c r="P1422" s="137"/>
      <c r="Q1422" s="137"/>
    </row>
    <row r="1423" spans="1:17" ht="15" customHeight="1" x14ac:dyDescent="0.35">
      <c r="A1423" s="129"/>
      <c r="B1423" s="137"/>
      <c r="C1423" s="137"/>
      <c r="D1423" s="137"/>
      <c r="E1423" s="137"/>
      <c r="F1423" s="137"/>
      <c r="G1423" s="137"/>
      <c r="H1423" s="137"/>
      <c r="I1423" s="137"/>
      <c r="J1423" s="138"/>
      <c r="K1423" s="137"/>
      <c r="L1423" s="137"/>
      <c r="M1423" s="137"/>
      <c r="N1423" s="137"/>
      <c r="O1423" s="137"/>
      <c r="P1423" s="137"/>
      <c r="Q1423" s="137"/>
    </row>
    <row r="1424" spans="1:17" ht="15" customHeight="1" x14ac:dyDescent="0.35">
      <c r="A1424" s="129"/>
      <c r="B1424" s="137"/>
      <c r="C1424" s="137"/>
      <c r="D1424" s="137"/>
      <c r="E1424" s="137"/>
      <c r="F1424" s="137"/>
      <c r="G1424" s="137"/>
      <c r="H1424" s="137"/>
      <c r="I1424" s="137"/>
      <c r="J1424" s="138"/>
      <c r="K1424" s="137"/>
      <c r="L1424" s="137"/>
      <c r="M1424" s="137"/>
      <c r="N1424" s="137"/>
      <c r="O1424" s="137"/>
      <c r="P1424" s="137"/>
      <c r="Q1424" s="137"/>
    </row>
    <row r="1425" spans="1:17" ht="15" customHeight="1" x14ac:dyDescent="0.35">
      <c r="A1425" s="129"/>
      <c r="B1425" s="137"/>
      <c r="C1425" s="137"/>
      <c r="D1425" s="137"/>
      <c r="E1425" s="137"/>
      <c r="F1425" s="137"/>
      <c r="G1425" s="137"/>
      <c r="H1425" s="137"/>
      <c r="I1425" s="137"/>
      <c r="J1425" s="138"/>
      <c r="K1425" s="137"/>
      <c r="L1425" s="137"/>
      <c r="M1425" s="137"/>
      <c r="N1425" s="137"/>
      <c r="O1425" s="137"/>
      <c r="P1425" s="137"/>
      <c r="Q1425" s="137"/>
    </row>
    <row r="1426" spans="1:17" ht="15" customHeight="1" x14ac:dyDescent="0.35">
      <c r="A1426" s="129"/>
      <c r="B1426" s="137"/>
      <c r="C1426" s="137"/>
      <c r="D1426" s="137"/>
      <c r="E1426" s="137"/>
      <c r="F1426" s="137"/>
      <c r="G1426" s="137"/>
      <c r="H1426" s="137"/>
      <c r="I1426" s="137"/>
      <c r="J1426" s="138"/>
      <c r="K1426" s="137"/>
      <c r="L1426" s="137"/>
      <c r="M1426" s="137"/>
      <c r="N1426" s="137"/>
      <c r="O1426" s="137"/>
      <c r="P1426" s="137"/>
      <c r="Q1426" s="137"/>
    </row>
    <row r="1427" spans="1:17" ht="15" customHeight="1" x14ac:dyDescent="0.35">
      <c r="A1427" s="129"/>
      <c r="B1427" s="137"/>
      <c r="C1427" s="137"/>
      <c r="D1427" s="137"/>
      <c r="E1427" s="137"/>
      <c r="F1427" s="137"/>
      <c r="G1427" s="137"/>
      <c r="H1427" s="137"/>
      <c r="I1427" s="137"/>
      <c r="J1427" s="138"/>
      <c r="K1427" s="137"/>
      <c r="L1427" s="137"/>
      <c r="M1427" s="137"/>
      <c r="N1427" s="137"/>
      <c r="O1427" s="137"/>
      <c r="P1427" s="137"/>
      <c r="Q1427" s="137"/>
    </row>
    <row r="1428" spans="1:17" ht="15" customHeight="1" x14ac:dyDescent="0.35">
      <c r="A1428" s="129"/>
      <c r="B1428" s="137"/>
      <c r="C1428" s="137"/>
      <c r="D1428" s="137"/>
      <c r="E1428" s="137"/>
      <c r="F1428" s="137"/>
      <c r="G1428" s="137"/>
      <c r="H1428" s="137"/>
      <c r="I1428" s="137"/>
      <c r="J1428" s="138"/>
      <c r="K1428" s="137"/>
      <c r="L1428" s="137"/>
      <c r="M1428" s="137"/>
      <c r="N1428" s="137"/>
      <c r="O1428" s="137"/>
      <c r="P1428" s="137"/>
      <c r="Q1428" s="137"/>
    </row>
    <row r="1429" spans="1:17" ht="15" customHeight="1" x14ac:dyDescent="0.35">
      <c r="A1429" s="129"/>
      <c r="B1429" s="137"/>
      <c r="C1429" s="137"/>
      <c r="D1429" s="137"/>
      <c r="E1429" s="137"/>
      <c r="F1429" s="137"/>
      <c r="G1429" s="137"/>
      <c r="H1429" s="137"/>
      <c r="I1429" s="137"/>
      <c r="J1429" s="138"/>
      <c r="K1429" s="137"/>
      <c r="L1429" s="137"/>
      <c r="M1429" s="137"/>
      <c r="N1429" s="137"/>
      <c r="O1429" s="137"/>
      <c r="P1429" s="137"/>
      <c r="Q1429" s="137"/>
    </row>
    <row r="1430" spans="1:17" ht="15" customHeight="1" x14ac:dyDescent="0.35">
      <c r="A1430" s="129"/>
      <c r="B1430" s="137"/>
      <c r="C1430" s="137"/>
      <c r="D1430" s="137"/>
      <c r="E1430" s="137"/>
      <c r="F1430" s="137"/>
      <c r="G1430" s="137"/>
      <c r="H1430" s="137"/>
      <c r="I1430" s="137"/>
      <c r="J1430" s="138"/>
      <c r="K1430" s="137"/>
      <c r="L1430" s="137"/>
      <c r="M1430" s="137"/>
      <c r="N1430" s="137"/>
      <c r="O1430" s="137"/>
      <c r="P1430" s="137"/>
      <c r="Q1430" s="137"/>
    </row>
    <row r="1431" spans="1:17" ht="15" customHeight="1" x14ac:dyDescent="0.35">
      <c r="A1431" s="129"/>
      <c r="B1431" s="137"/>
      <c r="C1431" s="137"/>
      <c r="D1431" s="137"/>
      <c r="E1431" s="137"/>
      <c r="F1431" s="137"/>
      <c r="G1431" s="137"/>
      <c r="H1431" s="137"/>
      <c r="I1431" s="137"/>
      <c r="J1431" s="138"/>
      <c r="K1431" s="137"/>
      <c r="L1431" s="137"/>
      <c r="M1431" s="137"/>
      <c r="N1431" s="137"/>
      <c r="O1431" s="137"/>
      <c r="P1431" s="137"/>
      <c r="Q1431" s="137"/>
    </row>
    <row r="1432" spans="1:17" ht="15" customHeight="1" x14ac:dyDescent="0.35">
      <c r="A1432" s="129"/>
      <c r="B1432" s="137"/>
      <c r="C1432" s="137"/>
      <c r="D1432" s="137"/>
      <c r="E1432" s="137"/>
      <c r="F1432" s="137"/>
      <c r="G1432" s="137"/>
      <c r="H1432" s="137"/>
      <c r="I1432" s="137"/>
      <c r="J1432" s="138"/>
      <c r="K1432" s="137"/>
      <c r="L1432" s="137"/>
      <c r="M1432" s="137"/>
      <c r="N1432" s="137"/>
      <c r="O1432" s="137"/>
      <c r="P1432" s="137"/>
      <c r="Q1432" s="137"/>
    </row>
    <row r="1433" spans="1:17" ht="15" customHeight="1" x14ac:dyDescent="0.35">
      <c r="A1433" s="129"/>
      <c r="B1433" s="137"/>
      <c r="C1433" s="137"/>
      <c r="D1433" s="137"/>
      <c r="E1433" s="137"/>
      <c r="F1433" s="137"/>
      <c r="G1433" s="137"/>
      <c r="H1433" s="137"/>
      <c r="I1433" s="137"/>
      <c r="J1433" s="138"/>
      <c r="K1433" s="137"/>
      <c r="L1433" s="137"/>
      <c r="M1433" s="137"/>
      <c r="N1433" s="137"/>
      <c r="O1433" s="137"/>
      <c r="P1433" s="137"/>
      <c r="Q1433" s="137"/>
    </row>
    <row r="1434" spans="1:17" ht="15" customHeight="1" x14ac:dyDescent="0.35">
      <c r="A1434" s="129"/>
      <c r="B1434" s="137"/>
      <c r="C1434" s="137"/>
      <c r="D1434" s="137"/>
      <c r="E1434" s="137"/>
      <c r="F1434" s="137"/>
      <c r="G1434" s="137"/>
      <c r="H1434" s="137"/>
      <c r="I1434" s="137"/>
      <c r="J1434" s="138"/>
      <c r="K1434" s="137"/>
      <c r="L1434" s="137"/>
      <c r="M1434" s="137"/>
      <c r="N1434" s="137"/>
      <c r="O1434" s="137"/>
      <c r="P1434" s="137"/>
      <c r="Q1434" s="137"/>
    </row>
    <row r="1435" spans="1:17" ht="15" customHeight="1" x14ac:dyDescent="0.35">
      <c r="A1435" s="129"/>
      <c r="B1435" s="137"/>
      <c r="C1435" s="137"/>
      <c r="D1435" s="137"/>
      <c r="E1435" s="137"/>
      <c r="F1435" s="137"/>
      <c r="G1435" s="137"/>
      <c r="H1435" s="137"/>
      <c r="I1435" s="137"/>
      <c r="J1435" s="138"/>
      <c r="K1435" s="137"/>
      <c r="L1435" s="137"/>
      <c r="M1435" s="137"/>
      <c r="N1435" s="137"/>
      <c r="O1435" s="137"/>
      <c r="P1435" s="137"/>
      <c r="Q1435" s="137"/>
    </row>
    <row r="1436" spans="1:17" ht="15" customHeight="1" x14ac:dyDescent="0.35">
      <c r="A1436" s="129"/>
      <c r="B1436" s="137"/>
      <c r="C1436" s="137"/>
      <c r="D1436" s="137"/>
      <c r="E1436" s="137"/>
      <c r="F1436" s="137"/>
      <c r="G1436" s="137"/>
      <c r="H1436" s="137"/>
      <c r="I1436" s="137"/>
      <c r="J1436" s="138"/>
      <c r="K1436" s="137"/>
      <c r="L1436" s="137"/>
      <c r="M1436" s="137"/>
      <c r="N1436" s="137"/>
      <c r="O1436" s="137"/>
      <c r="P1436" s="137"/>
      <c r="Q1436" s="137"/>
    </row>
    <row r="1437" spans="1:17" ht="15" customHeight="1" x14ac:dyDescent="0.35">
      <c r="A1437" s="129"/>
      <c r="B1437" s="137"/>
      <c r="C1437" s="137"/>
      <c r="D1437" s="137"/>
      <c r="E1437" s="137"/>
      <c r="F1437" s="137"/>
      <c r="G1437" s="137"/>
      <c r="H1437" s="137"/>
      <c r="I1437" s="137"/>
      <c r="J1437" s="138"/>
      <c r="K1437" s="137"/>
      <c r="L1437" s="137"/>
      <c r="M1437" s="137"/>
      <c r="N1437" s="137"/>
      <c r="O1437" s="137"/>
      <c r="P1437" s="137"/>
      <c r="Q1437" s="137"/>
    </row>
    <row r="1438" spans="1:17" ht="15" customHeight="1" x14ac:dyDescent="0.35">
      <c r="A1438" s="129"/>
      <c r="B1438" s="137"/>
      <c r="C1438" s="137"/>
      <c r="D1438" s="137"/>
      <c r="E1438" s="137"/>
      <c r="F1438" s="137"/>
      <c r="G1438" s="137"/>
      <c r="H1438" s="137"/>
      <c r="I1438" s="137"/>
      <c r="J1438" s="138"/>
      <c r="K1438" s="137"/>
      <c r="L1438" s="137"/>
      <c r="M1438" s="137"/>
      <c r="N1438" s="137"/>
      <c r="O1438" s="137"/>
      <c r="P1438" s="137"/>
      <c r="Q1438" s="137"/>
    </row>
    <row r="1439" spans="1:17" ht="15" customHeight="1" x14ac:dyDescent="0.35">
      <c r="A1439" s="129"/>
      <c r="B1439" s="137"/>
      <c r="C1439" s="137"/>
      <c r="D1439" s="137"/>
      <c r="E1439" s="137"/>
      <c r="F1439" s="137"/>
      <c r="G1439" s="137"/>
      <c r="H1439" s="137"/>
      <c r="I1439" s="137"/>
      <c r="J1439" s="138"/>
      <c r="K1439" s="137"/>
      <c r="L1439" s="137"/>
      <c r="M1439" s="137"/>
      <c r="N1439" s="137"/>
      <c r="O1439" s="137"/>
      <c r="P1439" s="137"/>
      <c r="Q1439" s="137"/>
    </row>
    <row r="1440" spans="1:17" ht="15" customHeight="1" x14ac:dyDescent="0.35">
      <c r="A1440" s="129"/>
      <c r="B1440" s="137"/>
      <c r="C1440" s="137"/>
      <c r="D1440" s="137"/>
      <c r="E1440" s="137"/>
      <c r="F1440" s="137"/>
      <c r="G1440" s="137"/>
      <c r="H1440" s="137"/>
      <c r="I1440" s="137"/>
      <c r="J1440" s="138"/>
      <c r="K1440" s="137"/>
      <c r="L1440" s="137"/>
      <c r="M1440" s="137"/>
      <c r="N1440" s="137"/>
      <c r="O1440" s="137"/>
      <c r="P1440" s="137"/>
      <c r="Q1440" s="137"/>
    </row>
    <row r="1441" spans="1:17" ht="15" customHeight="1" x14ac:dyDescent="0.35">
      <c r="A1441" s="129"/>
      <c r="B1441" s="137"/>
      <c r="C1441" s="137"/>
      <c r="D1441" s="137"/>
      <c r="E1441" s="137"/>
      <c r="F1441" s="137"/>
      <c r="G1441" s="137"/>
      <c r="H1441" s="137"/>
      <c r="I1441" s="137"/>
      <c r="J1441" s="138"/>
      <c r="K1441" s="137"/>
      <c r="L1441" s="137"/>
      <c r="M1441" s="137"/>
      <c r="N1441" s="137"/>
      <c r="O1441" s="137"/>
      <c r="P1441" s="137"/>
      <c r="Q1441" s="137"/>
    </row>
    <row r="1442" spans="1:17" ht="15" customHeight="1" x14ac:dyDescent="0.35">
      <c r="A1442" s="129"/>
      <c r="B1442" s="137"/>
      <c r="C1442" s="137"/>
      <c r="D1442" s="137"/>
      <c r="E1442" s="137"/>
      <c r="F1442" s="137"/>
      <c r="G1442" s="137"/>
      <c r="H1442" s="137"/>
      <c r="I1442" s="137"/>
      <c r="J1442" s="138"/>
      <c r="K1442" s="137"/>
      <c r="L1442" s="137"/>
      <c r="M1442" s="137"/>
      <c r="N1442" s="137"/>
      <c r="O1442" s="137"/>
      <c r="P1442" s="137"/>
      <c r="Q1442" s="137"/>
    </row>
    <row r="1443" spans="1:17" ht="15" customHeight="1" x14ac:dyDescent="0.35">
      <c r="A1443" s="129"/>
      <c r="B1443" s="137"/>
      <c r="C1443" s="137"/>
      <c r="D1443" s="137"/>
      <c r="E1443" s="137"/>
      <c r="F1443" s="137"/>
      <c r="G1443" s="137"/>
      <c r="H1443" s="137"/>
      <c r="I1443" s="137"/>
      <c r="J1443" s="138"/>
      <c r="K1443" s="137"/>
      <c r="L1443" s="137"/>
      <c r="M1443" s="137"/>
      <c r="N1443" s="137"/>
      <c r="O1443" s="137"/>
      <c r="P1443" s="137"/>
      <c r="Q1443" s="137"/>
    </row>
    <row r="1444" spans="1:17" ht="15" customHeight="1" x14ac:dyDescent="0.35">
      <c r="A1444" s="129"/>
      <c r="B1444" s="137"/>
      <c r="C1444" s="137"/>
      <c r="D1444" s="137"/>
      <c r="E1444" s="137"/>
      <c r="F1444" s="137"/>
      <c r="G1444" s="137"/>
      <c r="H1444" s="137"/>
      <c r="I1444" s="137"/>
      <c r="J1444" s="138"/>
      <c r="K1444" s="137"/>
      <c r="L1444" s="137"/>
      <c r="M1444" s="137"/>
      <c r="N1444" s="137"/>
      <c r="O1444" s="137"/>
      <c r="P1444" s="137"/>
      <c r="Q1444" s="137"/>
    </row>
    <row r="1445" spans="1:17" ht="15" customHeight="1" x14ac:dyDescent="0.35">
      <c r="A1445" s="129"/>
      <c r="B1445" s="137"/>
      <c r="C1445" s="137"/>
      <c r="D1445" s="137"/>
      <c r="E1445" s="137"/>
      <c r="F1445" s="137"/>
      <c r="G1445" s="137"/>
      <c r="H1445" s="137"/>
      <c r="I1445" s="137"/>
      <c r="J1445" s="138"/>
      <c r="K1445" s="137"/>
      <c r="L1445" s="137"/>
      <c r="M1445" s="137"/>
      <c r="N1445" s="137"/>
      <c r="O1445" s="137"/>
      <c r="P1445" s="137"/>
      <c r="Q1445" s="137"/>
    </row>
    <row r="1446" spans="1:17" ht="15" customHeight="1" x14ac:dyDescent="0.35">
      <c r="A1446" s="129"/>
      <c r="B1446" s="137"/>
      <c r="C1446" s="137"/>
      <c r="D1446" s="137"/>
      <c r="E1446" s="137"/>
      <c r="F1446" s="137"/>
      <c r="G1446" s="137"/>
      <c r="H1446" s="137"/>
      <c r="I1446" s="137"/>
      <c r="J1446" s="138"/>
      <c r="K1446" s="137"/>
      <c r="L1446" s="137"/>
      <c r="M1446" s="137"/>
      <c r="N1446" s="137"/>
      <c r="O1446" s="137"/>
      <c r="P1446" s="137"/>
      <c r="Q1446" s="137"/>
    </row>
    <row r="1447" spans="1:17" ht="15" customHeight="1" x14ac:dyDescent="0.35">
      <c r="A1447" s="129"/>
      <c r="B1447" s="137"/>
      <c r="C1447" s="137"/>
      <c r="D1447" s="137"/>
      <c r="E1447" s="137"/>
      <c r="F1447" s="137"/>
      <c r="G1447" s="137"/>
      <c r="H1447" s="137"/>
      <c r="I1447" s="137"/>
      <c r="J1447" s="138"/>
      <c r="K1447" s="137"/>
      <c r="L1447" s="137"/>
      <c r="M1447" s="137"/>
      <c r="N1447" s="137"/>
      <c r="O1447" s="137"/>
      <c r="P1447" s="137"/>
      <c r="Q1447" s="137"/>
    </row>
    <row r="1448" spans="1:17" ht="15" customHeight="1" x14ac:dyDescent="0.35">
      <c r="A1448" s="129"/>
      <c r="B1448" s="137"/>
      <c r="C1448" s="137"/>
      <c r="D1448" s="137"/>
      <c r="E1448" s="137"/>
      <c r="F1448" s="137"/>
      <c r="G1448" s="137"/>
      <c r="H1448" s="137"/>
      <c r="I1448" s="137"/>
      <c r="J1448" s="138"/>
      <c r="K1448" s="137"/>
      <c r="L1448" s="137"/>
      <c r="M1448" s="137"/>
      <c r="N1448" s="137"/>
      <c r="O1448" s="137"/>
      <c r="P1448" s="137"/>
      <c r="Q1448" s="137"/>
    </row>
    <row r="1449" spans="1:17" ht="15" customHeight="1" x14ac:dyDescent="0.35">
      <c r="A1449" s="129"/>
      <c r="B1449" s="137"/>
      <c r="C1449" s="137"/>
      <c r="D1449" s="137"/>
      <c r="E1449" s="137"/>
      <c r="F1449" s="137"/>
      <c r="G1449" s="137"/>
      <c r="H1449" s="137"/>
      <c r="I1449" s="137"/>
      <c r="J1449" s="138"/>
      <c r="K1449" s="137"/>
      <c r="L1449" s="137"/>
      <c r="M1449" s="137"/>
      <c r="N1449" s="137"/>
      <c r="O1449" s="137"/>
      <c r="P1449" s="137"/>
      <c r="Q1449" s="137"/>
    </row>
    <row r="1450" spans="1:17" ht="15" customHeight="1" x14ac:dyDescent="0.35">
      <c r="A1450" s="129"/>
      <c r="B1450" s="137"/>
      <c r="C1450" s="137"/>
      <c r="D1450" s="137"/>
      <c r="E1450" s="137"/>
      <c r="F1450" s="137"/>
      <c r="G1450" s="137"/>
      <c r="H1450" s="137"/>
      <c r="I1450" s="137"/>
      <c r="J1450" s="138"/>
      <c r="K1450" s="137"/>
      <c r="L1450" s="137"/>
      <c r="M1450" s="137"/>
      <c r="N1450" s="137"/>
      <c r="O1450" s="137"/>
      <c r="P1450" s="137"/>
      <c r="Q1450" s="137"/>
    </row>
    <row r="1451" spans="1:17" ht="15" customHeight="1" x14ac:dyDescent="0.35">
      <c r="A1451" s="129"/>
      <c r="B1451" s="137"/>
      <c r="C1451" s="137"/>
      <c r="D1451" s="137"/>
      <c r="E1451" s="137"/>
      <c r="F1451" s="137"/>
      <c r="G1451" s="137"/>
      <c r="H1451" s="137"/>
      <c r="I1451" s="137"/>
      <c r="J1451" s="138"/>
      <c r="K1451" s="137"/>
      <c r="L1451" s="137"/>
      <c r="M1451" s="137"/>
      <c r="N1451" s="137"/>
      <c r="O1451" s="137"/>
      <c r="P1451" s="137"/>
      <c r="Q1451" s="137"/>
    </row>
    <row r="1452" spans="1:17" ht="15" customHeight="1" x14ac:dyDescent="0.35">
      <c r="A1452" s="129"/>
      <c r="B1452" s="137"/>
      <c r="C1452" s="137"/>
      <c r="D1452" s="137"/>
      <c r="E1452" s="137"/>
      <c r="F1452" s="137"/>
      <c r="G1452" s="137"/>
      <c r="H1452" s="137"/>
      <c r="I1452" s="137"/>
      <c r="J1452" s="138"/>
      <c r="K1452" s="137"/>
      <c r="L1452" s="137"/>
      <c r="M1452" s="137"/>
      <c r="N1452" s="137"/>
      <c r="O1452" s="137"/>
      <c r="P1452" s="137"/>
      <c r="Q1452" s="137"/>
    </row>
    <row r="1453" spans="1:17" ht="15" customHeight="1" x14ac:dyDescent="0.35">
      <c r="A1453" s="129"/>
      <c r="B1453" s="137"/>
      <c r="C1453" s="137"/>
      <c r="D1453" s="137"/>
      <c r="E1453" s="137"/>
      <c r="F1453" s="137"/>
      <c r="G1453" s="137"/>
      <c r="H1453" s="137"/>
      <c r="I1453" s="137"/>
      <c r="J1453" s="138"/>
      <c r="K1453" s="137"/>
      <c r="L1453" s="137"/>
      <c r="M1453" s="137"/>
      <c r="N1453" s="137"/>
      <c r="O1453" s="137"/>
      <c r="P1453" s="137"/>
      <c r="Q1453" s="137"/>
    </row>
    <row r="1454" spans="1:17" ht="15" customHeight="1" x14ac:dyDescent="0.35">
      <c r="A1454" s="129"/>
      <c r="B1454" s="137"/>
      <c r="C1454" s="137"/>
      <c r="D1454" s="137"/>
      <c r="E1454" s="137"/>
      <c r="F1454" s="137"/>
      <c r="G1454" s="137"/>
      <c r="H1454" s="137"/>
      <c r="I1454" s="137"/>
      <c r="J1454" s="138"/>
      <c r="K1454" s="137"/>
      <c r="L1454" s="137"/>
      <c r="M1454" s="137"/>
      <c r="N1454" s="137"/>
      <c r="O1454" s="137"/>
      <c r="P1454" s="137"/>
      <c r="Q1454" s="137"/>
    </row>
    <row r="1455" spans="1:17" ht="15" customHeight="1" x14ac:dyDescent="0.35">
      <c r="A1455" s="129"/>
      <c r="B1455" s="137"/>
      <c r="C1455" s="137"/>
      <c r="D1455" s="137"/>
      <c r="E1455" s="137"/>
      <c r="F1455" s="137"/>
      <c r="G1455" s="137"/>
      <c r="H1455" s="137"/>
      <c r="I1455" s="137"/>
      <c r="J1455" s="138"/>
      <c r="K1455" s="137"/>
      <c r="L1455" s="137"/>
      <c r="M1455" s="137"/>
      <c r="N1455" s="137"/>
      <c r="O1455" s="137"/>
      <c r="P1455" s="137"/>
      <c r="Q1455" s="137"/>
    </row>
    <row r="1456" spans="1:17" ht="15" customHeight="1" x14ac:dyDescent="0.35">
      <c r="A1456" s="129"/>
      <c r="B1456" s="137"/>
      <c r="C1456" s="137"/>
      <c r="D1456" s="137"/>
      <c r="E1456" s="137"/>
      <c r="F1456" s="137"/>
      <c r="G1456" s="137"/>
      <c r="H1456" s="137"/>
      <c r="I1456" s="137"/>
      <c r="J1456" s="138"/>
      <c r="K1456" s="137"/>
      <c r="L1456" s="137"/>
      <c r="M1456" s="137"/>
      <c r="N1456" s="137"/>
      <c r="O1456" s="137"/>
      <c r="P1456" s="137"/>
      <c r="Q1456" s="137"/>
    </row>
    <row r="1457" spans="1:17" ht="15" customHeight="1" x14ac:dyDescent="0.35">
      <c r="A1457" s="129"/>
      <c r="B1457" s="137"/>
      <c r="C1457" s="137"/>
      <c r="D1457" s="137"/>
      <c r="E1457" s="137"/>
      <c r="F1457" s="137"/>
      <c r="G1457" s="137"/>
      <c r="H1457" s="137"/>
      <c r="I1457" s="137"/>
      <c r="J1457" s="138"/>
      <c r="K1457" s="137"/>
      <c r="L1457" s="137"/>
      <c r="M1457" s="137"/>
      <c r="N1457" s="137"/>
      <c r="O1457" s="137"/>
      <c r="P1457" s="137"/>
      <c r="Q1457" s="137"/>
    </row>
    <row r="1458" spans="1:17" ht="15" customHeight="1" x14ac:dyDescent="0.35">
      <c r="A1458" s="129"/>
      <c r="B1458" s="137"/>
      <c r="C1458" s="137"/>
      <c r="D1458" s="137"/>
      <c r="E1458" s="137"/>
      <c r="F1458" s="137"/>
      <c r="G1458" s="137"/>
      <c r="H1458" s="137"/>
      <c r="I1458" s="137"/>
      <c r="J1458" s="138"/>
      <c r="K1458" s="137"/>
      <c r="L1458" s="137"/>
      <c r="M1458" s="137"/>
      <c r="N1458" s="137"/>
      <c r="O1458" s="137"/>
      <c r="P1458" s="137"/>
      <c r="Q1458" s="137"/>
    </row>
    <row r="1459" spans="1:17" ht="15" customHeight="1" x14ac:dyDescent="0.35">
      <c r="A1459" s="129"/>
      <c r="B1459" s="137"/>
      <c r="C1459" s="137"/>
      <c r="D1459" s="137"/>
      <c r="E1459" s="137"/>
      <c r="F1459" s="137"/>
      <c r="G1459" s="137"/>
      <c r="H1459" s="137"/>
      <c r="I1459" s="137"/>
      <c r="J1459" s="138"/>
      <c r="K1459" s="137"/>
      <c r="L1459" s="137"/>
      <c r="M1459" s="137"/>
      <c r="N1459" s="137"/>
      <c r="O1459" s="137"/>
      <c r="P1459" s="137"/>
      <c r="Q1459" s="137"/>
    </row>
    <row r="1460" spans="1:17" ht="15" customHeight="1" x14ac:dyDescent="0.35">
      <c r="A1460" s="129"/>
      <c r="B1460" s="137"/>
      <c r="C1460" s="137"/>
      <c r="D1460" s="137"/>
      <c r="E1460" s="137"/>
      <c r="F1460" s="137"/>
      <c r="G1460" s="137"/>
      <c r="H1460" s="137"/>
      <c r="I1460" s="137"/>
      <c r="J1460" s="138"/>
      <c r="K1460" s="137"/>
      <c r="L1460" s="137"/>
      <c r="M1460" s="137"/>
      <c r="N1460" s="137"/>
      <c r="O1460" s="137"/>
      <c r="P1460" s="137"/>
      <c r="Q1460" s="137"/>
    </row>
    <row r="1461" spans="1:17" ht="15" customHeight="1" x14ac:dyDescent="0.35">
      <c r="A1461" s="129"/>
      <c r="B1461" s="137"/>
      <c r="C1461" s="137"/>
      <c r="D1461" s="137"/>
      <c r="E1461" s="137"/>
      <c r="F1461" s="137"/>
      <c r="G1461" s="137"/>
      <c r="H1461" s="137"/>
      <c r="I1461" s="137"/>
      <c r="J1461" s="138"/>
      <c r="K1461" s="137"/>
      <c r="L1461" s="137"/>
      <c r="M1461" s="137"/>
      <c r="N1461" s="137"/>
      <c r="O1461" s="137"/>
      <c r="P1461" s="137"/>
      <c r="Q1461" s="137"/>
    </row>
    <row r="1462" spans="1:17" ht="15" customHeight="1" x14ac:dyDescent="0.35">
      <c r="A1462" s="129"/>
      <c r="B1462" s="137"/>
      <c r="C1462" s="137"/>
      <c r="D1462" s="137"/>
      <c r="E1462" s="137"/>
      <c r="F1462" s="137"/>
      <c r="G1462" s="137"/>
      <c r="H1462" s="137"/>
      <c r="I1462" s="137"/>
      <c r="J1462" s="138"/>
      <c r="K1462" s="137"/>
      <c r="L1462" s="137"/>
      <c r="M1462" s="137"/>
      <c r="N1462" s="137"/>
      <c r="O1462" s="137"/>
      <c r="P1462" s="137"/>
      <c r="Q1462" s="137"/>
    </row>
    <row r="1463" spans="1:17" ht="15" customHeight="1" x14ac:dyDescent="0.35">
      <c r="A1463" s="129"/>
      <c r="B1463" s="137"/>
      <c r="C1463" s="137"/>
      <c r="D1463" s="137"/>
      <c r="E1463" s="137"/>
      <c r="F1463" s="137"/>
      <c r="G1463" s="137"/>
      <c r="H1463" s="137"/>
      <c r="I1463" s="137"/>
      <c r="J1463" s="138"/>
      <c r="K1463" s="137"/>
      <c r="L1463" s="137"/>
      <c r="M1463" s="137"/>
      <c r="N1463" s="137"/>
      <c r="O1463" s="137"/>
      <c r="P1463" s="137"/>
      <c r="Q1463" s="137"/>
    </row>
    <row r="1464" spans="1:17" ht="15" customHeight="1" x14ac:dyDescent="0.35">
      <c r="A1464" s="129"/>
      <c r="B1464" s="137"/>
      <c r="C1464" s="137"/>
      <c r="D1464" s="137"/>
      <c r="E1464" s="137"/>
      <c r="F1464" s="137"/>
      <c r="G1464" s="137"/>
      <c r="H1464" s="137"/>
      <c r="I1464" s="137"/>
      <c r="J1464" s="138"/>
      <c r="K1464" s="137"/>
      <c r="L1464" s="137"/>
      <c r="M1464" s="137"/>
      <c r="N1464" s="137"/>
      <c r="O1464" s="137"/>
      <c r="P1464" s="137"/>
      <c r="Q1464" s="137"/>
    </row>
    <row r="1465" spans="1:17" ht="15" customHeight="1" x14ac:dyDescent="0.35">
      <c r="A1465" s="129"/>
      <c r="B1465" s="137"/>
      <c r="C1465" s="137"/>
      <c r="D1465" s="137"/>
      <c r="E1465" s="137"/>
      <c r="F1465" s="137"/>
      <c r="G1465" s="137"/>
      <c r="H1465" s="137"/>
      <c r="I1465" s="137"/>
      <c r="J1465" s="138"/>
      <c r="K1465" s="137"/>
      <c r="L1465" s="137"/>
      <c r="M1465" s="137"/>
      <c r="N1465" s="137"/>
      <c r="O1465" s="137"/>
      <c r="P1465" s="137"/>
      <c r="Q1465" s="137"/>
    </row>
    <row r="1466" spans="1:17" ht="15" customHeight="1" x14ac:dyDescent="0.35">
      <c r="A1466" s="129"/>
      <c r="B1466" s="137"/>
      <c r="C1466" s="137"/>
      <c r="D1466" s="137"/>
      <c r="E1466" s="137"/>
      <c r="F1466" s="137"/>
      <c r="G1466" s="137"/>
      <c r="H1466" s="137"/>
      <c r="I1466" s="137"/>
      <c r="J1466" s="138"/>
      <c r="K1466" s="137"/>
      <c r="L1466" s="137"/>
      <c r="M1466" s="137"/>
      <c r="N1466" s="137"/>
      <c r="O1466" s="137"/>
      <c r="P1466" s="137"/>
      <c r="Q1466" s="137"/>
    </row>
    <row r="1467" spans="1:17" ht="15" customHeight="1" x14ac:dyDescent="0.35">
      <c r="A1467" s="129"/>
      <c r="B1467" s="137"/>
      <c r="C1467" s="137"/>
      <c r="D1467" s="137"/>
      <c r="E1467" s="137"/>
      <c r="F1467" s="137"/>
      <c r="G1467" s="137"/>
      <c r="H1467" s="137"/>
      <c r="I1467" s="137"/>
      <c r="J1467" s="138"/>
      <c r="K1467" s="137"/>
      <c r="L1467" s="137"/>
      <c r="M1467" s="137"/>
      <c r="N1467" s="137"/>
      <c r="O1467" s="137"/>
      <c r="P1467" s="137"/>
      <c r="Q1467" s="137"/>
    </row>
    <row r="1468" spans="1:17" ht="15" customHeight="1" x14ac:dyDescent="0.35">
      <c r="A1468" s="129"/>
      <c r="B1468" s="137"/>
      <c r="C1468" s="137"/>
      <c r="D1468" s="137"/>
      <c r="E1468" s="137"/>
      <c r="F1468" s="137"/>
      <c r="G1468" s="137"/>
      <c r="H1468" s="137"/>
      <c r="I1468" s="137"/>
      <c r="J1468" s="138"/>
      <c r="K1468" s="137"/>
      <c r="L1468" s="137"/>
      <c r="M1468" s="137"/>
      <c r="N1468" s="137"/>
      <c r="O1468" s="137"/>
      <c r="P1468" s="137"/>
      <c r="Q1468" s="137"/>
    </row>
    <row r="1469" spans="1:17" ht="15" customHeight="1" x14ac:dyDescent="0.35">
      <c r="A1469" s="129"/>
      <c r="B1469" s="137"/>
      <c r="C1469" s="137"/>
      <c r="D1469" s="137"/>
      <c r="E1469" s="137"/>
      <c r="F1469" s="137"/>
      <c r="G1469" s="137"/>
      <c r="H1469" s="137"/>
      <c r="I1469" s="137"/>
      <c r="J1469" s="138"/>
      <c r="K1469" s="137"/>
      <c r="L1469" s="137"/>
      <c r="M1469" s="137"/>
      <c r="N1469" s="137"/>
      <c r="O1469" s="137"/>
      <c r="P1469" s="137"/>
      <c r="Q1469" s="137"/>
    </row>
    <row r="1470" spans="1:17" ht="15" customHeight="1" x14ac:dyDescent="0.35">
      <c r="A1470" s="129"/>
      <c r="B1470" s="137"/>
      <c r="C1470" s="137"/>
      <c r="D1470" s="137"/>
      <c r="E1470" s="137"/>
      <c r="F1470" s="137"/>
      <c r="G1470" s="137"/>
      <c r="H1470" s="137"/>
      <c r="I1470" s="137"/>
      <c r="J1470" s="138"/>
      <c r="K1470" s="137"/>
      <c r="L1470" s="137"/>
      <c r="M1470" s="137"/>
      <c r="N1470" s="137"/>
      <c r="O1470" s="137"/>
      <c r="P1470" s="137"/>
      <c r="Q1470" s="137"/>
    </row>
    <row r="1471" spans="1:17" ht="15" customHeight="1" x14ac:dyDescent="0.35">
      <c r="A1471" s="129"/>
      <c r="B1471" s="137"/>
      <c r="C1471" s="137"/>
      <c r="D1471" s="137"/>
      <c r="E1471" s="137"/>
      <c r="F1471" s="137"/>
      <c r="G1471" s="137"/>
      <c r="H1471" s="137"/>
      <c r="I1471" s="137"/>
      <c r="J1471" s="138"/>
      <c r="K1471" s="137"/>
      <c r="L1471" s="137"/>
      <c r="M1471" s="137"/>
      <c r="N1471" s="137"/>
      <c r="O1471" s="137"/>
      <c r="P1471" s="137"/>
      <c r="Q1471" s="137"/>
    </row>
    <row r="1472" spans="1:17" ht="15" customHeight="1" x14ac:dyDescent="0.35">
      <c r="A1472" s="129"/>
      <c r="B1472" s="137"/>
      <c r="C1472" s="137"/>
      <c r="D1472" s="137"/>
      <c r="E1472" s="137"/>
      <c r="F1472" s="137"/>
      <c r="G1472" s="137"/>
      <c r="H1472" s="137"/>
      <c r="I1472" s="137"/>
      <c r="J1472" s="138"/>
      <c r="K1472" s="137"/>
      <c r="L1472" s="137"/>
      <c r="M1472" s="137"/>
      <c r="N1472" s="137"/>
      <c r="O1472" s="137"/>
      <c r="P1472" s="137"/>
      <c r="Q1472" s="137"/>
    </row>
    <row r="1473" spans="1:17" ht="15" customHeight="1" x14ac:dyDescent="0.35">
      <c r="A1473" s="129"/>
      <c r="B1473" s="137"/>
      <c r="C1473" s="137"/>
      <c r="D1473" s="137"/>
      <c r="E1473" s="137"/>
      <c r="F1473" s="137"/>
      <c r="G1473" s="137"/>
      <c r="H1473" s="137"/>
      <c r="I1473" s="137"/>
      <c r="J1473" s="138"/>
      <c r="K1473" s="137"/>
      <c r="L1473" s="137"/>
      <c r="M1473" s="137"/>
      <c r="N1473" s="137"/>
      <c r="O1473" s="137"/>
      <c r="P1473" s="137"/>
      <c r="Q1473" s="137"/>
    </row>
    <row r="1474" spans="1:17" ht="15" customHeight="1" x14ac:dyDescent="0.35">
      <c r="A1474" s="129"/>
      <c r="B1474" s="137"/>
      <c r="C1474" s="137"/>
      <c r="D1474" s="137"/>
      <c r="E1474" s="137"/>
      <c r="F1474" s="137"/>
      <c r="G1474" s="137"/>
      <c r="H1474" s="137"/>
      <c r="I1474" s="137"/>
      <c r="J1474" s="138"/>
      <c r="K1474" s="137"/>
      <c r="L1474" s="137"/>
      <c r="M1474" s="137"/>
      <c r="N1474" s="137"/>
      <c r="O1474" s="137"/>
      <c r="P1474" s="137"/>
      <c r="Q1474" s="137"/>
    </row>
    <row r="1475" spans="1:17" ht="15" customHeight="1" x14ac:dyDescent="0.35">
      <c r="A1475" s="129"/>
      <c r="B1475" s="137"/>
      <c r="C1475" s="137"/>
      <c r="D1475" s="137"/>
      <c r="E1475" s="137"/>
      <c r="F1475" s="137"/>
      <c r="G1475" s="137"/>
      <c r="H1475" s="137"/>
      <c r="I1475" s="137"/>
      <c r="J1475" s="138"/>
      <c r="K1475" s="137"/>
      <c r="L1475" s="137"/>
      <c r="M1475" s="137"/>
      <c r="N1475" s="137"/>
      <c r="O1475" s="137"/>
      <c r="P1475" s="137"/>
      <c r="Q1475" s="137"/>
    </row>
    <row r="1476" spans="1:17" ht="15" customHeight="1" x14ac:dyDescent="0.35">
      <c r="A1476" s="129"/>
      <c r="B1476" s="137"/>
      <c r="C1476" s="137"/>
      <c r="D1476" s="137"/>
      <c r="E1476" s="137"/>
      <c r="F1476" s="137"/>
      <c r="G1476" s="137"/>
      <c r="H1476" s="137"/>
      <c r="I1476" s="137"/>
      <c r="J1476" s="138"/>
      <c r="K1476" s="137"/>
      <c r="L1476" s="137"/>
      <c r="M1476" s="137"/>
      <c r="N1476" s="137"/>
      <c r="O1476" s="137"/>
      <c r="P1476" s="137"/>
      <c r="Q1476" s="137"/>
    </row>
    <row r="1477" spans="1:17" ht="15" customHeight="1" x14ac:dyDescent="0.35">
      <c r="A1477" s="129"/>
      <c r="B1477" s="137"/>
      <c r="C1477" s="137"/>
      <c r="D1477" s="137"/>
      <c r="E1477" s="137"/>
      <c r="F1477" s="137"/>
      <c r="G1477" s="137"/>
      <c r="H1477" s="137"/>
      <c r="I1477" s="137"/>
      <c r="J1477" s="138"/>
      <c r="K1477" s="137"/>
      <c r="L1477" s="137"/>
      <c r="M1477" s="137"/>
      <c r="N1477" s="137"/>
      <c r="O1477" s="137"/>
      <c r="P1477" s="137"/>
      <c r="Q1477" s="137"/>
    </row>
    <row r="1478" spans="1:17" ht="15" customHeight="1" x14ac:dyDescent="0.35">
      <c r="A1478" s="129"/>
      <c r="B1478" s="137"/>
      <c r="C1478" s="137"/>
      <c r="D1478" s="137"/>
      <c r="E1478" s="137"/>
      <c r="F1478" s="137"/>
      <c r="G1478" s="137"/>
      <c r="H1478" s="137"/>
      <c r="I1478" s="137"/>
      <c r="J1478" s="138"/>
      <c r="K1478" s="137"/>
      <c r="L1478" s="137"/>
      <c r="M1478" s="137"/>
      <c r="N1478" s="137"/>
      <c r="O1478" s="137"/>
      <c r="P1478" s="137"/>
      <c r="Q1478" s="137"/>
    </row>
    <row r="1479" spans="1:17" ht="15" customHeight="1" x14ac:dyDescent="0.35">
      <c r="A1479" s="129"/>
      <c r="B1479" s="137"/>
      <c r="C1479" s="137"/>
      <c r="D1479" s="137"/>
      <c r="E1479" s="137"/>
      <c r="F1479" s="137"/>
      <c r="G1479" s="137"/>
      <c r="H1479" s="137"/>
      <c r="I1479" s="137"/>
      <c r="J1479" s="138"/>
      <c r="K1479" s="137"/>
      <c r="L1479" s="137"/>
      <c r="M1479" s="137"/>
      <c r="N1479" s="137"/>
      <c r="O1479" s="137"/>
      <c r="P1479" s="137"/>
      <c r="Q1479" s="137"/>
    </row>
    <row r="1480" spans="1:17" ht="15" customHeight="1" x14ac:dyDescent="0.35">
      <c r="A1480" s="129"/>
      <c r="B1480" s="137"/>
      <c r="C1480" s="137"/>
      <c r="D1480" s="137"/>
      <c r="E1480" s="137"/>
      <c r="F1480" s="137"/>
      <c r="G1480" s="137"/>
      <c r="H1480" s="137"/>
      <c r="I1480" s="137"/>
      <c r="J1480" s="138"/>
      <c r="K1480" s="137"/>
      <c r="L1480" s="137"/>
      <c r="M1480" s="137"/>
      <c r="N1480" s="137"/>
      <c r="O1480" s="137"/>
      <c r="P1480" s="137"/>
      <c r="Q1480" s="137"/>
    </row>
    <row r="1481" spans="1:17" ht="15" customHeight="1" x14ac:dyDescent="0.35">
      <c r="A1481" s="129"/>
      <c r="B1481" s="137"/>
      <c r="C1481" s="137"/>
      <c r="D1481" s="137"/>
      <c r="E1481" s="137"/>
      <c r="F1481" s="137"/>
      <c r="G1481" s="137"/>
      <c r="H1481" s="137"/>
      <c r="I1481" s="137"/>
      <c r="J1481" s="138"/>
      <c r="K1481" s="137"/>
      <c r="L1481" s="137"/>
      <c r="M1481" s="137"/>
      <c r="N1481" s="137"/>
      <c r="O1481" s="137"/>
      <c r="P1481" s="137"/>
      <c r="Q1481" s="137"/>
    </row>
    <row r="1482" spans="1:17" ht="15" customHeight="1" x14ac:dyDescent="0.35">
      <c r="A1482" s="129"/>
      <c r="B1482" s="137"/>
      <c r="C1482" s="137"/>
      <c r="D1482" s="137"/>
      <c r="E1482" s="137"/>
      <c r="F1482" s="137"/>
      <c r="G1482" s="137"/>
      <c r="H1482" s="137"/>
      <c r="I1482" s="137"/>
      <c r="J1482" s="138"/>
      <c r="K1482" s="137"/>
      <c r="L1482" s="137"/>
      <c r="M1482" s="137"/>
      <c r="N1482" s="137"/>
      <c r="O1482" s="137"/>
      <c r="P1482" s="137"/>
      <c r="Q1482" s="137"/>
    </row>
    <row r="1483" spans="1:17" ht="15" customHeight="1" x14ac:dyDescent="0.35">
      <c r="A1483" s="129"/>
      <c r="B1483" s="137"/>
      <c r="C1483" s="137"/>
      <c r="D1483" s="137"/>
      <c r="E1483" s="137"/>
      <c r="F1483" s="137"/>
      <c r="G1483" s="137"/>
      <c r="H1483" s="137"/>
      <c r="I1483" s="137"/>
      <c r="J1483" s="138"/>
      <c r="K1483" s="137"/>
      <c r="L1483" s="137"/>
      <c r="M1483" s="137"/>
      <c r="N1483" s="137"/>
      <c r="O1483" s="137"/>
      <c r="P1483" s="137"/>
      <c r="Q1483" s="137"/>
    </row>
    <row r="1484" spans="1:17" ht="15" customHeight="1" x14ac:dyDescent="0.35">
      <c r="A1484" s="129"/>
      <c r="B1484" s="137"/>
      <c r="C1484" s="137"/>
      <c r="D1484" s="137"/>
      <c r="E1484" s="137"/>
      <c r="F1484" s="137"/>
      <c r="G1484" s="137"/>
      <c r="H1484" s="137"/>
      <c r="I1484" s="137"/>
      <c r="J1484" s="138"/>
      <c r="K1484" s="137"/>
      <c r="L1484" s="137"/>
      <c r="M1484" s="137"/>
      <c r="N1484" s="137"/>
      <c r="O1484" s="137"/>
      <c r="P1484" s="137"/>
      <c r="Q1484" s="137"/>
    </row>
    <row r="1485" spans="1:17" ht="15" customHeight="1" x14ac:dyDescent="0.35">
      <c r="A1485" s="129"/>
      <c r="B1485" s="137"/>
      <c r="C1485" s="137"/>
      <c r="D1485" s="137"/>
      <c r="E1485" s="137"/>
      <c r="F1485" s="137"/>
      <c r="G1485" s="137"/>
      <c r="H1485" s="137"/>
      <c r="I1485" s="137"/>
      <c r="J1485" s="138"/>
      <c r="K1485" s="137"/>
      <c r="L1485" s="137"/>
      <c r="M1485" s="137"/>
      <c r="N1485" s="137"/>
      <c r="O1485" s="137"/>
      <c r="P1485" s="137"/>
      <c r="Q1485" s="137"/>
    </row>
    <row r="1486" spans="1:17" ht="15" customHeight="1" x14ac:dyDescent="0.35">
      <c r="A1486" s="129"/>
      <c r="B1486" s="137"/>
      <c r="C1486" s="137"/>
      <c r="D1486" s="137"/>
      <c r="E1486" s="137"/>
      <c r="F1486" s="137"/>
      <c r="G1486" s="137"/>
      <c r="H1486" s="137"/>
      <c r="I1486" s="137"/>
      <c r="J1486" s="138"/>
      <c r="K1486" s="137"/>
      <c r="L1486" s="137"/>
      <c r="M1486" s="137"/>
      <c r="N1486" s="137"/>
      <c r="O1486" s="137"/>
      <c r="P1486" s="137"/>
      <c r="Q1486" s="137"/>
    </row>
    <row r="1487" spans="1:17" ht="15" customHeight="1" x14ac:dyDescent="0.35">
      <c r="A1487" s="129"/>
      <c r="B1487" s="137"/>
      <c r="C1487" s="137"/>
      <c r="D1487" s="137"/>
      <c r="E1487" s="137"/>
      <c r="F1487" s="137"/>
      <c r="G1487" s="137"/>
      <c r="H1487" s="137"/>
      <c r="I1487" s="137"/>
      <c r="J1487" s="138"/>
      <c r="K1487" s="137"/>
      <c r="L1487" s="137"/>
      <c r="M1487" s="137"/>
      <c r="N1487" s="137"/>
      <c r="O1487" s="137"/>
      <c r="P1487" s="137"/>
      <c r="Q1487" s="137"/>
    </row>
    <row r="1488" spans="1:17" ht="15" customHeight="1" x14ac:dyDescent="0.35">
      <c r="A1488" s="129"/>
      <c r="B1488" s="137"/>
      <c r="C1488" s="137"/>
      <c r="D1488" s="137"/>
      <c r="E1488" s="137"/>
      <c r="F1488" s="137"/>
      <c r="G1488" s="137"/>
      <c r="H1488" s="137"/>
      <c r="I1488" s="137"/>
      <c r="J1488" s="138"/>
      <c r="K1488" s="137"/>
      <c r="L1488" s="137"/>
      <c r="M1488" s="137"/>
      <c r="N1488" s="137"/>
      <c r="O1488" s="137"/>
      <c r="P1488" s="137"/>
      <c r="Q1488" s="137"/>
    </row>
    <row r="1489" spans="1:17" ht="15" customHeight="1" x14ac:dyDescent="0.35">
      <c r="A1489" s="129"/>
      <c r="B1489" s="137"/>
      <c r="C1489" s="137"/>
      <c r="D1489" s="137"/>
      <c r="E1489" s="137"/>
      <c r="F1489" s="137"/>
      <c r="G1489" s="137"/>
      <c r="H1489" s="137"/>
      <c r="I1489" s="137"/>
      <c r="J1489" s="138"/>
      <c r="K1489" s="137"/>
      <c r="L1489" s="137"/>
      <c r="M1489" s="137"/>
      <c r="N1489" s="137"/>
      <c r="O1489" s="137"/>
      <c r="P1489" s="137"/>
      <c r="Q1489" s="137"/>
    </row>
    <row r="1490" spans="1:17" ht="15" customHeight="1" x14ac:dyDescent="0.35">
      <c r="A1490" s="129"/>
      <c r="B1490" s="137"/>
      <c r="C1490" s="137"/>
      <c r="D1490" s="137"/>
      <c r="E1490" s="137"/>
      <c r="F1490" s="137"/>
      <c r="G1490" s="137"/>
      <c r="H1490" s="137"/>
      <c r="I1490" s="137"/>
      <c r="J1490" s="138"/>
      <c r="K1490" s="137"/>
      <c r="L1490" s="137"/>
      <c r="M1490" s="137"/>
      <c r="N1490" s="137"/>
      <c r="O1490" s="137"/>
      <c r="P1490" s="137"/>
      <c r="Q1490" s="137"/>
    </row>
    <row r="1491" spans="1:17" ht="15" customHeight="1" x14ac:dyDescent="0.35">
      <c r="A1491" s="129"/>
      <c r="B1491" s="137"/>
      <c r="C1491" s="137"/>
      <c r="D1491" s="137"/>
      <c r="E1491" s="137"/>
      <c r="F1491" s="137"/>
      <c r="G1491" s="137"/>
      <c r="H1491" s="137"/>
      <c r="I1491" s="137"/>
      <c r="J1491" s="138"/>
      <c r="K1491" s="137"/>
      <c r="L1491" s="137"/>
      <c r="M1491" s="137"/>
      <c r="N1491" s="137"/>
      <c r="O1491" s="137"/>
      <c r="P1491" s="137"/>
      <c r="Q1491" s="137"/>
    </row>
    <row r="1492" spans="1:17" ht="15" customHeight="1" x14ac:dyDescent="0.35">
      <c r="A1492" s="129"/>
      <c r="B1492" s="137"/>
      <c r="C1492" s="137"/>
      <c r="D1492" s="137"/>
      <c r="E1492" s="137"/>
      <c r="F1492" s="137"/>
      <c r="G1492" s="137"/>
      <c r="H1492" s="137"/>
      <c r="I1492" s="137"/>
      <c r="J1492" s="138"/>
      <c r="K1492" s="137"/>
      <c r="L1492" s="137"/>
      <c r="M1492" s="137"/>
      <c r="N1492" s="137"/>
      <c r="O1492" s="137"/>
      <c r="P1492" s="137"/>
      <c r="Q1492" s="137"/>
    </row>
    <row r="1493" spans="1:17" ht="15" customHeight="1" x14ac:dyDescent="0.35">
      <c r="A1493" s="129"/>
      <c r="B1493" s="137"/>
      <c r="C1493" s="137"/>
      <c r="D1493" s="137"/>
      <c r="E1493" s="137"/>
      <c r="F1493" s="137"/>
      <c r="G1493" s="137"/>
      <c r="H1493" s="137"/>
      <c r="I1493" s="137"/>
      <c r="J1493" s="138"/>
      <c r="K1493" s="137"/>
      <c r="L1493" s="137"/>
      <c r="M1493" s="137"/>
      <c r="N1493" s="137"/>
      <c r="O1493" s="137"/>
      <c r="P1493" s="137"/>
      <c r="Q1493" s="137"/>
    </row>
    <row r="1494" spans="1:17" ht="15" customHeight="1" x14ac:dyDescent="0.35">
      <c r="A1494" s="129"/>
      <c r="B1494" s="137"/>
      <c r="C1494" s="137"/>
      <c r="D1494" s="137"/>
      <c r="E1494" s="137"/>
      <c r="F1494" s="137"/>
      <c r="G1494" s="137"/>
      <c r="H1494" s="137"/>
      <c r="I1494" s="137"/>
      <c r="J1494" s="138"/>
      <c r="K1494" s="137"/>
      <c r="L1494" s="137"/>
      <c r="M1494" s="137"/>
      <c r="N1494" s="137"/>
      <c r="O1494" s="137"/>
      <c r="P1494" s="137"/>
      <c r="Q1494" s="137"/>
    </row>
    <row r="1495" spans="1:17" ht="15" customHeight="1" x14ac:dyDescent="0.35">
      <c r="A1495" s="129"/>
      <c r="B1495" s="137"/>
      <c r="C1495" s="137"/>
      <c r="D1495" s="137"/>
      <c r="E1495" s="137"/>
      <c r="F1495" s="137"/>
      <c r="G1495" s="137"/>
      <c r="H1495" s="137"/>
      <c r="I1495" s="137"/>
      <c r="J1495" s="138"/>
      <c r="K1495" s="137"/>
      <c r="L1495" s="137"/>
      <c r="M1495" s="137"/>
      <c r="N1495" s="137"/>
      <c r="O1495" s="137"/>
      <c r="P1495" s="137"/>
      <c r="Q1495" s="137"/>
    </row>
    <row r="1496" spans="1:17" ht="15" customHeight="1" x14ac:dyDescent="0.35">
      <c r="A1496" s="129"/>
      <c r="B1496" s="137"/>
      <c r="C1496" s="137"/>
      <c r="D1496" s="137"/>
      <c r="E1496" s="137"/>
      <c r="F1496" s="137"/>
      <c r="G1496" s="137"/>
      <c r="H1496" s="137"/>
      <c r="I1496" s="137"/>
      <c r="J1496" s="138"/>
      <c r="K1496" s="137"/>
      <c r="L1496" s="137"/>
      <c r="M1496" s="137"/>
      <c r="N1496" s="137"/>
      <c r="O1496" s="137"/>
      <c r="P1496" s="137"/>
      <c r="Q1496" s="137"/>
    </row>
    <row r="1497" spans="1:17" ht="15" customHeight="1" x14ac:dyDescent="0.35">
      <c r="A1497" s="129"/>
      <c r="B1497" s="137"/>
      <c r="C1497" s="137"/>
      <c r="D1497" s="137"/>
      <c r="E1497" s="137"/>
      <c r="F1497" s="137"/>
      <c r="G1497" s="137"/>
      <c r="H1497" s="137"/>
      <c r="I1497" s="137"/>
      <c r="J1497" s="138"/>
      <c r="K1497" s="137"/>
      <c r="L1497" s="137"/>
      <c r="M1497" s="137"/>
      <c r="N1497" s="137"/>
      <c r="O1497" s="137"/>
      <c r="P1497" s="137"/>
      <c r="Q1497" s="137"/>
    </row>
    <row r="1498" spans="1:17" ht="15" customHeight="1" x14ac:dyDescent="0.35">
      <c r="A1498" s="129"/>
      <c r="B1498" s="137"/>
      <c r="C1498" s="137"/>
      <c r="D1498" s="137"/>
      <c r="E1498" s="137"/>
      <c r="F1498" s="137"/>
      <c r="G1498" s="137"/>
      <c r="H1498" s="137"/>
      <c r="I1498" s="137"/>
      <c r="J1498" s="138"/>
      <c r="K1498" s="137"/>
      <c r="L1498" s="137"/>
      <c r="M1498" s="137"/>
      <c r="N1498" s="137"/>
      <c r="O1498" s="137"/>
      <c r="P1498" s="137"/>
      <c r="Q1498" s="137"/>
    </row>
    <row r="1499" spans="1:17" ht="15" customHeight="1" x14ac:dyDescent="0.35">
      <c r="A1499" s="129"/>
      <c r="B1499" s="137"/>
      <c r="C1499" s="137"/>
      <c r="D1499" s="137"/>
      <c r="E1499" s="137"/>
      <c r="F1499" s="137"/>
      <c r="G1499" s="137"/>
      <c r="H1499" s="137"/>
      <c r="I1499" s="137"/>
      <c r="J1499" s="138"/>
      <c r="K1499" s="137"/>
      <c r="L1499" s="137"/>
      <c r="M1499" s="137"/>
      <c r="N1499" s="137"/>
      <c r="O1499" s="137"/>
      <c r="P1499" s="137"/>
      <c r="Q1499" s="137"/>
    </row>
    <row r="1500" spans="1:17" ht="15" customHeight="1" x14ac:dyDescent="0.35">
      <c r="A1500" s="129"/>
      <c r="B1500" s="137"/>
      <c r="C1500" s="137"/>
      <c r="D1500" s="137"/>
      <c r="E1500" s="137"/>
      <c r="F1500" s="137"/>
      <c r="G1500" s="137"/>
      <c r="H1500" s="137"/>
      <c r="I1500" s="137"/>
      <c r="J1500" s="138"/>
      <c r="K1500" s="137"/>
      <c r="L1500" s="137"/>
      <c r="M1500" s="137"/>
      <c r="N1500" s="137"/>
      <c r="O1500" s="137"/>
      <c r="P1500" s="137"/>
      <c r="Q1500" s="137"/>
    </row>
    <row r="1501" spans="1:17" ht="15" customHeight="1" x14ac:dyDescent="0.35">
      <c r="A1501" s="129"/>
      <c r="B1501" s="137"/>
      <c r="C1501" s="137"/>
      <c r="D1501" s="137"/>
      <c r="E1501" s="137"/>
      <c r="F1501" s="137"/>
      <c r="G1501" s="137"/>
      <c r="H1501" s="137"/>
      <c r="I1501" s="137"/>
      <c r="J1501" s="138"/>
      <c r="K1501" s="137"/>
      <c r="L1501" s="137"/>
      <c r="M1501" s="137"/>
      <c r="N1501" s="137"/>
      <c r="O1501" s="137"/>
      <c r="P1501" s="137"/>
      <c r="Q1501" s="137"/>
    </row>
    <row r="1502" spans="1:17" ht="15" customHeight="1" x14ac:dyDescent="0.35">
      <c r="A1502" s="129"/>
      <c r="B1502" s="137"/>
      <c r="C1502" s="137"/>
      <c r="D1502" s="137"/>
      <c r="E1502" s="137"/>
      <c r="F1502" s="137"/>
      <c r="G1502" s="137"/>
      <c r="H1502" s="137"/>
      <c r="I1502" s="137"/>
      <c r="J1502" s="138"/>
      <c r="K1502" s="137"/>
      <c r="L1502" s="137"/>
      <c r="M1502" s="137"/>
      <c r="N1502" s="137"/>
      <c r="O1502" s="137"/>
      <c r="P1502" s="137"/>
      <c r="Q1502" s="137"/>
    </row>
    <row r="1503" spans="1:17" ht="15" customHeight="1" x14ac:dyDescent="0.35">
      <c r="A1503" s="129"/>
      <c r="B1503" s="137"/>
      <c r="C1503" s="137"/>
      <c r="D1503" s="137"/>
      <c r="E1503" s="137"/>
      <c r="F1503" s="137"/>
      <c r="G1503" s="137"/>
      <c r="H1503" s="137"/>
      <c r="I1503" s="137"/>
      <c r="J1503" s="138"/>
      <c r="K1503" s="137"/>
      <c r="L1503" s="137"/>
      <c r="M1503" s="137"/>
      <c r="N1503" s="137"/>
      <c r="O1503" s="137"/>
      <c r="P1503" s="137"/>
      <c r="Q1503" s="137"/>
    </row>
    <row r="1504" spans="1:17" ht="15" customHeight="1" x14ac:dyDescent="0.35">
      <c r="A1504" s="129"/>
      <c r="B1504" s="137"/>
      <c r="C1504" s="137"/>
      <c r="D1504" s="137"/>
      <c r="E1504" s="137"/>
      <c r="F1504" s="137"/>
      <c r="G1504" s="137"/>
      <c r="H1504" s="137"/>
      <c r="I1504" s="137"/>
      <c r="J1504" s="138"/>
      <c r="K1504" s="137"/>
      <c r="L1504" s="137"/>
      <c r="M1504" s="137"/>
      <c r="N1504" s="137"/>
      <c r="O1504" s="137"/>
      <c r="P1504" s="137"/>
      <c r="Q1504" s="137"/>
    </row>
    <row r="1505" spans="1:17" ht="15" customHeight="1" x14ac:dyDescent="0.35">
      <c r="A1505" s="129"/>
      <c r="B1505" s="137"/>
      <c r="C1505" s="137"/>
      <c r="D1505" s="137"/>
      <c r="E1505" s="137"/>
      <c r="F1505" s="137"/>
      <c r="G1505" s="137"/>
      <c r="H1505" s="137"/>
      <c r="I1505" s="137"/>
      <c r="J1505" s="138"/>
      <c r="K1505" s="137"/>
      <c r="L1505" s="137"/>
      <c r="M1505" s="137"/>
      <c r="N1505" s="137"/>
      <c r="O1505" s="137"/>
      <c r="P1505" s="137"/>
      <c r="Q1505" s="137"/>
    </row>
    <row r="1506" spans="1:17" ht="15" customHeight="1" x14ac:dyDescent="0.35">
      <c r="A1506" s="129"/>
      <c r="B1506" s="137"/>
      <c r="C1506" s="137"/>
      <c r="D1506" s="137"/>
      <c r="E1506" s="137"/>
      <c r="F1506" s="137"/>
      <c r="G1506" s="137"/>
      <c r="H1506" s="137"/>
      <c r="I1506" s="137"/>
      <c r="J1506" s="138"/>
      <c r="K1506" s="137"/>
      <c r="L1506" s="137"/>
      <c r="M1506" s="137"/>
      <c r="N1506" s="137"/>
      <c r="O1506" s="137"/>
      <c r="P1506" s="137"/>
      <c r="Q1506" s="137"/>
    </row>
    <row r="1507" spans="1:17" ht="15" customHeight="1" x14ac:dyDescent="0.35">
      <c r="A1507" s="129"/>
      <c r="B1507" s="137"/>
      <c r="C1507" s="137"/>
      <c r="D1507" s="137"/>
      <c r="E1507" s="137"/>
      <c r="F1507" s="137"/>
      <c r="G1507" s="137"/>
      <c r="H1507" s="137"/>
      <c r="I1507" s="137"/>
      <c r="J1507" s="138"/>
      <c r="K1507" s="137"/>
      <c r="L1507" s="137"/>
      <c r="M1507" s="137"/>
      <c r="N1507" s="137"/>
      <c r="O1507" s="137"/>
      <c r="P1507" s="137"/>
      <c r="Q1507" s="137"/>
    </row>
    <row r="1508" spans="1:17" ht="15" customHeight="1" x14ac:dyDescent="0.35">
      <c r="A1508" s="129"/>
      <c r="B1508" s="137"/>
      <c r="C1508" s="137"/>
      <c r="D1508" s="137"/>
      <c r="E1508" s="137"/>
      <c r="F1508" s="137"/>
      <c r="G1508" s="137"/>
      <c r="H1508" s="137"/>
      <c r="I1508" s="137"/>
      <c r="J1508" s="138"/>
      <c r="K1508" s="137"/>
      <c r="L1508" s="137"/>
      <c r="M1508" s="137"/>
      <c r="N1508" s="137"/>
      <c r="O1508" s="137"/>
      <c r="P1508" s="137"/>
      <c r="Q1508" s="137"/>
    </row>
    <row r="1509" spans="1:17" ht="15" customHeight="1" x14ac:dyDescent="0.35">
      <c r="A1509" s="129"/>
      <c r="B1509" s="137"/>
      <c r="C1509" s="137"/>
      <c r="D1509" s="137"/>
      <c r="E1509" s="137"/>
      <c r="F1509" s="137"/>
      <c r="G1509" s="137"/>
      <c r="H1509" s="137"/>
      <c r="I1509" s="137"/>
      <c r="J1509" s="138"/>
      <c r="K1509" s="137"/>
      <c r="L1509" s="137"/>
      <c r="M1509" s="137"/>
      <c r="N1509" s="137"/>
      <c r="O1509" s="137"/>
      <c r="P1509" s="137"/>
      <c r="Q1509" s="137"/>
    </row>
    <row r="1510" spans="1:17" ht="15" customHeight="1" x14ac:dyDescent="0.35">
      <c r="A1510" s="129"/>
      <c r="B1510" s="137"/>
      <c r="C1510" s="137"/>
      <c r="D1510" s="137"/>
      <c r="E1510" s="137"/>
      <c r="F1510" s="137"/>
      <c r="G1510" s="137"/>
      <c r="H1510" s="137"/>
      <c r="I1510" s="137"/>
      <c r="J1510" s="138"/>
      <c r="K1510" s="137"/>
      <c r="L1510" s="137"/>
      <c r="M1510" s="137"/>
      <c r="N1510" s="137"/>
      <c r="O1510" s="137"/>
      <c r="P1510" s="137"/>
      <c r="Q1510" s="137"/>
    </row>
    <row r="1511" spans="1:17" ht="15" customHeight="1" x14ac:dyDescent="0.35">
      <c r="A1511" s="129"/>
      <c r="B1511" s="137"/>
      <c r="C1511" s="137"/>
      <c r="D1511" s="137"/>
      <c r="E1511" s="137"/>
      <c r="F1511" s="137"/>
      <c r="G1511" s="137"/>
      <c r="H1511" s="137"/>
      <c r="I1511" s="137"/>
      <c r="J1511" s="138"/>
      <c r="K1511" s="137"/>
      <c r="L1511" s="137"/>
      <c r="M1511" s="137"/>
      <c r="N1511" s="137"/>
      <c r="O1511" s="137"/>
      <c r="P1511" s="137"/>
      <c r="Q1511" s="137"/>
    </row>
    <row r="1512" spans="1:17" ht="15" customHeight="1" x14ac:dyDescent="0.35">
      <c r="A1512" s="129"/>
      <c r="B1512" s="137"/>
      <c r="C1512" s="137"/>
      <c r="D1512" s="137"/>
      <c r="E1512" s="137"/>
      <c r="F1512" s="137"/>
      <c r="G1512" s="137"/>
      <c r="H1512" s="137"/>
      <c r="I1512" s="137"/>
      <c r="J1512" s="138"/>
      <c r="K1512" s="137"/>
      <c r="L1512" s="137"/>
      <c r="M1512" s="137"/>
      <c r="N1512" s="137"/>
      <c r="O1512" s="137"/>
      <c r="P1512" s="137"/>
      <c r="Q1512" s="137"/>
    </row>
    <row r="1513" spans="1:17" ht="15" customHeight="1" x14ac:dyDescent="0.35">
      <c r="A1513" s="129"/>
      <c r="B1513" s="137"/>
      <c r="C1513" s="137"/>
      <c r="D1513" s="137"/>
      <c r="E1513" s="137"/>
      <c r="F1513" s="137"/>
      <c r="G1513" s="137"/>
      <c r="H1513" s="137"/>
      <c r="I1513" s="137"/>
      <c r="J1513" s="138"/>
      <c r="K1513" s="137"/>
      <c r="L1513" s="137"/>
      <c r="M1513" s="137"/>
      <c r="N1513" s="137"/>
      <c r="O1513" s="137"/>
      <c r="P1513" s="137"/>
      <c r="Q1513" s="137"/>
    </row>
    <row r="1514" spans="1:17" ht="15" customHeight="1" x14ac:dyDescent="0.35">
      <c r="A1514" s="129"/>
      <c r="B1514" s="137"/>
      <c r="C1514" s="137"/>
      <c r="D1514" s="137"/>
      <c r="E1514" s="137"/>
      <c r="F1514" s="137"/>
      <c r="G1514" s="137"/>
      <c r="H1514" s="137"/>
      <c r="I1514" s="137"/>
      <c r="J1514" s="138"/>
      <c r="K1514" s="137"/>
      <c r="L1514" s="137"/>
      <c r="M1514" s="137"/>
      <c r="N1514" s="137"/>
      <c r="O1514" s="137"/>
      <c r="P1514" s="137"/>
      <c r="Q1514" s="137"/>
    </row>
    <row r="1515" spans="1:17" ht="15" customHeight="1" x14ac:dyDescent="0.35">
      <c r="A1515" s="129"/>
      <c r="B1515" s="137"/>
      <c r="C1515" s="137"/>
      <c r="D1515" s="137"/>
      <c r="E1515" s="137"/>
      <c r="F1515" s="137"/>
      <c r="G1515" s="137"/>
      <c r="H1515" s="137"/>
      <c r="I1515" s="137"/>
      <c r="J1515" s="138"/>
      <c r="K1515" s="137"/>
      <c r="L1515" s="137"/>
      <c r="M1515" s="137"/>
      <c r="N1515" s="137"/>
      <c r="O1515" s="137"/>
      <c r="P1515" s="137"/>
      <c r="Q1515" s="137"/>
    </row>
    <row r="1516" spans="1:17" ht="15" customHeight="1" x14ac:dyDescent="0.35">
      <c r="A1516" s="129"/>
      <c r="B1516" s="137"/>
      <c r="C1516" s="137"/>
      <c r="D1516" s="137"/>
      <c r="E1516" s="137"/>
      <c r="F1516" s="137"/>
      <c r="G1516" s="137"/>
      <c r="H1516" s="137"/>
      <c r="I1516" s="137"/>
      <c r="J1516" s="138"/>
      <c r="K1516" s="137"/>
      <c r="L1516" s="137"/>
      <c r="M1516" s="137"/>
      <c r="N1516" s="137"/>
      <c r="O1516" s="137"/>
      <c r="P1516" s="137"/>
      <c r="Q1516" s="137"/>
    </row>
    <row r="1517" spans="1:17" ht="15" customHeight="1" x14ac:dyDescent="0.35">
      <c r="A1517" s="129"/>
      <c r="B1517" s="137"/>
      <c r="C1517" s="137"/>
      <c r="D1517" s="137"/>
      <c r="E1517" s="137"/>
      <c r="F1517" s="137"/>
      <c r="G1517" s="137"/>
      <c r="H1517" s="137"/>
      <c r="I1517" s="137"/>
      <c r="J1517" s="138"/>
      <c r="K1517" s="137"/>
      <c r="L1517" s="137"/>
      <c r="M1517" s="137"/>
      <c r="N1517" s="137"/>
      <c r="O1517" s="137"/>
      <c r="P1517" s="137"/>
      <c r="Q1517" s="137"/>
    </row>
    <row r="1518" spans="1:17" ht="15" customHeight="1" x14ac:dyDescent="0.35">
      <c r="A1518" s="129"/>
      <c r="B1518" s="137"/>
      <c r="C1518" s="137"/>
      <c r="D1518" s="137"/>
      <c r="E1518" s="137"/>
      <c r="F1518" s="137"/>
      <c r="G1518" s="137"/>
      <c r="H1518" s="137"/>
      <c r="I1518" s="137"/>
      <c r="J1518" s="138"/>
      <c r="K1518" s="137"/>
      <c r="L1518" s="137"/>
      <c r="M1518" s="137"/>
      <c r="N1518" s="137"/>
      <c r="O1518" s="137"/>
      <c r="P1518" s="137"/>
      <c r="Q1518" s="137"/>
    </row>
    <row r="1519" spans="1:17" ht="15" customHeight="1" x14ac:dyDescent="0.35">
      <c r="A1519" s="129"/>
      <c r="B1519" s="137"/>
      <c r="C1519" s="137"/>
      <c r="D1519" s="137"/>
      <c r="E1519" s="137"/>
      <c r="F1519" s="137"/>
      <c r="G1519" s="137"/>
      <c r="H1519" s="137"/>
      <c r="I1519" s="137"/>
      <c r="J1519" s="138"/>
      <c r="K1519" s="137"/>
      <c r="L1519" s="137"/>
      <c r="M1519" s="137"/>
      <c r="N1519" s="137"/>
      <c r="O1519" s="137"/>
      <c r="P1519" s="137"/>
      <c r="Q1519" s="137"/>
    </row>
    <row r="1520" spans="1:17" ht="15" customHeight="1" x14ac:dyDescent="0.35">
      <c r="A1520" s="129"/>
      <c r="B1520" s="137"/>
      <c r="C1520" s="137"/>
      <c r="D1520" s="137"/>
      <c r="E1520" s="137"/>
      <c r="F1520" s="137"/>
      <c r="G1520" s="137"/>
      <c r="H1520" s="137"/>
      <c r="I1520" s="137"/>
      <c r="J1520" s="138"/>
      <c r="K1520" s="137"/>
      <c r="L1520" s="137"/>
      <c r="M1520" s="137"/>
      <c r="N1520" s="137"/>
      <c r="O1520" s="137"/>
      <c r="P1520" s="137"/>
      <c r="Q1520" s="137"/>
    </row>
    <row r="1521" spans="1:17" ht="15" customHeight="1" x14ac:dyDescent="0.35">
      <c r="A1521" s="129"/>
      <c r="B1521" s="137"/>
      <c r="C1521" s="137"/>
      <c r="D1521" s="137"/>
      <c r="E1521" s="137"/>
      <c r="F1521" s="137"/>
      <c r="G1521" s="137"/>
      <c r="H1521" s="137"/>
      <c r="I1521" s="137"/>
      <c r="J1521" s="138"/>
      <c r="K1521" s="137"/>
      <c r="L1521" s="137"/>
      <c r="M1521" s="137"/>
      <c r="N1521" s="137"/>
      <c r="O1521" s="137"/>
      <c r="P1521" s="137"/>
      <c r="Q1521" s="137"/>
    </row>
    <row r="1522" spans="1:17" ht="15" customHeight="1" x14ac:dyDescent="0.35">
      <c r="A1522" s="129"/>
      <c r="B1522" s="137"/>
      <c r="C1522" s="137"/>
      <c r="D1522" s="137"/>
      <c r="E1522" s="137"/>
      <c r="F1522" s="137"/>
      <c r="G1522" s="137"/>
      <c r="H1522" s="137"/>
      <c r="I1522" s="137"/>
      <c r="J1522" s="138"/>
      <c r="K1522" s="137"/>
      <c r="L1522" s="137"/>
      <c r="M1522" s="137"/>
      <c r="N1522" s="137"/>
      <c r="O1522" s="137"/>
      <c r="P1522" s="137"/>
      <c r="Q1522" s="137"/>
    </row>
    <row r="1523" spans="1:17" ht="15" customHeight="1" x14ac:dyDescent="0.35">
      <c r="A1523" s="129"/>
      <c r="B1523" s="137"/>
      <c r="C1523" s="137"/>
      <c r="D1523" s="137"/>
      <c r="E1523" s="137"/>
      <c r="F1523" s="137"/>
      <c r="G1523" s="137"/>
      <c r="H1523" s="137"/>
      <c r="I1523" s="137"/>
      <c r="J1523" s="138"/>
      <c r="K1523" s="137"/>
      <c r="L1523" s="137"/>
      <c r="M1523" s="137"/>
      <c r="N1523" s="137"/>
      <c r="O1523" s="137"/>
      <c r="P1523" s="137"/>
      <c r="Q1523" s="137"/>
    </row>
    <row r="1524" spans="1:17" ht="15" customHeight="1" x14ac:dyDescent="0.35">
      <c r="A1524" s="129"/>
      <c r="B1524" s="137"/>
      <c r="C1524" s="137"/>
      <c r="D1524" s="137"/>
      <c r="E1524" s="137"/>
      <c r="F1524" s="137"/>
      <c r="G1524" s="137"/>
      <c r="H1524" s="137"/>
      <c r="I1524" s="137"/>
      <c r="J1524" s="138"/>
      <c r="K1524" s="137"/>
      <c r="L1524" s="137"/>
      <c r="M1524" s="137"/>
      <c r="N1524" s="137"/>
      <c r="O1524" s="137"/>
      <c r="P1524" s="137"/>
      <c r="Q1524" s="137"/>
    </row>
    <row r="1525" spans="1:17" ht="15" customHeight="1" x14ac:dyDescent="0.35">
      <c r="A1525" s="129"/>
      <c r="B1525" s="137"/>
      <c r="C1525" s="137"/>
      <c r="D1525" s="137"/>
      <c r="E1525" s="137"/>
      <c r="F1525" s="137"/>
      <c r="G1525" s="137"/>
      <c r="H1525" s="137"/>
      <c r="I1525" s="137"/>
      <c r="J1525" s="138"/>
      <c r="K1525" s="137"/>
      <c r="L1525" s="137"/>
      <c r="M1525" s="137"/>
      <c r="N1525" s="137"/>
      <c r="O1525" s="137"/>
      <c r="P1525" s="137"/>
      <c r="Q1525" s="137"/>
    </row>
    <row r="1526" spans="1:17" ht="15" customHeight="1" x14ac:dyDescent="0.35">
      <c r="A1526" s="129"/>
      <c r="B1526" s="137"/>
      <c r="C1526" s="137"/>
      <c r="D1526" s="137"/>
      <c r="E1526" s="137"/>
      <c r="F1526" s="137"/>
      <c r="G1526" s="137"/>
      <c r="H1526" s="137"/>
      <c r="I1526" s="137"/>
      <c r="J1526" s="138"/>
      <c r="K1526" s="137"/>
      <c r="L1526" s="137"/>
      <c r="M1526" s="137"/>
      <c r="N1526" s="137"/>
      <c r="O1526" s="137"/>
      <c r="P1526" s="137"/>
      <c r="Q1526" s="137"/>
    </row>
    <row r="1527" spans="1:17" ht="15" customHeight="1" x14ac:dyDescent="0.35">
      <c r="A1527" s="129"/>
      <c r="B1527" s="137"/>
      <c r="C1527" s="137"/>
      <c r="D1527" s="137"/>
      <c r="E1527" s="137"/>
      <c r="F1527" s="137"/>
      <c r="G1527" s="137"/>
      <c r="H1527" s="137"/>
      <c r="I1527" s="137"/>
      <c r="J1527" s="138"/>
      <c r="K1527" s="137"/>
      <c r="L1527" s="137"/>
      <c r="M1527" s="137"/>
      <c r="N1527" s="137"/>
      <c r="O1527" s="137"/>
      <c r="P1527" s="137"/>
      <c r="Q1527" s="137"/>
    </row>
    <row r="1528" spans="1:17" ht="15" customHeight="1" x14ac:dyDescent="0.35">
      <c r="A1528" s="129"/>
      <c r="B1528" s="137"/>
      <c r="C1528" s="137"/>
      <c r="D1528" s="137"/>
      <c r="E1528" s="137"/>
      <c r="F1528" s="137"/>
      <c r="G1528" s="137"/>
      <c r="H1528" s="137"/>
      <c r="I1528" s="137"/>
      <c r="J1528" s="138"/>
      <c r="K1528" s="137"/>
      <c r="L1528" s="137"/>
      <c r="M1528" s="137"/>
      <c r="N1528" s="137"/>
      <c r="O1528" s="137"/>
      <c r="P1528" s="137"/>
      <c r="Q1528" s="137"/>
    </row>
    <row r="1529" spans="1:17" ht="15" customHeight="1" x14ac:dyDescent="0.35">
      <c r="A1529" s="129"/>
      <c r="B1529" s="137"/>
      <c r="C1529" s="137"/>
      <c r="D1529" s="137"/>
      <c r="E1529" s="137"/>
      <c r="F1529" s="137"/>
      <c r="G1529" s="137"/>
      <c r="H1529" s="137"/>
      <c r="I1529" s="137"/>
      <c r="J1529" s="138"/>
      <c r="K1529" s="137"/>
      <c r="L1529" s="137"/>
      <c r="M1529" s="137"/>
      <c r="N1529" s="137"/>
      <c r="O1529" s="137"/>
      <c r="P1529" s="137"/>
      <c r="Q1529" s="137"/>
    </row>
    <row r="1530" spans="1:17" ht="15" customHeight="1" x14ac:dyDescent="0.35">
      <c r="A1530" s="129"/>
      <c r="B1530" s="137"/>
      <c r="C1530" s="137"/>
      <c r="D1530" s="137"/>
      <c r="E1530" s="137"/>
      <c r="F1530" s="137"/>
      <c r="G1530" s="137"/>
      <c r="H1530" s="137"/>
      <c r="I1530" s="137"/>
      <c r="J1530" s="138"/>
      <c r="K1530" s="137"/>
      <c r="L1530" s="137"/>
      <c r="M1530" s="137"/>
      <c r="N1530" s="137"/>
      <c r="O1530" s="137"/>
      <c r="P1530" s="137"/>
      <c r="Q1530" s="137"/>
    </row>
    <row r="1531" spans="1:17" ht="15" customHeight="1" x14ac:dyDescent="0.35">
      <c r="A1531" s="129"/>
      <c r="B1531" s="137"/>
      <c r="C1531" s="137"/>
      <c r="D1531" s="137"/>
      <c r="E1531" s="137"/>
      <c r="F1531" s="137"/>
      <c r="G1531" s="137"/>
      <c r="H1531" s="137"/>
      <c r="I1531" s="137"/>
      <c r="J1531" s="138"/>
      <c r="K1531" s="137"/>
      <c r="L1531" s="137"/>
      <c r="M1531" s="137"/>
      <c r="N1531" s="137"/>
      <c r="O1531" s="137"/>
      <c r="P1531" s="137"/>
      <c r="Q1531" s="137"/>
    </row>
    <row r="1532" spans="1:17" ht="15" customHeight="1" x14ac:dyDescent="0.35">
      <c r="A1532" s="129"/>
      <c r="B1532" s="137"/>
      <c r="C1532" s="137"/>
      <c r="D1532" s="137"/>
      <c r="E1532" s="137"/>
      <c r="F1532" s="137"/>
      <c r="G1532" s="137"/>
      <c r="H1532" s="137"/>
      <c r="I1532" s="137"/>
      <c r="J1532" s="138"/>
      <c r="K1532" s="137"/>
      <c r="L1532" s="137"/>
      <c r="M1532" s="137"/>
      <c r="N1532" s="137"/>
      <c r="O1532" s="137"/>
      <c r="P1532" s="137"/>
      <c r="Q1532" s="137"/>
    </row>
    <row r="1533" spans="1:17" ht="15" customHeight="1" x14ac:dyDescent="0.35">
      <c r="A1533" s="129"/>
      <c r="B1533" s="137"/>
      <c r="C1533" s="137"/>
      <c r="D1533" s="137"/>
      <c r="E1533" s="137"/>
      <c r="F1533" s="137"/>
      <c r="G1533" s="137"/>
      <c r="H1533" s="137"/>
      <c r="I1533" s="137"/>
      <c r="J1533" s="138"/>
      <c r="K1533" s="137"/>
      <c r="L1533" s="137"/>
      <c r="M1533" s="137"/>
      <c r="N1533" s="137"/>
      <c r="O1533" s="137"/>
      <c r="P1533" s="137"/>
      <c r="Q1533" s="137"/>
    </row>
    <row r="1534" spans="1:17" ht="15" customHeight="1" x14ac:dyDescent="0.35">
      <c r="A1534" s="129"/>
      <c r="B1534" s="137"/>
      <c r="C1534" s="137"/>
      <c r="D1534" s="137"/>
      <c r="E1534" s="137"/>
      <c r="F1534" s="137"/>
      <c r="G1534" s="137"/>
      <c r="H1534" s="137"/>
      <c r="I1534" s="137"/>
      <c r="J1534" s="138"/>
      <c r="K1534" s="137"/>
      <c r="L1534" s="137"/>
      <c r="M1534" s="137"/>
      <c r="N1534" s="137"/>
      <c r="O1534" s="137"/>
      <c r="P1534" s="137"/>
      <c r="Q1534" s="137"/>
    </row>
    <row r="1535" spans="1:17" ht="15" customHeight="1" x14ac:dyDescent="0.35">
      <c r="A1535" s="129"/>
      <c r="B1535" s="137"/>
      <c r="C1535" s="137"/>
      <c r="D1535" s="137"/>
      <c r="E1535" s="137"/>
      <c r="F1535" s="137"/>
      <c r="G1535" s="137"/>
      <c r="H1535" s="137"/>
      <c r="I1535" s="137"/>
      <c r="J1535" s="138"/>
      <c r="K1535" s="137"/>
      <c r="L1535" s="137"/>
      <c r="M1535" s="137"/>
      <c r="N1535" s="137"/>
      <c r="O1535" s="137"/>
      <c r="P1535" s="137"/>
      <c r="Q1535" s="137"/>
    </row>
    <row r="1536" spans="1:17" ht="15" customHeight="1" x14ac:dyDescent="0.35">
      <c r="A1536" s="129"/>
      <c r="B1536" s="137"/>
      <c r="C1536" s="137"/>
      <c r="D1536" s="137"/>
      <c r="E1536" s="137"/>
      <c r="F1536" s="137"/>
      <c r="G1536" s="137"/>
      <c r="H1536" s="137"/>
      <c r="I1536" s="137"/>
      <c r="J1536" s="138"/>
      <c r="K1536" s="137"/>
      <c r="L1536" s="137"/>
      <c r="M1536" s="137"/>
      <c r="N1536" s="137"/>
      <c r="O1536" s="137"/>
      <c r="P1536" s="137"/>
      <c r="Q1536" s="137"/>
    </row>
    <row r="1537" spans="1:17" ht="15" customHeight="1" x14ac:dyDescent="0.35">
      <c r="A1537" s="129"/>
      <c r="B1537" s="137"/>
      <c r="C1537" s="137"/>
      <c r="D1537" s="137"/>
      <c r="E1537" s="137"/>
      <c r="F1537" s="137"/>
      <c r="G1537" s="137"/>
      <c r="H1537" s="137"/>
      <c r="I1537" s="137"/>
      <c r="J1537" s="138"/>
      <c r="K1537" s="137"/>
      <c r="L1537" s="137"/>
      <c r="M1537" s="137"/>
      <c r="N1537" s="137"/>
      <c r="O1537" s="137"/>
      <c r="P1537" s="137"/>
      <c r="Q1537" s="137"/>
    </row>
    <row r="1538" spans="1:17" ht="15" customHeight="1" x14ac:dyDescent="0.35">
      <c r="A1538" s="129"/>
      <c r="B1538" s="137"/>
      <c r="C1538" s="137"/>
      <c r="D1538" s="137"/>
      <c r="E1538" s="137"/>
      <c r="F1538" s="137"/>
      <c r="G1538" s="137"/>
      <c r="H1538" s="137"/>
      <c r="I1538" s="137"/>
      <c r="J1538" s="138"/>
      <c r="K1538" s="137"/>
      <c r="L1538" s="137"/>
      <c r="M1538" s="137"/>
      <c r="N1538" s="137"/>
      <c r="O1538" s="137"/>
      <c r="P1538" s="137"/>
      <c r="Q1538" s="137"/>
    </row>
    <row r="1539" spans="1:17" ht="15" customHeight="1" x14ac:dyDescent="0.35">
      <c r="A1539" s="129"/>
      <c r="B1539" s="137"/>
      <c r="C1539" s="137"/>
      <c r="D1539" s="137"/>
      <c r="E1539" s="137"/>
      <c r="F1539" s="137"/>
      <c r="G1539" s="137"/>
      <c r="H1539" s="137"/>
      <c r="I1539" s="137"/>
      <c r="J1539" s="138"/>
      <c r="K1539" s="137"/>
      <c r="L1539" s="137"/>
      <c r="M1539" s="137"/>
      <c r="N1539" s="137"/>
      <c r="O1539" s="137"/>
      <c r="P1539" s="137"/>
      <c r="Q1539" s="137"/>
    </row>
    <row r="1540" spans="1:17" ht="15" customHeight="1" x14ac:dyDescent="0.35">
      <c r="A1540" s="129"/>
      <c r="B1540" s="137"/>
      <c r="C1540" s="137"/>
      <c r="D1540" s="137"/>
      <c r="E1540" s="137"/>
      <c r="F1540" s="137"/>
      <c r="G1540" s="137"/>
      <c r="H1540" s="137"/>
      <c r="I1540" s="137"/>
      <c r="J1540" s="138"/>
      <c r="K1540" s="137"/>
      <c r="L1540" s="137"/>
      <c r="M1540" s="137"/>
      <c r="N1540" s="137"/>
      <c r="O1540" s="137"/>
      <c r="P1540" s="137"/>
      <c r="Q1540" s="137"/>
    </row>
    <row r="1541" spans="1:17" ht="15" customHeight="1" x14ac:dyDescent="0.35">
      <c r="A1541" s="129"/>
      <c r="B1541" s="137"/>
      <c r="C1541" s="137"/>
      <c r="D1541" s="137"/>
      <c r="E1541" s="137"/>
      <c r="F1541" s="137"/>
      <c r="G1541" s="137"/>
      <c r="H1541" s="137"/>
      <c r="I1541" s="137"/>
      <c r="J1541" s="138"/>
      <c r="K1541" s="137"/>
      <c r="L1541" s="137"/>
      <c r="M1541" s="137"/>
      <c r="N1541" s="137"/>
      <c r="O1541" s="137"/>
      <c r="P1541" s="137"/>
      <c r="Q1541" s="137"/>
    </row>
    <row r="1542" spans="1:17" ht="15" customHeight="1" x14ac:dyDescent="0.35">
      <c r="A1542" s="129"/>
      <c r="B1542" s="137"/>
      <c r="C1542" s="137"/>
      <c r="D1542" s="137"/>
      <c r="E1542" s="137"/>
      <c r="F1542" s="137"/>
      <c r="G1542" s="137"/>
      <c r="H1542" s="137"/>
      <c r="I1542" s="137"/>
      <c r="J1542" s="138"/>
      <c r="K1542" s="137"/>
      <c r="L1542" s="137"/>
      <c r="M1542" s="137"/>
      <c r="N1542" s="137"/>
      <c r="O1542" s="137"/>
      <c r="P1542" s="137"/>
      <c r="Q1542" s="137"/>
    </row>
    <row r="1543" spans="1:17" ht="15" customHeight="1" x14ac:dyDescent="0.35">
      <c r="A1543" s="129"/>
      <c r="B1543" s="137"/>
      <c r="C1543" s="137"/>
      <c r="D1543" s="137"/>
      <c r="E1543" s="137"/>
      <c r="F1543" s="137"/>
      <c r="G1543" s="137"/>
      <c r="H1543" s="137"/>
      <c r="I1543" s="137"/>
      <c r="J1543" s="138"/>
      <c r="K1543" s="137"/>
      <c r="L1543" s="137"/>
      <c r="M1543" s="137"/>
      <c r="N1543" s="137"/>
      <c r="O1543" s="137"/>
      <c r="P1543" s="137"/>
      <c r="Q1543" s="137"/>
    </row>
    <row r="1544" spans="1:17" ht="15" customHeight="1" x14ac:dyDescent="0.35">
      <c r="A1544" s="129"/>
      <c r="B1544" s="137"/>
      <c r="C1544" s="137"/>
      <c r="D1544" s="137"/>
      <c r="E1544" s="137"/>
      <c r="F1544" s="137"/>
      <c r="G1544" s="137"/>
      <c r="H1544" s="137"/>
      <c r="I1544" s="137"/>
      <c r="J1544" s="138"/>
      <c r="K1544" s="137"/>
      <c r="L1544" s="137"/>
      <c r="M1544" s="137"/>
      <c r="N1544" s="137"/>
      <c r="O1544" s="137"/>
      <c r="P1544" s="137"/>
      <c r="Q1544" s="137"/>
    </row>
    <row r="1545" spans="1:17" ht="15" customHeight="1" x14ac:dyDescent="0.35">
      <c r="A1545" s="129"/>
      <c r="B1545" s="137"/>
      <c r="C1545" s="137"/>
      <c r="D1545" s="137"/>
      <c r="E1545" s="137"/>
      <c r="F1545" s="137"/>
      <c r="G1545" s="137"/>
      <c r="H1545" s="137"/>
      <c r="I1545" s="137"/>
      <c r="J1545" s="138"/>
      <c r="K1545" s="137"/>
      <c r="L1545" s="137"/>
      <c r="M1545" s="137"/>
      <c r="N1545" s="137"/>
      <c r="O1545" s="137"/>
      <c r="P1545" s="137"/>
      <c r="Q1545" s="137"/>
    </row>
    <row r="1546" spans="1:17" ht="15" customHeight="1" x14ac:dyDescent="0.35">
      <c r="A1546" s="129"/>
      <c r="B1546" s="137"/>
      <c r="C1546" s="137"/>
      <c r="D1546" s="137"/>
      <c r="E1546" s="137"/>
      <c r="F1546" s="137"/>
      <c r="G1546" s="137"/>
      <c r="H1546" s="137"/>
      <c r="I1546" s="137"/>
      <c r="J1546" s="138"/>
      <c r="K1546" s="137"/>
      <c r="L1546" s="137"/>
      <c r="M1546" s="137"/>
      <c r="N1546" s="137"/>
      <c r="O1546" s="137"/>
      <c r="P1546" s="137"/>
      <c r="Q1546" s="137"/>
    </row>
    <row r="1547" spans="1:17" ht="15" customHeight="1" x14ac:dyDescent="0.35">
      <c r="A1547" s="129"/>
      <c r="B1547" s="137"/>
      <c r="C1547" s="137"/>
      <c r="D1547" s="137"/>
      <c r="E1547" s="137"/>
      <c r="F1547" s="137"/>
      <c r="G1547" s="137"/>
      <c r="H1547" s="137"/>
      <c r="I1547" s="137"/>
      <c r="J1547" s="138"/>
      <c r="K1547" s="137"/>
      <c r="L1547" s="137"/>
      <c r="M1547" s="137"/>
      <c r="N1547" s="137"/>
      <c r="O1547" s="137"/>
      <c r="P1547" s="137"/>
      <c r="Q1547" s="137"/>
    </row>
    <row r="1548" spans="1:17" ht="15" customHeight="1" x14ac:dyDescent="0.35">
      <c r="A1548" s="129"/>
      <c r="B1548" s="137"/>
      <c r="C1548" s="137"/>
      <c r="D1548" s="137"/>
      <c r="E1548" s="137"/>
      <c r="F1548" s="137"/>
      <c r="G1548" s="137"/>
      <c r="H1548" s="137"/>
      <c r="I1548" s="137"/>
      <c r="J1548" s="138"/>
      <c r="K1548" s="137"/>
      <c r="L1548" s="137"/>
      <c r="M1548" s="137"/>
      <c r="N1548" s="137"/>
      <c r="O1548" s="137"/>
      <c r="P1548" s="137"/>
      <c r="Q1548" s="137"/>
    </row>
    <row r="1549" spans="1:17" ht="15" customHeight="1" x14ac:dyDescent="0.35">
      <c r="A1549" s="129"/>
      <c r="B1549" s="137"/>
      <c r="C1549" s="137"/>
      <c r="D1549" s="137"/>
      <c r="E1549" s="137"/>
      <c r="F1549" s="137"/>
      <c r="G1549" s="137"/>
      <c r="H1549" s="137"/>
      <c r="I1549" s="137"/>
      <c r="J1549" s="138"/>
      <c r="K1549" s="137"/>
      <c r="L1549" s="137"/>
      <c r="M1549" s="137"/>
      <c r="N1549" s="137"/>
      <c r="O1549" s="137"/>
      <c r="P1549" s="137"/>
      <c r="Q1549" s="137"/>
    </row>
    <row r="1550" spans="1:17" ht="15" customHeight="1" x14ac:dyDescent="0.35">
      <c r="A1550" s="129"/>
      <c r="B1550" s="137"/>
      <c r="C1550" s="137"/>
      <c r="D1550" s="137"/>
      <c r="E1550" s="137"/>
      <c r="F1550" s="137"/>
      <c r="G1550" s="137"/>
      <c r="H1550" s="137"/>
      <c r="I1550" s="137"/>
      <c r="J1550" s="138"/>
      <c r="K1550" s="137"/>
      <c r="L1550" s="137"/>
      <c r="M1550" s="137"/>
      <c r="N1550" s="137"/>
      <c r="O1550" s="137"/>
      <c r="P1550" s="137"/>
      <c r="Q1550" s="137"/>
    </row>
    <row r="1551" spans="1:17" ht="15" customHeight="1" x14ac:dyDescent="0.35">
      <c r="A1551" s="129"/>
      <c r="B1551" s="137"/>
      <c r="C1551" s="137"/>
      <c r="D1551" s="137"/>
      <c r="E1551" s="137"/>
      <c r="F1551" s="137"/>
      <c r="G1551" s="137"/>
      <c r="H1551" s="137"/>
      <c r="I1551" s="137"/>
      <c r="J1551" s="138"/>
      <c r="K1551" s="137"/>
      <c r="L1551" s="137"/>
      <c r="M1551" s="137"/>
      <c r="N1551" s="137"/>
      <c r="O1551" s="137"/>
      <c r="P1551" s="137"/>
      <c r="Q1551" s="137"/>
    </row>
    <row r="1552" spans="1:17" ht="15" customHeight="1" x14ac:dyDescent="0.35">
      <c r="A1552" s="129"/>
      <c r="B1552" s="137"/>
      <c r="C1552" s="137"/>
      <c r="D1552" s="137"/>
      <c r="E1552" s="137"/>
      <c r="F1552" s="137"/>
      <c r="G1552" s="137"/>
      <c r="H1552" s="137"/>
      <c r="I1552" s="137"/>
      <c r="J1552" s="138"/>
      <c r="K1552" s="137"/>
      <c r="L1552" s="137"/>
      <c r="M1552" s="137"/>
      <c r="N1552" s="137"/>
      <c r="O1552" s="137"/>
      <c r="P1552" s="137"/>
      <c r="Q1552" s="137"/>
    </row>
    <row r="1553" spans="1:17" ht="15" customHeight="1" x14ac:dyDescent="0.35">
      <c r="A1553" s="129"/>
      <c r="B1553" s="137"/>
      <c r="C1553" s="137"/>
      <c r="D1553" s="137"/>
      <c r="E1553" s="137"/>
      <c r="F1553" s="137"/>
      <c r="G1553" s="137"/>
      <c r="H1553" s="137"/>
      <c r="I1553" s="137"/>
      <c r="J1553" s="138"/>
      <c r="K1553" s="137"/>
      <c r="L1553" s="137"/>
      <c r="M1553" s="137"/>
      <c r="N1553" s="137"/>
      <c r="O1553" s="137"/>
      <c r="P1553" s="137"/>
      <c r="Q1553" s="137"/>
    </row>
    <row r="1554" spans="1:17" ht="15" customHeight="1" x14ac:dyDescent="0.35">
      <c r="A1554" s="129"/>
      <c r="B1554" s="137"/>
      <c r="C1554" s="137"/>
      <c r="D1554" s="137"/>
      <c r="E1554" s="137"/>
      <c r="F1554" s="137"/>
      <c r="G1554" s="137"/>
      <c r="H1554" s="137"/>
      <c r="I1554" s="137"/>
      <c r="J1554" s="138"/>
      <c r="K1554" s="137"/>
      <c r="L1554" s="137"/>
      <c r="M1554" s="137"/>
      <c r="N1554" s="137"/>
      <c r="O1554" s="137"/>
      <c r="P1554" s="137"/>
      <c r="Q1554" s="137"/>
    </row>
    <row r="1555" spans="1:17" ht="15" customHeight="1" x14ac:dyDescent="0.35">
      <c r="A1555" s="129"/>
      <c r="B1555" s="137"/>
      <c r="C1555" s="137"/>
      <c r="D1555" s="137"/>
      <c r="E1555" s="137"/>
      <c r="F1555" s="137"/>
      <c r="G1555" s="137"/>
      <c r="H1555" s="137"/>
      <c r="I1555" s="137"/>
      <c r="J1555" s="138"/>
      <c r="K1555" s="137"/>
      <c r="L1555" s="137"/>
      <c r="M1555" s="137"/>
      <c r="N1555" s="137"/>
      <c r="O1555" s="137"/>
      <c r="P1555" s="137"/>
      <c r="Q1555" s="137"/>
    </row>
    <row r="1556" spans="1:17" ht="15" customHeight="1" x14ac:dyDescent="0.35">
      <c r="A1556" s="129"/>
      <c r="B1556" s="137"/>
      <c r="C1556" s="137"/>
      <c r="D1556" s="137"/>
      <c r="E1556" s="137"/>
      <c r="F1556" s="137"/>
      <c r="G1556" s="137"/>
      <c r="H1556" s="137"/>
      <c r="I1556" s="137"/>
      <c r="J1556" s="138"/>
      <c r="K1556" s="137"/>
      <c r="L1556" s="137"/>
      <c r="M1556" s="137"/>
      <c r="N1556" s="137"/>
      <c r="O1556" s="137"/>
      <c r="P1556" s="137"/>
      <c r="Q1556" s="137"/>
    </row>
    <row r="1557" spans="1:17" ht="15" customHeight="1" x14ac:dyDescent="0.35">
      <c r="A1557" s="129"/>
      <c r="B1557" s="137"/>
      <c r="C1557" s="137"/>
      <c r="D1557" s="137"/>
      <c r="E1557" s="137"/>
      <c r="F1557" s="137"/>
      <c r="G1557" s="137"/>
      <c r="H1557" s="137"/>
      <c r="I1557" s="137"/>
      <c r="J1557" s="138"/>
      <c r="K1557" s="137"/>
      <c r="L1557" s="137"/>
      <c r="M1557" s="137"/>
      <c r="N1557" s="137"/>
      <c r="O1557" s="137"/>
      <c r="P1557" s="137"/>
      <c r="Q1557" s="137"/>
    </row>
    <row r="1558" spans="1:17" ht="15" customHeight="1" x14ac:dyDescent="0.35">
      <c r="A1558" s="129"/>
      <c r="B1558" s="137"/>
      <c r="C1558" s="137"/>
      <c r="D1558" s="137"/>
      <c r="E1558" s="137"/>
      <c r="F1558" s="137"/>
      <c r="G1558" s="137"/>
      <c r="H1558" s="137"/>
      <c r="I1558" s="137"/>
      <c r="J1558" s="138"/>
      <c r="K1558" s="137"/>
      <c r="L1558" s="137"/>
      <c r="M1558" s="137"/>
      <c r="N1558" s="137"/>
      <c r="O1558" s="137"/>
      <c r="P1558" s="137"/>
      <c r="Q1558" s="137"/>
    </row>
    <row r="1559" spans="1:17" ht="15" customHeight="1" x14ac:dyDescent="0.35">
      <c r="A1559" s="129"/>
      <c r="B1559" s="137"/>
      <c r="C1559" s="137"/>
      <c r="D1559" s="137"/>
      <c r="E1559" s="137"/>
      <c r="F1559" s="137"/>
      <c r="G1559" s="137"/>
      <c r="H1559" s="137"/>
      <c r="I1559" s="137"/>
      <c r="J1559" s="138"/>
      <c r="K1559" s="137"/>
      <c r="L1559" s="137"/>
      <c r="M1559" s="137"/>
      <c r="N1559" s="137"/>
      <c r="O1559" s="137"/>
      <c r="P1559" s="137"/>
      <c r="Q1559" s="137"/>
    </row>
    <row r="1560" spans="1:17" ht="15" customHeight="1" x14ac:dyDescent="0.35">
      <c r="A1560" s="129"/>
      <c r="B1560" s="137"/>
      <c r="C1560" s="137"/>
      <c r="D1560" s="137"/>
      <c r="E1560" s="137"/>
      <c r="F1560" s="137"/>
      <c r="G1560" s="137"/>
      <c r="H1560" s="137"/>
      <c r="I1560" s="137"/>
      <c r="J1560" s="138"/>
      <c r="K1560" s="137"/>
      <c r="L1560" s="137"/>
      <c r="M1560" s="137"/>
      <c r="N1560" s="137"/>
      <c r="O1560" s="137"/>
      <c r="P1560" s="137"/>
      <c r="Q1560" s="137"/>
    </row>
    <row r="1561" spans="1:17" ht="15" customHeight="1" x14ac:dyDescent="0.35">
      <c r="A1561" s="129"/>
      <c r="B1561" s="137"/>
      <c r="C1561" s="137"/>
      <c r="D1561" s="137"/>
      <c r="E1561" s="137"/>
      <c r="F1561" s="137"/>
      <c r="G1561" s="137"/>
      <c r="H1561" s="137"/>
      <c r="I1561" s="137"/>
      <c r="J1561" s="138"/>
      <c r="K1561" s="137"/>
      <c r="L1561" s="137"/>
      <c r="M1561" s="137"/>
      <c r="N1561" s="137"/>
      <c r="O1561" s="137"/>
      <c r="P1561" s="137"/>
      <c r="Q1561" s="137"/>
    </row>
    <row r="1562" spans="1:17" ht="15" customHeight="1" x14ac:dyDescent="0.35">
      <c r="A1562" s="129"/>
      <c r="B1562" s="137"/>
      <c r="C1562" s="137"/>
      <c r="D1562" s="137"/>
      <c r="E1562" s="137"/>
      <c r="F1562" s="137"/>
      <c r="G1562" s="137"/>
      <c r="H1562" s="137"/>
      <c r="I1562" s="137"/>
      <c r="J1562" s="138"/>
      <c r="K1562" s="137"/>
      <c r="L1562" s="137"/>
      <c r="M1562" s="137"/>
      <c r="N1562" s="137"/>
      <c r="O1562" s="137"/>
      <c r="P1562" s="137"/>
      <c r="Q1562" s="137"/>
    </row>
    <row r="1563" spans="1:17" ht="15" customHeight="1" x14ac:dyDescent="0.35">
      <c r="A1563" s="129"/>
      <c r="B1563" s="137"/>
      <c r="C1563" s="137"/>
      <c r="D1563" s="137"/>
      <c r="E1563" s="137"/>
      <c r="F1563" s="137"/>
      <c r="G1563" s="137"/>
      <c r="H1563" s="137"/>
      <c r="I1563" s="137"/>
      <c r="J1563" s="138"/>
      <c r="K1563" s="137"/>
      <c r="L1563" s="137"/>
      <c r="M1563" s="137"/>
      <c r="N1563" s="137"/>
      <c r="O1563" s="137"/>
      <c r="P1563" s="137"/>
      <c r="Q1563" s="137"/>
    </row>
    <row r="1564" spans="1:17" ht="15" customHeight="1" x14ac:dyDescent="0.35">
      <c r="A1564" s="129"/>
      <c r="B1564" s="137"/>
      <c r="C1564" s="137"/>
      <c r="D1564" s="137"/>
      <c r="E1564" s="137"/>
      <c r="F1564" s="137"/>
      <c r="G1564" s="137"/>
      <c r="H1564" s="137"/>
      <c r="I1564" s="137"/>
      <c r="J1564" s="138"/>
      <c r="K1564" s="137"/>
      <c r="L1564" s="137"/>
      <c r="M1564" s="137"/>
      <c r="N1564" s="137"/>
      <c r="O1564" s="137"/>
      <c r="P1564" s="137"/>
      <c r="Q1564" s="137"/>
    </row>
    <row r="1565" spans="1:17" ht="15" customHeight="1" x14ac:dyDescent="0.35">
      <c r="A1565" s="129"/>
      <c r="B1565" s="137"/>
      <c r="C1565" s="137"/>
      <c r="D1565" s="137"/>
      <c r="E1565" s="137"/>
      <c r="F1565" s="137"/>
      <c r="G1565" s="137"/>
      <c r="H1565" s="137"/>
      <c r="I1565" s="137"/>
      <c r="J1565" s="138"/>
      <c r="K1565" s="137"/>
      <c r="L1565" s="137"/>
      <c r="M1565" s="137"/>
      <c r="N1565" s="137"/>
      <c r="O1565" s="137"/>
      <c r="P1565" s="137"/>
      <c r="Q1565" s="137"/>
    </row>
    <row r="1566" spans="1:17" ht="15" customHeight="1" x14ac:dyDescent="0.35">
      <c r="A1566" s="129"/>
      <c r="B1566" s="137"/>
      <c r="C1566" s="137"/>
      <c r="D1566" s="137"/>
      <c r="E1566" s="137"/>
      <c r="F1566" s="137"/>
      <c r="G1566" s="137"/>
      <c r="H1566" s="137"/>
      <c r="I1566" s="137"/>
      <c r="J1566" s="138"/>
      <c r="K1566" s="137"/>
      <c r="L1566" s="137"/>
      <c r="M1566" s="137"/>
      <c r="N1566" s="137"/>
      <c r="O1566" s="137"/>
      <c r="P1566" s="137"/>
      <c r="Q1566" s="137"/>
    </row>
    <row r="1567" spans="1:17" ht="15" customHeight="1" x14ac:dyDescent="0.35">
      <c r="A1567" s="129"/>
      <c r="B1567" s="137"/>
      <c r="C1567" s="137"/>
      <c r="D1567" s="137"/>
      <c r="E1567" s="137"/>
      <c r="F1567" s="137"/>
      <c r="G1567" s="137"/>
      <c r="H1567" s="137"/>
      <c r="I1567" s="137"/>
      <c r="J1567" s="138"/>
      <c r="K1567" s="137"/>
      <c r="L1567" s="137"/>
      <c r="M1567" s="137"/>
      <c r="N1567" s="137"/>
      <c r="O1567" s="137"/>
      <c r="P1567" s="137"/>
      <c r="Q1567" s="137"/>
    </row>
    <row r="1568" spans="1:17" ht="15" customHeight="1" x14ac:dyDescent="0.35">
      <c r="A1568" s="129"/>
      <c r="B1568" s="137"/>
      <c r="C1568" s="137"/>
      <c r="D1568" s="137"/>
      <c r="E1568" s="137"/>
      <c r="F1568" s="137"/>
      <c r="G1568" s="137"/>
      <c r="H1568" s="137"/>
      <c r="I1568" s="137"/>
      <c r="J1568" s="138"/>
      <c r="K1568" s="137"/>
      <c r="L1568" s="137"/>
      <c r="M1568" s="137"/>
      <c r="N1568" s="137"/>
      <c r="O1568" s="137"/>
      <c r="P1568" s="137"/>
      <c r="Q1568" s="137"/>
    </row>
    <row r="1569" spans="1:17" ht="15" customHeight="1" x14ac:dyDescent="0.35">
      <c r="A1569" s="129"/>
      <c r="B1569" s="137"/>
      <c r="C1569" s="137"/>
      <c r="D1569" s="137"/>
      <c r="E1569" s="137"/>
      <c r="F1569" s="137"/>
      <c r="G1569" s="137"/>
      <c r="H1569" s="137"/>
      <c r="I1569" s="137"/>
      <c r="J1569" s="138"/>
      <c r="K1569" s="137"/>
      <c r="L1569" s="137"/>
      <c r="M1569" s="137"/>
      <c r="N1569" s="137"/>
      <c r="O1569" s="137"/>
      <c r="P1569" s="137"/>
      <c r="Q1569" s="137"/>
    </row>
    <row r="1570" spans="1:17" ht="15" customHeight="1" x14ac:dyDescent="0.35">
      <c r="A1570" s="129"/>
      <c r="B1570" s="137"/>
      <c r="C1570" s="137"/>
      <c r="D1570" s="137"/>
      <c r="E1570" s="137"/>
      <c r="F1570" s="137"/>
      <c r="G1570" s="137"/>
      <c r="H1570" s="137"/>
      <c r="I1570" s="137"/>
      <c r="J1570" s="138"/>
      <c r="K1570" s="137"/>
      <c r="L1570" s="137"/>
      <c r="M1570" s="137"/>
      <c r="N1570" s="137"/>
      <c r="O1570" s="137"/>
      <c r="P1570" s="137"/>
      <c r="Q1570" s="137"/>
    </row>
    <row r="1571" spans="1:17" ht="15" customHeight="1" x14ac:dyDescent="0.35">
      <c r="A1571" s="129"/>
      <c r="B1571" s="137"/>
      <c r="C1571" s="137"/>
      <c r="D1571" s="137"/>
      <c r="E1571" s="137"/>
      <c r="F1571" s="137"/>
      <c r="G1571" s="137"/>
      <c r="H1571" s="137"/>
      <c r="I1571" s="137"/>
      <c r="J1571" s="138"/>
      <c r="K1571" s="137"/>
      <c r="L1571" s="137"/>
      <c r="M1571" s="137"/>
      <c r="N1571" s="137"/>
      <c r="O1571" s="137"/>
      <c r="P1571" s="137"/>
      <c r="Q1571" s="137"/>
    </row>
    <row r="1572" spans="1:17" ht="15" customHeight="1" x14ac:dyDescent="0.35">
      <c r="A1572" s="129"/>
      <c r="B1572" s="137"/>
      <c r="C1572" s="137"/>
      <c r="D1572" s="137"/>
      <c r="E1572" s="137"/>
      <c r="F1572" s="137"/>
      <c r="G1572" s="137"/>
      <c r="H1572" s="137"/>
      <c r="I1572" s="137"/>
      <c r="J1572" s="138"/>
      <c r="K1572" s="137"/>
      <c r="L1572" s="137"/>
      <c r="M1572" s="137"/>
      <c r="N1572" s="137"/>
      <c r="O1572" s="137"/>
      <c r="P1572" s="137"/>
      <c r="Q1572" s="137"/>
    </row>
    <row r="1573" spans="1:17" ht="15" customHeight="1" x14ac:dyDescent="0.35">
      <c r="A1573" s="129"/>
      <c r="B1573" s="137"/>
      <c r="C1573" s="137"/>
      <c r="D1573" s="137"/>
      <c r="E1573" s="137"/>
      <c r="F1573" s="137"/>
      <c r="G1573" s="137"/>
      <c r="H1573" s="137"/>
      <c r="I1573" s="137"/>
      <c r="J1573" s="138"/>
      <c r="K1573" s="137"/>
      <c r="L1573" s="137"/>
      <c r="M1573" s="137"/>
      <c r="N1573" s="137"/>
      <c r="O1573" s="137"/>
      <c r="P1573" s="137"/>
      <c r="Q1573" s="137"/>
    </row>
    <row r="1574" spans="1:17" ht="15" customHeight="1" x14ac:dyDescent="0.35">
      <c r="A1574" s="129"/>
      <c r="B1574" s="137"/>
      <c r="C1574" s="137"/>
      <c r="D1574" s="137"/>
      <c r="E1574" s="137"/>
      <c r="F1574" s="137"/>
      <c r="G1574" s="137"/>
      <c r="H1574" s="137"/>
      <c r="I1574" s="137"/>
      <c r="J1574" s="138"/>
      <c r="K1574" s="137"/>
      <c r="L1574" s="137"/>
      <c r="M1574" s="137"/>
      <c r="N1574" s="137"/>
      <c r="O1574" s="137"/>
      <c r="P1574" s="137"/>
      <c r="Q1574" s="137"/>
    </row>
    <row r="1575" spans="1:17" ht="15" customHeight="1" x14ac:dyDescent="0.35">
      <c r="A1575" s="129"/>
      <c r="B1575" s="137"/>
      <c r="C1575" s="137"/>
      <c r="D1575" s="137"/>
      <c r="E1575" s="137"/>
      <c r="F1575" s="137"/>
      <c r="G1575" s="137"/>
      <c r="H1575" s="137"/>
      <c r="I1575" s="137"/>
      <c r="J1575" s="138"/>
      <c r="K1575" s="137"/>
      <c r="L1575" s="137"/>
      <c r="M1575" s="137"/>
      <c r="N1575" s="137"/>
      <c r="O1575" s="137"/>
      <c r="P1575" s="137"/>
      <c r="Q1575" s="137"/>
    </row>
    <row r="1576" spans="1:17" ht="15" customHeight="1" x14ac:dyDescent="0.35">
      <c r="A1576" s="129"/>
      <c r="B1576" s="137"/>
      <c r="C1576" s="137"/>
      <c r="D1576" s="137"/>
      <c r="E1576" s="137"/>
      <c r="F1576" s="137"/>
      <c r="G1576" s="137"/>
      <c r="H1576" s="137"/>
      <c r="I1576" s="137"/>
      <c r="J1576" s="138"/>
      <c r="K1576" s="137"/>
      <c r="L1576" s="137"/>
      <c r="M1576" s="137"/>
      <c r="N1576" s="137"/>
      <c r="O1576" s="137"/>
      <c r="P1576" s="137"/>
      <c r="Q1576" s="137"/>
    </row>
    <row r="1577" spans="1:17" ht="15" customHeight="1" x14ac:dyDescent="0.35">
      <c r="A1577" s="129"/>
      <c r="B1577" s="137"/>
      <c r="C1577" s="137"/>
      <c r="D1577" s="137"/>
      <c r="E1577" s="137"/>
      <c r="F1577" s="137"/>
      <c r="G1577" s="137"/>
      <c r="H1577" s="137"/>
      <c r="I1577" s="137"/>
      <c r="J1577" s="138"/>
      <c r="K1577" s="137"/>
      <c r="L1577" s="137"/>
      <c r="M1577" s="137"/>
      <c r="N1577" s="137"/>
      <c r="O1577" s="137"/>
      <c r="P1577" s="137"/>
      <c r="Q1577" s="137"/>
    </row>
    <row r="1578" spans="1:17" ht="15" customHeight="1" x14ac:dyDescent="0.35">
      <c r="A1578" s="129"/>
      <c r="B1578" s="137"/>
      <c r="C1578" s="137"/>
      <c r="D1578" s="137"/>
      <c r="E1578" s="137"/>
      <c r="F1578" s="137"/>
      <c r="G1578" s="137"/>
      <c r="H1578" s="137"/>
      <c r="I1578" s="137"/>
      <c r="J1578" s="138"/>
      <c r="K1578" s="137"/>
      <c r="L1578" s="137"/>
      <c r="M1578" s="137"/>
      <c r="N1578" s="137"/>
      <c r="O1578" s="137"/>
      <c r="P1578" s="137"/>
      <c r="Q1578" s="137"/>
    </row>
    <row r="1579" spans="1:17" ht="15" customHeight="1" x14ac:dyDescent="0.35">
      <c r="A1579" s="129"/>
      <c r="B1579" s="137"/>
      <c r="C1579" s="137"/>
      <c r="D1579" s="137"/>
      <c r="E1579" s="137"/>
      <c r="F1579" s="137"/>
      <c r="G1579" s="137"/>
      <c r="H1579" s="137"/>
      <c r="I1579" s="137"/>
      <c r="J1579" s="138"/>
      <c r="K1579" s="137"/>
      <c r="L1579" s="137"/>
      <c r="M1579" s="137"/>
      <c r="N1579" s="137"/>
      <c r="O1579" s="137"/>
      <c r="P1579" s="137"/>
      <c r="Q1579" s="137"/>
    </row>
    <row r="1580" spans="1:17" ht="15" customHeight="1" x14ac:dyDescent="0.35">
      <c r="A1580" s="129"/>
      <c r="B1580" s="137"/>
      <c r="C1580" s="137"/>
      <c r="D1580" s="137"/>
      <c r="E1580" s="137"/>
      <c r="F1580" s="137"/>
      <c r="G1580" s="137"/>
      <c r="H1580" s="137"/>
      <c r="I1580" s="137"/>
      <c r="J1580" s="138"/>
      <c r="K1580" s="137"/>
      <c r="L1580" s="137"/>
      <c r="M1580" s="137"/>
      <c r="N1580" s="137"/>
      <c r="O1580" s="137"/>
      <c r="P1580" s="137"/>
      <c r="Q1580" s="137"/>
    </row>
    <row r="1581" spans="1:17" ht="15" customHeight="1" x14ac:dyDescent="0.35">
      <c r="A1581" s="129"/>
      <c r="B1581" s="137"/>
      <c r="C1581" s="137"/>
      <c r="D1581" s="137"/>
      <c r="E1581" s="137"/>
      <c r="F1581" s="137"/>
      <c r="G1581" s="137"/>
      <c r="H1581" s="137"/>
      <c r="I1581" s="137"/>
      <c r="J1581" s="138"/>
      <c r="K1581" s="137"/>
      <c r="L1581" s="137"/>
      <c r="M1581" s="137"/>
      <c r="N1581" s="137"/>
      <c r="O1581" s="137"/>
      <c r="P1581" s="137"/>
      <c r="Q1581" s="137"/>
    </row>
    <row r="1582" spans="1:17" ht="15" customHeight="1" x14ac:dyDescent="0.35">
      <c r="A1582" s="129"/>
      <c r="B1582" s="137"/>
      <c r="C1582" s="137"/>
      <c r="D1582" s="137"/>
      <c r="E1582" s="137"/>
      <c r="F1582" s="137"/>
      <c r="G1582" s="137"/>
      <c r="H1582" s="137"/>
      <c r="I1582" s="137"/>
      <c r="J1582" s="138"/>
      <c r="K1582" s="137"/>
      <c r="L1582" s="137"/>
      <c r="M1582" s="137"/>
      <c r="N1582" s="137"/>
      <c r="O1582" s="137"/>
      <c r="P1582" s="137"/>
      <c r="Q1582" s="137"/>
    </row>
    <row r="1583" spans="1:17" ht="15" customHeight="1" x14ac:dyDescent="0.35">
      <c r="A1583" s="129"/>
      <c r="B1583" s="137"/>
      <c r="C1583" s="137"/>
      <c r="D1583" s="137"/>
      <c r="E1583" s="137"/>
      <c r="F1583" s="137"/>
      <c r="G1583" s="137"/>
      <c r="H1583" s="137"/>
      <c r="I1583" s="137"/>
      <c r="J1583" s="138"/>
      <c r="K1583" s="137"/>
      <c r="L1583" s="137"/>
      <c r="M1583" s="137"/>
      <c r="N1583" s="137"/>
      <c r="O1583" s="137"/>
      <c r="P1583" s="137"/>
      <c r="Q1583" s="137"/>
    </row>
    <row r="1584" spans="1:17" ht="15" customHeight="1" x14ac:dyDescent="0.35">
      <c r="A1584" s="129"/>
      <c r="B1584" s="137"/>
      <c r="C1584" s="137"/>
      <c r="D1584" s="137"/>
      <c r="E1584" s="137"/>
      <c r="F1584" s="137"/>
      <c r="G1584" s="137"/>
      <c r="H1584" s="137"/>
      <c r="I1584" s="137"/>
      <c r="J1584" s="138"/>
      <c r="K1584" s="137"/>
      <c r="L1584" s="137"/>
      <c r="M1584" s="137"/>
      <c r="N1584" s="137"/>
      <c r="O1584" s="137"/>
      <c r="P1584" s="137"/>
      <c r="Q1584" s="137"/>
    </row>
    <row r="1585" spans="1:17" ht="15" customHeight="1" x14ac:dyDescent="0.35">
      <c r="A1585" s="129"/>
      <c r="B1585" s="137"/>
      <c r="C1585" s="137"/>
      <c r="D1585" s="137"/>
      <c r="E1585" s="137"/>
      <c r="F1585" s="137"/>
      <c r="G1585" s="137"/>
      <c r="H1585" s="137"/>
      <c r="I1585" s="137"/>
      <c r="J1585" s="138"/>
      <c r="K1585" s="137"/>
      <c r="L1585" s="137"/>
      <c r="M1585" s="137"/>
      <c r="N1585" s="137"/>
      <c r="O1585" s="137"/>
      <c r="P1585" s="137"/>
      <c r="Q1585" s="137"/>
    </row>
    <row r="1586" spans="1:17" ht="15" customHeight="1" x14ac:dyDescent="0.35">
      <c r="A1586" s="129"/>
      <c r="B1586" s="137"/>
      <c r="C1586" s="137"/>
      <c r="D1586" s="137"/>
      <c r="E1586" s="137"/>
      <c r="F1586" s="137"/>
      <c r="G1586" s="137"/>
      <c r="H1586" s="137"/>
      <c r="I1586" s="137"/>
      <c r="J1586" s="138"/>
      <c r="K1586" s="137"/>
      <c r="L1586" s="137"/>
      <c r="M1586" s="137"/>
      <c r="N1586" s="137"/>
      <c r="O1586" s="137"/>
      <c r="P1586" s="137"/>
      <c r="Q1586" s="137"/>
    </row>
    <row r="1587" spans="1:17" ht="15" customHeight="1" x14ac:dyDescent="0.35">
      <c r="A1587" s="129"/>
      <c r="B1587" s="137"/>
      <c r="C1587" s="137"/>
      <c r="D1587" s="137"/>
      <c r="E1587" s="137"/>
      <c r="F1587" s="137"/>
      <c r="G1587" s="137"/>
      <c r="H1587" s="137"/>
      <c r="I1587" s="137"/>
      <c r="J1587" s="138"/>
      <c r="K1587" s="137"/>
      <c r="L1587" s="137"/>
      <c r="M1587" s="137"/>
      <c r="N1587" s="137"/>
      <c r="O1587" s="137"/>
      <c r="P1587" s="137"/>
      <c r="Q1587" s="137"/>
    </row>
    <row r="1588" spans="1:17" ht="15" customHeight="1" x14ac:dyDescent="0.35">
      <c r="A1588" s="129"/>
      <c r="B1588" s="137"/>
      <c r="C1588" s="137"/>
      <c r="D1588" s="137"/>
      <c r="E1588" s="137"/>
      <c r="F1588" s="137"/>
      <c r="G1588" s="137"/>
      <c r="H1588" s="137"/>
      <c r="I1588" s="137"/>
      <c r="J1588" s="138"/>
      <c r="K1588" s="137"/>
      <c r="L1588" s="137"/>
      <c r="M1588" s="137"/>
      <c r="N1588" s="137"/>
      <c r="O1588" s="137"/>
      <c r="P1588" s="137"/>
      <c r="Q1588" s="137"/>
    </row>
    <row r="1589" spans="1:17" ht="15" customHeight="1" x14ac:dyDescent="0.35">
      <c r="A1589" s="129"/>
      <c r="B1589" s="137"/>
      <c r="C1589" s="137"/>
      <c r="D1589" s="137"/>
      <c r="E1589" s="137"/>
      <c r="F1589" s="137"/>
      <c r="G1589" s="137"/>
      <c r="H1589" s="137"/>
      <c r="I1589" s="137"/>
      <c r="J1589" s="138"/>
      <c r="K1589" s="137"/>
      <c r="L1589" s="137"/>
      <c r="M1589" s="137"/>
      <c r="N1589" s="137"/>
      <c r="O1589" s="137"/>
      <c r="P1589" s="137"/>
      <c r="Q1589" s="137"/>
    </row>
    <row r="1590" spans="1:17" ht="15" customHeight="1" x14ac:dyDescent="0.35">
      <c r="A1590" s="129"/>
      <c r="B1590" s="137"/>
      <c r="C1590" s="137"/>
      <c r="D1590" s="137"/>
      <c r="E1590" s="137"/>
      <c r="F1590" s="137"/>
      <c r="G1590" s="137"/>
      <c r="H1590" s="137"/>
      <c r="I1590" s="137"/>
      <c r="J1590" s="138"/>
      <c r="K1590" s="137"/>
      <c r="L1590" s="137"/>
      <c r="M1590" s="137"/>
      <c r="N1590" s="137"/>
      <c r="O1590" s="137"/>
      <c r="P1590" s="137"/>
      <c r="Q1590" s="137"/>
    </row>
    <row r="1591" spans="1:17" ht="15" customHeight="1" x14ac:dyDescent="0.35">
      <c r="A1591" s="129"/>
      <c r="B1591" s="137"/>
      <c r="C1591" s="137"/>
      <c r="D1591" s="137"/>
      <c r="E1591" s="137"/>
      <c r="F1591" s="137"/>
      <c r="G1591" s="137"/>
      <c r="H1591" s="137"/>
      <c r="I1591" s="137"/>
      <c r="J1591" s="138"/>
      <c r="K1591" s="137"/>
      <c r="L1591" s="137"/>
      <c r="M1591" s="137"/>
      <c r="N1591" s="137"/>
      <c r="O1591" s="137"/>
      <c r="P1591" s="137"/>
      <c r="Q1591" s="137"/>
    </row>
    <row r="1592" spans="1:17" ht="15" customHeight="1" x14ac:dyDescent="0.35">
      <c r="A1592" s="129"/>
      <c r="B1592" s="137"/>
      <c r="C1592" s="137"/>
      <c r="D1592" s="137"/>
      <c r="E1592" s="137"/>
      <c r="F1592" s="137"/>
      <c r="G1592" s="137"/>
      <c r="H1592" s="137"/>
      <c r="I1592" s="137"/>
      <c r="J1592" s="138"/>
      <c r="K1592" s="137"/>
      <c r="L1592" s="137"/>
      <c r="M1592" s="137"/>
      <c r="N1592" s="137"/>
      <c r="O1592" s="137"/>
      <c r="P1592" s="137"/>
      <c r="Q1592" s="137"/>
    </row>
    <row r="1593" spans="1:17" ht="15" customHeight="1" x14ac:dyDescent="0.35">
      <c r="A1593" s="129"/>
      <c r="B1593" s="137"/>
      <c r="C1593" s="137"/>
      <c r="D1593" s="137"/>
      <c r="E1593" s="137"/>
      <c r="F1593" s="137"/>
      <c r="G1593" s="137"/>
      <c r="H1593" s="137"/>
      <c r="I1593" s="137"/>
      <c r="J1593" s="138"/>
      <c r="K1593" s="137"/>
      <c r="L1593" s="137"/>
      <c r="M1593" s="137"/>
      <c r="N1593" s="137"/>
      <c r="O1593" s="137"/>
      <c r="P1593" s="137"/>
      <c r="Q1593" s="137"/>
    </row>
    <row r="1594" spans="1:17" ht="15" customHeight="1" x14ac:dyDescent="0.35">
      <c r="A1594" s="129"/>
      <c r="B1594" s="137"/>
      <c r="C1594" s="137"/>
      <c r="D1594" s="137"/>
      <c r="E1594" s="137"/>
      <c r="F1594" s="137"/>
      <c r="G1594" s="137"/>
      <c r="H1594" s="137"/>
      <c r="I1594" s="137"/>
      <c r="J1594" s="138"/>
      <c r="K1594" s="137"/>
      <c r="L1594" s="137"/>
      <c r="M1594" s="137"/>
      <c r="N1594" s="137"/>
      <c r="O1594" s="137"/>
      <c r="P1594" s="137"/>
      <c r="Q1594" s="137"/>
    </row>
    <row r="1595" spans="1:17" ht="15" customHeight="1" x14ac:dyDescent="0.35">
      <c r="A1595" s="129"/>
      <c r="B1595" s="137"/>
      <c r="C1595" s="137"/>
      <c r="D1595" s="137"/>
      <c r="E1595" s="137"/>
      <c r="F1595" s="137"/>
      <c r="G1595" s="137"/>
      <c r="H1595" s="137"/>
      <c r="I1595" s="137"/>
      <c r="J1595" s="138"/>
      <c r="K1595" s="137"/>
      <c r="L1595" s="137"/>
      <c r="M1595" s="137"/>
      <c r="N1595" s="137"/>
      <c r="O1595" s="137"/>
      <c r="P1595" s="137"/>
      <c r="Q1595" s="137"/>
    </row>
    <row r="1596" spans="1:17" ht="15" customHeight="1" x14ac:dyDescent="0.35">
      <c r="A1596" s="129"/>
      <c r="B1596" s="137"/>
      <c r="C1596" s="137"/>
      <c r="D1596" s="137"/>
      <c r="E1596" s="137"/>
      <c r="F1596" s="137"/>
      <c r="G1596" s="137"/>
      <c r="H1596" s="137"/>
      <c r="I1596" s="137"/>
      <c r="J1596" s="138"/>
      <c r="K1596" s="137"/>
      <c r="L1596" s="137"/>
      <c r="M1596" s="137"/>
      <c r="N1596" s="137"/>
      <c r="O1596" s="137"/>
      <c r="P1596" s="137"/>
      <c r="Q1596" s="137"/>
    </row>
    <row r="1597" spans="1:17" ht="15" customHeight="1" x14ac:dyDescent="0.35">
      <c r="A1597" s="129"/>
      <c r="B1597" s="137"/>
      <c r="C1597" s="137"/>
      <c r="D1597" s="137"/>
      <c r="E1597" s="137"/>
      <c r="F1597" s="137"/>
      <c r="G1597" s="137"/>
      <c r="H1597" s="137"/>
      <c r="I1597" s="137"/>
      <c r="J1597" s="138"/>
      <c r="K1597" s="137"/>
      <c r="L1597" s="137"/>
      <c r="M1597" s="137"/>
      <c r="N1597" s="137"/>
      <c r="O1597" s="137"/>
      <c r="P1597" s="137"/>
      <c r="Q1597" s="137"/>
    </row>
    <row r="1598" spans="1:17" ht="15" customHeight="1" x14ac:dyDescent="0.35">
      <c r="A1598" s="129"/>
      <c r="B1598" s="137"/>
      <c r="C1598" s="137"/>
      <c r="D1598" s="137"/>
      <c r="E1598" s="137"/>
      <c r="F1598" s="137"/>
      <c r="G1598" s="137"/>
      <c r="H1598" s="137"/>
      <c r="I1598" s="137"/>
      <c r="J1598" s="138"/>
      <c r="K1598" s="137"/>
      <c r="L1598" s="137"/>
      <c r="M1598" s="137"/>
      <c r="N1598" s="137"/>
      <c r="O1598" s="137"/>
      <c r="P1598" s="137"/>
      <c r="Q1598" s="137"/>
    </row>
    <row r="1599" spans="1:17" ht="15" customHeight="1" x14ac:dyDescent="0.35">
      <c r="A1599" s="129"/>
      <c r="B1599" s="137"/>
      <c r="C1599" s="137"/>
      <c r="D1599" s="137"/>
      <c r="E1599" s="137"/>
      <c r="F1599" s="137"/>
      <c r="G1599" s="137"/>
      <c r="H1599" s="137"/>
      <c r="I1599" s="137"/>
      <c r="J1599" s="138"/>
      <c r="K1599" s="137"/>
      <c r="L1599" s="137"/>
      <c r="M1599" s="137"/>
      <c r="N1599" s="137"/>
      <c r="O1599" s="137"/>
      <c r="P1599" s="137"/>
      <c r="Q1599" s="137"/>
    </row>
    <row r="1600" spans="1:17" ht="15" customHeight="1" x14ac:dyDescent="0.35">
      <c r="A1600" s="129"/>
      <c r="B1600" s="137"/>
      <c r="C1600" s="137"/>
      <c r="D1600" s="137"/>
      <c r="E1600" s="137"/>
      <c r="F1600" s="137"/>
      <c r="G1600" s="137"/>
      <c r="H1600" s="137"/>
      <c r="I1600" s="137"/>
      <c r="J1600" s="138"/>
      <c r="K1600" s="137"/>
      <c r="L1600" s="137"/>
      <c r="M1600" s="137"/>
      <c r="N1600" s="137"/>
      <c r="O1600" s="137"/>
      <c r="P1600" s="137"/>
      <c r="Q1600" s="137"/>
    </row>
    <row r="1601" spans="1:17" ht="15" customHeight="1" x14ac:dyDescent="0.35">
      <c r="A1601" s="129"/>
      <c r="B1601" s="137"/>
      <c r="C1601" s="137"/>
      <c r="D1601" s="137"/>
      <c r="E1601" s="137"/>
      <c r="F1601" s="137"/>
      <c r="G1601" s="137"/>
      <c r="H1601" s="137"/>
      <c r="I1601" s="137"/>
      <c r="J1601" s="138"/>
      <c r="K1601" s="137"/>
      <c r="L1601" s="137"/>
      <c r="M1601" s="137"/>
      <c r="N1601" s="137"/>
      <c r="O1601" s="137"/>
      <c r="P1601" s="137"/>
      <c r="Q1601" s="137"/>
    </row>
    <row r="1602" spans="1:17" ht="15" customHeight="1" x14ac:dyDescent="0.35">
      <c r="A1602" s="129"/>
      <c r="B1602" s="137"/>
      <c r="C1602" s="137"/>
      <c r="D1602" s="137"/>
      <c r="E1602" s="137"/>
      <c r="F1602" s="137"/>
      <c r="G1602" s="137"/>
      <c r="H1602" s="137"/>
      <c r="I1602" s="137"/>
      <c r="J1602" s="138"/>
      <c r="K1602" s="137"/>
      <c r="L1602" s="137"/>
      <c r="M1602" s="137"/>
      <c r="N1602" s="137"/>
      <c r="O1602" s="137"/>
      <c r="P1602" s="137"/>
      <c r="Q1602" s="137"/>
    </row>
    <row r="1603" spans="1:17" ht="15" customHeight="1" x14ac:dyDescent="0.35">
      <c r="A1603" s="129"/>
      <c r="B1603" s="137"/>
      <c r="C1603" s="137"/>
      <c r="D1603" s="137"/>
      <c r="E1603" s="137"/>
      <c r="F1603" s="137"/>
      <c r="G1603" s="137"/>
      <c r="H1603" s="137"/>
      <c r="I1603" s="137"/>
      <c r="J1603" s="138"/>
      <c r="K1603" s="137"/>
      <c r="L1603" s="137"/>
      <c r="M1603" s="137"/>
      <c r="N1603" s="137"/>
      <c r="O1603" s="137"/>
      <c r="P1603" s="137"/>
      <c r="Q1603" s="137"/>
    </row>
    <row r="1604" spans="1:17" ht="15" customHeight="1" x14ac:dyDescent="0.35">
      <c r="A1604" s="129"/>
      <c r="B1604" s="137"/>
      <c r="C1604" s="137"/>
      <c r="D1604" s="137"/>
      <c r="E1604" s="137"/>
      <c r="F1604" s="137"/>
      <c r="G1604" s="137"/>
      <c r="H1604" s="137"/>
      <c r="I1604" s="137"/>
      <c r="J1604" s="138"/>
      <c r="K1604" s="137"/>
      <c r="L1604" s="137"/>
      <c r="M1604" s="137"/>
      <c r="N1604" s="137"/>
      <c r="O1604" s="137"/>
      <c r="P1604" s="137"/>
      <c r="Q1604" s="137"/>
    </row>
    <row r="1605" spans="1:17" ht="15" customHeight="1" x14ac:dyDescent="0.35">
      <c r="A1605" s="129"/>
      <c r="B1605" s="137"/>
      <c r="C1605" s="137"/>
      <c r="D1605" s="137"/>
      <c r="E1605" s="137"/>
      <c r="F1605" s="137"/>
      <c r="G1605" s="137"/>
      <c r="H1605" s="137"/>
      <c r="I1605" s="137"/>
      <c r="J1605" s="138"/>
      <c r="K1605" s="137"/>
      <c r="L1605" s="137"/>
      <c r="M1605" s="137"/>
      <c r="N1605" s="137"/>
      <c r="O1605" s="137"/>
      <c r="P1605" s="137"/>
      <c r="Q1605" s="137"/>
    </row>
    <row r="1606" spans="1:17" ht="15" customHeight="1" x14ac:dyDescent="0.35">
      <c r="A1606" s="129"/>
      <c r="B1606" s="137"/>
      <c r="C1606" s="137"/>
      <c r="D1606" s="137"/>
      <c r="E1606" s="137"/>
      <c r="F1606" s="137"/>
      <c r="G1606" s="137"/>
      <c r="H1606" s="137"/>
      <c r="I1606" s="137"/>
      <c r="J1606" s="138"/>
      <c r="K1606" s="137"/>
      <c r="L1606" s="137"/>
      <c r="M1606" s="137"/>
      <c r="N1606" s="137"/>
      <c r="O1606" s="137"/>
      <c r="P1606" s="137"/>
      <c r="Q1606" s="137"/>
    </row>
    <row r="1607" spans="1:17" ht="15" customHeight="1" x14ac:dyDescent="0.35">
      <c r="A1607" s="129"/>
      <c r="B1607" s="137"/>
      <c r="C1607" s="137"/>
      <c r="D1607" s="137"/>
      <c r="E1607" s="137"/>
      <c r="F1607" s="137"/>
      <c r="G1607" s="137"/>
      <c r="H1607" s="137"/>
      <c r="I1607" s="137"/>
      <c r="J1607" s="138"/>
      <c r="K1607" s="137"/>
      <c r="L1607" s="137"/>
      <c r="M1607" s="137"/>
      <c r="N1607" s="137"/>
      <c r="O1607" s="137"/>
      <c r="P1607" s="137"/>
      <c r="Q1607" s="137"/>
    </row>
    <row r="1608" spans="1:17" ht="15" customHeight="1" x14ac:dyDescent="0.35">
      <c r="A1608" s="129"/>
      <c r="B1608" s="137"/>
      <c r="C1608" s="137"/>
      <c r="D1608" s="137"/>
      <c r="E1608" s="137"/>
      <c r="F1608" s="137"/>
      <c r="G1608" s="137"/>
      <c r="H1608" s="137"/>
      <c r="I1608" s="137"/>
      <c r="J1608" s="138"/>
      <c r="K1608" s="137"/>
      <c r="L1608" s="137"/>
      <c r="M1608" s="137"/>
      <c r="N1608" s="137"/>
      <c r="O1608" s="137"/>
      <c r="P1608" s="137"/>
      <c r="Q1608" s="137"/>
    </row>
    <row r="1609" spans="1:17" ht="15" customHeight="1" x14ac:dyDescent="0.35">
      <c r="A1609" s="129"/>
      <c r="B1609" s="137"/>
      <c r="C1609" s="137"/>
      <c r="D1609" s="137"/>
      <c r="E1609" s="137"/>
      <c r="F1609" s="137"/>
      <c r="G1609" s="137"/>
      <c r="H1609" s="137"/>
      <c r="I1609" s="137"/>
      <c r="J1609" s="138"/>
      <c r="K1609" s="137"/>
      <c r="L1609" s="137"/>
      <c r="M1609" s="137"/>
      <c r="N1609" s="137"/>
      <c r="O1609" s="137"/>
      <c r="P1609" s="137"/>
      <c r="Q1609" s="137"/>
    </row>
    <row r="1610" spans="1:17" ht="15" customHeight="1" x14ac:dyDescent="0.35">
      <c r="A1610" s="129"/>
      <c r="B1610" s="137"/>
      <c r="C1610" s="137"/>
      <c r="D1610" s="137"/>
      <c r="E1610" s="137"/>
      <c r="F1610" s="137"/>
      <c r="G1610" s="137"/>
      <c r="H1610" s="137"/>
      <c r="I1610" s="137"/>
      <c r="J1610" s="138"/>
      <c r="K1610" s="137"/>
      <c r="L1610" s="137"/>
      <c r="M1610" s="137"/>
      <c r="N1610" s="137"/>
      <c r="O1610" s="137"/>
      <c r="P1610" s="137"/>
      <c r="Q1610" s="137"/>
    </row>
    <row r="1611" spans="1:17" ht="15" customHeight="1" x14ac:dyDescent="0.35">
      <c r="A1611" s="129"/>
      <c r="B1611" s="137"/>
      <c r="C1611" s="137"/>
      <c r="D1611" s="137"/>
      <c r="E1611" s="137"/>
      <c r="F1611" s="137"/>
      <c r="G1611" s="137"/>
      <c r="H1611" s="137"/>
      <c r="I1611" s="137"/>
      <c r="J1611" s="138"/>
      <c r="K1611" s="137"/>
      <c r="L1611" s="137"/>
      <c r="M1611" s="137"/>
      <c r="N1611" s="137"/>
      <c r="O1611" s="137"/>
      <c r="P1611" s="137"/>
      <c r="Q1611" s="137"/>
    </row>
    <row r="1612" spans="1:17" ht="15" customHeight="1" x14ac:dyDescent="0.35">
      <c r="A1612" s="129"/>
      <c r="B1612" s="137"/>
      <c r="C1612" s="137"/>
      <c r="D1612" s="137"/>
      <c r="E1612" s="137"/>
      <c r="F1612" s="137"/>
      <c r="G1612" s="137"/>
      <c r="H1612" s="137"/>
      <c r="I1612" s="137"/>
      <c r="J1612" s="138"/>
      <c r="K1612" s="137"/>
      <c r="L1612" s="137"/>
      <c r="M1612" s="137"/>
      <c r="N1612" s="137"/>
      <c r="O1612" s="137"/>
      <c r="P1612" s="137"/>
      <c r="Q1612" s="137"/>
    </row>
    <row r="1613" spans="1:17" ht="15" customHeight="1" x14ac:dyDescent="0.35">
      <c r="A1613" s="129"/>
      <c r="B1613" s="137"/>
      <c r="C1613" s="137"/>
      <c r="D1613" s="137"/>
      <c r="E1613" s="137"/>
      <c r="F1613" s="137"/>
      <c r="G1613" s="137"/>
      <c r="H1613" s="137"/>
      <c r="I1613" s="137"/>
      <c r="J1613" s="138"/>
      <c r="K1613" s="137"/>
      <c r="L1613" s="137"/>
      <c r="M1613" s="137"/>
      <c r="N1613" s="137"/>
      <c r="O1613" s="137"/>
      <c r="P1613" s="137"/>
      <c r="Q1613" s="137"/>
    </row>
    <row r="1614" spans="1:17" ht="15" customHeight="1" x14ac:dyDescent="0.35">
      <c r="A1614" s="129"/>
      <c r="B1614" s="137"/>
      <c r="C1614" s="137"/>
      <c r="D1614" s="137"/>
      <c r="E1614" s="137"/>
      <c r="F1614" s="137"/>
      <c r="G1614" s="137"/>
      <c r="H1614" s="137"/>
      <c r="I1614" s="137"/>
      <c r="J1614" s="138"/>
      <c r="K1614" s="137"/>
      <c r="L1614" s="137"/>
      <c r="M1614" s="137"/>
      <c r="N1614" s="137"/>
      <c r="O1614" s="137"/>
      <c r="P1614" s="137"/>
      <c r="Q1614" s="137"/>
    </row>
    <row r="1615" spans="1:17" ht="15" customHeight="1" x14ac:dyDescent="0.35">
      <c r="A1615" s="129"/>
      <c r="B1615" s="137"/>
      <c r="C1615" s="137"/>
      <c r="D1615" s="137"/>
      <c r="E1615" s="137"/>
      <c r="F1615" s="137"/>
      <c r="G1615" s="137"/>
      <c r="H1615" s="137"/>
      <c r="I1615" s="137"/>
      <c r="J1615" s="138"/>
      <c r="K1615" s="137"/>
      <c r="L1615" s="137"/>
      <c r="M1615" s="137"/>
      <c r="N1615" s="137"/>
      <c r="O1615" s="137"/>
      <c r="P1615" s="137"/>
      <c r="Q1615" s="137"/>
    </row>
    <row r="1616" spans="1:17" ht="15" customHeight="1" x14ac:dyDescent="0.35">
      <c r="A1616" s="129"/>
      <c r="B1616" s="137"/>
      <c r="C1616" s="137"/>
      <c r="D1616" s="137"/>
      <c r="E1616" s="137"/>
      <c r="F1616" s="137"/>
      <c r="G1616" s="137"/>
      <c r="H1616" s="137"/>
      <c r="I1616" s="137"/>
      <c r="J1616" s="138"/>
      <c r="K1616" s="137"/>
      <c r="L1616" s="137"/>
      <c r="M1616" s="137"/>
      <c r="N1616" s="137"/>
      <c r="O1616" s="137"/>
      <c r="P1616" s="137"/>
      <c r="Q1616" s="137"/>
    </row>
    <row r="1617" spans="1:17" ht="15" customHeight="1" x14ac:dyDescent="0.35">
      <c r="A1617" s="129"/>
      <c r="B1617" s="137"/>
      <c r="C1617" s="137"/>
      <c r="D1617" s="137"/>
      <c r="E1617" s="137"/>
      <c r="F1617" s="137"/>
      <c r="G1617" s="137"/>
      <c r="H1617" s="137"/>
      <c r="I1617" s="137"/>
      <c r="J1617" s="138"/>
      <c r="K1617" s="137"/>
      <c r="L1617" s="137"/>
      <c r="M1617" s="137"/>
      <c r="N1617" s="137"/>
      <c r="O1617" s="137"/>
      <c r="P1617" s="137"/>
      <c r="Q1617" s="137"/>
    </row>
    <row r="1618" spans="1:17" ht="15" customHeight="1" x14ac:dyDescent="0.35">
      <c r="A1618" s="129"/>
      <c r="B1618" s="137"/>
      <c r="C1618" s="137"/>
      <c r="D1618" s="137"/>
      <c r="E1618" s="137"/>
      <c r="F1618" s="137"/>
      <c r="G1618" s="137"/>
      <c r="H1618" s="137"/>
      <c r="I1618" s="137"/>
      <c r="J1618" s="138"/>
      <c r="K1618" s="137"/>
      <c r="L1618" s="137"/>
      <c r="M1618" s="137"/>
      <c r="N1618" s="137"/>
      <c r="O1618" s="137"/>
      <c r="P1618" s="137"/>
      <c r="Q1618" s="137"/>
    </row>
    <row r="1619" spans="1:17" ht="15" customHeight="1" x14ac:dyDescent="0.35">
      <c r="A1619" s="129"/>
      <c r="B1619" s="137"/>
      <c r="C1619" s="137"/>
      <c r="D1619" s="137"/>
      <c r="E1619" s="137"/>
      <c r="F1619" s="137"/>
      <c r="G1619" s="137"/>
      <c r="H1619" s="137"/>
      <c r="I1619" s="137"/>
      <c r="J1619" s="138"/>
      <c r="K1619" s="137"/>
      <c r="L1619" s="137"/>
      <c r="M1619" s="137"/>
      <c r="N1619" s="137"/>
      <c r="O1619" s="137"/>
      <c r="P1619" s="137"/>
      <c r="Q1619" s="137"/>
    </row>
    <row r="1620" spans="1:17" ht="15" customHeight="1" x14ac:dyDescent="0.35">
      <c r="A1620" s="129"/>
      <c r="B1620" s="137"/>
      <c r="C1620" s="137"/>
      <c r="D1620" s="137"/>
      <c r="E1620" s="137"/>
      <c r="F1620" s="137"/>
      <c r="G1620" s="137"/>
      <c r="H1620" s="137"/>
      <c r="I1620" s="137"/>
      <c r="J1620" s="138"/>
      <c r="K1620" s="137"/>
      <c r="L1620" s="137"/>
      <c r="M1620" s="137"/>
      <c r="N1620" s="137"/>
      <c r="O1620" s="137"/>
      <c r="P1620" s="137"/>
      <c r="Q1620" s="137"/>
    </row>
    <row r="1621" spans="1:17" ht="15" customHeight="1" x14ac:dyDescent="0.35">
      <c r="A1621" s="129"/>
      <c r="B1621" s="137"/>
      <c r="C1621" s="137"/>
      <c r="D1621" s="137"/>
      <c r="E1621" s="137"/>
      <c r="F1621" s="137"/>
      <c r="G1621" s="137"/>
      <c r="H1621" s="137"/>
      <c r="I1621" s="137"/>
      <c r="J1621" s="138"/>
      <c r="K1621" s="137"/>
      <c r="L1621" s="137"/>
      <c r="M1621" s="137"/>
      <c r="N1621" s="137"/>
      <c r="O1621" s="137"/>
      <c r="P1621" s="137"/>
      <c r="Q1621" s="137"/>
    </row>
    <row r="1622" spans="1:17" ht="15" customHeight="1" x14ac:dyDescent="0.35">
      <c r="A1622" s="129"/>
      <c r="B1622" s="137"/>
      <c r="C1622" s="137"/>
      <c r="D1622" s="137"/>
      <c r="E1622" s="137"/>
      <c r="F1622" s="137"/>
      <c r="G1622" s="137"/>
      <c r="H1622" s="137"/>
      <c r="I1622" s="137"/>
      <c r="J1622" s="138"/>
      <c r="K1622" s="137"/>
      <c r="L1622" s="137"/>
      <c r="M1622" s="137"/>
      <c r="N1622" s="137"/>
      <c r="O1622" s="137"/>
      <c r="P1622" s="137"/>
      <c r="Q1622" s="137"/>
    </row>
    <row r="1623" spans="1:17" ht="15" customHeight="1" x14ac:dyDescent="0.35">
      <c r="A1623" s="129"/>
      <c r="B1623" s="137"/>
      <c r="C1623" s="137"/>
      <c r="D1623" s="137"/>
      <c r="E1623" s="137"/>
      <c r="F1623" s="137"/>
      <c r="G1623" s="137"/>
      <c r="H1623" s="137"/>
      <c r="I1623" s="137"/>
      <c r="J1623" s="138"/>
      <c r="K1623" s="137"/>
      <c r="L1623" s="137"/>
      <c r="M1623" s="137"/>
      <c r="N1623" s="137"/>
      <c r="O1623" s="137"/>
      <c r="P1623" s="137"/>
      <c r="Q1623" s="137"/>
    </row>
    <row r="1624" spans="1:17" ht="15" customHeight="1" x14ac:dyDescent="0.35">
      <c r="A1624" s="129"/>
      <c r="B1624" s="137"/>
      <c r="C1624" s="137"/>
      <c r="D1624" s="137"/>
      <c r="E1624" s="137"/>
      <c r="F1624" s="137"/>
      <c r="G1624" s="137"/>
      <c r="H1624" s="137"/>
      <c r="I1624" s="137"/>
      <c r="J1624" s="138"/>
      <c r="K1624" s="137"/>
      <c r="L1624" s="137"/>
      <c r="M1624" s="137"/>
      <c r="N1624" s="137"/>
      <c r="O1624" s="137"/>
      <c r="P1624" s="137"/>
      <c r="Q1624" s="137"/>
    </row>
    <row r="1625" spans="1:17" ht="15" customHeight="1" x14ac:dyDescent="0.35">
      <c r="A1625" s="129"/>
      <c r="B1625" s="137"/>
      <c r="C1625" s="137"/>
      <c r="D1625" s="137"/>
      <c r="E1625" s="137"/>
      <c r="F1625" s="137"/>
      <c r="G1625" s="137"/>
      <c r="H1625" s="137"/>
      <c r="I1625" s="137"/>
      <c r="J1625" s="138"/>
      <c r="K1625" s="137"/>
      <c r="L1625" s="137"/>
      <c r="M1625" s="137"/>
      <c r="N1625" s="137"/>
      <c r="O1625" s="137"/>
      <c r="P1625" s="137"/>
      <c r="Q1625" s="137"/>
    </row>
    <row r="1626" spans="1:17" ht="15" customHeight="1" x14ac:dyDescent="0.35">
      <c r="A1626" s="129"/>
      <c r="B1626" s="137"/>
      <c r="C1626" s="137"/>
      <c r="D1626" s="137"/>
      <c r="E1626" s="137"/>
      <c r="F1626" s="137"/>
      <c r="G1626" s="137"/>
      <c r="H1626" s="137"/>
      <c r="I1626" s="137"/>
      <c r="J1626" s="138"/>
      <c r="K1626" s="137"/>
      <c r="L1626" s="137"/>
      <c r="M1626" s="137"/>
      <c r="N1626" s="137"/>
      <c r="O1626" s="137"/>
      <c r="P1626" s="137"/>
      <c r="Q1626" s="137"/>
    </row>
    <row r="1627" spans="1:17" ht="15" customHeight="1" x14ac:dyDescent="0.35">
      <c r="A1627" s="129"/>
      <c r="B1627" s="137"/>
      <c r="C1627" s="137"/>
      <c r="D1627" s="137"/>
      <c r="E1627" s="137"/>
      <c r="F1627" s="137"/>
      <c r="G1627" s="137"/>
      <c r="H1627" s="137"/>
      <c r="I1627" s="137"/>
      <c r="J1627" s="138"/>
      <c r="K1627" s="137"/>
      <c r="L1627" s="137"/>
      <c r="M1627" s="137"/>
      <c r="N1627" s="137"/>
      <c r="O1627" s="137"/>
      <c r="P1627" s="137"/>
      <c r="Q1627" s="137"/>
    </row>
    <row r="1628" spans="1:17" ht="15" customHeight="1" x14ac:dyDescent="0.35">
      <c r="A1628" s="129"/>
      <c r="B1628" s="137"/>
      <c r="C1628" s="137"/>
      <c r="D1628" s="137"/>
      <c r="E1628" s="137"/>
      <c r="F1628" s="137"/>
      <c r="G1628" s="137"/>
      <c r="H1628" s="137"/>
      <c r="I1628" s="137"/>
      <c r="J1628" s="138"/>
      <c r="K1628" s="137"/>
      <c r="L1628" s="137"/>
      <c r="M1628" s="137"/>
      <c r="N1628" s="137"/>
      <c r="O1628" s="137"/>
      <c r="P1628" s="137"/>
      <c r="Q1628" s="137"/>
    </row>
    <row r="1629" spans="1:17" ht="15" customHeight="1" x14ac:dyDescent="0.35">
      <c r="A1629" s="129"/>
      <c r="B1629" s="137"/>
      <c r="C1629" s="137"/>
      <c r="D1629" s="137"/>
      <c r="E1629" s="137"/>
      <c r="F1629" s="137"/>
      <c r="G1629" s="137"/>
      <c r="H1629" s="137"/>
      <c r="I1629" s="137"/>
      <c r="J1629" s="138"/>
      <c r="K1629" s="137"/>
      <c r="L1629" s="137"/>
      <c r="M1629" s="137"/>
      <c r="N1629" s="137"/>
      <c r="O1629" s="137"/>
      <c r="P1629" s="137"/>
      <c r="Q1629" s="137"/>
    </row>
    <row r="1630" spans="1:17" ht="15" customHeight="1" x14ac:dyDescent="0.35">
      <c r="A1630" s="129"/>
      <c r="B1630" s="137"/>
      <c r="C1630" s="137"/>
      <c r="D1630" s="137"/>
      <c r="E1630" s="137"/>
      <c r="F1630" s="137"/>
      <c r="G1630" s="137"/>
      <c r="H1630" s="137"/>
      <c r="I1630" s="137"/>
      <c r="J1630" s="138"/>
      <c r="K1630" s="137"/>
      <c r="L1630" s="137"/>
      <c r="M1630" s="137"/>
      <c r="N1630" s="137"/>
      <c r="O1630" s="137"/>
      <c r="P1630" s="137"/>
      <c r="Q1630" s="137"/>
    </row>
    <row r="1631" spans="1:17" ht="15" customHeight="1" x14ac:dyDescent="0.35">
      <c r="A1631" s="129"/>
      <c r="B1631" s="137"/>
      <c r="C1631" s="137"/>
      <c r="D1631" s="137"/>
      <c r="E1631" s="137"/>
      <c r="F1631" s="137"/>
      <c r="G1631" s="137"/>
      <c r="H1631" s="137"/>
      <c r="I1631" s="137"/>
      <c r="J1631" s="138"/>
      <c r="K1631" s="137"/>
      <c r="L1631" s="137"/>
      <c r="M1631" s="137"/>
      <c r="N1631" s="137"/>
      <c r="O1631" s="137"/>
      <c r="P1631" s="137"/>
      <c r="Q1631" s="137"/>
    </row>
    <row r="1632" spans="1:17" ht="15" customHeight="1" x14ac:dyDescent="0.35">
      <c r="A1632" s="129"/>
      <c r="B1632" s="137"/>
      <c r="C1632" s="137"/>
      <c r="D1632" s="137"/>
      <c r="E1632" s="137"/>
      <c r="F1632" s="137"/>
      <c r="G1632" s="137"/>
      <c r="H1632" s="137"/>
      <c r="I1632" s="137"/>
      <c r="J1632" s="138"/>
      <c r="K1632" s="137"/>
      <c r="L1632" s="137"/>
      <c r="M1632" s="137"/>
      <c r="N1632" s="137"/>
      <c r="O1632" s="137"/>
      <c r="P1632" s="137"/>
      <c r="Q1632" s="137"/>
    </row>
    <row r="1633" spans="1:17" ht="15" customHeight="1" x14ac:dyDescent="0.35">
      <c r="A1633" s="129"/>
      <c r="B1633" s="137"/>
      <c r="C1633" s="137"/>
      <c r="D1633" s="137"/>
      <c r="E1633" s="137"/>
      <c r="F1633" s="137"/>
      <c r="G1633" s="137"/>
      <c r="H1633" s="137"/>
      <c r="I1633" s="137"/>
      <c r="J1633" s="138"/>
      <c r="K1633" s="137"/>
      <c r="L1633" s="137"/>
      <c r="M1633" s="137"/>
      <c r="N1633" s="137"/>
      <c r="O1633" s="137"/>
      <c r="P1633" s="137"/>
      <c r="Q1633" s="137"/>
    </row>
    <row r="1634" spans="1:17" ht="15" customHeight="1" x14ac:dyDescent="0.35">
      <c r="A1634" s="129"/>
      <c r="B1634" s="137"/>
      <c r="C1634" s="137"/>
      <c r="D1634" s="137"/>
      <c r="E1634" s="137"/>
      <c r="F1634" s="137"/>
      <c r="G1634" s="137"/>
      <c r="H1634" s="137"/>
      <c r="I1634" s="137"/>
      <c r="J1634" s="138"/>
      <c r="K1634" s="137"/>
      <c r="L1634" s="137"/>
      <c r="M1634" s="137"/>
      <c r="N1634" s="137"/>
      <c r="O1634" s="137"/>
      <c r="P1634" s="137"/>
      <c r="Q1634" s="137"/>
    </row>
    <row r="1635" spans="1:17" ht="15" customHeight="1" x14ac:dyDescent="0.35">
      <c r="A1635" s="129"/>
      <c r="B1635" s="137"/>
      <c r="C1635" s="137"/>
      <c r="D1635" s="137"/>
      <c r="E1635" s="137"/>
      <c r="F1635" s="137"/>
      <c r="G1635" s="137"/>
      <c r="H1635" s="137"/>
      <c r="I1635" s="137"/>
      <c r="J1635" s="138"/>
      <c r="K1635" s="137"/>
      <c r="L1635" s="137"/>
      <c r="M1635" s="137"/>
      <c r="N1635" s="137"/>
      <c r="O1635" s="137"/>
      <c r="P1635" s="137"/>
      <c r="Q1635" s="137"/>
    </row>
    <row r="1636" spans="1:17" ht="15" customHeight="1" x14ac:dyDescent="0.35">
      <c r="A1636" s="129"/>
      <c r="B1636" s="137"/>
      <c r="C1636" s="137"/>
      <c r="D1636" s="137"/>
      <c r="E1636" s="137"/>
      <c r="F1636" s="137"/>
      <c r="G1636" s="137"/>
      <c r="H1636" s="137"/>
      <c r="I1636" s="137"/>
      <c r="J1636" s="138"/>
      <c r="K1636" s="137"/>
      <c r="L1636" s="137"/>
      <c r="M1636" s="137"/>
      <c r="N1636" s="137"/>
      <c r="O1636" s="137"/>
      <c r="P1636" s="137"/>
      <c r="Q1636" s="137"/>
    </row>
    <row r="1637" spans="1:17" ht="15" customHeight="1" x14ac:dyDescent="0.35">
      <c r="A1637" s="129"/>
      <c r="B1637" s="137"/>
      <c r="C1637" s="137"/>
      <c r="D1637" s="137"/>
      <c r="E1637" s="137"/>
      <c r="F1637" s="137"/>
      <c r="G1637" s="137"/>
      <c r="H1637" s="137"/>
      <c r="I1637" s="137"/>
      <c r="J1637" s="138"/>
      <c r="K1637" s="137"/>
      <c r="L1637" s="137"/>
      <c r="M1637" s="137"/>
      <c r="N1637" s="137"/>
      <c r="O1637" s="137"/>
      <c r="P1637" s="137"/>
      <c r="Q1637" s="137"/>
    </row>
    <row r="1638" spans="1:17" ht="15" customHeight="1" x14ac:dyDescent="0.35">
      <c r="A1638" s="129"/>
      <c r="B1638" s="137"/>
      <c r="C1638" s="137"/>
      <c r="D1638" s="137"/>
      <c r="E1638" s="137"/>
      <c r="F1638" s="137"/>
      <c r="G1638" s="137"/>
      <c r="H1638" s="137"/>
      <c r="I1638" s="137"/>
      <c r="J1638" s="138"/>
      <c r="K1638" s="137"/>
      <c r="L1638" s="137"/>
      <c r="M1638" s="137"/>
      <c r="N1638" s="137"/>
      <c r="O1638" s="137"/>
      <c r="P1638" s="137"/>
      <c r="Q1638" s="137"/>
    </row>
    <row r="1639" spans="1:17" ht="15" customHeight="1" x14ac:dyDescent="0.35">
      <c r="A1639" s="129"/>
      <c r="B1639" s="137"/>
      <c r="C1639" s="137"/>
      <c r="D1639" s="137"/>
      <c r="E1639" s="137"/>
      <c r="F1639" s="137"/>
      <c r="G1639" s="137"/>
      <c r="H1639" s="137"/>
      <c r="I1639" s="137"/>
      <c r="J1639" s="138"/>
      <c r="K1639" s="137"/>
      <c r="L1639" s="137"/>
      <c r="M1639" s="137"/>
      <c r="N1639" s="137"/>
      <c r="O1639" s="137"/>
      <c r="P1639" s="137"/>
      <c r="Q1639" s="137"/>
    </row>
    <row r="1640" spans="1:17" ht="15" customHeight="1" x14ac:dyDescent="0.35">
      <c r="A1640" s="129"/>
      <c r="B1640" s="137"/>
      <c r="C1640" s="137"/>
      <c r="D1640" s="137"/>
      <c r="E1640" s="137"/>
      <c r="F1640" s="137"/>
      <c r="G1640" s="137"/>
      <c r="H1640" s="137"/>
      <c r="I1640" s="137"/>
      <c r="J1640" s="138"/>
      <c r="K1640" s="137"/>
      <c r="L1640" s="137"/>
      <c r="M1640" s="137"/>
      <c r="N1640" s="137"/>
      <c r="O1640" s="137"/>
      <c r="P1640" s="137"/>
      <c r="Q1640" s="137"/>
    </row>
    <row r="1641" spans="1:17" ht="15" customHeight="1" x14ac:dyDescent="0.35">
      <c r="A1641" s="129"/>
      <c r="B1641" s="137"/>
      <c r="C1641" s="137"/>
      <c r="D1641" s="137"/>
      <c r="E1641" s="137"/>
      <c r="F1641" s="137"/>
      <c r="G1641" s="137"/>
      <c r="H1641" s="137"/>
      <c r="I1641" s="137"/>
      <c r="J1641" s="138"/>
      <c r="K1641" s="137"/>
      <c r="L1641" s="137"/>
      <c r="M1641" s="137"/>
      <c r="N1641" s="137"/>
      <c r="O1641" s="137"/>
      <c r="P1641" s="137"/>
      <c r="Q1641" s="137"/>
    </row>
    <row r="1642" spans="1:17" ht="15" customHeight="1" x14ac:dyDescent="0.35">
      <c r="A1642" s="129"/>
      <c r="B1642" s="137"/>
      <c r="C1642" s="137"/>
      <c r="D1642" s="137"/>
      <c r="E1642" s="137"/>
      <c r="F1642" s="137"/>
      <c r="G1642" s="137"/>
      <c r="H1642" s="137"/>
      <c r="I1642" s="137"/>
      <c r="J1642" s="138"/>
      <c r="K1642" s="137"/>
      <c r="L1642" s="137"/>
      <c r="M1642" s="137"/>
      <c r="N1642" s="137"/>
      <c r="O1642" s="137"/>
      <c r="P1642" s="137"/>
      <c r="Q1642" s="137"/>
    </row>
    <row r="1643" spans="1:17" ht="15" customHeight="1" x14ac:dyDescent="0.35">
      <c r="A1643" s="129"/>
      <c r="B1643" s="137"/>
      <c r="C1643" s="137"/>
      <c r="D1643" s="137"/>
      <c r="E1643" s="137"/>
      <c r="F1643" s="137"/>
      <c r="G1643" s="137"/>
      <c r="H1643" s="137"/>
      <c r="I1643" s="137"/>
      <c r="J1643" s="138"/>
      <c r="K1643" s="137"/>
      <c r="L1643" s="137"/>
      <c r="M1643" s="137"/>
      <c r="N1643" s="137"/>
      <c r="O1643" s="137"/>
      <c r="P1643" s="137"/>
      <c r="Q1643" s="137"/>
    </row>
    <row r="1644" spans="1:17" ht="15" customHeight="1" x14ac:dyDescent="0.35">
      <c r="A1644" s="129"/>
      <c r="B1644" s="137"/>
      <c r="C1644" s="137"/>
      <c r="D1644" s="137"/>
      <c r="E1644" s="137"/>
      <c r="F1644" s="137"/>
      <c r="G1644" s="137"/>
      <c r="H1644" s="137"/>
      <c r="I1644" s="137"/>
      <c r="J1644" s="138"/>
      <c r="K1644" s="137"/>
      <c r="L1644" s="137"/>
      <c r="M1644" s="137"/>
      <c r="N1644" s="137"/>
      <c r="O1644" s="137"/>
      <c r="P1644" s="137"/>
      <c r="Q1644" s="137"/>
    </row>
    <row r="1645" spans="1:17" ht="15" customHeight="1" x14ac:dyDescent="0.35">
      <c r="A1645" s="129"/>
      <c r="B1645" s="137"/>
      <c r="C1645" s="137"/>
      <c r="D1645" s="137"/>
      <c r="E1645" s="137"/>
      <c r="F1645" s="137"/>
      <c r="G1645" s="137"/>
      <c r="H1645" s="137"/>
      <c r="I1645" s="137"/>
      <c r="J1645" s="138"/>
      <c r="K1645" s="137"/>
      <c r="L1645" s="137"/>
      <c r="M1645" s="137"/>
      <c r="N1645" s="137"/>
      <c r="O1645" s="137"/>
      <c r="P1645" s="137"/>
      <c r="Q1645" s="137"/>
    </row>
    <row r="1646" spans="1:17" ht="15" customHeight="1" x14ac:dyDescent="0.35">
      <c r="A1646" s="129"/>
      <c r="B1646" s="137"/>
      <c r="C1646" s="137"/>
      <c r="D1646" s="137"/>
      <c r="E1646" s="137"/>
      <c r="F1646" s="137"/>
      <c r="G1646" s="137"/>
      <c r="H1646" s="137"/>
      <c r="I1646" s="137"/>
      <c r="J1646" s="138"/>
      <c r="K1646" s="137"/>
      <c r="L1646" s="137"/>
      <c r="M1646" s="137"/>
      <c r="N1646" s="137"/>
      <c r="O1646" s="137"/>
      <c r="P1646" s="137"/>
      <c r="Q1646" s="137"/>
    </row>
    <row r="1647" spans="1:17" ht="15" customHeight="1" x14ac:dyDescent="0.35">
      <c r="A1647" s="129"/>
      <c r="B1647" s="137"/>
      <c r="C1647" s="137"/>
      <c r="D1647" s="137"/>
      <c r="E1647" s="137"/>
      <c r="F1647" s="137"/>
      <c r="G1647" s="137"/>
      <c r="H1647" s="137"/>
      <c r="I1647" s="137"/>
      <c r="J1647" s="138"/>
      <c r="K1647" s="137"/>
      <c r="L1647" s="137"/>
      <c r="M1647" s="137"/>
      <c r="N1647" s="137"/>
      <c r="O1647" s="137"/>
      <c r="P1647" s="137"/>
      <c r="Q1647" s="137"/>
    </row>
    <row r="1648" spans="1:17" ht="15" customHeight="1" x14ac:dyDescent="0.35">
      <c r="A1648" s="129"/>
      <c r="B1648" s="137"/>
      <c r="C1648" s="137"/>
      <c r="D1648" s="137"/>
      <c r="E1648" s="137"/>
      <c r="F1648" s="137"/>
      <c r="G1648" s="137"/>
      <c r="H1648" s="137"/>
      <c r="I1648" s="137"/>
      <c r="J1648" s="138"/>
      <c r="K1648" s="137"/>
      <c r="L1648" s="137"/>
      <c r="M1648" s="137"/>
      <c r="N1648" s="137"/>
      <c r="O1648" s="137"/>
      <c r="P1648" s="137"/>
      <c r="Q1648" s="137"/>
    </row>
    <row r="1649" spans="1:17" ht="15" customHeight="1" x14ac:dyDescent="0.35">
      <c r="A1649" s="129"/>
      <c r="B1649" s="137"/>
      <c r="C1649" s="137"/>
      <c r="D1649" s="137"/>
      <c r="E1649" s="137"/>
      <c r="F1649" s="137"/>
      <c r="G1649" s="137"/>
      <c r="H1649" s="137"/>
      <c r="I1649" s="137"/>
      <c r="J1649" s="138"/>
      <c r="K1649" s="137"/>
      <c r="L1649" s="137"/>
      <c r="M1649" s="137"/>
      <c r="N1649" s="137"/>
      <c r="O1649" s="137"/>
      <c r="P1649" s="137"/>
      <c r="Q1649" s="137"/>
    </row>
    <row r="1650" spans="1:17" ht="15" customHeight="1" x14ac:dyDescent="0.35">
      <c r="A1650" s="129"/>
      <c r="B1650" s="137"/>
      <c r="C1650" s="137"/>
      <c r="D1650" s="137"/>
      <c r="E1650" s="137"/>
      <c r="F1650" s="137"/>
      <c r="G1650" s="137"/>
      <c r="H1650" s="137"/>
      <c r="I1650" s="137"/>
      <c r="J1650" s="138"/>
      <c r="K1650" s="137"/>
      <c r="L1650" s="137"/>
      <c r="M1650" s="137"/>
      <c r="N1650" s="137"/>
      <c r="O1650" s="137"/>
      <c r="P1650" s="137"/>
      <c r="Q1650" s="137"/>
    </row>
    <row r="1651" spans="1:17" ht="15" customHeight="1" x14ac:dyDescent="0.35">
      <c r="A1651" s="129"/>
      <c r="B1651" s="137"/>
      <c r="C1651" s="137"/>
      <c r="D1651" s="137"/>
      <c r="E1651" s="137"/>
      <c r="F1651" s="137"/>
      <c r="G1651" s="137"/>
      <c r="H1651" s="137"/>
      <c r="I1651" s="137"/>
      <c r="J1651" s="138"/>
      <c r="K1651" s="137"/>
      <c r="L1651" s="137"/>
      <c r="M1651" s="137"/>
      <c r="N1651" s="137"/>
      <c r="O1651" s="137"/>
      <c r="P1651" s="137"/>
      <c r="Q1651" s="137"/>
    </row>
    <row r="1652" spans="1:17" ht="15" customHeight="1" x14ac:dyDescent="0.35">
      <c r="A1652" s="129"/>
      <c r="B1652" s="137"/>
      <c r="C1652" s="137"/>
      <c r="D1652" s="137"/>
      <c r="E1652" s="137"/>
      <c r="F1652" s="137"/>
      <c r="G1652" s="137"/>
      <c r="H1652" s="137"/>
      <c r="I1652" s="137"/>
      <c r="J1652" s="138"/>
      <c r="K1652" s="137"/>
      <c r="L1652" s="137"/>
      <c r="M1652" s="137"/>
      <c r="N1652" s="137"/>
      <c r="O1652" s="137"/>
      <c r="P1652" s="137"/>
      <c r="Q1652" s="137"/>
    </row>
    <row r="1653" spans="1:17" ht="15" customHeight="1" x14ac:dyDescent="0.35">
      <c r="A1653" s="129"/>
      <c r="B1653" s="137"/>
      <c r="C1653" s="137"/>
      <c r="D1653" s="137"/>
      <c r="E1653" s="137"/>
      <c r="F1653" s="137"/>
      <c r="G1653" s="137"/>
      <c r="H1653" s="137"/>
      <c r="I1653" s="137"/>
      <c r="J1653" s="138"/>
      <c r="K1653" s="137"/>
      <c r="L1653" s="137"/>
      <c r="M1653" s="137"/>
      <c r="N1653" s="137"/>
      <c r="O1653" s="137"/>
      <c r="P1653" s="137"/>
      <c r="Q1653" s="137"/>
    </row>
    <row r="1654" spans="1:17" ht="15" customHeight="1" x14ac:dyDescent="0.35">
      <c r="A1654" s="129"/>
      <c r="B1654" s="137"/>
      <c r="C1654" s="137"/>
      <c r="D1654" s="137"/>
      <c r="E1654" s="137"/>
      <c r="F1654" s="137"/>
      <c r="G1654" s="137"/>
      <c r="H1654" s="137"/>
      <c r="I1654" s="137"/>
      <c r="J1654" s="138"/>
      <c r="K1654" s="137"/>
      <c r="L1654" s="137"/>
      <c r="M1654" s="137"/>
      <c r="N1654" s="137"/>
      <c r="O1654" s="137"/>
      <c r="P1654" s="137"/>
      <c r="Q1654" s="137"/>
    </row>
    <row r="1655" spans="1:17" ht="15" customHeight="1" x14ac:dyDescent="0.35">
      <c r="A1655" s="129"/>
      <c r="B1655" s="137"/>
      <c r="C1655" s="137"/>
      <c r="D1655" s="137"/>
      <c r="E1655" s="137"/>
      <c r="F1655" s="137"/>
      <c r="G1655" s="137"/>
      <c r="H1655" s="137"/>
      <c r="I1655" s="137"/>
      <c r="J1655" s="138"/>
      <c r="K1655" s="137"/>
      <c r="L1655" s="137"/>
      <c r="M1655" s="137"/>
      <c r="N1655" s="137"/>
      <c r="O1655" s="137"/>
      <c r="P1655" s="137"/>
      <c r="Q1655" s="137"/>
    </row>
    <row r="1656" spans="1:17" ht="15" customHeight="1" x14ac:dyDescent="0.35">
      <c r="A1656" s="129"/>
      <c r="B1656" s="137"/>
      <c r="C1656" s="137"/>
      <c r="D1656" s="137"/>
      <c r="E1656" s="137"/>
      <c r="F1656" s="137"/>
      <c r="G1656" s="137"/>
      <c r="H1656" s="137"/>
      <c r="I1656" s="137"/>
      <c r="J1656" s="138"/>
      <c r="K1656" s="137"/>
      <c r="L1656" s="137"/>
      <c r="M1656" s="137"/>
      <c r="N1656" s="137"/>
      <c r="O1656" s="137"/>
      <c r="P1656" s="137"/>
      <c r="Q1656" s="137"/>
    </row>
    <row r="1657" spans="1:17" ht="15" customHeight="1" x14ac:dyDescent="0.35">
      <c r="A1657" s="129"/>
      <c r="B1657" s="137"/>
      <c r="C1657" s="137"/>
      <c r="D1657" s="137"/>
      <c r="E1657" s="137"/>
      <c r="F1657" s="137"/>
      <c r="G1657" s="137"/>
      <c r="H1657" s="137"/>
      <c r="I1657" s="137"/>
      <c r="J1657" s="138"/>
      <c r="K1657" s="137"/>
      <c r="L1657" s="137"/>
      <c r="M1657" s="137"/>
      <c r="N1657" s="137"/>
      <c r="O1657" s="137"/>
      <c r="P1657" s="137"/>
      <c r="Q1657" s="137"/>
    </row>
    <row r="1658" spans="1:17" ht="15" customHeight="1" x14ac:dyDescent="0.35">
      <c r="A1658" s="129"/>
      <c r="B1658" s="137"/>
      <c r="C1658" s="137"/>
      <c r="D1658" s="137"/>
      <c r="E1658" s="137"/>
      <c r="F1658" s="137"/>
      <c r="G1658" s="137"/>
      <c r="H1658" s="137"/>
      <c r="I1658" s="137"/>
      <c r="J1658" s="138"/>
      <c r="K1658" s="137"/>
      <c r="L1658" s="137"/>
      <c r="M1658" s="137"/>
      <c r="N1658" s="137"/>
      <c r="O1658" s="137"/>
      <c r="P1658" s="137"/>
      <c r="Q1658" s="137"/>
    </row>
    <row r="1659" spans="1:17" ht="15" customHeight="1" x14ac:dyDescent="0.35">
      <c r="A1659" s="129"/>
      <c r="B1659" s="137"/>
      <c r="C1659" s="137"/>
      <c r="D1659" s="137"/>
      <c r="E1659" s="137"/>
      <c r="F1659" s="137"/>
      <c r="G1659" s="137"/>
      <c r="H1659" s="137"/>
      <c r="I1659" s="137"/>
      <c r="J1659" s="138"/>
      <c r="K1659" s="137"/>
      <c r="L1659" s="137"/>
      <c r="M1659" s="137"/>
      <c r="N1659" s="137"/>
      <c r="O1659" s="137"/>
      <c r="P1659" s="137"/>
      <c r="Q1659" s="137"/>
    </row>
    <row r="1660" spans="1:17" ht="15" customHeight="1" x14ac:dyDescent="0.35">
      <c r="A1660" s="129"/>
      <c r="B1660" s="137"/>
      <c r="C1660" s="137"/>
      <c r="D1660" s="137"/>
      <c r="E1660" s="137"/>
      <c r="F1660" s="137"/>
      <c r="G1660" s="137"/>
      <c r="H1660" s="137"/>
      <c r="I1660" s="137"/>
      <c r="J1660" s="138"/>
      <c r="K1660" s="137"/>
      <c r="L1660" s="137"/>
      <c r="M1660" s="137"/>
      <c r="N1660" s="137"/>
      <c r="O1660" s="137"/>
      <c r="P1660" s="137"/>
      <c r="Q1660" s="137"/>
    </row>
    <row r="1661" spans="1:17" ht="15" customHeight="1" x14ac:dyDescent="0.35">
      <c r="A1661" s="129"/>
      <c r="B1661" s="137"/>
      <c r="C1661" s="137"/>
      <c r="D1661" s="137"/>
      <c r="E1661" s="137"/>
      <c r="F1661" s="137"/>
      <c r="G1661" s="137"/>
      <c r="H1661" s="137"/>
      <c r="I1661" s="137"/>
      <c r="J1661" s="138"/>
      <c r="K1661" s="137"/>
      <c r="L1661" s="137"/>
      <c r="M1661" s="137"/>
      <c r="N1661" s="137"/>
      <c r="O1661" s="137"/>
      <c r="P1661" s="137"/>
      <c r="Q1661" s="137"/>
    </row>
    <row r="1662" spans="1:17" ht="15" customHeight="1" x14ac:dyDescent="0.35">
      <c r="A1662" s="129"/>
      <c r="B1662" s="137"/>
      <c r="C1662" s="137"/>
      <c r="D1662" s="137"/>
      <c r="E1662" s="137"/>
      <c r="F1662" s="137"/>
      <c r="G1662" s="137"/>
      <c r="H1662" s="137"/>
      <c r="I1662" s="137"/>
      <c r="J1662" s="138"/>
      <c r="K1662" s="137"/>
      <c r="L1662" s="137"/>
      <c r="M1662" s="137"/>
      <c r="N1662" s="137"/>
      <c r="O1662" s="137"/>
      <c r="P1662" s="137"/>
      <c r="Q1662" s="137"/>
    </row>
    <row r="1663" spans="1:17" ht="15" customHeight="1" x14ac:dyDescent="0.35">
      <c r="A1663" s="129"/>
      <c r="B1663" s="137"/>
      <c r="C1663" s="137"/>
      <c r="D1663" s="137"/>
      <c r="E1663" s="137"/>
      <c r="F1663" s="137"/>
      <c r="G1663" s="137"/>
      <c r="H1663" s="137"/>
      <c r="I1663" s="137"/>
      <c r="J1663" s="138"/>
      <c r="K1663" s="137"/>
      <c r="L1663" s="137"/>
      <c r="M1663" s="137"/>
      <c r="N1663" s="137"/>
      <c r="O1663" s="137"/>
      <c r="P1663" s="137"/>
      <c r="Q1663" s="137"/>
    </row>
    <row r="1664" spans="1:17" ht="15" customHeight="1" x14ac:dyDescent="0.35">
      <c r="A1664" s="129"/>
      <c r="B1664" s="137"/>
      <c r="C1664" s="137"/>
      <c r="D1664" s="137"/>
      <c r="E1664" s="137"/>
      <c r="F1664" s="137"/>
      <c r="G1664" s="137"/>
      <c r="H1664" s="137"/>
      <c r="I1664" s="137"/>
      <c r="J1664" s="138"/>
      <c r="K1664" s="137"/>
      <c r="L1664" s="137"/>
      <c r="M1664" s="137"/>
      <c r="N1664" s="137"/>
      <c r="O1664" s="137"/>
      <c r="P1664" s="137"/>
      <c r="Q1664" s="137"/>
    </row>
    <row r="1665" spans="1:17" ht="15" customHeight="1" x14ac:dyDescent="0.35">
      <c r="A1665" s="129"/>
      <c r="B1665" s="137"/>
      <c r="C1665" s="137"/>
      <c r="D1665" s="137"/>
      <c r="E1665" s="137"/>
      <c r="F1665" s="137"/>
      <c r="G1665" s="137"/>
      <c r="H1665" s="137"/>
      <c r="I1665" s="137"/>
      <c r="J1665" s="138"/>
      <c r="K1665" s="137"/>
      <c r="L1665" s="137"/>
      <c r="M1665" s="137"/>
      <c r="N1665" s="137"/>
      <c r="O1665" s="137"/>
      <c r="P1665" s="137"/>
      <c r="Q1665" s="137"/>
    </row>
    <row r="1666" spans="1:17" ht="15" customHeight="1" x14ac:dyDescent="0.35">
      <c r="A1666" s="129"/>
      <c r="B1666" s="137"/>
      <c r="C1666" s="137"/>
      <c r="D1666" s="137"/>
      <c r="E1666" s="137"/>
      <c r="F1666" s="137"/>
      <c r="G1666" s="137"/>
      <c r="H1666" s="137"/>
      <c r="I1666" s="137"/>
      <c r="J1666" s="138"/>
      <c r="K1666" s="137"/>
      <c r="L1666" s="137"/>
      <c r="M1666" s="137"/>
      <c r="N1666" s="137"/>
      <c r="O1666" s="137"/>
      <c r="P1666" s="137"/>
      <c r="Q1666" s="137"/>
    </row>
    <row r="1667" spans="1:17" ht="15" customHeight="1" x14ac:dyDescent="0.35">
      <c r="A1667" s="129"/>
      <c r="B1667" s="137"/>
      <c r="C1667" s="137"/>
      <c r="D1667" s="137"/>
      <c r="E1667" s="137"/>
      <c r="F1667" s="137"/>
      <c r="G1667" s="137"/>
      <c r="H1667" s="137"/>
      <c r="I1667" s="137"/>
      <c r="J1667" s="138"/>
      <c r="K1667" s="137"/>
      <c r="L1667" s="137"/>
      <c r="M1667" s="137"/>
      <c r="N1667" s="137"/>
      <c r="O1667" s="137"/>
      <c r="P1667" s="137"/>
      <c r="Q1667" s="137"/>
    </row>
    <row r="1668" spans="1:17" ht="15" customHeight="1" x14ac:dyDescent="0.35">
      <c r="A1668" s="129"/>
      <c r="B1668" s="137"/>
      <c r="C1668" s="137"/>
      <c r="D1668" s="137"/>
      <c r="E1668" s="137"/>
      <c r="F1668" s="137"/>
      <c r="G1668" s="137"/>
      <c r="H1668" s="137"/>
      <c r="I1668" s="137"/>
      <c r="J1668" s="138"/>
      <c r="K1668" s="137"/>
      <c r="L1668" s="137"/>
      <c r="M1668" s="137"/>
      <c r="N1668" s="137"/>
      <c r="O1668" s="137"/>
      <c r="P1668" s="137"/>
      <c r="Q1668" s="137"/>
    </row>
    <row r="1669" spans="1:17" ht="15" customHeight="1" x14ac:dyDescent="0.35">
      <c r="A1669" s="129"/>
      <c r="B1669" s="137"/>
      <c r="C1669" s="137"/>
      <c r="D1669" s="137"/>
      <c r="E1669" s="137"/>
      <c r="F1669" s="137"/>
      <c r="G1669" s="137"/>
      <c r="H1669" s="137"/>
      <c r="I1669" s="137"/>
      <c r="J1669" s="138"/>
      <c r="K1669" s="137"/>
      <c r="L1669" s="137"/>
      <c r="M1669" s="137"/>
      <c r="N1669" s="137"/>
      <c r="O1669" s="137"/>
      <c r="P1669" s="137"/>
      <c r="Q1669" s="137"/>
    </row>
    <row r="1670" spans="1:17" ht="15" customHeight="1" x14ac:dyDescent="0.35">
      <c r="A1670" s="129"/>
      <c r="B1670" s="137"/>
      <c r="C1670" s="137"/>
      <c r="D1670" s="137"/>
      <c r="E1670" s="137"/>
      <c r="F1670" s="137"/>
      <c r="G1670" s="137"/>
      <c r="H1670" s="137"/>
      <c r="I1670" s="137"/>
      <c r="J1670" s="138"/>
      <c r="K1670" s="137"/>
      <c r="L1670" s="137"/>
      <c r="M1670" s="137"/>
      <c r="N1670" s="137"/>
      <c r="O1670" s="137"/>
      <c r="P1670" s="137"/>
      <c r="Q1670" s="137"/>
    </row>
    <row r="1671" spans="1:17" ht="15" customHeight="1" x14ac:dyDescent="0.35">
      <c r="A1671" s="129"/>
      <c r="B1671" s="137"/>
      <c r="C1671" s="137"/>
      <c r="D1671" s="137"/>
      <c r="E1671" s="137"/>
      <c r="F1671" s="137"/>
      <c r="G1671" s="137"/>
      <c r="H1671" s="137"/>
      <c r="I1671" s="137"/>
      <c r="J1671" s="138"/>
      <c r="K1671" s="137"/>
      <c r="L1671" s="137"/>
      <c r="M1671" s="137"/>
      <c r="N1671" s="137"/>
      <c r="O1671" s="137"/>
      <c r="P1671" s="137"/>
      <c r="Q1671" s="137"/>
    </row>
    <row r="1672" spans="1:17" ht="15" customHeight="1" x14ac:dyDescent="0.35">
      <c r="A1672" s="129"/>
      <c r="B1672" s="137"/>
      <c r="C1672" s="137"/>
      <c r="D1672" s="137"/>
      <c r="E1672" s="137"/>
      <c r="F1672" s="137"/>
      <c r="G1672" s="137"/>
      <c r="H1672" s="137"/>
      <c r="I1672" s="137"/>
      <c r="J1672" s="138"/>
      <c r="K1672" s="137"/>
      <c r="L1672" s="137"/>
      <c r="M1672" s="137"/>
      <c r="N1672" s="137"/>
      <c r="O1672" s="137"/>
      <c r="P1672" s="137"/>
      <c r="Q1672" s="137"/>
    </row>
    <row r="1673" spans="1:17" ht="15" customHeight="1" x14ac:dyDescent="0.35">
      <c r="A1673" s="129"/>
      <c r="B1673" s="137"/>
      <c r="C1673" s="137"/>
      <c r="D1673" s="137"/>
      <c r="E1673" s="137"/>
      <c r="F1673" s="137"/>
      <c r="G1673" s="137"/>
      <c r="H1673" s="137"/>
      <c r="I1673" s="137"/>
      <c r="J1673" s="138"/>
      <c r="K1673" s="137"/>
      <c r="L1673" s="137"/>
      <c r="M1673" s="137"/>
      <c r="N1673" s="137"/>
      <c r="O1673" s="137"/>
      <c r="P1673" s="137"/>
      <c r="Q1673" s="137"/>
    </row>
    <row r="1674" spans="1:17" ht="15" customHeight="1" x14ac:dyDescent="0.35">
      <c r="A1674" s="129"/>
      <c r="B1674" s="137"/>
      <c r="C1674" s="137"/>
      <c r="D1674" s="137"/>
      <c r="E1674" s="137"/>
      <c r="F1674" s="137"/>
      <c r="G1674" s="137"/>
      <c r="H1674" s="137"/>
      <c r="I1674" s="137"/>
      <c r="J1674" s="138"/>
      <c r="K1674" s="137"/>
      <c r="L1674" s="137"/>
      <c r="M1674" s="137"/>
      <c r="N1674" s="137"/>
      <c r="O1674" s="137"/>
      <c r="P1674" s="137"/>
      <c r="Q1674" s="137"/>
    </row>
    <row r="1675" spans="1:17" ht="15" customHeight="1" x14ac:dyDescent="0.35">
      <c r="A1675" s="129"/>
      <c r="B1675" s="137"/>
      <c r="C1675" s="137"/>
      <c r="D1675" s="137"/>
      <c r="E1675" s="137"/>
      <c r="F1675" s="137"/>
      <c r="G1675" s="137"/>
      <c r="H1675" s="137"/>
      <c r="I1675" s="137"/>
      <c r="J1675" s="138"/>
      <c r="K1675" s="137"/>
      <c r="L1675" s="137"/>
      <c r="M1675" s="137"/>
      <c r="N1675" s="137"/>
      <c r="O1675" s="137"/>
      <c r="P1675" s="137"/>
      <c r="Q1675" s="137"/>
    </row>
    <row r="1676" spans="1:17" ht="15" customHeight="1" x14ac:dyDescent="0.35">
      <c r="A1676" s="129"/>
      <c r="B1676" s="137"/>
      <c r="C1676" s="137"/>
      <c r="D1676" s="137"/>
      <c r="E1676" s="137"/>
      <c r="F1676" s="137"/>
      <c r="G1676" s="137"/>
      <c r="H1676" s="137"/>
      <c r="I1676" s="137"/>
      <c r="J1676" s="138"/>
      <c r="K1676" s="137"/>
      <c r="L1676" s="137"/>
      <c r="M1676" s="137"/>
      <c r="N1676" s="137"/>
      <c r="O1676" s="137"/>
      <c r="P1676" s="137"/>
      <c r="Q1676" s="137"/>
    </row>
    <row r="1677" spans="1:17" ht="15" customHeight="1" x14ac:dyDescent="0.35">
      <c r="A1677" s="129"/>
      <c r="B1677" s="137"/>
      <c r="C1677" s="137"/>
      <c r="D1677" s="137"/>
      <c r="E1677" s="137"/>
      <c r="F1677" s="137"/>
      <c r="G1677" s="137"/>
      <c r="H1677" s="137"/>
      <c r="I1677" s="137"/>
      <c r="J1677" s="138"/>
      <c r="K1677" s="137"/>
      <c r="L1677" s="137"/>
      <c r="M1677" s="137"/>
      <c r="N1677" s="137"/>
      <c r="O1677" s="137"/>
      <c r="P1677" s="137"/>
      <c r="Q1677" s="137"/>
    </row>
    <row r="1678" spans="1:17" ht="15" customHeight="1" x14ac:dyDescent="0.35">
      <c r="A1678" s="129"/>
      <c r="B1678" s="137"/>
      <c r="C1678" s="137"/>
      <c r="D1678" s="137"/>
      <c r="E1678" s="137"/>
      <c r="F1678" s="137"/>
      <c r="G1678" s="137"/>
      <c r="H1678" s="137"/>
      <c r="I1678" s="137"/>
      <c r="J1678" s="138"/>
      <c r="K1678" s="137"/>
      <c r="L1678" s="137"/>
      <c r="M1678" s="137"/>
      <c r="N1678" s="137"/>
      <c r="O1678" s="137"/>
      <c r="P1678" s="137"/>
      <c r="Q1678" s="137"/>
    </row>
    <row r="1679" spans="1:17" ht="15" customHeight="1" x14ac:dyDescent="0.35">
      <c r="A1679" s="129"/>
      <c r="B1679" s="137"/>
      <c r="C1679" s="137"/>
      <c r="D1679" s="137"/>
      <c r="E1679" s="137"/>
      <c r="F1679" s="137"/>
      <c r="G1679" s="137"/>
      <c r="H1679" s="137"/>
      <c r="I1679" s="137"/>
      <c r="J1679" s="138"/>
      <c r="K1679" s="137"/>
      <c r="L1679" s="137"/>
      <c r="M1679" s="137"/>
      <c r="N1679" s="137"/>
      <c r="O1679" s="137"/>
      <c r="P1679" s="137"/>
      <c r="Q1679" s="137"/>
    </row>
    <row r="1680" spans="1:17" ht="15" customHeight="1" x14ac:dyDescent="0.35">
      <c r="A1680" s="129"/>
      <c r="B1680" s="137"/>
      <c r="C1680" s="137"/>
      <c r="D1680" s="137"/>
      <c r="E1680" s="137"/>
      <c r="F1680" s="137"/>
      <c r="G1680" s="137"/>
      <c r="H1680" s="137"/>
      <c r="I1680" s="137"/>
      <c r="J1680" s="138"/>
      <c r="K1680" s="137"/>
      <c r="L1680" s="137"/>
      <c r="M1680" s="137"/>
      <c r="N1680" s="137"/>
      <c r="O1680" s="137"/>
      <c r="P1680" s="137"/>
      <c r="Q1680" s="137"/>
    </row>
    <row r="1681" spans="1:17" ht="15" customHeight="1" x14ac:dyDescent="0.35">
      <c r="A1681" s="129"/>
      <c r="B1681" s="137"/>
      <c r="C1681" s="137"/>
      <c r="D1681" s="137"/>
      <c r="E1681" s="137"/>
      <c r="F1681" s="137"/>
      <c r="G1681" s="137"/>
      <c r="H1681" s="137"/>
      <c r="I1681" s="137"/>
      <c r="J1681" s="138"/>
      <c r="K1681" s="137"/>
      <c r="L1681" s="137"/>
      <c r="M1681" s="137"/>
      <c r="N1681" s="137"/>
      <c r="O1681" s="137"/>
      <c r="P1681" s="137"/>
      <c r="Q1681" s="137"/>
    </row>
    <row r="1682" spans="1:17" ht="15" customHeight="1" x14ac:dyDescent="0.35">
      <c r="A1682" s="129"/>
      <c r="B1682" s="137"/>
      <c r="C1682" s="137"/>
      <c r="D1682" s="137"/>
      <c r="E1682" s="137"/>
      <c r="F1682" s="137"/>
      <c r="G1682" s="137"/>
      <c r="H1682" s="137"/>
      <c r="I1682" s="137"/>
      <c r="J1682" s="138"/>
      <c r="K1682" s="137"/>
      <c r="L1682" s="137"/>
      <c r="M1682" s="137"/>
      <c r="N1682" s="137"/>
      <c r="O1682" s="137"/>
      <c r="P1682" s="137"/>
      <c r="Q1682" s="137"/>
    </row>
    <row r="1683" spans="1:17" ht="15" customHeight="1" x14ac:dyDescent="0.35">
      <c r="A1683" s="129"/>
      <c r="B1683" s="137"/>
      <c r="C1683" s="137"/>
      <c r="D1683" s="137"/>
      <c r="E1683" s="137"/>
      <c r="F1683" s="137"/>
      <c r="G1683" s="137"/>
      <c r="H1683" s="137"/>
      <c r="I1683" s="137"/>
      <c r="J1683" s="138"/>
      <c r="K1683" s="137"/>
      <c r="L1683" s="137"/>
      <c r="M1683" s="137"/>
      <c r="N1683" s="137"/>
      <c r="O1683" s="137"/>
      <c r="P1683" s="137"/>
      <c r="Q1683" s="137"/>
    </row>
    <row r="1684" spans="1:17" ht="15" customHeight="1" x14ac:dyDescent="0.35">
      <c r="A1684" s="129"/>
      <c r="B1684" s="137"/>
      <c r="C1684" s="137"/>
      <c r="D1684" s="137"/>
      <c r="E1684" s="137"/>
      <c r="F1684" s="137"/>
      <c r="G1684" s="137"/>
      <c r="H1684" s="137"/>
      <c r="I1684" s="137"/>
      <c r="J1684" s="138"/>
      <c r="K1684" s="137"/>
      <c r="L1684" s="137"/>
      <c r="M1684" s="137"/>
      <c r="N1684" s="137"/>
      <c r="O1684" s="137"/>
      <c r="P1684" s="137"/>
      <c r="Q1684" s="137"/>
    </row>
    <row r="1685" spans="1:17" ht="15" customHeight="1" x14ac:dyDescent="0.35">
      <c r="A1685" s="129"/>
      <c r="B1685" s="137"/>
      <c r="C1685" s="137"/>
      <c r="D1685" s="137"/>
      <c r="E1685" s="137"/>
      <c r="F1685" s="137"/>
      <c r="G1685" s="137"/>
      <c r="H1685" s="137"/>
      <c r="I1685" s="137"/>
      <c r="J1685" s="138"/>
      <c r="K1685" s="137"/>
      <c r="L1685" s="137"/>
      <c r="M1685" s="137"/>
      <c r="N1685" s="137"/>
      <c r="O1685" s="137"/>
      <c r="P1685" s="137"/>
      <c r="Q1685" s="137"/>
    </row>
    <row r="1686" spans="1:17" ht="15" customHeight="1" x14ac:dyDescent="0.35">
      <c r="A1686" s="129"/>
      <c r="B1686" s="137"/>
      <c r="C1686" s="137"/>
      <c r="D1686" s="137"/>
      <c r="E1686" s="137"/>
      <c r="F1686" s="137"/>
      <c r="G1686" s="137"/>
      <c r="H1686" s="137"/>
      <c r="I1686" s="137"/>
      <c r="J1686" s="138"/>
      <c r="K1686" s="137"/>
      <c r="L1686" s="137"/>
      <c r="M1686" s="137"/>
      <c r="N1686" s="137"/>
      <c r="O1686" s="137"/>
      <c r="P1686" s="137"/>
      <c r="Q1686" s="137"/>
    </row>
    <row r="1687" spans="1:17" ht="15" customHeight="1" x14ac:dyDescent="0.35">
      <c r="A1687" s="129"/>
      <c r="B1687" s="137"/>
      <c r="C1687" s="137"/>
      <c r="D1687" s="137"/>
      <c r="E1687" s="137"/>
      <c r="F1687" s="137"/>
      <c r="G1687" s="137"/>
      <c r="H1687" s="137"/>
      <c r="I1687" s="137"/>
      <c r="J1687" s="138"/>
      <c r="K1687" s="137"/>
      <c r="L1687" s="137"/>
      <c r="M1687" s="137"/>
      <c r="N1687" s="137"/>
      <c r="O1687" s="137"/>
      <c r="P1687" s="137"/>
      <c r="Q1687" s="137"/>
    </row>
    <row r="1688" spans="1:17" ht="15" customHeight="1" x14ac:dyDescent="0.35">
      <c r="A1688" s="129"/>
      <c r="B1688" s="137"/>
      <c r="C1688" s="137"/>
      <c r="D1688" s="137"/>
      <c r="E1688" s="137"/>
      <c r="F1688" s="137"/>
      <c r="G1688" s="137"/>
      <c r="H1688" s="137"/>
      <c r="I1688" s="137"/>
      <c r="J1688" s="138"/>
      <c r="K1688" s="137"/>
      <c r="L1688" s="137"/>
      <c r="M1688" s="137"/>
      <c r="N1688" s="137"/>
      <c r="O1688" s="137"/>
      <c r="P1688" s="137"/>
      <c r="Q1688" s="137"/>
    </row>
    <row r="1689" spans="1:17" ht="15" customHeight="1" x14ac:dyDescent="0.35">
      <c r="A1689" s="129"/>
      <c r="B1689" s="137"/>
      <c r="C1689" s="137"/>
      <c r="D1689" s="137"/>
      <c r="E1689" s="137"/>
      <c r="F1689" s="137"/>
      <c r="G1689" s="137"/>
      <c r="H1689" s="137"/>
      <c r="I1689" s="137"/>
      <c r="J1689" s="138"/>
      <c r="K1689" s="137"/>
      <c r="L1689" s="137"/>
      <c r="M1689" s="137"/>
      <c r="N1689" s="137"/>
      <c r="O1689" s="137"/>
      <c r="P1689" s="137"/>
      <c r="Q1689" s="137"/>
    </row>
    <row r="1690" spans="1:17" ht="15" customHeight="1" x14ac:dyDescent="0.35">
      <c r="A1690" s="129"/>
      <c r="B1690" s="137"/>
      <c r="C1690" s="137"/>
      <c r="D1690" s="137"/>
      <c r="E1690" s="137"/>
      <c r="F1690" s="137"/>
      <c r="G1690" s="137"/>
      <c r="H1690" s="137"/>
      <c r="I1690" s="137"/>
      <c r="J1690" s="138"/>
      <c r="K1690" s="137"/>
      <c r="L1690" s="137"/>
      <c r="M1690" s="137"/>
      <c r="N1690" s="137"/>
      <c r="O1690" s="137"/>
      <c r="P1690" s="137"/>
      <c r="Q1690" s="137"/>
    </row>
    <row r="1691" spans="1:17" ht="15" customHeight="1" x14ac:dyDescent="0.35">
      <c r="A1691" s="129"/>
      <c r="B1691" s="137"/>
      <c r="C1691" s="137"/>
      <c r="D1691" s="137"/>
      <c r="E1691" s="137"/>
      <c r="F1691" s="137"/>
      <c r="G1691" s="137"/>
      <c r="H1691" s="137"/>
      <c r="I1691" s="137"/>
      <c r="J1691" s="138"/>
      <c r="K1691" s="137"/>
      <c r="L1691" s="137"/>
      <c r="M1691" s="137"/>
      <c r="N1691" s="137"/>
      <c r="O1691" s="137"/>
      <c r="P1691" s="137"/>
      <c r="Q1691" s="137"/>
    </row>
    <row r="1692" spans="1:17" ht="15" customHeight="1" x14ac:dyDescent="0.35">
      <c r="A1692" s="129"/>
      <c r="B1692" s="137"/>
      <c r="C1692" s="137"/>
      <c r="D1692" s="137"/>
      <c r="E1692" s="137"/>
      <c r="F1692" s="137"/>
      <c r="G1692" s="137"/>
      <c r="H1692" s="137"/>
      <c r="I1692" s="137"/>
      <c r="J1692" s="138"/>
      <c r="K1692" s="137"/>
      <c r="L1692" s="137"/>
      <c r="M1692" s="137"/>
      <c r="N1692" s="137"/>
      <c r="O1692" s="137"/>
      <c r="P1692" s="137"/>
      <c r="Q1692" s="137"/>
    </row>
    <row r="1693" spans="1:17" ht="15" customHeight="1" x14ac:dyDescent="0.35">
      <c r="A1693" s="129"/>
      <c r="B1693" s="137"/>
      <c r="C1693" s="137"/>
      <c r="D1693" s="137"/>
      <c r="E1693" s="137"/>
      <c r="F1693" s="137"/>
      <c r="G1693" s="137"/>
      <c r="H1693" s="137"/>
      <c r="I1693" s="137"/>
      <c r="J1693" s="138"/>
      <c r="K1693" s="137"/>
      <c r="L1693" s="137"/>
      <c r="M1693" s="137"/>
      <c r="N1693" s="137"/>
      <c r="O1693" s="137"/>
      <c r="P1693" s="137"/>
      <c r="Q1693" s="137"/>
    </row>
    <row r="1694" spans="1:17" ht="15" customHeight="1" x14ac:dyDescent="0.35">
      <c r="A1694" s="129"/>
      <c r="B1694" s="137"/>
      <c r="C1694" s="137"/>
      <c r="D1694" s="137"/>
      <c r="E1694" s="137"/>
      <c r="F1694" s="137"/>
      <c r="G1694" s="137"/>
      <c r="H1694" s="137"/>
      <c r="I1694" s="137"/>
      <c r="J1694" s="138"/>
      <c r="K1694" s="137"/>
      <c r="L1694" s="137"/>
      <c r="M1694" s="137"/>
      <c r="N1694" s="137"/>
      <c r="O1694" s="137"/>
      <c r="P1694" s="137"/>
      <c r="Q1694" s="137"/>
    </row>
    <row r="1695" spans="1:17" ht="15" customHeight="1" x14ac:dyDescent="0.35">
      <c r="A1695" s="129"/>
      <c r="B1695" s="137"/>
      <c r="C1695" s="137"/>
      <c r="D1695" s="137"/>
      <c r="E1695" s="137"/>
      <c r="F1695" s="137"/>
      <c r="G1695" s="137"/>
      <c r="H1695" s="137"/>
      <c r="I1695" s="137"/>
      <c r="J1695" s="138"/>
      <c r="K1695" s="137"/>
      <c r="L1695" s="137"/>
      <c r="M1695" s="137"/>
      <c r="N1695" s="137"/>
      <c r="O1695" s="137"/>
      <c r="P1695" s="137"/>
      <c r="Q1695" s="137"/>
    </row>
    <row r="1696" spans="1:17" ht="15" customHeight="1" x14ac:dyDescent="0.35">
      <c r="A1696" s="129"/>
      <c r="B1696" s="137"/>
      <c r="C1696" s="137"/>
      <c r="D1696" s="137"/>
      <c r="E1696" s="137"/>
      <c r="F1696" s="137"/>
      <c r="G1696" s="137"/>
      <c r="H1696" s="137"/>
      <c r="I1696" s="137"/>
      <c r="J1696" s="138"/>
      <c r="K1696" s="137"/>
      <c r="L1696" s="137"/>
      <c r="M1696" s="137"/>
      <c r="N1696" s="137"/>
      <c r="O1696" s="137"/>
      <c r="P1696" s="137"/>
      <c r="Q1696" s="137"/>
    </row>
    <row r="1697" spans="1:17" ht="15" customHeight="1" x14ac:dyDescent="0.35">
      <c r="A1697" s="129"/>
      <c r="B1697" s="137"/>
      <c r="C1697" s="137"/>
      <c r="D1697" s="137"/>
      <c r="E1697" s="137"/>
      <c r="F1697" s="137"/>
      <c r="G1697" s="137"/>
      <c r="H1697" s="137"/>
      <c r="I1697" s="137"/>
      <c r="J1697" s="138"/>
      <c r="K1697" s="137"/>
      <c r="L1697" s="137"/>
      <c r="M1697" s="137"/>
      <c r="N1697" s="137"/>
      <c r="O1697" s="137"/>
      <c r="P1697" s="137"/>
      <c r="Q1697" s="137"/>
    </row>
    <row r="1698" spans="1:17" ht="15" customHeight="1" x14ac:dyDescent="0.35">
      <c r="A1698" s="129"/>
      <c r="B1698" s="137"/>
      <c r="C1698" s="137"/>
      <c r="D1698" s="137"/>
      <c r="E1698" s="137"/>
      <c r="F1698" s="137"/>
      <c r="G1698" s="137"/>
      <c r="H1698" s="137"/>
      <c r="I1698" s="137"/>
      <c r="J1698" s="138"/>
      <c r="K1698" s="137"/>
      <c r="L1698" s="137"/>
      <c r="M1698" s="137"/>
      <c r="N1698" s="137"/>
      <c r="O1698" s="137"/>
      <c r="P1698" s="137"/>
      <c r="Q1698" s="137"/>
    </row>
    <row r="1699" spans="1:17" ht="15" customHeight="1" x14ac:dyDescent="0.35">
      <c r="A1699" s="129"/>
      <c r="B1699" s="137"/>
      <c r="C1699" s="137"/>
      <c r="D1699" s="137"/>
      <c r="E1699" s="137"/>
      <c r="F1699" s="137"/>
      <c r="G1699" s="137"/>
      <c r="H1699" s="137"/>
      <c r="I1699" s="137"/>
      <c r="J1699" s="138"/>
      <c r="K1699" s="137"/>
      <c r="L1699" s="137"/>
      <c r="M1699" s="137"/>
      <c r="N1699" s="137"/>
      <c r="O1699" s="137"/>
      <c r="P1699" s="137"/>
      <c r="Q1699" s="137"/>
    </row>
    <row r="1700" spans="1:17" ht="15" customHeight="1" x14ac:dyDescent="0.35">
      <c r="A1700" s="129"/>
      <c r="B1700" s="137"/>
      <c r="C1700" s="137"/>
      <c r="D1700" s="137"/>
      <c r="E1700" s="137"/>
      <c r="F1700" s="137"/>
      <c r="G1700" s="137"/>
      <c r="H1700" s="137"/>
      <c r="I1700" s="137"/>
      <c r="J1700" s="138"/>
      <c r="K1700" s="137"/>
      <c r="L1700" s="137"/>
      <c r="M1700" s="137"/>
      <c r="N1700" s="137"/>
      <c r="O1700" s="137"/>
      <c r="P1700" s="137"/>
      <c r="Q1700" s="137"/>
    </row>
    <row r="1701" spans="1:17" ht="15" customHeight="1" x14ac:dyDescent="0.35">
      <c r="A1701" s="129"/>
      <c r="B1701" s="137"/>
      <c r="C1701" s="137"/>
      <c r="D1701" s="137"/>
      <c r="E1701" s="137"/>
      <c r="F1701" s="137"/>
      <c r="G1701" s="137"/>
      <c r="H1701" s="137"/>
      <c r="I1701" s="137"/>
      <c r="J1701" s="138"/>
      <c r="K1701" s="137"/>
      <c r="L1701" s="137"/>
      <c r="M1701" s="137"/>
      <c r="N1701" s="137"/>
      <c r="O1701" s="137"/>
      <c r="P1701" s="137"/>
      <c r="Q1701" s="137"/>
    </row>
    <row r="1702" spans="1:17" ht="15" customHeight="1" x14ac:dyDescent="0.35">
      <c r="A1702" s="129"/>
      <c r="B1702" s="137"/>
      <c r="C1702" s="137"/>
      <c r="D1702" s="137"/>
      <c r="E1702" s="137"/>
      <c r="F1702" s="137"/>
      <c r="G1702" s="137"/>
      <c r="H1702" s="137"/>
      <c r="I1702" s="137"/>
      <c r="J1702" s="138"/>
      <c r="K1702" s="137"/>
      <c r="L1702" s="137"/>
      <c r="M1702" s="137"/>
      <c r="N1702" s="137"/>
      <c r="O1702" s="137"/>
      <c r="P1702" s="137"/>
      <c r="Q1702" s="137"/>
    </row>
    <row r="1703" spans="1:17" ht="15" customHeight="1" x14ac:dyDescent="0.35">
      <c r="A1703" s="129"/>
      <c r="B1703" s="137"/>
      <c r="C1703" s="137"/>
      <c r="D1703" s="137"/>
      <c r="E1703" s="137"/>
      <c r="F1703" s="137"/>
      <c r="G1703" s="137"/>
      <c r="H1703" s="137"/>
      <c r="I1703" s="137"/>
      <c r="J1703" s="138"/>
      <c r="K1703" s="137"/>
      <c r="L1703" s="137"/>
      <c r="M1703" s="137"/>
      <c r="N1703" s="137"/>
      <c r="O1703" s="137"/>
      <c r="P1703" s="137"/>
      <c r="Q1703" s="137"/>
    </row>
    <row r="1704" spans="1:17" ht="15" customHeight="1" x14ac:dyDescent="0.35">
      <c r="A1704" s="129"/>
      <c r="B1704" s="137"/>
      <c r="C1704" s="137"/>
      <c r="D1704" s="137"/>
      <c r="E1704" s="137"/>
      <c r="F1704" s="137"/>
      <c r="G1704" s="137"/>
      <c r="H1704" s="137"/>
      <c r="I1704" s="137"/>
      <c r="J1704" s="138"/>
      <c r="K1704" s="137"/>
      <c r="L1704" s="137"/>
      <c r="M1704" s="137"/>
      <c r="N1704" s="137"/>
      <c r="O1704" s="137"/>
      <c r="P1704" s="137"/>
      <c r="Q1704" s="137"/>
    </row>
    <row r="1705" spans="1:17" ht="15" customHeight="1" x14ac:dyDescent="0.35">
      <c r="A1705" s="129"/>
      <c r="B1705" s="137"/>
      <c r="C1705" s="137"/>
      <c r="D1705" s="137"/>
      <c r="E1705" s="137"/>
      <c r="F1705" s="137"/>
      <c r="G1705" s="137"/>
      <c r="H1705" s="137"/>
      <c r="I1705" s="137"/>
      <c r="J1705" s="138"/>
      <c r="K1705" s="137"/>
      <c r="L1705" s="137"/>
      <c r="M1705" s="137"/>
      <c r="N1705" s="137"/>
      <c r="O1705" s="137"/>
      <c r="P1705" s="137"/>
      <c r="Q1705" s="137"/>
    </row>
    <row r="1706" spans="1:17" ht="15" customHeight="1" x14ac:dyDescent="0.35">
      <c r="A1706" s="129"/>
      <c r="B1706" s="137"/>
      <c r="C1706" s="137"/>
      <c r="D1706" s="137"/>
      <c r="E1706" s="137"/>
      <c r="F1706" s="137"/>
      <c r="G1706" s="137"/>
      <c r="H1706" s="137"/>
      <c r="I1706" s="137"/>
      <c r="J1706" s="138"/>
      <c r="K1706" s="137"/>
      <c r="L1706" s="137"/>
      <c r="M1706" s="137"/>
      <c r="N1706" s="137"/>
      <c r="O1706" s="137"/>
      <c r="P1706" s="137"/>
      <c r="Q1706" s="137"/>
    </row>
    <row r="1707" spans="1:17" ht="15" customHeight="1" x14ac:dyDescent="0.35">
      <c r="A1707" s="129"/>
      <c r="B1707" s="137"/>
      <c r="C1707" s="137"/>
      <c r="D1707" s="137"/>
      <c r="E1707" s="137"/>
      <c r="F1707" s="137"/>
      <c r="G1707" s="137"/>
      <c r="H1707" s="137"/>
      <c r="I1707" s="137"/>
      <c r="J1707" s="138"/>
      <c r="K1707" s="137"/>
      <c r="L1707" s="137"/>
      <c r="M1707" s="137"/>
      <c r="N1707" s="137"/>
      <c r="O1707" s="137"/>
      <c r="P1707" s="137"/>
      <c r="Q1707" s="137"/>
    </row>
    <row r="1708" spans="1:17" ht="15" customHeight="1" x14ac:dyDescent="0.35">
      <c r="A1708" s="129"/>
      <c r="B1708" s="137"/>
      <c r="C1708" s="137"/>
      <c r="D1708" s="137"/>
      <c r="E1708" s="137"/>
      <c r="F1708" s="137"/>
      <c r="G1708" s="137"/>
      <c r="H1708" s="137"/>
      <c r="I1708" s="137"/>
      <c r="J1708" s="138"/>
      <c r="K1708" s="137"/>
      <c r="L1708" s="137"/>
      <c r="M1708" s="137"/>
      <c r="N1708" s="137"/>
      <c r="O1708" s="137"/>
      <c r="P1708" s="137"/>
      <c r="Q1708" s="137"/>
    </row>
    <row r="1709" spans="1:17" ht="15" customHeight="1" x14ac:dyDescent="0.35">
      <c r="A1709" s="129"/>
      <c r="B1709" s="137"/>
      <c r="C1709" s="137"/>
      <c r="D1709" s="137"/>
      <c r="E1709" s="137"/>
      <c r="F1709" s="137"/>
      <c r="G1709" s="137"/>
      <c r="H1709" s="137"/>
      <c r="I1709" s="137"/>
      <c r="J1709" s="138"/>
      <c r="K1709" s="137"/>
      <c r="L1709" s="137"/>
      <c r="M1709" s="137"/>
      <c r="N1709" s="137"/>
      <c r="O1709" s="137"/>
      <c r="P1709" s="137"/>
      <c r="Q1709" s="137"/>
    </row>
    <row r="1710" spans="1:17" ht="15" customHeight="1" x14ac:dyDescent="0.35">
      <c r="A1710" s="129"/>
      <c r="B1710" s="137"/>
      <c r="C1710" s="137"/>
      <c r="D1710" s="137"/>
      <c r="E1710" s="137"/>
      <c r="F1710" s="137"/>
      <c r="G1710" s="137"/>
      <c r="H1710" s="137"/>
      <c r="I1710" s="137"/>
      <c r="J1710" s="138"/>
      <c r="K1710" s="137"/>
      <c r="L1710" s="137"/>
      <c r="M1710" s="137"/>
      <c r="N1710" s="137"/>
      <c r="O1710" s="137"/>
      <c r="P1710" s="137"/>
      <c r="Q1710" s="137"/>
    </row>
    <row r="1711" spans="1:17" ht="15" customHeight="1" x14ac:dyDescent="0.35">
      <c r="A1711" s="129"/>
      <c r="B1711" s="137"/>
      <c r="C1711" s="137"/>
      <c r="D1711" s="137"/>
      <c r="E1711" s="137"/>
      <c r="F1711" s="137"/>
      <c r="G1711" s="137"/>
      <c r="H1711" s="137"/>
      <c r="I1711" s="137"/>
      <c r="J1711" s="138"/>
      <c r="K1711" s="137"/>
      <c r="L1711" s="137"/>
      <c r="M1711" s="137"/>
      <c r="N1711" s="137"/>
      <c r="O1711" s="137"/>
      <c r="P1711" s="137"/>
      <c r="Q1711" s="137"/>
    </row>
    <row r="1712" spans="1:17" ht="15" customHeight="1" x14ac:dyDescent="0.35">
      <c r="A1712" s="129"/>
      <c r="B1712" s="137"/>
      <c r="C1712" s="137"/>
      <c r="D1712" s="137"/>
      <c r="E1712" s="137"/>
      <c r="F1712" s="137"/>
      <c r="G1712" s="137"/>
      <c r="H1712" s="137"/>
      <c r="I1712" s="137"/>
      <c r="J1712" s="138"/>
      <c r="K1712" s="137"/>
      <c r="L1712" s="137"/>
      <c r="M1712" s="137"/>
      <c r="N1712" s="137"/>
      <c r="O1712" s="137"/>
      <c r="P1712" s="137"/>
      <c r="Q1712" s="137"/>
    </row>
    <row r="1713" spans="1:17" ht="15" customHeight="1" x14ac:dyDescent="0.35">
      <c r="A1713" s="129"/>
      <c r="B1713" s="137"/>
      <c r="C1713" s="137"/>
      <c r="D1713" s="137"/>
      <c r="E1713" s="137"/>
      <c r="F1713" s="137"/>
      <c r="G1713" s="137"/>
      <c r="H1713" s="137"/>
      <c r="I1713" s="137"/>
      <c r="J1713" s="138"/>
      <c r="K1713" s="137"/>
      <c r="L1713" s="137"/>
      <c r="M1713" s="137"/>
      <c r="N1713" s="137"/>
      <c r="O1713" s="137"/>
      <c r="P1713" s="137"/>
      <c r="Q1713" s="137"/>
    </row>
    <row r="1714" spans="1:17" ht="15" customHeight="1" x14ac:dyDescent="0.35">
      <c r="A1714" s="129"/>
      <c r="B1714" s="137"/>
      <c r="C1714" s="137"/>
      <c r="D1714" s="137"/>
      <c r="E1714" s="137"/>
      <c r="F1714" s="137"/>
      <c r="G1714" s="137"/>
      <c r="H1714" s="137"/>
      <c r="I1714" s="137"/>
      <c r="J1714" s="138"/>
      <c r="K1714" s="137"/>
      <c r="L1714" s="137"/>
      <c r="M1714" s="137"/>
      <c r="N1714" s="137"/>
      <c r="O1714" s="137"/>
      <c r="P1714" s="137"/>
      <c r="Q1714" s="137"/>
    </row>
    <row r="1715" spans="1:17" ht="15" customHeight="1" x14ac:dyDescent="0.35">
      <c r="A1715" s="129"/>
      <c r="B1715" s="137"/>
      <c r="C1715" s="137"/>
      <c r="D1715" s="137"/>
      <c r="E1715" s="137"/>
      <c r="F1715" s="137"/>
      <c r="G1715" s="137"/>
      <c r="H1715" s="137"/>
      <c r="I1715" s="137"/>
      <c r="J1715" s="138"/>
      <c r="K1715" s="137"/>
      <c r="L1715" s="137"/>
      <c r="M1715" s="137"/>
      <c r="N1715" s="137"/>
      <c r="O1715" s="137"/>
      <c r="P1715" s="137"/>
      <c r="Q1715" s="137"/>
    </row>
    <row r="1716" spans="1:17" ht="15" customHeight="1" x14ac:dyDescent="0.35">
      <c r="A1716" s="129"/>
      <c r="B1716" s="137"/>
      <c r="C1716" s="137"/>
      <c r="D1716" s="137"/>
      <c r="E1716" s="137"/>
      <c r="F1716" s="137"/>
      <c r="G1716" s="137"/>
      <c r="H1716" s="137"/>
      <c r="I1716" s="137"/>
      <c r="J1716" s="138"/>
      <c r="K1716" s="137"/>
      <c r="L1716" s="137"/>
      <c r="M1716" s="137"/>
      <c r="N1716" s="137"/>
      <c r="O1716" s="137"/>
      <c r="P1716" s="137"/>
      <c r="Q1716" s="137"/>
    </row>
    <row r="1717" spans="1:17" ht="15" customHeight="1" x14ac:dyDescent="0.35">
      <c r="A1717" s="129"/>
      <c r="B1717" s="137"/>
      <c r="C1717" s="137"/>
      <c r="D1717" s="137"/>
      <c r="E1717" s="137"/>
      <c r="F1717" s="137"/>
      <c r="G1717" s="137"/>
      <c r="H1717" s="137"/>
      <c r="I1717" s="137"/>
      <c r="J1717" s="138"/>
      <c r="K1717" s="137"/>
      <c r="L1717" s="137"/>
      <c r="M1717" s="137"/>
      <c r="N1717" s="137"/>
      <c r="O1717" s="137"/>
      <c r="P1717" s="137"/>
      <c r="Q1717" s="137"/>
    </row>
    <row r="1718" spans="1:17" ht="15" customHeight="1" x14ac:dyDescent="0.35">
      <c r="A1718" s="129"/>
      <c r="B1718" s="137"/>
      <c r="C1718" s="137"/>
      <c r="D1718" s="137"/>
      <c r="E1718" s="137"/>
      <c r="F1718" s="137"/>
      <c r="G1718" s="137"/>
      <c r="H1718" s="137"/>
      <c r="I1718" s="137"/>
      <c r="J1718" s="138"/>
      <c r="K1718" s="137"/>
      <c r="L1718" s="137"/>
      <c r="M1718" s="137"/>
      <c r="N1718" s="137"/>
      <c r="O1718" s="137"/>
      <c r="P1718" s="137"/>
      <c r="Q1718" s="137"/>
    </row>
    <row r="1719" spans="1:17" ht="15" customHeight="1" x14ac:dyDescent="0.35">
      <c r="A1719" s="129"/>
      <c r="B1719" s="137"/>
      <c r="C1719" s="137"/>
      <c r="D1719" s="137"/>
      <c r="E1719" s="137"/>
      <c r="F1719" s="137"/>
      <c r="G1719" s="137"/>
      <c r="H1719" s="137"/>
      <c r="I1719" s="137"/>
      <c r="J1719" s="138"/>
      <c r="K1719" s="137"/>
      <c r="L1719" s="137"/>
      <c r="M1719" s="137"/>
      <c r="N1719" s="137"/>
      <c r="O1719" s="137"/>
      <c r="P1719" s="137"/>
      <c r="Q1719" s="137"/>
    </row>
    <row r="1720" spans="1:17" ht="15" customHeight="1" x14ac:dyDescent="0.35">
      <c r="A1720" s="129"/>
      <c r="B1720" s="137"/>
      <c r="C1720" s="137"/>
      <c r="D1720" s="137"/>
      <c r="E1720" s="137"/>
      <c r="F1720" s="137"/>
      <c r="G1720" s="137"/>
      <c r="H1720" s="137"/>
      <c r="I1720" s="137"/>
      <c r="J1720" s="138"/>
      <c r="K1720" s="137"/>
      <c r="L1720" s="137"/>
      <c r="M1720" s="137"/>
      <c r="N1720" s="137"/>
      <c r="O1720" s="137"/>
      <c r="P1720" s="137"/>
      <c r="Q1720" s="137"/>
    </row>
    <row r="1721" spans="1:17" ht="15" customHeight="1" x14ac:dyDescent="0.35">
      <c r="A1721" s="129"/>
      <c r="B1721" s="137"/>
      <c r="C1721" s="137"/>
      <c r="D1721" s="137"/>
      <c r="E1721" s="137"/>
      <c r="F1721" s="137"/>
      <c r="G1721" s="137"/>
      <c r="H1721" s="137"/>
      <c r="I1721" s="137"/>
      <c r="J1721" s="138"/>
      <c r="K1721" s="137"/>
      <c r="L1721" s="137"/>
      <c r="M1721" s="137"/>
      <c r="N1721" s="137"/>
      <c r="O1721" s="137"/>
      <c r="P1721" s="137"/>
      <c r="Q1721" s="137"/>
    </row>
    <row r="1722" spans="1:17" ht="15" customHeight="1" x14ac:dyDescent="0.35">
      <c r="A1722" s="129"/>
      <c r="B1722" s="137"/>
      <c r="C1722" s="137"/>
      <c r="D1722" s="137"/>
      <c r="E1722" s="137"/>
      <c r="F1722" s="137"/>
      <c r="G1722" s="137"/>
      <c r="H1722" s="137"/>
      <c r="I1722" s="137"/>
      <c r="J1722" s="138"/>
      <c r="K1722" s="137"/>
      <c r="L1722" s="137"/>
      <c r="M1722" s="137"/>
      <c r="N1722" s="137"/>
      <c r="O1722" s="137"/>
      <c r="P1722" s="137"/>
      <c r="Q1722" s="137"/>
    </row>
    <row r="1723" spans="1:17" ht="15" customHeight="1" x14ac:dyDescent="0.35">
      <c r="A1723" s="129"/>
      <c r="B1723" s="137"/>
      <c r="C1723" s="137"/>
      <c r="D1723" s="137"/>
      <c r="E1723" s="137"/>
      <c r="F1723" s="137"/>
      <c r="G1723" s="137"/>
      <c r="H1723" s="137"/>
      <c r="I1723" s="137"/>
      <c r="J1723" s="138"/>
      <c r="K1723" s="137"/>
      <c r="L1723" s="137"/>
      <c r="M1723" s="137"/>
      <c r="N1723" s="137"/>
      <c r="O1723" s="137"/>
      <c r="P1723" s="137"/>
      <c r="Q1723" s="137"/>
    </row>
    <row r="1724" spans="1:17" ht="15" customHeight="1" x14ac:dyDescent="0.35">
      <c r="A1724" s="129"/>
      <c r="B1724" s="137"/>
      <c r="C1724" s="137"/>
      <c r="D1724" s="137"/>
      <c r="E1724" s="137"/>
      <c r="F1724" s="137"/>
      <c r="G1724" s="137"/>
      <c r="H1724" s="137"/>
      <c r="I1724" s="137"/>
      <c r="J1724" s="138"/>
      <c r="K1724" s="137"/>
      <c r="L1724" s="137"/>
      <c r="M1724" s="137"/>
      <c r="N1724" s="137"/>
      <c r="O1724" s="137"/>
      <c r="P1724" s="137"/>
      <c r="Q1724" s="137"/>
    </row>
    <row r="1725" spans="1:17" ht="15" customHeight="1" x14ac:dyDescent="0.35">
      <c r="A1725" s="129"/>
      <c r="B1725" s="137"/>
      <c r="C1725" s="137"/>
      <c r="D1725" s="137"/>
      <c r="E1725" s="137"/>
      <c r="F1725" s="137"/>
      <c r="G1725" s="137"/>
      <c r="H1725" s="137"/>
      <c r="I1725" s="137"/>
      <c r="J1725" s="138"/>
      <c r="K1725" s="137"/>
      <c r="L1725" s="137"/>
      <c r="M1725" s="137"/>
      <c r="N1725" s="137"/>
      <c r="O1725" s="137"/>
      <c r="P1725" s="137"/>
      <c r="Q1725" s="137"/>
    </row>
    <row r="1726" spans="1:17" ht="15" customHeight="1" x14ac:dyDescent="0.35">
      <c r="A1726" s="129"/>
      <c r="B1726" s="137"/>
      <c r="C1726" s="137"/>
      <c r="D1726" s="137"/>
      <c r="E1726" s="137"/>
      <c r="F1726" s="137"/>
      <c r="G1726" s="137"/>
      <c r="H1726" s="137"/>
      <c r="I1726" s="137"/>
      <c r="J1726" s="138"/>
      <c r="K1726" s="137"/>
      <c r="L1726" s="137"/>
      <c r="M1726" s="137"/>
      <c r="N1726" s="137"/>
      <c r="O1726" s="137"/>
      <c r="P1726" s="137"/>
      <c r="Q1726" s="137"/>
    </row>
    <row r="1727" spans="1:17" ht="15" customHeight="1" x14ac:dyDescent="0.35">
      <c r="A1727" s="129"/>
      <c r="B1727" s="137"/>
      <c r="C1727" s="137"/>
      <c r="D1727" s="137"/>
      <c r="E1727" s="137"/>
      <c r="F1727" s="137"/>
      <c r="G1727" s="137"/>
      <c r="H1727" s="137"/>
      <c r="I1727" s="137"/>
      <c r="J1727" s="138"/>
      <c r="K1727" s="137"/>
      <c r="L1727" s="137"/>
      <c r="M1727" s="137"/>
      <c r="N1727" s="137"/>
      <c r="O1727" s="137"/>
      <c r="P1727" s="137"/>
      <c r="Q1727" s="137"/>
    </row>
    <row r="1728" spans="1:17" ht="15" customHeight="1" x14ac:dyDescent="0.35">
      <c r="A1728" s="129"/>
      <c r="B1728" s="137"/>
      <c r="C1728" s="137"/>
      <c r="D1728" s="137"/>
      <c r="E1728" s="137"/>
      <c r="F1728" s="137"/>
      <c r="G1728" s="137"/>
      <c r="H1728" s="137"/>
      <c r="I1728" s="137"/>
      <c r="J1728" s="138"/>
      <c r="K1728" s="137"/>
      <c r="L1728" s="137"/>
      <c r="M1728" s="137"/>
      <c r="N1728" s="137"/>
      <c r="O1728" s="137"/>
      <c r="P1728" s="137"/>
      <c r="Q1728" s="137"/>
    </row>
    <row r="1729" spans="1:17" ht="15" customHeight="1" x14ac:dyDescent="0.35">
      <c r="A1729" s="129"/>
      <c r="B1729" s="137"/>
      <c r="C1729" s="137"/>
      <c r="D1729" s="137"/>
      <c r="E1729" s="137"/>
      <c r="F1729" s="137"/>
      <c r="G1729" s="137"/>
      <c r="H1729" s="137"/>
      <c r="I1729" s="137"/>
      <c r="J1729" s="138"/>
      <c r="K1729" s="137"/>
      <c r="L1729" s="137"/>
      <c r="M1729" s="137"/>
      <c r="N1729" s="137"/>
      <c r="O1729" s="137"/>
      <c r="P1729" s="137"/>
      <c r="Q1729" s="137"/>
    </row>
    <row r="1730" spans="1:17" ht="15" customHeight="1" x14ac:dyDescent="0.35">
      <c r="A1730" s="129"/>
      <c r="B1730" s="137"/>
      <c r="C1730" s="137"/>
      <c r="D1730" s="137"/>
      <c r="E1730" s="137"/>
      <c r="F1730" s="137"/>
      <c r="G1730" s="137"/>
      <c r="H1730" s="137"/>
      <c r="I1730" s="137"/>
      <c r="J1730" s="138"/>
      <c r="K1730" s="137"/>
      <c r="L1730" s="137"/>
      <c r="M1730" s="137"/>
      <c r="N1730" s="137"/>
      <c r="O1730" s="137"/>
      <c r="P1730" s="137"/>
      <c r="Q1730" s="137"/>
    </row>
    <row r="1731" spans="1:17" ht="15" customHeight="1" x14ac:dyDescent="0.35">
      <c r="A1731" s="129"/>
      <c r="B1731" s="137"/>
      <c r="C1731" s="137"/>
      <c r="D1731" s="137"/>
      <c r="E1731" s="137"/>
      <c r="F1731" s="137"/>
      <c r="G1731" s="137"/>
      <c r="H1731" s="137"/>
      <c r="I1731" s="137"/>
      <c r="J1731" s="138"/>
      <c r="K1731" s="137"/>
      <c r="L1731" s="137"/>
      <c r="M1731" s="137"/>
      <c r="N1731" s="137"/>
      <c r="O1731" s="137"/>
      <c r="P1731" s="137"/>
      <c r="Q1731" s="137"/>
    </row>
    <row r="1732" spans="1:17" ht="15" customHeight="1" x14ac:dyDescent="0.35">
      <c r="A1732" s="129"/>
      <c r="B1732" s="137"/>
      <c r="C1732" s="137"/>
      <c r="D1732" s="137"/>
      <c r="E1732" s="137"/>
      <c r="F1732" s="137"/>
      <c r="G1732" s="137"/>
      <c r="H1732" s="137"/>
      <c r="I1732" s="137"/>
      <c r="J1732" s="138"/>
      <c r="K1732" s="137"/>
      <c r="L1732" s="137"/>
      <c r="M1732" s="137"/>
      <c r="N1732" s="137"/>
      <c r="O1732" s="137"/>
      <c r="P1732" s="137"/>
      <c r="Q1732" s="137"/>
    </row>
    <row r="1733" spans="1:17" ht="15" customHeight="1" x14ac:dyDescent="0.35">
      <c r="A1733" s="129"/>
      <c r="B1733" s="137"/>
      <c r="C1733" s="137"/>
      <c r="D1733" s="137"/>
      <c r="E1733" s="137"/>
      <c r="F1733" s="137"/>
      <c r="G1733" s="137"/>
      <c r="H1733" s="137"/>
      <c r="I1733" s="137"/>
      <c r="J1733" s="138"/>
      <c r="K1733" s="137"/>
      <c r="L1733" s="137"/>
      <c r="M1733" s="137"/>
      <c r="N1733" s="137"/>
      <c r="O1733" s="137"/>
      <c r="P1733" s="137"/>
      <c r="Q1733" s="137"/>
    </row>
    <row r="1734" spans="1:17" ht="15" customHeight="1" x14ac:dyDescent="0.35">
      <c r="A1734" s="129"/>
      <c r="B1734" s="137"/>
      <c r="C1734" s="137"/>
      <c r="D1734" s="137"/>
      <c r="E1734" s="137"/>
      <c r="F1734" s="137"/>
      <c r="G1734" s="137"/>
      <c r="H1734" s="137"/>
      <c r="I1734" s="137"/>
      <c r="J1734" s="138"/>
      <c r="K1734" s="137"/>
      <c r="L1734" s="137"/>
      <c r="M1734" s="137"/>
      <c r="N1734" s="137"/>
      <c r="O1734" s="137"/>
      <c r="P1734" s="137"/>
      <c r="Q1734" s="137"/>
    </row>
    <row r="1735" spans="1:17" ht="15" customHeight="1" x14ac:dyDescent="0.35">
      <c r="A1735" s="129"/>
      <c r="B1735" s="137"/>
      <c r="C1735" s="137"/>
      <c r="D1735" s="137"/>
      <c r="E1735" s="137"/>
      <c r="F1735" s="137"/>
      <c r="G1735" s="137"/>
      <c r="H1735" s="137"/>
      <c r="I1735" s="137"/>
      <c r="J1735" s="138"/>
      <c r="K1735" s="137"/>
      <c r="L1735" s="137"/>
      <c r="M1735" s="137"/>
      <c r="N1735" s="137"/>
      <c r="O1735" s="137"/>
      <c r="P1735" s="137"/>
      <c r="Q1735" s="137"/>
    </row>
    <row r="1736" spans="1:17" ht="15" customHeight="1" x14ac:dyDescent="0.35">
      <c r="A1736" s="129"/>
      <c r="B1736" s="137"/>
      <c r="C1736" s="137"/>
      <c r="D1736" s="137"/>
      <c r="E1736" s="137"/>
      <c r="F1736" s="137"/>
      <c r="G1736" s="137"/>
      <c r="H1736" s="137"/>
      <c r="I1736" s="137"/>
      <c r="J1736" s="138"/>
      <c r="K1736" s="137"/>
      <c r="L1736" s="137"/>
      <c r="M1736" s="137"/>
      <c r="N1736" s="137"/>
      <c r="O1736" s="137"/>
      <c r="P1736" s="137"/>
      <c r="Q1736" s="137"/>
    </row>
    <row r="1737" spans="1:17" ht="15" customHeight="1" x14ac:dyDescent="0.35">
      <c r="A1737" s="129"/>
      <c r="B1737" s="137"/>
      <c r="C1737" s="137"/>
      <c r="D1737" s="137"/>
      <c r="E1737" s="137"/>
      <c r="F1737" s="137"/>
      <c r="G1737" s="137"/>
      <c r="H1737" s="137"/>
      <c r="I1737" s="137"/>
      <c r="J1737" s="138"/>
      <c r="K1737" s="137"/>
      <c r="L1737" s="137"/>
      <c r="M1737" s="137"/>
      <c r="N1737" s="137"/>
      <c r="O1737" s="137"/>
      <c r="P1737" s="137"/>
      <c r="Q1737" s="137"/>
    </row>
    <row r="1738" spans="1:17" ht="15" customHeight="1" x14ac:dyDescent="0.35">
      <c r="A1738" s="129"/>
      <c r="B1738" s="137"/>
      <c r="C1738" s="137"/>
      <c r="D1738" s="137"/>
      <c r="E1738" s="137"/>
      <c r="F1738" s="137"/>
      <c r="G1738" s="137"/>
      <c r="H1738" s="137"/>
      <c r="I1738" s="137"/>
      <c r="J1738" s="138"/>
      <c r="K1738" s="137"/>
      <c r="L1738" s="137"/>
      <c r="M1738" s="137"/>
      <c r="N1738" s="137"/>
      <c r="O1738" s="137"/>
      <c r="P1738" s="137"/>
      <c r="Q1738" s="137"/>
    </row>
    <row r="1739" spans="1:17" ht="15" customHeight="1" x14ac:dyDescent="0.35">
      <c r="A1739" s="129"/>
      <c r="B1739" s="137"/>
      <c r="C1739" s="137"/>
      <c r="D1739" s="137"/>
      <c r="E1739" s="137"/>
      <c r="F1739" s="137"/>
      <c r="G1739" s="137"/>
      <c r="H1739" s="137"/>
      <c r="I1739" s="137"/>
      <c r="J1739" s="138"/>
      <c r="K1739" s="137"/>
      <c r="L1739" s="137"/>
      <c r="M1739" s="137"/>
      <c r="N1739" s="137"/>
      <c r="O1739" s="137"/>
      <c r="P1739" s="137"/>
      <c r="Q1739" s="137"/>
    </row>
    <row r="1740" spans="1:17" ht="15" customHeight="1" x14ac:dyDescent="0.35">
      <c r="A1740" s="129"/>
      <c r="B1740" s="137"/>
      <c r="C1740" s="137"/>
      <c r="D1740" s="137"/>
      <c r="E1740" s="137"/>
      <c r="F1740" s="137"/>
      <c r="G1740" s="137"/>
      <c r="H1740" s="137"/>
      <c r="I1740" s="137"/>
      <c r="J1740" s="138"/>
      <c r="K1740" s="137"/>
      <c r="L1740" s="137"/>
      <c r="M1740" s="137"/>
      <c r="N1740" s="137"/>
      <c r="O1740" s="137"/>
      <c r="P1740" s="137"/>
      <c r="Q1740" s="137"/>
    </row>
    <row r="1741" spans="1:17" ht="15" customHeight="1" x14ac:dyDescent="0.35">
      <c r="A1741" s="129"/>
      <c r="B1741" s="137"/>
      <c r="C1741" s="137"/>
      <c r="D1741" s="137"/>
      <c r="E1741" s="137"/>
      <c r="F1741" s="137"/>
      <c r="G1741" s="137"/>
      <c r="H1741" s="137"/>
      <c r="I1741" s="137"/>
      <c r="J1741" s="138"/>
      <c r="K1741" s="137"/>
      <c r="L1741" s="137"/>
      <c r="M1741" s="137"/>
      <c r="N1741" s="137"/>
      <c r="O1741" s="137"/>
      <c r="P1741" s="137"/>
      <c r="Q1741" s="137"/>
    </row>
    <row r="1742" spans="1:17" ht="15" customHeight="1" x14ac:dyDescent="0.35">
      <c r="A1742" s="129"/>
      <c r="B1742" s="137"/>
      <c r="C1742" s="137"/>
      <c r="D1742" s="137"/>
      <c r="E1742" s="137"/>
      <c r="F1742" s="137"/>
      <c r="G1742" s="137"/>
      <c r="H1742" s="137"/>
      <c r="I1742" s="137"/>
      <c r="J1742" s="138"/>
      <c r="K1742" s="137"/>
      <c r="L1742" s="137"/>
      <c r="M1742" s="137"/>
      <c r="N1742" s="137"/>
      <c r="O1742" s="137"/>
      <c r="P1742" s="137"/>
      <c r="Q1742" s="137"/>
    </row>
    <row r="1743" spans="1:17" ht="15" customHeight="1" x14ac:dyDescent="0.35">
      <c r="A1743" s="129"/>
      <c r="B1743" s="137"/>
      <c r="C1743" s="137"/>
      <c r="D1743" s="137"/>
      <c r="E1743" s="137"/>
      <c r="F1743" s="137"/>
      <c r="G1743" s="137"/>
      <c r="H1743" s="137"/>
      <c r="I1743" s="137"/>
      <c r="J1743" s="138"/>
      <c r="K1743" s="137"/>
      <c r="L1743" s="137"/>
      <c r="M1743" s="137"/>
      <c r="N1743" s="137"/>
      <c r="O1743" s="137"/>
      <c r="P1743" s="137"/>
      <c r="Q1743" s="137"/>
    </row>
    <row r="1744" spans="1:17" ht="15" customHeight="1" x14ac:dyDescent="0.35">
      <c r="A1744" s="129"/>
      <c r="B1744" s="137"/>
      <c r="C1744" s="137"/>
      <c r="D1744" s="137"/>
      <c r="E1744" s="137"/>
      <c r="F1744" s="137"/>
      <c r="G1744" s="137"/>
      <c r="H1744" s="137"/>
      <c r="I1744" s="137"/>
      <c r="J1744" s="138"/>
      <c r="K1744" s="137"/>
      <c r="L1744" s="137"/>
      <c r="M1744" s="137"/>
      <c r="N1744" s="137"/>
      <c r="O1744" s="137"/>
      <c r="P1744" s="137"/>
      <c r="Q1744" s="137"/>
    </row>
    <row r="1745" spans="1:17" ht="15" customHeight="1" x14ac:dyDescent="0.35">
      <c r="A1745" s="129"/>
      <c r="B1745" s="137"/>
      <c r="C1745" s="137"/>
      <c r="D1745" s="137"/>
      <c r="E1745" s="137"/>
      <c r="F1745" s="137"/>
      <c r="G1745" s="137"/>
      <c r="H1745" s="137"/>
      <c r="I1745" s="137"/>
      <c r="J1745" s="138"/>
      <c r="K1745" s="137"/>
      <c r="L1745" s="137"/>
      <c r="M1745" s="137"/>
      <c r="N1745" s="137"/>
      <c r="O1745" s="137"/>
      <c r="P1745" s="137"/>
      <c r="Q1745" s="137"/>
    </row>
    <row r="1746" spans="1:17" ht="15" customHeight="1" x14ac:dyDescent="0.35">
      <c r="A1746" s="129"/>
      <c r="B1746" s="137"/>
      <c r="C1746" s="137"/>
      <c r="D1746" s="137"/>
      <c r="E1746" s="137"/>
      <c r="F1746" s="137"/>
      <c r="G1746" s="137"/>
      <c r="H1746" s="137"/>
      <c r="I1746" s="137"/>
      <c r="J1746" s="138"/>
      <c r="K1746" s="137"/>
      <c r="L1746" s="137"/>
      <c r="M1746" s="137"/>
      <c r="N1746" s="137"/>
      <c r="O1746" s="137"/>
      <c r="P1746" s="137"/>
      <c r="Q1746" s="137"/>
    </row>
    <row r="1747" spans="1:17" ht="15" customHeight="1" x14ac:dyDescent="0.35">
      <c r="A1747" s="129"/>
      <c r="B1747" s="137"/>
      <c r="C1747" s="137"/>
      <c r="D1747" s="137"/>
      <c r="E1747" s="137"/>
      <c r="F1747" s="137"/>
      <c r="G1747" s="137"/>
      <c r="H1747" s="137"/>
      <c r="I1747" s="137"/>
      <c r="J1747" s="138"/>
      <c r="K1747" s="137"/>
      <c r="L1747" s="137"/>
      <c r="M1747" s="137"/>
      <c r="N1747" s="137"/>
      <c r="O1747" s="137"/>
      <c r="P1747" s="137"/>
      <c r="Q1747" s="137"/>
    </row>
    <row r="1748" spans="1:17" ht="15" customHeight="1" x14ac:dyDescent="0.35">
      <c r="A1748" s="129"/>
      <c r="B1748" s="137"/>
      <c r="C1748" s="137"/>
      <c r="D1748" s="137"/>
      <c r="E1748" s="137"/>
      <c r="F1748" s="137"/>
      <c r="G1748" s="137"/>
      <c r="H1748" s="137"/>
      <c r="I1748" s="137"/>
      <c r="J1748" s="138"/>
      <c r="K1748" s="137"/>
      <c r="L1748" s="137"/>
      <c r="M1748" s="137"/>
      <c r="N1748" s="137"/>
      <c r="O1748" s="137"/>
      <c r="P1748" s="137"/>
      <c r="Q1748" s="137"/>
    </row>
    <row r="1749" spans="1:17" ht="15" customHeight="1" x14ac:dyDescent="0.35">
      <c r="A1749" s="129"/>
      <c r="B1749" s="137"/>
      <c r="C1749" s="137"/>
      <c r="D1749" s="137"/>
      <c r="E1749" s="137"/>
      <c r="F1749" s="137"/>
      <c r="G1749" s="137"/>
      <c r="H1749" s="137"/>
      <c r="I1749" s="137"/>
      <c r="J1749" s="138"/>
      <c r="K1749" s="137"/>
      <c r="L1749" s="137"/>
      <c r="M1749" s="137"/>
      <c r="N1749" s="137"/>
      <c r="O1749" s="137"/>
      <c r="P1749" s="137"/>
      <c r="Q1749" s="137"/>
    </row>
    <row r="1750" spans="1:17" ht="15" customHeight="1" x14ac:dyDescent="0.35">
      <c r="A1750" s="129"/>
      <c r="B1750" s="137"/>
      <c r="C1750" s="137"/>
      <c r="D1750" s="137"/>
      <c r="E1750" s="137"/>
      <c r="F1750" s="137"/>
      <c r="G1750" s="137"/>
      <c r="H1750" s="137"/>
      <c r="I1750" s="137"/>
      <c r="J1750" s="138"/>
      <c r="K1750" s="137"/>
      <c r="L1750" s="137"/>
      <c r="M1750" s="137"/>
      <c r="N1750" s="137"/>
      <c r="O1750" s="137"/>
      <c r="P1750" s="137"/>
      <c r="Q1750" s="137"/>
    </row>
    <row r="1751" spans="1:17" ht="15" customHeight="1" x14ac:dyDescent="0.35">
      <c r="A1751" s="129"/>
      <c r="B1751" s="137"/>
      <c r="C1751" s="137"/>
      <c r="D1751" s="137"/>
      <c r="E1751" s="137"/>
      <c r="F1751" s="137"/>
      <c r="G1751" s="137"/>
      <c r="H1751" s="137"/>
      <c r="I1751" s="137"/>
      <c r="J1751" s="138"/>
      <c r="K1751" s="137"/>
      <c r="L1751" s="137"/>
      <c r="M1751" s="137"/>
      <c r="N1751" s="137"/>
      <c r="O1751" s="137"/>
      <c r="P1751" s="137"/>
      <c r="Q1751" s="137"/>
    </row>
    <row r="1752" spans="1:17" ht="15" customHeight="1" x14ac:dyDescent="0.35">
      <c r="A1752" s="129"/>
      <c r="B1752" s="137"/>
      <c r="C1752" s="137"/>
      <c r="D1752" s="137"/>
      <c r="E1752" s="137"/>
      <c r="F1752" s="137"/>
      <c r="G1752" s="137"/>
      <c r="H1752" s="137"/>
      <c r="I1752" s="137"/>
      <c r="J1752" s="138"/>
      <c r="K1752" s="137"/>
      <c r="L1752" s="137"/>
      <c r="M1752" s="137"/>
      <c r="N1752" s="137"/>
      <c r="O1752" s="137"/>
      <c r="P1752" s="137"/>
      <c r="Q1752" s="137"/>
    </row>
    <row r="1753" spans="1:17" ht="15" customHeight="1" x14ac:dyDescent="0.35">
      <c r="A1753" s="129"/>
      <c r="B1753" s="137"/>
      <c r="C1753" s="137"/>
      <c r="D1753" s="137"/>
      <c r="E1753" s="137"/>
      <c r="F1753" s="137"/>
      <c r="G1753" s="137"/>
      <c r="H1753" s="137"/>
      <c r="I1753" s="137"/>
      <c r="J1753" s="138"/>
      <c r="K1753" s="137"/>
      <c r="L1753" s="137"/>
      <c r="M1753" s="137"/>
      <c r="N1753" s="137"/>
      <c r="O1753" s="137"/>
      <c r="P1753" s="137"/>
      <c r="Q1753" s="137"/>
    </row>
    <row r="1754" spans="1:17" ht="15" customHeight="1" x14ac:dyDescent="0.35">
      <c r="A1754" s="129"/>
      <c r="B1754" s="137"/>
      <c r="C1754" s="137"/>
      <c r="D1754" s="137"/>
      <c r="E1754" s="137"/>
      <c r="F1754" s="137"/>
      <c r="G1754" s="137"/>
      <c r="H1754" s="137"/>
      <c r="I1754" s="137"/>
      <c r="J1754" s="138"/>
      <c r="K1754" s="137"/>
      <c r="L1754" s="137"/>
      <c r="M1754" s="137"/>
      <c r="N1754" s="137"/>
      <c r="O1754" s="137"/>
      <c r="P1754" s="137"/>
      <c r="Q1754" s="137"/>
    </row>
    <row r="1755" spans="1:17" ht="15" customHeight="1" x14ac:dyDescent="0.35">
      <c r="A1755" s="129"/>
      <c r="B1755" s="137"/>
      <c r="C1755" s="137"/>
      <c r="D1755" s="137"/>
      <c r="E1755" s="137"/>
      <c r="F1755" s="137"/>
      <c r="G1755" s="137"/>
      <c r="H1755" s="137"/>
      <c r="I1755" s="137"/>
      <c r="J1755" s="138"/>
      <c r="K1755" s="137"/>
      <c r="L1755" s="137"/>
      <c r="M1755" s="137"/>
      <c r="N1755" s="137"/>
      <c r="O1755" s="137"/>
      <c r="P1755" s="137"/>
      <c r="Q1755" s="137"/>
    </row>
    <row r="1756" spans="1:17" ht="15" customHeight="1" x14ac:dyDescent="0.35">
      <c r="A1756" s="129"/>
      <c r="B1756" s="137"/>
      <c r="C1756" s="137"/>
      <c r="D1756" s="137"/>
      <c r="E1756" s="137"/>
      <c r="F1756" s="137"/>
      <c r="G1756" s="137"/>
      <c r="H1756" s="137"/>
      <c r="I1756" s="137"/>
      <c r="J1756" s="138"/>
      <c r="K1756" s="137"/>
      <c r="L1756" s="137"/>
      <c r="M1756" s="137"/>
      <c r="N1756" s="137"/>
      <c r="O1756" s="137"/>
      <c r="P1756" s="137"/>
      <c r="Q1756" s="137"/>
    </row>
    <row r="1757" spans="1:17" ht="15" customHeight="1" x14ac:dyDescent="0.35">
      <c r="A1757" s="129"/>
      <c r="B1757" s="137"/>
      <c r="C1757" s="137"/>
      <c r="D1757" s="137"/>
      <c r="E1757" s="137"/>
      <c r="F1757" s="137"/>
      <c r="G1757" s="137"/>
      <c r="H1757" s="137"/>
      <c r="I1757" s="137"/>
      <c r="J1757" s="138"/>
      <c r="K1757" s="137"/>
      <c r="L1757" s="137"/>
      <c r="M1757" s="137"/>
      <c r="N1757" s="137"/>
      <c r="O1757" s="137"/>
      <c r="P1757" s="137"/>
      <c r="Q1757" s="137"/>
    </row>
    <row r="1758" spans="1:17" ht="15" customHeight="1" x14ac:dyDescent="0.35">
      <c r="A1758" s="129"/>
      <c r="B1758" s="137"/>
      <c r="C1758" s="137"/>
      <c r="D1758" s="137"/>
      <c r="E1758" s="137"/>
      <c r="F1758" s="137"/>
      <c r="G1758" s="137"/>
      <c r="H1758" s="137"/>
      <c r="I1758" s="137"/>
      <c r="J1758" s="138"/>
      <c r="K1758" s="137"/>
      <c r="L1758" s="137"/>
      <c r="M1758" s="137"/>
      <c r="N1758" s="137"/>
      <c r="O1758" s="137"/>
      <c r="P1758" s="137"/>
      <c r="Q1758" s="137"/>
    </row>
    <row r="1759" spans="1:17" ht="15" customHeight="1" x14ac:dyDescent="0.35">
      <c r="A1759" s="129"/>
      <c r="B1759" s="137"/>
      <c r="C1759" s="137"/>
      <c r="D1759" s="137"/>
      <c r="E1759" s="137"/>
      <c r="F1759" s="137"/>
      <c r="G1759" s="137"/>
      <c r="H1759" s="137"/>
      <c r="I1759" s="137"/>
      <c r="J1759" s="138"/>
      <c r="K1759" s="137"/>
      <c r="L1759" s="137"/>
      <c r="M1759" s="137"/>
      <c r="N1759" s="137"/>
      <c r="O1759" s="137"/>
      <c r="P1759" s="137"/>
      <c r="Q1759" s="137"/>
    </row>
    <row r="1760" spans="1:17" ht="15" customHeight="1" x14ac:dyDescent="0.35">
      <c r="A1760" s="129"/>
      <c r="B1760" s="137"/>
      <c r="C1760" s="137"/>
      <c r="D1760" s="137"/>
      <c r="E1760" s="137"/>
      <c r="F1760" s="137"/>
      <c r="G1760" s="137"/>
      <c r="H1760" s="137"/>
      <c r="I1760" s="137"/>
      <c r="J1760" s="138"/>
      <c r="K1760" s="137"/>
      <c r="L1760" s="137"/>
      <c r="M1760" s="137"/>
      <c r="N1760" s="137"/>
      <c r="O1760" s="137"/>
      <c r="P1760" s="137"/>
      <c r="Q1760" s="137"/>
    </row>
    <row r="1761" spans="1:17" ht="15" customHeight="1" x14ac:dyDescent="0.35">
      <c r="A1761" s="129"/>
      <c r="B1761" s="137"/>
      <c r="C1761" s="137"/>
      <c r="D1761" s="137"/>
      <c r="E1761" s="137"/>
      <c r="F1761" s="137"/>
      <c r="G1761" s="137"/>
      <c r="H1761" s="137"/>
      <c r="I1761" s="137"/>
      <c r="J1761" s="138"/>
      <c r="K1761" s="137"/>
      <c r="L1761" s="137"/>
      <c r="M1761" s="137"/>
      <c r="N1761" s="137"/>
      <c r="O1761" s="137"/>
      <c r="P1761" s="137"/>
      <c r="Q1761" s="137"/>
    </row>
    <row r="1762" spans="1:17" ht="15" customHeight="1" x14ac:dyDescent="0.35">
      <c r="A1762" s="129"/>
      <c r="B1762" s="137"/>
      <c r="C1762" s="137"/>
      <c r="D1762" s="137"/>
      <c r="E1762" s="137"/>
      <c r="F1762" s="137"/>
      <c r="G1762" s="137"/>
      <c r="H1762" s="137"/>
      <c r="I1762" s="137"/>
      <c r="J1762" s="138"/>
      <c r="K1762" s="137"/>
      <c r="L1762" s="137"/>
      <c r="M1762" s="137"/>
      <c r="N1762" s="137"/>
      <c r="O1762" s="137"/>
      <c r="P1762" s="137"/>
      <c r="Q1762" s="137"/>
    </row>
    <row r="1763" spans="1:17" ht="15" customHeight="1" x14ac:dyDescent="0.35">
      <c r="A1763" s="129"/>
      <c r="B1763" s="137"/>
      <c r="C1763" s="137"/>
      <c r="D1763" s="137"/>
      <c r="E1763" s="137"/>
      <c r="F1763" s="137"/>
      <c r="G1763" s="137"/>
      <c r="H1763" s="137"/>
      <c r="I1763" s="137"/>
      <c r="J1763" s="138"/>
      <c r="K1763" s="137"/>
      <c r="L1763" s="137"/>
      <c r="M1763" s="137"/>
      <c r="N1763" s="137"/>
      <c r="O1763" s="137"/>
      <c r="P1763" s="137"/>
      <c r="Q1763" s="137"/>
    </row>
    <row r="1764" spans="1:17" ht="15" customHeight="1" x14ac:dyDescent="0.35">
      <c r="A1764" s="129"/>
      <c r="B1764" s="137"/>
      <c r="C1764" s="137"/>
      <c r="D1764" s="137"/>
      <c r="E1764" s="137"/>
      <c r="F1764" s="137"/>
      <c r="G1764" s="137"/>
      <c r="H1764" s="137"/>
      <c r="I1764" s="137"/>
      <c r="J1764" s="138"/>
      <c r="K1764" s="137"/>
      <c r="L1764" s="137"/>
      <c r="M1764" s="137"/>
      <c r="N1764" s="137"/>
      <c r="O1764" s="137"/>
      <c r="P1764" s="137"/>
      <c r="Q1764" s="137"/>
    </row>
    <row r="1765" spans="1:17" ht="15" customHeight="1" x14ac:dyDescent="0.35">
      <c r="A1765" s="129"/>
      <c r="B1765" s="137"/>
      <c r="C1765" s="137"/>
      <c r="D1765" s="137"/>
      <c r="E1765" s="137"/>
      <c r="F1765" s="137"/>
      <c r="G1765" s="137"/>
      <c r="H1765" s="137"/>
      <c r="I1765" s="137"/>
      <c r="J1765" s="138"/>
      <c r="K1765" s="137"/>
      <c r="L1765" s="137"/>
      <c r="M1765" s="137"/>
      <c r="N1765" s="137"/>
      <c r="O1765" s="137"/>
      <c r="P1765" s="137"/>
      <c r="Q1765" s="137"/>
    </row>
    <row r="1766" spans="1:17" ht="15" customHeight="1" x14ac:dyDescent="0.35">
      <c r="A1766" s="129"/>
      <c r="B1766" s="137"/>
      <c r="C1766" s="137"/>
      <c r="D1766" s="137"/>
      <c r="E1766" s="137"/>
      <c r="F1766" s="137"/>
      <c r="G1766" s="137"/>
      <c r="H1766" s="137"/>
      <c r="I1766" s="137"/>
      <c r="J1766" s="138"/>
      <c r="K1766" s="137"/>
      <c r="L1766" s="137"/>
      <c r="M1766" s="137"/>
      <c r="N1766" s="137"/>
      <c r="O1766" s="137"/>
      <c r="P1766" s="137"/>
      <c r="Q1766" s="137"/>
    </row>
    <row r="1767" spans="1:17" ht="15" customHeight="1" x14ac:dyDescent="0.35">
      <c r="A1767" s="129"/>
      <c r="B1767" s="137"/>
      <c r="C1767" s="137"/>
      <c r="D1767" s="137"/>
      <c r="E1767" s="137"/>
      <c r="F1767" s="137"/>
      <c r="G1767" s="137"/>
      <c r="H1767" s="137"/>
      <c r="I1767" s="137"/>
      <c r="J1767" s="138"/>
      <c r="K1767" s="137"/>
      <c r="L1767" s="137"/>
      <c r="M1767" s="137"/>
      <c r="N1767" s="137"/>
      <c r="O1767" s="137"/>
      <c r="P1767" s="137"/>
      <c r="Q1767" s="137"/>
    </row>
    <row r="1768" spans="1:17" ht="15" customHeight="1" x14ac:dyDescent="0.35">
      <c r="A1768" s="129"/>
      <c r="B1768" s="137"/>
      <c r="C1768" s="137"/>
      <c r="D1768" s="137"/>
      <c r="E1768" s="137"/>
      <c r="F1768" s="137"/>
      <c r="G1768" s="137"/>
      <c r="H1768" s="137"/>
      <c r="I1768" s="137"/>
      <c r="J1768" s="138"/>
      <c r="K1768" s="137"/>
      <c r="L1768" s="137"/>
      <c r="M1768" s="137"/>
      <c r="N1768" s="137"/>
      <c r="O1768" s="137"/>
      <c r="P1768" s="137"/>
      <c r="Q1768" s="137"/>
    </row>
    <row r="1769" spans="1:17" ht="15" customHeight="1" x14ac:dyDescent="0.35">
      <c r="A1769" s="129"/>
      <c r="B1769" s="137"/>
      <c r="C1769" s="137"/>
      <c r="D1769" s="137"/>
      <c r="E1769" s="137"/>
      <c r="F1769" s="137"/>
      <c r="G1769" s="137"/>
      <c r="H1769" s="137"/>
      <c r="I1769" s="137"/>
      <c r="J1769" s="138"/>
      <c r="K1769" s="137"/>
      <c r="L1769" s="137"/>
      <c r="M1769" s="137"/>
      <c r="N1769" s="137"/>
      <c r="O1769" s="137"/>
      <c r="P1769" s="137"/>
      <c r="Q1769" s="137"/>
    </row>
    <row r="1770" spans="1:17" ht="15" customHeight="1" x14ac:dyDescent="0.35">
      <c r="A1770" s="129"/>
      <c r="B1770" s="137"/>
      <c r="C1770" s="137"/>
      <c r="D1770" s="137"/>
      <c r="E1770" s="137"/>
      <c r="F1770" s="137"/>
      <c r="G1770" s="137"/>
      <c r="H1770" s="137"/>
      <c r="I1770" s="137"/>
      <c r="J1770" s="138"/>
      <c r="K1770" s="137"/>
      <c r="L1770" s="137"/>
      <c r="M1770" s="137"/>
      <c r="N1770" s="137"/>
      <c r="O1770" s="137"/>
      <c r="P1770" s="137"/>
      <c r="Q1770" s="137"/>
    </row>
    <row r="1771" spans="1:17" ht="15" customHeight="1" x14ac:dyDescent="0.35">
      <c r="A1771" s="129"/>
      <c r="B1771" s="137"/>
      <c r="C1771" s="137"/>
      <c r="D1771" s="137"/>
      <c r="E1771" s="137"/>
      <c r="F1771" s="137"/>
      <c r="G1771" s="137"/>
      <c r="H1771" s="137"/>
      <c r="I1771" s="137"/>
      <c r="J1771" s="138"/>
      <c r="K1771" s="137"/>
      <c r="L1771" s="137"/>
      <c r="M1771" s="137"/>
      <c r="N1771" s="137"/>
      <c r="O1771" s="137"/>
      <c r="P1771" s="137"/>
      <c r="Q1771" s="137"/>
    </row>
    <row r="1772" spans="1:17" ht="15" customHeight="1" x14ac:dyDescent="0.35">
      <c r="A1772" s="129"/>
      <c r="B1772" s="137"/>
      <c r="C1772" s="137"/>
      <c r="D1772" s="137"/>
      <c r="E1772" s="137"/>
      <c r="F1772" s="137"/>
      <c r="G1772" s="137"/>
      <c r="H1772" s="137"/>
      <c r="I1772" s="137"/>
      <c r="J1772" s="138"/>
      <c r="K1772" s="137"/>
      <c r="L1772" s="137"/>
      <c r="M1772" s="137"/>
      <c r="N1772" s="137"/>
      <c r="O1772" s="137"/>
      <c r="P1772" s="137"/>
      <c r="Q1772" s="137"/>
    </row>
    <row r="1773" spans="1:17" ht="15" customHeight="1" x14ac:dyDescent="0.35">
      <c r="A1773" s="129"/>
      <c r="B1773" s="137"/>
      <c r="C1773" s="137"/>
      <c r="D1773" s="137"/>
      <c r="E1773" s="137"/>
      <c r="F1773" s="137"/>
      <c r="G1773" s="137"/>
      <c r="H1773" s="137"/>
      <c r="I1773" s="137"/>
      <c r="J1773" s="138"/>
      <c r="K1773" s="137"/>
      <c r="L1773" s="137"/>
      <c r="M1773" s="137"/>
      <c r="N1773" s="137"/>
      <c r="O1773" s="137"/>
      <c r="P1773" s="137"/>
      <c r="Q1773" s="137"/>
    </row>
    <row r="1774" spans="1:17" ht="15" customHeight="1" x14ac:dyDescent="0.35">
      <c r="A1774" s="129"/>
      <c r="B1774" s="137"/>
      <c r="C1774" s="137"/>
      <c r="D1774" s="137"/>
      <c r="E1774" s="137"/>
      <c r="F1774" s="137"/>
      <c r="G1774" s="137"/>
      <c r="H1774" s="137"/>
      <c r="I1774" s="137"/>
      <c r="J1774" s="138"/>
      <c r="K1774" s="137"/>
      <c r="L1774" s="137"/>
      <c r="M1774" s="137"/>
      <c r="N1774" s="137"/>
      <c r="O1774" s="137"/>
      <c r="P1774" s="137"/>
      <c r="Q1774" s="137"/>
    </row>
    <row r="1775" spans="1:17" ht="15" customHeight="1" x14ac:dyDescent="0.35">
      <c r="A1775" s="129"/>
      <c r="B1775" s="137"/>
      <c r="C1775" s="137"/>
      <c r="D1775" s="137"/>
      <c r="E1775" s="137"/>
      <c r="F1775" s="137"/>
      <c r="G1775" s="137"/>
      <c r="H1775" s="137"/>
      <c r="I1775" s="137"/>
      <c r="J1775" s="138"/>
      <c r="K1775" s="137"/>
      <c r="L1775" s="137"/>
      <c r="M1775" s="137"/>
      <c r="N1775" s="137"/>
      <c r="O1775" s="137"/>
      <c r="P1775" s="137"/>
      <c r="Q1775" s="137"/>
    </row>
    <row r="1776" spans="1:17" ht="15" customHeight="1" x14ac:dyDescent="0.35">
      <c r="A1776" s="129"/>
      <c r="B1776" s="137"/>
      <c r="C1776" s="137"/>
      <c r="D1776" s="137"/>
      <c r="E1776" s="137"/>
      <c r="F1776" s="137"/>
      <c r="G1776" s="137"/>
      <c r="H1776" s="137"/>
      <c r="I1776" s="137"/>
      <c r="J1776" s="138"/>
      <c r="K1776" s="137"/>
      <c r="L1776" s="137"/>
      <c r="M1776" s="137"/>
      <c r="N1776" s="137"/>
      <c r="O1776" s="137"/>
      <c r="P1776" s="137"/>
      <c r="Q1776" s="137"/>
    </row>
    <row r="1777" spans="1:17" ht="15" customHeight="1" x14ac:dyDescent="0.35">
      <c r="A1777" s="129"/>
      <c r="B1777" s="137"/>
      <c r="C1777" s="137"/>
      <c r="D1777" s="137"/>
      <c r="E1777" s="137"/>
      <c r="F1777" s="137"/>
      <c r="G1777" s="137"/>
      <c r="H1777" s="137"/>
      <c r="I1777" s="137"/>
      <c r="J1777" s="138"/>
      <c r="K1777" s="137"/>
      <c r="L1777" s="137"/>
      <c r="M1777" s="137"/>
      <c r="N1777" s="137"/>
      <c r="O1777" s="137"/>
      <c r="P1777" s="137"/>
      <c r="Q1777" s="137"/>
    </row>
    <row r="1778" spans="1:17" ht="15" customHeight="1" x14ac:dyDescent="0.35">
      <c r="A1778" s="129"/>
      <c r="B1778" s="137"/>
      <c r="C1778" s="137"/>
      <c r="D1778" s="137"/>
      <c r="E1778" s="137"/>
      <c r="F1778" s="137"/>
      <c r="G1778" s="137"/>
      <c r="H1778" s="137"/>
      <c r="I1778" s="137"/>
      <c r="J1778" s="138"/>
      <c r="K1778" s="137"/>
      <c r="L1778" s="137"/>
      <c r="M1778" s="137"/>
      <c r="N1778" s="137"/>
      <c r="O1778" s="137"/>
      <c r="P1778" s="137"/>
      <c r="Q1778" s="137"/>
    </row>
    <row r="1779" spans="1:17" ht="15" customHeight="1" x14ac:dyDescent="0.35">
      <c r="A1779" s="129"/>
      <c r="B1779" s="137"/>
      <c r="C1779" s="137"/>
      <c r="D1779" s="137"/>
      <c r="E1779" s="137"/>
      <c r="F1779" s="137"/>
      <c r="G1779" s="137"/>
      <c r="H1779" s="137"/>
      <c r="I1779" s="137"/>
      <c r="J1779" s="138"/>
      <c r="K1779" s="137"/>
      <c r="L1779" s="137"/>
      <c r="M1779" s="137"/>
      <c r="N1779" s="137"/>
      <c r="O1779" s="137"/>
      <c r="P1779" s="137"/>
      <c r="Q1779" s="137"/>
    </row>
    <row r="1780" spans="1:17" ht="15" customHeight="1" x14ac:dyDescent="0.35">
      <c r="A1780" s="129"/>
      <c r="B1780" s="137"/>
      <c r="C1780" s="137"/>
      <c r="D1780" s="137"/>
      <c r="E1780" s="137"/>
      <c r="F1780" s="137"/>
      <c r="G1780" s="137"/>
      <c r="H1780" s="137"/>
      <c r="I1780" s="137"/>
      <c r="J1780" s="138"/>
      <c r="K1780" s="137"/>
      <c r="L1780" s="137"/>
      <c r="M1780" s="137"/>
      <c r="N1780" s="137"/>
      <c r="O1780" s="137"/>
      <c r="P1780" s="137"/>
      <c r="Q1780" s="137"/>
    </row>
    <row r="1781" spans="1:17" ht="15" customHeight="1" x14ac:dyDescent="0.35">
      <c r="A1781" s="129"/>
      <c r="B1781" s="137"/>
      <c r="C1781" s="137"/>
      <c r="D1781" s="137"/>
      <c r="E1781" s="137"/>
      <c r="F1781" s="137"/>
      <c r="G1781" s="137"/>
      <c r="H1781" s="137"/>
      <c r="I1781" s="137"/>
      <c r="J1781" s="138"/>
      <c r="K1781" s="137"/>
      <c r="L1781" s="137"/>
      <c r="M1781" s="137"/>
      <c r="N1781" s="137"/>
      <c r="O1781" s="137"/>
      <c r="P1781" s="137"/>
      <c r="Q1781" s="137"/>
    </row>
    <row r="1782" spans="1:17" ht="15" customHeight="1" x14ac:dyDescent="0.35">
      <c r="A1782" s="129"/>
      <c r="B1782" s="137"/>
      <c r="C1782" s="137"/>
      <c r="D1782" s="137"/>
      <c r="E1782" s="137"/>
      <c r="F1782" s="137"/>
      <c r="G1782" s="137"/>
      <c r="H1782" s="137"/>
      <c r="I1782" s="137"/>
      <c r="J1782" s="138"/>
      <c r="K1782" s="137"/>
      <c r="L1782" s="137"/>
      <c r="M1782" s="137"/>
      <c r="N1782" s="137"/>
      <c r="O1782" s="137"/>
      <c r="P1782" s="137"/>
      <c r="Q1782" s="137"/>
    </row>
    <row r="1783" spans="1:17" ht="15" customHeight="1" x14ac:dyDescent="0.35">
      <c r="A1783" s="129"/>
      <c r="B1783" s="137"/>
      <c r="C1783" s="137"/>
      <c r="D1783" s="137"/>
      <c r="E1783" s="137"/>
      <c r="F1783" s="137"/>
      <c r="G1783" s="137"/>
      <c r="H1783" s="137"/>
      <c r="I1783" s="137"/>
      <c r="J1783" s="138"/>
      <c r="K1783" s="137"/>
      <c r="L1783" s="137"/>
      <c r="M1783" s="137"/>
      <c r="N1783" s="137"/>
      <c r="O1783" s="137"/>
      <c r="P1783" s="137"/>
      <c r="Q1783" s="137"/>
    </row>
    <row r="1784" spans="1:17" ht="15" customHeight="1" x14ac:dyDescent="0.35">
      <c r="A1784" s="129"/>
      <c r="B1784" s="137"/>
      <c r="C1784" s="137"/>
      <c r="D1784" s="137"/>
      <c r="E1784" s="137"/>
      <c r="F1784" s="137"/>
      <c r="G1784" s="137"/>
      <c r="H1784" s="137"/>
      <c r="I1784" s="137"/>
      <c r="J1784" s="138"/>
      <c r="K1784" s="137"/>
      <c r="L1784" s="137"/>
      <c r="M1784" s="137"/>
      <c r="N1784" s="137"/>
      <c r="O1784" s="137"/>
      <c r="P1784" s="137"/>
      <c r="Q1784" s="137"/>
    </row>
    <row r="1785" spans="1:17" ht="15" customHeight="1" x14ac:dyDescent="0.35">
      <c r="A1785" s="129"/>
      <c r="B1785" s="137"/>
      <c r="C1785" s="137"/>
      <c r="D1785" s="137"/>
      <c r="E1785" s="137"/>
      <c r="F1785" s="137"/>
      <c r="G1785" s="137"/>
      <c r="H1785" s="137"/>
      <c r="I1785" s="137"/>
      <c r="J1785" s="138"/>
      <c r="K1785" s="137"/>
      <c r="L1785" s="137"/>
      <c r="M1785" s="137"/>
      <c r="N1785" s="137"/>
      <c r="O1785" s="137"/>
      <c r="P1785" s="137"/>
      <c r="Q1785" s="137"/>
    </row>
    <row r="1786" spans="1:17" ht="15" customHeight="1" x14ac:dyDescent="0.35">
      <c r="A1786" s="129"/>
      <c r="B1786" s="137"/>
      <c r="C1786" s="137"/>
      <c r="D1786" s="137"/>
      <c r="E1786" s="137"/>
      <c r="F1786" s="137"/>
      <c r="G1786" s="137"/>
      <c r="H1786" s="137"/>
      <c r="I1786" s="137"/>
      <c r="J1786" s="138"/>
      <c r="K1786" s="137"/>
      <c r="L1786" s="137"/>
      <c r="M1786" s="137"/>
      <c r="N1786" s="137"/>
      <c r="O1786" s="137"/>
      <c r="P1786" s="137"/>
      <c r="Q1786" s="137"/>
    </row>
    <row r="1787" spans="1:17" ht="15" customHeight="1" x14ac:dyDescent="0.35">
      <c r="A1787" s="129"/>
      <c r="B1787" s="137"/>
      <c r="C1787" s="137"/>
      <c r="D1787" s="137"/>
      <c r="E1787" s="137"/>
      <c r="F1787" s="137"/>
      <c r="G1787" s="137"/>
      <c r="H1787" s="137"/>
      <c r="I1787" s="137"/>
      <c r="J1787" s="138"/>
      <c r="K1787" s="137"/>
      <c r="L1787" s="137"/>
      <c r="M1787" s="137"/>
      <c r="N1787" s="137"/>
      <c r="O1787" s="137"/>
      <c r="P1787" s="137"/>
      <c r="Q1787" s="137"/>
    </row>
    <row r="1788" spans="1:17" ht="15" customHeight="1" x14ac:dyDescent="0.35">
      <c r="A1788" s="129"/>
      <c r="B1788" s="137"/>
      <c r="C1788" s="137"/>
      <c r="D1788" s="137"/>
      <c r="E1788" s="137"/>
      <c r="F1788" s="137"/>
      <c r="G1788" s="137"/>
      <c r="H1788" s="137"/>
      <c r="I1788" s="137"/>
      <c r="J1788" s="138"/>
      <c r="K1788" s="137"/>
      <c r="L1788" s="137"/>
      <c r="M1788" s="137"/>
      <c r="N1788" s="137"/>
      <c r="O1788" s="137"/>
      <c r="P1788" s="137"/>
      <c r="Q1788" s="137"/>
    </row>
    <row r="1789" spans="1:17" ht="15" customHeight="1" x14ac:dyDescent="0.35">
      <c r="A1789" s="129"/>
      <c r="B1789" s="137"/>
      <c r="C1789" s="137"/>
      <c r="D1789" s="137"/>
      <c r="E1789" s="137"/>
      <c r="F1789" s="137"/>
      <c r="G1789" s="137"/>
      <c r="H1789" s="137"/>
      <c r="I1789" s="137"/>
      <c r="J1789" s="138"/>
      <c r="K1789" s="137"/>
      <c r="L1789" s="137"/>
      <c r="M1789" s="137"/>
      <c r="N1789" s="137"/>
      <c r="O1789" s="137"/>
      <c r="P1789" s="137"/>
      <c r="Q1789" s="137"/>
    </row>
    <row r="1790" spans="1:17" ht="15" customHeight="1" x14ac:dyDescent="0.35">
      <c r="A1790" s="129"/>
      <c r="B1790" s="137"/>
      <c r="C1790" s="137"/>
      <c r="D1790" s="137"/>
      <c r="E1790" s="137"/>
      <c r="F1790" s="137"/>
      <c r="G1790" s="137"/>
      <c r="H1790" s="137"/>
      <c r="I1790" s="137"/>
      <c r="J1790" s="138"/>
      <c r="K1790" s="137"/>
      <c r="L1790" s="137"/>
      <c r="M1790" s="137"/>
      <c r="N1790" s="137"/>
      <c r="O1790" s="137"/>
      <c r="P1790" s="137"/>
      <c r="Q1790" s="137"/>
    </row>
    <row r="1791" spans="1:17" ht="15" customHeight="1" x14ac:dyDescent="0.35">
      <c r="A1791" s="129"/>
      <c r="B1791" s="137"/>
      <c r="C1791" s="137"/>
      <c r="D1791" s="137"/>
      <c r="E1791" s="137"/>
      <c r="F1791" s="137"/>
      <c r="G1791" s="137"/>
      <c r="H1791" s="137"/>
      <c r="I1791" s="137"/>
      <c r="J1791" s="138"/>
      <c r="K1791" s="137"/>
      <c r="L1791" s="137"/>
      <c r="M1791" s="137"/>
      <c r="N1791" s="137"/>
      <c r="O1791" s="137"/>
      <c r="P1791" s="137"/>
      <c r="Q1791" s="137"/>
    </row>
    <row r="1792" spans="1:17" ht="15" customHeight="1" x14ac:dyDescent="0.35">
      <c r="A1792" s="129"/>
      <c r="B1792" s="137"/>
      <c r="C1792" s="137"/>
      <c r="D1792" s="137"/>
      <c r="E1792" s="137"/>
      <c r="F1792" s="137"/>
      <c r="G1792" s="137"/>
      <c r="H1792" s="137"/>
      <c r="I1792" s="137"/>
      <c r="J1792" s="138"/>
      <c r="K1792" s="137"/>
      <c r="L1792" s="137"/>
      <c r="M1792" s="137"/>
      <c r="N1792" s="137"/>
      <c r="O1792" s="137"/>
      <c r="P1792" s="137"/>
      <c r="Q1792" s="137"/>
    </row>
    <row r="1793" spans="1:17" ht="15" customHeight="1" x14ac:dyDescent="0.35">
      <c r="A1793" s="129"/>
      <c r="B1793" s="137"/>
      <c r="C1793" s="137"/>
      <c r="D1793" s="137"/>
      <c r="E1793" s="137"/>
      <c r="F1793" s="137"/>
      <c r="G1793" s="137"/>
      <c r="H1793" s="137"/>
      <c r="I1793" s="137"/>
      <c r="J1793" s="138"/>
      <c r="K1793" s="137"/>
      <c r="L1793" s="137"/>
      <c r="M1793" s="137"/>
      <c r="N1793" s="137"/>
      <c r="O1793" s="137"/>
      <c r="P1793" s="137"/>
      <c r="Q1793" s="137"/>
    </row>
    <row r="1794" spans="1:17" ht="15" customHeight="1" x14ac:dyDescent="0.35">
      <c r="A1794" s="129"/>
      <c r="B1794" s="137"/>
      <c r="C1794" s="137"/>
      <c r="D1794" s="137"/>
      <c r="E1794" s="137"/>
      <c r="F1794" s="137"/>
      <c r="G1794" s="137"/>
      <c r="H1794" s="137"/>
      <c r="I1794" s="137"/>
      <c r="J1794" s="138"/>
      <c r="K1794" s="137"/>
      <c r="L1794" s="137"/>
      <c r="M1794" s="137"/>
      <c r="N1794" s="137"/>
      <c r="O1794" s="137"/>
      <c r="P1794" s="137"/>
      <c r="Q1794" s="137"/>
    </row>
    <row r="1795" spans="1:17" ht="15" customHeight="1" x14ac:dyDescent="0.35">
      <c r="A1795" s="129"/>
      <c r="B1795" s="137"/>
      <c r="C1795" s="137"/>
      <c r="D1795" s="137"/>
      <c r="E1795" s="137"/>
      <c r="F1795" s="137"/>
      <c r="G1795" s="137"/>
      <c r="H1795" s="137"/>
      <c r="I1795" s="137"/>
      <c r="J1795" s="138"/>
      <c r="K1795" s="137"/>
      <c r="L1795" s="137"/>
      <c r="M1795" s="137"/>
      <c r="N1795" s="137"/>
      <c r="O1795" s="137"/>
      <c r="P1795" s="137"/>
      <c r="Q1795" s="137"/>
    </row>
    <row r="1796" spans="1:17" ht="15" customHeight="1" x14ac:dyDescent="0.35">
      <c r="A1796" s="129"/>
      <c r="B1796" s="137"/>
      <c r="C1796" s="137"/>
      <c r="D1796" s="137"/>
      <c r="E1796" s="137"/>
      <c r="F1796" s="137"/>
      <c r="G1796" s="137"/>
      <c r="H1796" s="137"/>
      <c r="I1796" s="137"/>
      <c r="J1796" s="138"/>
      <c r="K1796" s="137"/>
      <c r="L1796" s="137"/>
      <c r="M1796" s="137"/>
      <c r="N1796" s="137"/>
      <c r="O1796" s="137"/>
      <c r="P1796" s="137"/>
      <c r="Q1796" s="137"/>
    </row>
    <row r="1797" spans="1:17" ht="15" customHeight="1" x14ac:dyDescent="0.35">
      <c r="A1797" s="129"/>
      <c r="B1797" s="137"/>
      <c r="C1797" s="137"/>
      <c r="D1797" s="137"/>
      <c r="E1797" s="137"/>
      <c r="F1797" s="137"/>
      <c r="G1797" s="137"/>
      <c r="H1797" s="137"/>
      <c r="I1797" s="137"/>
      <c r="J1797" s="138"/>
      <c r="K1797" s="137"/>
      <c r="L1797" s="137"/>
      <c r="M1797" s="137"/>
      <c r="N1797" s="137"/>
      <c r="O1797" s="137"/>
      <c r="P1797" s="137"/>
      <c r="Q1797" s="137"/>
    </row>
    <row r="1798" spans="1:17" ht="15" customHeight="1" x14ac:dyDescent="0.35">
      <c r="A1798" s="129"/>
      <c r="B1798" s="137"/>
      <c r="C1798" s="137"/>
      <c r="D1798" s="137"/>
      <c r="E1798" s="137"/>
      <c r="F1798" s="137"/>
      <c r="G1798" s="137"/>
      <c r="H1798" s="137"/>
      <c r="I1798" s="137"/>
      <c r="J1798" s="138"/>
      <c r="K1798" s="137"/>
      <c r="L1798" s="137"/>
      <c r="M1798" s="137"/>
      <c r="N1798" s="137"/>
      <c r="O1798" s="137"/>
      <c r="P1798" s="137"/>
      <c r="Q1798" s="137"/>
    </row>
    <row r="1799" spans="1:17" ht="15" customHeight="1" x14ac:dyDescent="0.35">
      <c r="A1799" s="129"/>
      <c r="B1799" s="137"/>
      <c r="C1799" s="137"/>
      <c r="D1799" s="137"/>
      <c r="E1799" s="137"/>
      <c r="F1799" s="137"/>
      <c r="G1799" s="137"/>
      <c r="H1799" s="137"/>
      <c r="I1799" s="137"/>
      <c r="J1799" s="138"/>
      <c r="K1799" s="137"/>
      <c r="L1799" s="137"/>
      <c r="M1799" s="137"/>
      <c r="N1799" s="137"/>
      <c r="O1799" s="137"/>
      <c r="P1799" s="137"/>
      <c r="Q1799" s="137"/>
    </row>
    <row r="1800" spans="1:17" ht="15" customHeight="1" x14ac:dyDescent="0.35">
      <c r="A1800" s="129"/>
      <c r="B1800" s="137"/>
      <c r="C1800" s="137"/>
      <c r="D1800" s="137"/>
      <c r="E1800" s="137"/>
      <c r="F1800" s="137"/>
      <c r="G1800" s="137"/>
      <c r="H1800" s="137"/>
      <c r="I1800" s="137"/>
      <c r="J1800" s="138"/>
      <c r="K1800" s="137"/>
      <c r="L1800" s="137"/>
      <c r="M1800" s="137"/>
      <c r="N1800" s="137"/>
      <c r="O1800" s="137"/>
      <c r="P1800" s="137"/>
      <c r="Q1800" s="137"/>
    </row>
    <row r="1801" spans="1:17" ht="15" customHeight="1" x14ac:dyDescent="0.35">
      <c r="A1801" s="129"/>
      <c r="B1801" s="137"/>
      <c r="C1801" s="137"/>
      <c r="D1801" s="137"/>
      <c r="E1801" s="137"/>
      <c r="F1801" s="137"/>
      <c r="G1801" s="137"/>
      <c r="H1801" s="137"/>
      <c r="I1801" s="137"/>
      <c r="J1801" s="138"/>
      <c r="K1801" s="137"/>
      <c r="L1801" s="137"/>
      <c r="M1801" s="137"/>
      <c r="N1801" s="137"/>
      <c r="O1801" s="137"/>
      <c r="P1801" s="137"/>
      <c r="Q1801" s="137"/>
    </row>
    <row r="1802" spans="1:17" ht="15" customHeight="1" x14ac:dyDescent="0.35">
      <c r="A1802" s="129"/>
      <c r="B1802" s="137"/>
      <c r="C1802" s="137"/>
      <c r="D1802" s="137"/>
      <c r="E1802" s="137"/>
      <c r="F1802" s="137"/>
      <c r="G1802" s="137"/>
      <c r="H1802" s="137"/>
      <c r="I1802" s="137"/>
      <c r="J1802" s="138"/>
      <c r="K1802" s="137"/>
      <c r="L1802" s="137"/>
      <c r="M1802" s="137"/>
      <c r="N1802" s="137"/>
      <c r="O1802" s="137"/>
      <c r="P1802" s="137"/>
      <c r="Q1802" s="137"/>
    </row>
    <row r="1803" spans="1:17" ht="15" customHeight="1" x14ac:dyDescent="0.35">
      <c r="A1803" s="129"/>
      <c r="B1803" s="137"/>
      <c r="C1803" s="137"/>
      <c r="D1803" s="137"/>
      <c r="E1803" s="137"/>
      <c r="F1803" s="137"/>
      <c r="G1803" s="137"/>
      <c r="H1803" s="137"/>
      <c r="I1803" s="137"/>
      <c r="J1803" s="138"/>
      <c r="K1803" s="137"/>
      <c r="L1803" s="137"/>
      <c r="M1803" s="137"/>
      <c r="N1803" s="137"/>
      <c r="O1803" s="137"/>
      <c r="P1803" s="137"/>
      <c r="Q1803" s="137"/>
    </row>
    <row r="1804" spans="1:17" ht="15" customHeight="1" x14ac:dyDescent="0.35">
      <c r="A1804" s="129"/>
      <c r="B1804" s="137"/>
      <c r="C1804" s="137"/>
      <c r="D1804" s="137"/>
      <c r="E1804" s="137"/>
      <c r="F1804" s="137"/>
      <c r="G1804" s="137"/>
      <c r="H1804" s="137"/>
      <c r="I1804" s="137"/>
      <c r="J1804" s="138"/>
      <c r="K1804" s="137"/>
      <c r="L1804" s="137"/>
      <c r="M1804" s="137"/>
      <c r="N1804" s="137"/>
      <c r="O1804" s="137"/>
      <c r="P1804" s="137"/>
      <c r="Q1804" s="137"/>
    </row>
    <row r="1805" spans="1:17" ht="15" customHeight="1" x14ac:dyDescent="0.35">
      <c r="A1805" s="129"/>
      <c r="B1805" s="137"/>
      <c r="C1805" s="137"/>
      <c r="D1805" s="137"/>
      <c r="E1805" s="137"/>
      <c r="F1805" s="137"/>
      <c r="G1805" s="137"/>
      <c r="H1805" s="137"/>
      <c r="I1805" s="137"/>
      <c r="J1805" s="138"/>
      <c r="K1805" s="137"/>
      <c r="L1805" s="137"/>
      <c r="M1805" s="137"/>
      <c r="N1805" s="137"/>
      <c r="O1805" s="137"/>
      <c r="P1805" s="137"/>
      <c r="Q1805" s="137"/>
    </row>
    <row r="1806" spans="1:17" ht="15" customHeight="1" x14ac:dyDescent="0.35">
      <c r="A1806" s="129"/>
      <c r="B1806" s="137"/>
      <c r="C1806" s="137"/>
      <c r="D1806" s="137"/>
      <c r="E1806" s="137"/>
      <c r="F1806" s="137"/>
      <c r="G1806" s="137"/>
      <c r="H1806" s="137"/>
      <c r="I1806" s="137"/>
      <c r="J1806" s="138"/>
      <c r="K1806" s="137"/>
      <c r="L1806" s="137"/>
      <c r="M1806" s="137"/>
      <c r="N1806" s="137"/>
      <c r="O1806" s="137"/>
      <c r="P1806" s="137"/>
      <c r="Q1806" s="137"/>
    </row>
    <row r="1807" spans="1:17" ht="15" customHeight="1" x14ac:dyDescent="0.35">
      <c r="A1807" s="129"/>
      <c r="B1807" s="137"/>
      <c r="C1807" s="137"/>
      <c r="D1807" s="137"/>
      <c r="E1807" s="137"/>
      <c r="F1807" s="137"/>
      <c r="G1807" s="137"/>
      <c r="H1807" s="137"/>
      <c r="I1807" s="137"/>
      <c r="J1807" s="138"/>
      <c r="K1807" s="137"/>
      <c r="L1807" s="137"/>
      <c r="M1807" s="137"/>
      <c r="N1807" s="137"/>
      <c r="O1807" s="137"/>
      <c r="P1807" s="137"/>
      <c r="Q1807" s="137"/>
    </row>
    <row r="1808" spans="1:17" ht="15" customHeight="1" x14ac:dyDescent="0.35">
      <c r="A1808" s="129"/>
      <c r="B1808" s="137"/>
      <c r="C1808" s="137"/>
      <c r="D1808" s="137"/>
      <c r="E1808" s="137"/>
      <c r="F1808" s="137"/>
      <c r="G1808" s="137"/>
      <c r="H1808" s="137"/>
      <c r="I1808" s="137"/>
      <c r="J1808" s="138"/>
      <c r="K1808" s="137"/>
      <c r="L1808" s="137"/>
      <c r="M1808" s="137"/>
      <c r="N1808" s="137"/>
      <c r="O1808" s="137"/>
      <c r="P1808" s="137"/>
      <c r="Q1808" s="137"/>
    </row>
    <row r="1809" spans="1:17" ht="15" customHeight="1" x14ac:dyDescent="0.35">
      <c r="A1809" s="129"/>
      <c r="B1809" s="137"/>
      <c r="C1809" s="137"/>
      <c r="D1809" s="137"/>
      <c r="E1809" s="137"/>
      <c r="F1809" s="137"/>
      <c r="G1809" s="137"/>
      <c r="H1809" s="137"/>
      <c r="I1809" s="137"/>
      <c r="J1809" s="138"/>
      <c r="K1809" s="137"/>
      <c r="L1809" s="137"/>
      <c r="M1809" s="137"/>
      <c r="N1809" s="137"/>
      <c r="O1809" s="137"/>
      <c r="P1809" s="137"/>
      <c r="Q1809" s="137"/>
    </row>
    <row r="1810" spans="1:17" ht="15" customHeight="1" x14ac:dyDescent="0.35">
      <c r="A1810" s="129"/>
      <c r="B1810" s="137"/>
      <c r="C1810" s="137"/>
      <c r="D1810" s="137"/>
      <c r="E1810" s="137"/>
      <c r="F1810" s="137"/>
      <c r="G1810" s="137"/>
      <c r="H1810" s="137"/>
      <c r="I1810" s="137"/>
      <c r="J1810" s="138"/>
      <c r="K1810" s="137"/>
      <c r="L1810" s="137"/>
      <c r="M1810" s="137"/>
      <c r="N1810" s="137"/>
      <c r="O1810" s="137"/>
      <c r="P1810" s="137"/>
      <c r="Q1810" s="137"/>
    </row>
    <row r="1811" spans="1:17" ht="15" customHeight="1" x14ac:dyDescent="0.35">
      <c r="A1811" s="129"/>
      <c r="B1811" s="137"/>
      <c r="C1811" s="137"/>
      <c r="D1811" s="137"/>
      <c r="E1811" s="137"/>
      <c r="F1811" s="137"/>
      <c r="G1811" s="137"/>
      <c r="H1811" s="137"/>
      <c r="I1811" s="137"/>
      <c r="J1811" s="138"/>
      <c r="K1811" s="137"/>
      <c r="L1811" s="137"/>
      <c r="M1811" s="137"/>
      <c r="N1811" s="137"/>
      <c r="O1811" s="137"/>
      <c r="P1811" s="137"/>
      <c r="Q1811" s="137"/>
    </row>
    <row r="1812" spans="1:17" ht="15" customHeight="1" x14ac:dyDescent="0.35">
      <c r="A1812" s="129"/>
      <c r="B1812" s="137"/>
      <c r="C1812" s="137"/>
      <c r="D1812" s="137"/>
      <c r="E1812" s="137"/>
      <c r="F1812" s="137"/>
      <c r="G1812" s="137"/>
      <c r="H1812" s="137"/>
      <c r="I1812" s="137"/>
      <c r="J1812" s="138"/>
      <c r="K1812" s="137"/>
      <c r="L1812" s="137"/>
      <c r="M1812" s="137"/>
      <c r="N1812" s="137"/>
      <c r="O1812" s="137"/>
      <c r="P1812" s="137"/>
      <c r="Q1812" s="137"/>
    </row>
    <row r="1813" spans="1:17" ht="15" customHeight="1" x14ac:dyDescent="0.35">
      <c r="A1813" s="129"/>
      <c r="B1813" s="137"/>
      <c r="C1813" s="137"/>
      <c r="D1813" s="137"/>
      <c r="E1813" s="137"/>
      <c r="F1813" s="137"/>
      <c r="G1813" s="137"/>
      <c r="H1813" s="137"/>
      <c r="I1813" s="137"/>
      <c r="J1813" s="138"/>
      <c r="K1813" s="137"/>
      <c r="L1813" s="137"/>
      <c r="M1813" s="137"/>
      <c r="N1813" s="137"/>
      <c r="O1813" s="137"/>
      <c r="P1813" s="137"/>
      <c r="Q1813" s="137"/>
    </row>
    <row r="1814" spans="1:17" ht="15" customHeight="1" x14ac:dyDescent="0.35">
      <c r="A1814" s="129"/>
      <c r="B1814" s="137"/>
      <c r="C1814" s="137"/>
      <c r="D1814" s="137"/>
      <c r="E1814" s="137"/>
      <c r="F1814" s="137"/>
      <c r="G1814" s="137"/>
      <c r="H1814" s="137"/>
      <c r="I1814" s="137"/>
      <c r="J1814" s="138"/>
      <c r="K1814" s="137"/>
      <c r="L1814" s="137"/>
      <c r="M1814" s="137"/>
      <c r="N1814" s="137"/>
      <c r="O1814" s="137"/>
      <c r="P1814" s="137"/>
      <c r="Q1814" s="137"/>
    </row>
    <row r="1815" spans="1:17" ht="15" customHeight="1" x14ac:dyDescent="0.35">
      <c r="A1815" s="129"/>
      <c r="B1815" s="137"/>
      <c r="C1815" s="137"/>
      <c r="D1815" s="137"/>
      <c r="E1815" s="137"/>
      <c r="F1815" s="137"/>
      <c r="G1815" s="137"/>
      <c r="H1815" s="137"/>
      <c r="I1815" s="137"/>
      <c r="J1815" s="138"/>
      <c r="K1815" s="137"/>
      <c r="L1815" s="137"/>
      <c r="M1815" s="137"/>
      <c r="N1815" s="137"/>
      <c r="O1815" s="137"/>
      <c r="P1815" s="137"/>
      <c r="Q1815" s="137"/>
    </row>
    <row r="1816" spans="1:17" ht="15" customHeight="1" x14ac:dyDescent="0.35">
      <c r="A1816" s="129"/>
      <c r="B1816" s="137"/>
      <c r="C1816" s="137"/>
      <c r="D1816" s="137"/>
      <c r="E1816" s="137"/>
      <c r="F1816" s="137"/>
      <c r="G1816" s="137"/>
      <c r="H1816" s="137"/>
      <c r="I1816" s="137"/>
      <c r="J1816" s="138"/>
      <c r="K1816" s="137"/>
      <c r="L1816" s="137"/>
      <c r="M1816" s="137"/>
      <c r="N1816" s="137"/>
      <c r="O1816" s="137"/>
      <c r="P1816" s="137"/>
      <c r="Q1816" s="137"/>
    </row>
    <row r="1817" spans="1:17" ht="15" customHeight="1" x14ac:dyDescent="0.35">
      <c r="A1817" s="129"/>
      <c r="B1817" s="137"/>
      <c r="C1817" s="137"/>
      <c r="D1817" s="137"/>
      <c r="E1817" s="137"/>
      <c r="F1817" s="137"/>
      <c r="G1817" s="137"/>
      <c r="H1817" s="137"/>
      <c r="I1817" s="137"/>
      <c r="J1817" s="138"/>
      <c r="K1817" s="137"/>
      <c r="L1817" s="137"/>
      <c r="M1817" s="137"/>
      <c r="N1817" s="137"/>
      <c r="O1817" s="137"/>
      <c r="P1817" s="137"/>
      <c r="Q1817" s="137"/>
    </row>
    <row r="1818" spans="1:17" ht="15" customHeight="1" x14ac:dyDescent="0.35">
      <c r="A1818" s="129"/>
      <c r="B1818" s="137"/>
      <c r="C1818" s="137"/>
      <c r="D1818" s="137"/>
      <c r="E1818" s="137"/>
      <c r="F1818" s="137"/>
      <c r="G1818" s="137"/>
      <c r="H1818" s="137"/>
      <c r="I1818" s="137"/>
      <c r="J1818" s="138"/>
      <c r="K1818" s="137"/>
      <c r="L1818" s="137"/>
      <c r="M1818" s="137"/>
      <c r="N1818" s="137"/>
      <c r="O1818" s="137"/>
      <c r="P1818" s="137"/>
      <c r="Q1818" s="137"/>
    </row>
    <row r="1819" spans="1:17" ht="15" customHeight="1" x14ac:dyDescent="0.35">
      <c r="A1819" s="129"/>
      <c r="B1819" s="137"/>
      <c r="C1819" s="137"/>
      <c r="D1819" s="137"/>
      <c r="E1819" s="137"/>
      <c r="F1819" s="137"/>
      <c r="G1819" s="137"/>
      <c r="H1819" s="137"/>
      <c r="I1819" s="137"/>
      <c r="J1819" s="138"/>
      <c r="K1819" s="137"/>
      <c r="L1819" s="137"/>
      <c r="M1819" s="137"/>
      <c r="N1819" s="137"/>
      <c r="O1819" s="137"/>
      <c r="P1819" s="137"/>
      <c r="Q1819" s="137"/>
    </row>
    <row r="1820" spans="1:17" ht="15" customHeight="1" x14ac:dyDescent="0.35">
      <c r="A1820" s="129"/>
      <c r="B1820" s="137"/>
      <c r="C1820" s="137"/>
      <c r="D1820" s="137"/>
      <c r="E1820" s="137"/>
      <c r="F1820" s="137"/>
      <c r="G1820" s="137"/>
      <c r="H1820" s="137"/>
      <c r="I1820" s="137"/>
      <c r="J1820" s="138"/>
      <c r="K1820" s="137"/>
      <c r="L1820" s="137"/>
      <c r="M1820" s="137"/>
      <c r="N1820" s="137"/>
      <c r="O1820" s="137"/>
      <c r="P1820" s="137"/>
      <c r="Q1820" s="137"/>
    </row>
    <row r="1821" spans="1:17" ht="15" customHeight="1" x14ac:dyDescent="0.35">
      <c r="A1821" s="129"/>
      <c r="B1821" s="137"/>
      <c r="C1821" s="137"/>
      <c r="D1821" s="137"/>
      <c r="E1821" s="137"/>
      <c r="F1821" s="137"/>
      <c r="G1821" s="137"/>
      <c r="H1821" s="137"/>
      <c r="I1821" s="137"/>
      <c r="J1821" s="138"/>
      <c r="K1821" s="137"/>
      <c r="L1821" s="137"/>
      <c r="M1821" s="137"/>
      <c r="N1821" s="137"/>
      <c r="O1821" s="137"/>
      <c r="P1821" s="137"/>
      <c r="Q1821" s="137"/>
    </row>
    <row r="1822" spans="1:17" ht="15" customHeight="1" x14ac:dyDescent="0.35">
      <c r="A1822" s="129"/>
      <c r="B1822" s="137"/>
      <c r="C1822" s="137"/>
      <c r="D1822" s="137"/>
      <c r="E1822" s="137"/>
      <c r="F1822" s="137"/>
      <c r="G1822" s="137"/>
      <c r="H1822" s="137"/>
      <c r="I1822" s="137"/>
      <c r="J1822" s="138"/>
      <c r="K1822" s="137"/>
      <c r="L1822" s="137"/>
      <c r="M1822" s="137"/>
      <c r="N1822" s="137"/>
      <c r="O1822" s="137"/>
      <c r="P1822" s="137"/>
      <c r="Q1822" s="137"/>
    </row>
    <row r="1823" spans="1:17" ht="15" customHeight="1" x14ac:dyDescent="0.35">
      <c r="A1823" s="129"/>
      <c r="B1823" s="137"/>
      <c r="C1823" s="137"/>
      <c r="D1823" s="137"/>
      <c r="E1823" s="137"/>
      <c r="F1823" s="137"/>
      <c r="G1823" s="137"/>
      <c r="H1823" s="137"/>
      <c r="I1823" s="137"/>
      <c r="J1823" s="138"/>
      <c r="K1823" s="137"/>
      <c r="L1823" s="137"/>
      <c r="M1823" s="137"/>
      <c r="N1823" s="137"/>
      <c r="O1823" s="137"/>
      <c r="P1823" s="137"/>
      <c r="Q1823" s="137"/>
    </row>
    <row r="1824" spans="1:17" ht="15" customHeight="1" x14ac:dyDescent="0.35">
      <c r="A1824" s="129"/>
      <c r="B1824" s="137"/>
      <c r="C1824" s="137"/>
      <c r="D1824" s="137"/>
      <c r="E1824" s="137"/>
      <c r="F1824" s="137"/>
      <c r="G1824" s="137"/>
      <c r="H1824" s="137"/>
      <c r="I1824" s="137"/>
      <c r="J1824" s="138"/>
      <c r="K1824" s="137"/>
      <c r="L1824" s="137"/>
      <c r="M1824" s="137"/>
      <c r="N1824" s="137"/>
      <c r="O1824" s="137"/>
      <c r="P1824" s="137"/>
      <c r="Q1824" s="137"/>
    </row>
    <row r="1825" spans="1:17" ht="15" customHeight="1" x14ac:dyDescent="0.35">
      <c r="A1825" s="129"/>
      <c r="B1825" s="137"/>
      <c r="C1825" s="137"/>
      <c r="D1825" s="137"/>
      <c r="E1825" s="137"/>
      <c r="F1825" s="137"/>
      <c r="G1825" s="137"/>
      <c r="H1825" s="137"/>
      <c r="I1825" s="137"/>
      <c r="J1825" s="138"/>
      <c r="K1825" s="137"/>
      <c r="L1825" s="137"/>
      <c r="M1825" s="137"/>
      <c r="N1825" s="137"/>
      <c r="O1825" s="137"/>
      <c r="P1825" s="137"/>
      <c r="Q1825" s="137"/>
    </row>
    <row r="1826" spans="1:17" ht="15" customHeight="1" x14ac:dyDescent="0.35">
      <c r="A1826" s="129"/>
      <c r="B1826" s="137"/>
      <c r="C1826" s="137"/>
      <c r="D1826" s="137"/>
      <c r="E1826" s="137"/>
      <c r="F1826" s="137"/>
      <c r="G1826" s="137"/>
      <c r="H1826" s="137"/>
      <c r="I1826" s="137"/>
      <c r="J1826" s="138"/>
      <c r="K1826" s="137"/>
      <c r="L1826" s="137"/>
      <c r="M1826" s="137"/>
      <c r="N1826" s="137"/>
      <c r="O1826" s="137"/>
      <c r="P1826" s="137"/>
      <c r="Q1826" s="137"/>
    </row>
    <row r="1827" spans="1:17" ht="15" customHeight="1" x14ac:dyDescent="0.35">
      <c r="A1827" s="129"/>
      <c r="B1827" s="137"/>
      <c r="C1827" s="137"/>
      <c r="D1827" s="137"/>
      <c r="E1827" s="137"/>
      <c r="F1827" s="137"/>
      <c r="G1827" s="137"/>
      <c r="H1827" s="137"/>
      <c r="I1827" s="137"/>
      <c r="J1827" s="138"/>
      <c r="K1827" s="137"/>
      <c r="L1827" s="137"/>
      <c r="M1827" s="137"/>
      <c r="N1827" s="137"/>
      <c r="O1827" s="137"/>
      <c r="P1827" s="137"/>
      <c r="Q1827" s="137"/>
    </row>
    <row r="1828" spans="1:17" ht="15" customHeight="1" x14ac:dyDescent="0.35">
      <c r="A1828" s="129"/>
      <c r="B1828" s="137"/>
      <c r="C1828" s="137"/>
      <c r="D1828" s="137"/>
      <c r="E1828" s="137"/>
      <c r="F1828" s="137"/>
      <c r="G1828" s="137"/>
      <c r="H1828" s="137"/>
      <c r="I1828" s="137"/>
      <c r="J1828" s="138"/>
      <c r="K1828" s="137"/>
      <c r="L1828" s="137"/>
      <c r="M1828" s="137"/>
      <c r="N1828" s="137"/>
      <c r="O1828" s="137"/>
      <c r="P1828" s="137"/>
      <c r="Q1828" s="137"/>
    </row>
    <row r="1829" spans="1:17" ht="15" customHeight="1" x14ac:dyDescent="0.35">
      <c r="A1829" s="129"/>
      <c r="B1829" s="137"/>
      <c r="C1829" s="137"/>
      <c r="D1829" s="137"/>
      <c r="E1829" s="137"/>
      <c r="F1829" s="137"/>
      <c r="G1829" s="137"/>
      <c r="H1829" s="137"/>
      <c r="I1829" s="137"/>
      <c r="J1829" s="138"/>
      <c r="K1829" s="137"/>
      <c r="L1829" s="137"/>
      <c r="M1829" s="137"/>
      <c r="N1829" s="137"/>
      <c r="O1829" s="137"/>
      <c r="P1829" s="137"/>
      <c r="Q1829" s="137"/>
    </row>
    <row r="1830" spans="1:17" ht="15" customHeight="1" x14ac:dyDescent="0.35">
      <c r="A1830" s="129"/>
      <c r="B1830" s="137"/>
      <c r="C1830" s="137"/>
      <c r="D1830" s="137"/>
      <c r="E1830" s="137"/>
      <c r="F1830" s="137"/>
      <c r="G1830" s="137"/>
      <c r="H1830" s="137"/>
      <c r="I1830" s="137"/>
      <c r="J1830" s="138"/>
      <c r="K1830" s="137"/>
      <c r="L1830" s="137"/>
      <c r="M1830" s="137"/>
      <c r="N1830" s="137"/>
      <c r="O1830" s="137"/>
      <c r="P1830" s="137"/>
      <c r="Q1830" s="137"/>
    </row>
    <row r="1831" spans="1:17" ht="15" customHeight="1" x14ac:dyDescent="0.35">
      <c r="A1831" s="129"/>
      <c r="B1831" s="137"/>
      <c r="C1831" s="137"/>
      <c r="D1831" s="137"/>
      <c r="E1831" s="137"/>
      <c r="F1831" s="137"/>
      <c r="G1831" s="137"/>
      <c r="H1831" s="137"/>
      <c r="I1831" s="137"/>
      <c r="J1831" s="138"/>
      <c r="K1831" s="137"/>
      <c r="L1831" s="137"/>
      <c r="M1831" s="137"/>
      <c r="N1831" s="137"/>
      <c r="O1831" s="137"/>
      <c r="P1831" s="137"/>
      <c r="Q1831" s="137"/>
    </row>
    <row r="1832" spans="1:17" ht="15" customHeight="1" x14ac:dyDescent="0.35">
      <c r="A1832" s="129"/>
      <c r="B1832" s="137"/>
      <c r="C1832" s="137"/>
      <c r="D1832" s="137"/>
      <c r="E1832" s="137"/>
      <c r="F1832" s="137"/>
      <c r="G1832" s="137"/>
      <c r="H1832" s="137"/>
      <c r="I1832" s="137"/>
      <c r="J1832" s="138"/>
      <c r="K1832" s="137"/>
      <c r="L1832" s="137"/>
      <c r="M1832" s="137"/>
      <c r="N1832" s="137"/>
      <c r="O1832" s="137"/>
      <c r="P1832" s="137"/>
      <c r="Q1832" s="137"/>
    </row>
    <row r="1833" spans="1:17" ht="15" customHeight="1" x14ac:dyDescent="0.35">
      <c r="A1833" s="129"/>
      <c r="B1833" s="137"/>
      <c r="C1833" s="137"/>
      <c r="D1833" s="137"/>
      <c r="E1833" s="137"/>
      <c r="F1833" s="137"/>
      <c r="G1833" s="137"/>
      <c r="H1833" s="137"/>
      <c r="I1833" s="137"/>
      <c r="J1833" s="138"/>
      <c r="K1833" s="137"/>
      <c r="L1833" s="137"/>
      <c r="M1833" s="137"/>
      <c r="N1833" s="137"/>
      <c r="O1833" s="137"/>
      <c r="P1833" s="137"/>
      <c r="Q1833" s="137"/>
    </row>
    <row r="1834" spans="1:17" ht="15" customHeight="1" x14ac:dyDescent="0.35">
      <c r="A1834" s="129"/>
      <c r="B1834" s="137"/>
      <c r="C1834" s="137"/>
      <c r="D1834" s="137"/>
      <c r="E1834" s="137"/>
      <c r="F1834" s="137"/>
      <c r="G1834" s="137"/>
      <c r="H1834" s="137"/>
      <c r="I1834" s="137"/>
      <c r="J1834" s="138"/>
      <c r="K1834" s="137"/>
      <c r="L1834" s="137"/>
      <c r="M1834" s="137"/>
      <c r="N1834" s="137"/>
      <c r="O1834" s="137"/>
      <c r="P1834" s="137"/>
      <c r="Q1834" s="137"/>
    </row>
    <row r="1835" spans="1:17" ht="15" customHeight="1" x14ac:dyDescent="0.35">
      <c r="A1835" s="129"/>
      <c r="B1835" s="137"/>
      <c r="C1835" s="137"/>
      <c r="D1835" s="137"/>
      <c r="E1835" s="137"/>
      <c r="F1835" s="137"/>
      <c r="G1835" s="137"/>
      <c r="H1835" s="137"/>
      <c r="I1835" s="137"/>
      <c r="J1835" s="138"/>
      <c r="K1835" s="137"/>
      <c r="L1835" s="137"/>
      <c r="M1835" s="137"/>
      <c r="N1835" s="137"/>
      <c r="O1835" s="137"/>
      <c r="P1835" s="137"/>
      <c r="Q1835" s="137"/>
    </row>
    <row r="1836" spans="1:17" ht="15" customHeight="1" x14ac:dyDescent="0.35">
      <c r="A1836" s="129"/>
      <c r="B1836" s="137"/>
      <c r="C1836" s="137"/>
      <c r="D1836" s="137"/>
      <c r="E1836" s="137"/>
      <c r="F1836" s="137"/>
      <c r="G1836" s="137"/>
      <c r="H1836" s="137"/>
      <c r="I1836" s="137"/>
      <c r="J1836" s="138"/>
      <c r="K1836" s="137"/>
      <c r="L1836" s="137"/>
      <c r="M1836" s="137"/>
      <c r="N1836" s="137"/>
      <c r="O1836" s="137"/>
      <c r="P1836" s="137"/>
      <c r="Q1836" s="137"/>
    </row>
    <row r="1837" spans="1:17" ht="15" customHeight="1" x14ac:dyDescent="0.35">
      <c r="A1837" s="129"/>
      <c r="B1837" s="137"/>
      <c r="C1837" s="137"/>
      <c r="D1837" s="137"/>
      <c r="E1837" s="137"/>
      <c r="F1837" s="137"/>
      <c r="G1837" s="137"/>
      <c r="H1837" s="137"/>
      <c r="I1837" s="137"/>
      <c r="J1837" s="138"/>
      <c r="K1837" s="137"/>
      <c r="L1837" s="137"/>
      <c r="M1837" s="137"/>
      <c r="N1837" s="137"/>
      <c r="O1837" s="137"/>
      <c r="P1837" s="137"/>
      <c r="Q1837" s="137"/>
    </row>
    <row r="1838" spans="1:17" ht="15" customHeight="1" x14ac:dyDescent="0.35">
      <c r="A1838" s="129"/>
      <c r="B1838" s="137"/>
      <c r="C1838" s="137"/>
      <c r="D1838" s="137"/>
      <c r="E1838" s="137"/>
      <c r="F1838" s="137"/>
      <c r="G1838" s="137"/>
      <c r="H1838" s="137"/>
      <c r="I1838" s="137"/>
      <c r="J1838" s="138"/>
      <c r="K1838" s="137"/>
      <c r="L1838" s="137"/>
      <c r="M1838" s="137"/>
      <c r="N1838" s="137"/>
      <c r="O1838" s="137"/>
      <c r="P1838" s="137"/>
      <c r="Q1838" s="137"/>
    </row>
    <row r="1839" spans="1:17" ht="15" customHeight="1" x14ac:dyDescent="0.35">
      <c r="A1839" s="129"/>
      <c r="B1839" s="137"/>
      <c r="C1839" s="137"/>
      <c r="D1839" s="137"/>
      <c r="E1839" s="137"/>
      <c r="F1839" s="137"/>
      <c r="G1839" s="137"/>
      <c r="H1839" s="137"/>
      <c r="I1839" s="137"/>
      <c r="J1839" s="138"/>
      <c r="K1839" s="137"/>
      <c r="L1839" s="137"/>
      <c r="M1839" s="137"/>
      <c r="N1839" s="137"/>
      <c r="O1839" s="137"/>
      <c r="P1839" s="137"/>
      <c r="Q1839" s="137"/>
    </row>
    <row r="1840" spans="1:17" ht="15" customHeight="1" x14ac:dyDescent="0.35">
      <c r="A1840" s="129"/>
      <c r="B1840" s="137"/>
      <c r="C1840" s="137"/>
      <c r="D1840" s="137"/>
      <c r="E1840" s="137"/>
      <c r="F1840" s="137"/>
      <c r="G1840" s="137"/>
      <c r="H1840" s="137"/>
      <c r="I1840" s="137"/>
      <c r="J1840" s="138"/>
      <c r="K1840" s="137"/>
      <c r="L1840" s="137"/>
      <c r="M1840" s="137"/>
      <c r="N1840" s="137"/>
      <c r="O1840" s="137"/>
      <c r="P1840" s="137"/>
      <c r="Q1840" s="137"/>
    </row>
    <row r="1841" spans="1:17" ht="15" customHeight="1" x14ac:dyDescent="0.35">
      <c r="A1841" s="129"/>
      <c r="B1841" s="137"/>
      <c r="C1841" s="137"/>
      <c r="D1841" s="137"/>
      <c r="E1841" s="137"/>
      <c r="F1841" s="137"/>
      <c r="G1841" s="137"/>
      <c r="H1841" s="137"/>
      <c r="I1841" s="137"/>
      <c r="J1841" s="138"/>
      <c r="K1841" s="137"/>
      <c r="L1841" s="137"/>
      <c r="M1841" s="137"/>
      <c r="N1841" s="137"/>
      <c r="O1841" s="137"/>
      <c r="P1841" s="137"/>
      <c r="Q1841" s="137"/>
    </row>
    <row r="1842" spans="1:17" ht="15" customHeight="1" x14ac:dyDescent="0.35">
      <c r="A1842" s="129"/>
      <c r="B1842" s="137"/>
      <c r="C1842" s="137"/>
      <c r="D1842" s="137"/>
      <c r="E1842" s="137"/>
      <c r="F1842" s="137"/>
      <c r="G1842" s="137"/>
      <c r="H1842" s="137"/>
      <c r="I1842" s="137"/>
      <c r="J1842" s="138"/>
      <c r="K1842" s="137"/>
      <c r="L1842" s="137"/>
      <c r="M1842" s="137"/>
      <c r="N1842" s="137"/>
      <c r="O1842" s="137"/>
      <c r="P1842" s="137"/>
      <c r="Q1842" s="137"/>
    </row>
    <row r="1843" spans="1:17" ht="15" customHeight="1" x14ac:dyDescent="0.35">
      <c r="A1843" s="129"/>
      <c r="B1843" s="137"/>
      <c r="C1843" s="137"/>
      <c r="D1843" s="137"/>
      <c r="E1843" s="137"/>
      <c r="F1843" s="137"/>
      <c r="G1843" s="137"/>
      <c r="H1843" s="137"/>
      <c r="I1843" s="137"/>
      <c r="J1843" s="138"/>
      <c r="K1843" s="137"/>
      <c r="L1843" s="137"/>
      <c r="M1843" s="137"/>
      <c r="N1843" s="137"/>
      <c r="O1843" s="137"/>
      <c r="P1843" s="137"/>
      <c r="Q1843" s="137"/>
    </row>
    <row r="1844" spans="1:17" ht="15" customHeight="1" x14ac:dyDescent="0.35">
      <c r="A1844" s="129"/>
      <c r="B1844" s="137"/>
      <c r="C1844" s="137"/>
      <c r="D1844" s="137"/>
      <c r="E1844" s="137"/>
      <c r="F1844" s="137"/>
      <c r="G1844" s="137"/>
      <c r="H1844" s="137"/>
      <c r="I1844" s="137"/>
      <c r="J1844" s="138"/>
      <c r="K1844" s="137"/>
      <c r="L1844" s="137"/>
      <c r="M1844" s="137"/>
      <c r="N1844" s="137"/>
      <c r="O1844" s="137"/>
      <c r="P1844" s="137"/>
      <c r="Q1844" s="137"/>
    </row>
    <row r="1845" spans="1:17" ht="15" customHeight="1" x14ac:dyDescent="0.35">
      <c r="A1845" s="129"/>
      <c r="B1845" s="137"/>
      <c r="C1845" s="137"/>
      <c r="D1845" s="137"/>
      <c r="E1845" s="137"/>
      <c r="F1845" s="137"/>
      <c r="G1845" s="137"/>
      <c r="H1845" s="137"/>
      <c r="I1845" s="137"/>
      <c r="J1845" s="138"/>
      <c r="K1845" s="137"/>
      <c r="L1845" s="137"/>
      <c r="M1845" s="137"/>
      <c r="N1845" s="137"/>
      <c r="O1845" s="137"/>
      <c r="P1845" s="137"/>
      <c r="Q1845" s="137"/>
    </row>
    <row r="1846" spans="1:17" ht="15" customHeight="1" x14ac:dyDescent="0.35">
      <c r="A1846" s="129"/>
      <c r="B1846" s="137"/>
      <c r="C1846" s="137"/>
      <c r="D1846" s="137"/>
      <c r="E1846" s="137"/>
      <c r="F1846" s="137"/>
      <c r="G1846" s="137"/>
      <c r="H1846" s="137"/>
      <c r="I1846" s="137"/>
      <c r="J1846" s="138"/>
      <c r="K1846" s="137"/>
      <c r="L1846" s="137"/>
      <c r="M1846" s="137"/>
      <c r="N1846" s="137"/>
      <c r="O1846" s="137"/>
      <c r="P1846" s="137"/>
      <c r="Q1846" s="137"/>
    </row>
    <row r="1847" spans="1:17" ht="15" customHeight="1" x14ac:dyDescent="0.35">
      <c r="A1847" s="129"/>
      <c r="B1847" s="137"/>
      <c r="C1847" s="137"/>
      <c r="D1847" s="137"/>
      <c r="E1847" s="137"/>
      <c r="F1847" s="137"/>
      <c r="G1847" s="137"/>
      <c r="H1847" s="137"/>
      <c r="I1847" s="137"/>
      <c r="J1847" s="138"/>
      <c r="K1847" s="137"/>
      <c r="L1847" s="137"/>
      <c r="M1847" s="137"/>
      <c r="N1847" s="137"/>
      <c r="O1847" s="137"/>
      <c r="P1847" s="137"/>
      <c r="Q1847" s="137"/>
    </row>
    <row r="1848" spans="1:17" ht="15" customHeight="1" x14ac:dyDescent="0.35">
      <c r="A1848" s="129"/>
      <c r="B1848" s="137"/>
      <c r="C1848" s="137"/>
      <c r="D1848" s="137"/>
      <c r="E1848" s="137"/>
      <c r="F1848" s="137"/>
      <c r="G1848" s="137"/>
      <c r="H1848" s="137"/>
      <c r="I1848" s="137"/>
      <c r="J1848" s="138"/>
      <c r="K1848" s="137"/>
      <c r="L1848" s="137"/>
      <c r="M1848" s="137"/>
      <c r="N1848" s="137"/>
      <c r="O1848" s="137"/>
      <c r="P1848" s="137"/>
      <c r="Q1848" s="137"/>
    </row>
    <row r="1849" spans="1:17" ht="15" customHeight="1" x14ac:dyDescent="0.35">
      <c r="A1849" s="129"/>
      <c r="B1849" s="137"/>
      <c r="C1849" s="137"/>
      <c r="D1849" s="137"/>
      <c r="E1849" s="137"/>
      <c r="F1849" s="137"/>
      <c r="G1849" s="137"/>
      <c r="H1849" s="137"/>
      <c r="I1849" s="137"/>
      <c r="J1849" s="138"/>
      <c r="K1849" s="137"/>
      <c r="L1849" s="137"/>
      <c r="M1849" s="137"/>
      <c r="N1849" s="137"/>
      <c r="O1849" s="137"/>
      <c r="P1849" s="137"/>
      <c r="Q1849" s="137"/>
    </row>
    <row r="1850" spans="1:17" ht="15" customHeight="1" x14ac:dyDescent="0.35">
      <c r="A1850" s="129"/>
      <c r="B1850" s="137"/>
      <c r="C1850" s="137"/>
      <c r="D1850" s="137"/>
      <c r="E1850" s="137"/>
      <c r="F1850" s="137"/>
      <c r="G1850" s="137"/>
      <c r="H1850" s="137"/>
      <c r="I1850" s="137"/>
      <c r="J1850" s="138"/>
      <c r="K1850" s="137"/>
      <c r="L1850" s="137"/>
      <c r="M1850" s="137"/>
      <c r="N1850" s="137"/>
      <c r="O1850" s="137"/>
      <c r="P1850" s="137"/>
      <c r="Q1850" s="137"/>
    </row>
    <row r="1851" spans="1:17" ht="15" customHeight="1" x14ac:dyDescent="0.35">
      <c r="A1851" s="129"/>
      <c r="B1851" s="137"/>
      <c r="C1851" s="137"/>
      <c r="D1851" s="137"/>
      <c r="E1851" s="137"/>
      <c r="F1851" s="137"/>
      <c r="G1851" s="137"/>
      <c r="H1851" s="137"/>
      <c r="I1851" s="137"/>
      <c r="J1851" s="138"/>
      <c r="K1851" s="137"/>
      <c r="L1851" s="137"/>
      <c r="M1851" s="137"/>
      <c r="N1851" s="137"/>
      <c r="O1851" s="137"/>
      <c r="P1851" s="137"/>
      <c r="Q1851" s="137"/>
    </row>
    <row r="1852" spans="1:17" ht="15" customHeight="1" x14ac:dyDescent="0.35">
      <c r="A1852" s="129"/>
      <c r="B1852" s="137"/>
      <c r="C1852" s="137"/>
      <c r="D1852" s="137"/>
      <c r="E1852" s="137"/>
      <c r="F1852" s="137"/>
      <c r="G1852" s="137"/>
      <c r="H1852" s="137"/>
      <c r="I1852" s="137"/>
      <c r="J1852" s="138"/>
      <c r="K1852" s="137"/>
      <c r="L1852" s="137"/>
      <c r="M1852" s="137"/>
      <c r="N1852" s="137"/>
      <c r="O1852" s="137"/>
      <c r="P1852" s="137"/>
      <c r="Q1852" s="137"/>
    </row>
    <row r="1853" spans="1:17" ht="15" customHeight="1" x14ac:dyDescent="0.35">
      <c r="A1853" s="129"/>
      <c r="B1853" s="137"/>
      <c r="C1853" s="137"/>
      <c r="D1853" s="137"/>
      <c r="E1853" s="137"/>
      <c r="F1853" s="137"/>
      <c r="G1853" s="137"/>
      <c r="H1853" s="137"/>
      <c r="I1853" s="137"/>
      <c r="J1853" s="138"/>
      <c r="K1853" s="137"/>
      <c r="L1853" s="137"/>
      <c r="M1853" s="137"/>
      <c r="N1853" s="137"/>
      <c r="O1853" s="137"/>
      <c r="P1853" s="137"/>
      <c r="Q1853" s="137"/>
    </row>
    <row r="1854" spans="1:17" ht="15" customHeight="1" x14ac:dyDescent="0.35">
      <c r="A1854" s="129"/>
      <c r="B1854" s="137"/>
      <c r="C1854" s="137"/>
      <c r="D1854" s="137"/>
      <c r="E1854" s="137"/>
      <c r="F1854" s="137"/>
      <c r="G1854" s="137"/>
      <c r="H1854" s="137"/>
      <c r="I1854" s="137"/>
      <c r="J1854" s="138"/>
      <c r="K1854" s="137"/>
      <c r="L1854" s="137"/>
      <c r="M1854" s="137"/>
      <c r="N1854" s="137"/>
      <c r="O1854" s="137"/>
      <c r="P1854" s="137"/>
      <c r="Q1854" s="137"/>
    </row>
    <row r="1855" spans="1:17" ht="15" customHeight="1" x14ac:dyDescent="0.35">
      <c r="A1855" s="129"/>
      <c r="B1855" s="137"/>
      <c r="C1855" s="137"/>
      <c r="D1855" s="137"/>
      <c r="E1855" s="137"/>
      <c r="F1855" s="137"/>
      <c r="G1855" s="137"/>
      <c r="H1855" s="137"/>
      <c r="I1855" s="137"/>
      <c r="J1855" s="138"/>
      <c r="K1855" s="137"/>
      <c r="L1855" s="137"/>
      <c r="M1855" s="137"/>
      <c r="N1855" s="137"/>
      <c r="O1855" s="137"/>
      <c r="P1855" s="137"/>
      <c r="Q1855" s="137"/>
    </row>
    <row r="1856" spans="1:17" ht="15" customHeight="1" x14ac:dyDescent="0.35">
      <c r="A1856" s="129"/>
      <c r="B1856" s="137"/>
      <c r="C1856" s="137"/>
      <c r="D1856" s="137"/>
      <c r="E1856" s="137"/>
      <c r="F1856" s="137"/>
      <c r="G1856" s="137"/>
      <c r="H1856" s="137"/>
      <c r="I1856" s="137"/>
      <c r="J1856" s="138"/>
      <c r="K1856" s="137"/>
      <c r="L1856" s="137"/>
      <c r="M1856" s="137"/>
      <c r="N1856" s="137"/>
      <c r="O1856" s="137"/>
      <c r="P1856" s="137"/>
      <c r="Q1856" s="137"/>
    </row>
    <row r="1857" spans="1:17" ht="15" customHeight="1" x14ac:dyDescent="0.35">
      <c r="A1857" s="129"/>
      <c r="B1857" s="137"/>
      <c r="C1857" s="137"/>
      <c r="D1857" s="137"/>
      <c r="E1857" s="137"/>
      <c r="F1857" s="137"/>
      <c r="G1857" s="137"/>
      <c r="H1857" s="137"/>
      <c r="I1857" s="137"/>
      <c r="J1857" s="138"/>
      <c r="K1857" s="137"/>
      <c r="L1857" s="137"/>
      <c r="M1857" s="137"/>
      <c r="N1857" s="137"/>
      <c r="O1857" s="137"/>
      <c r="P1857" s="137"/>
      <c r="Q1857" s="137"/>
    </row>
    <row r="1858" spans="1:17" ht="15" customHeight="1" x14ac:dyDescent="0.35">
      <c r="A1858" s="129"/>
      <c r="B1858" s="137"/>
      <c r="C1858" s="137"/>
      <c r="D1858" s="137"/>
      <c r="E1858" s="137"/>
      <c r="F1858" s="137"/>
      <c r="G1858" s="137"/>
      <c r="H1858" s="137"/>
      <c r="I1858" s="137"/>
      <c r="J1858" s="138"/>
      <c r="K1858" s="137"/>
      <c r="L1858" s="137"/>
      <c r="M1858" s="137"/>
      <c r="N1858" s="137"/>
      <c r="O1858" s="137"/>
      <c r="P1858" s="137"/>
      <c r="Q1858" s="137"/>
    </row>
    <row r="1859" spans="1:17" ht="15" customHeight="1" x14ac:dyDescent="0.35">
      <c r="A1859" s="129"/>
      <c r="B1859" s="137"/>
      <c r="C1859" s="137"/>
      <c r="D1859" s="137"/>
      <c r="E1859" s="137"/>
      <c r="F1859" s="137"/>
      <c r="G1859" s="137"/>
      <c r="H1859" s="137"/>
      <c r="I1859" s="137"/>
      <c r="J1859" s="138"/>
      <c r="K1859" s="137"/>
      <c r="L1859" s="137"/>
      <c r="M1859" s="137"/>
      <c r="N1859" s="137"/>
      <c r="O1859" s="137"/>
      <c r="P1859" s="137"/>
      <c r="Q1859" s="137"/>
    </row>
    <row r="1860" spans="1:17" ht="15" customHeight="1" x14ac:dyDescent="0.35">
      <c r="A1860" s="129"/>
      <c r="B1860" s="137"/>
      <c r="C1860" s="137"/>
      <c r="D1860" s="137"/>
      <c r="E1860" s="137"/>
      <c r="F1860" s="137"/>
      <c r="G1860" s="137"/>
      <c r="H1860" s="137"/>
      <c r="I1860" s="137"/>
      <c r="J1860" s="138"/>
      <c r="K1860" s="137"/>
      <c r="L1860" s="137"/>
      <c r="M1860" s="137"/>
      <c r="N1860" s="137"/>
      <c r="O1860" s="137"/>
      <c r="P1860" s="137"/>
      <c r="Q1860" s="137"/>
    </row>
    <row r="1861" spans="1:17" ht="15" customHeight="1" x14ac:dyDescent="0.35">
      <c r="A1861" s="129"/>
      <c r="B1861" s="137"/>
      <c r="C1861" s="137"/>
      <c r="D1861" s="137"/>
      <c r="E1861" s="137"/>
      <c r="F1861" s="137"/>
      <c r="G1861" s="137"/>
      <c r="H1861" s="137"/>
      <c r="I1861" s="137"/>
      <c r="J1861" s="138"/>
      <c r="K1861" s="137"/>
      <c r="L1861" s="137"/>
      <c r="M1861" s="137"/>
      <c r="N1861" s="137"/>
      <c r="O1861" s="137"/>
      <c r="P1861" s="137"/>
      <c r="Q1861" s="137"/>
    </row>
    <row r="1862" spans="1:17" ht="15" customHeight="1" x14ac:dyDescent="0.35">
      <c r="A1862" s="129"/>
      <c r="B1862" s="137"/>
      <c r="C1862" s="137"/>
      <c r="D1862" s="137"/>
      <c r="E1862" s="137"/>
      <c r="F1862" s="137"/>
      <c r="G1862" s="137"/>
      <c r="H1862" s="137"/>
      <c r="I1862" s="137"/>
      <c r="J1862" s="138"/>
      <c r="K1862" s="137"/>
      <c r="L1862" s="137"/>
      <c r="M1862" s="137"/>
      <c r="N1862" s="137"/>
      <c r="O1862" s="137"/>
      <c r="P1862" s="137"/>
      <c r="Q1862" s="137"/>
    </row>
    <row r="1863" spans="1:17" ht="15" customHeight="1" x14ac:dyDescent="0.35">
      <c r="A1863" s="129"/>
      <c r="B1863" s="137"/>
      <c r="C1863" s="137"/>
      <c r="D1863" s="137"/>
      <c r="E1863" s="137"/>
      <c r="F1863" s="137"/>
      <c r="G1863" s="137"/>
      <c r="H1863" s="137"/>
      <c r="I1863" s="137"/>
      <c r="J1863" s="138"/>
      <c r="K1863" s="137"/>
      <c r="L1863" s="137"/>
      <c r="M1863" s="137"/>
      <c r="N1863" s="137"/>
      <c r="O1863" s="137"/>
      <c r="P1863" s="137"/>
      <c r="Q1863" s="137"/>
    </row>
    <row r="1864" spans="1:17" ht="15" customHeight="1" x14ac:dyDescent="0.35">
      <c r="A1864" s="129"/>
      <c r="B1864" s="137"/>
      <c r="C1864" s="137"/>
      <c r="D1864" s="137"/>
      <c r="E1864" s="137"/>
      <c r="F1864" s="137"/>
      <c r="G1864" s="137"/>
      <c r="H1864" s="137"/>
      <c r="I1864" s="137"/>
      <c r="J1864" s="138"/>
      <c r="K1864" s="137"/>
      <c r="L1864" s="137"/>
      <c r="M1864" s="137"/>
      <c r="N1864" s="137"/>
      <c r="O1864" s="137"/>
      <c r="P1864" s="137"/>
      <c r="Q1864" s="137"/>
    </row>
    <row r="1865" spans="1:17" ht="15" customHeight="1" x14ac:dyDescent="0.35">
      <c r="A1865" s="129"/>
      <c r="B1865" s="137"/>
      <c r="C1865" s="137"/>
      <c r="D1865" s="137"/>
      <c r="E1865" s="137"/>
      <c r="F1865" s="137"/>
      <c r="G1865" s="137"/>
      <c r="H1865" s="137"/>
      <c r="I1865" s="137"/>
      <c r="J1865" s="138"/>
      <c r="K1865" s="137"/>
      <c r="L1865" s="137"/>
      <c r="M1865" s="137"/>
      <c r="N1865" s="137"/>
      <c r="O1865" s="137"/>
      <c r="P1865" s="137"/>
      <c r="Q1865" s="137"/>
    </row>
    <row r="1866" spans="1:17" ht="15" customHeight="1" x14ac:dyDescent="0.35">
      <c r="A1866" s="129"/>
      <c r="B1866" s="137"/>
      <c r="C1866" s="137"/>
      <c r="D1866" s="137"/>
      <c r="E1866" s="137"/>
      <c r="F1866" s="137"/>
      <c r="G1866" s="137"/>
      <c r="H1866" s="137"/>
      <c r="I1866" s="137"/>
      <c r="J1866" s="138"/>
      <c r="K1866" s="137"/>
      <c r="L1866" s="137"/>
      <c r="M1866" s="137"/>
      <c r="N1866" s="137"/>
      <c r="O1866" s="137"/>
      <c r="P1866" s="137"/>
      <c r="Q1866" s="137"/>
    </row>
    <row r="1867" spans="1:17" ht="15" customHeight="1" x14ac:dyDescent="0.35">
      <c r="A1867" s="129"/>
      <c r="B1867" s="137"/>
      <c r="C1867" s="137"/>
      <c r="D1867" s="137"/>
      <c r="E1867" s="137"/>
      <c r="F1867" s="137"/>
      <c r="G1867" s="137"/>
      <c r="H1867" s="137"/>
      <c r="I1867" s="137"/>
      <c r="J1867" s="138"/>
      <c r="K1867" s="137"/>
      <c r="L1867" s="137"/>
      <c r="M1867" s="137"/>
      <c r="N1867" s="137"/>
      <c r="O1867" s="137"/>
      <c r="P1867" s="137"/>
      <c r="Q1867" s="137"/>
    </row>
    <row r="1868" spans="1:17" ht="15" customHeight="1" x14ac:dyDescent="0.35">
      <c r="A1868" s="129"/>
      <c r="B1868" s="137"/>
      <c r="C1868" s="137"/>
      <c r="D1868" s="137"/>
      <c r="E1868" s="137"/>
      <c r="F1868" s="137"/>
      <c r="G1868" s="137"/>
      <c r="H1868" s="137"/>
      <c r="I1868" s="137"/>
      <c r="J1868" s="138"/>
      <c r="K1868" s="137"/>
      <c r="L1868" s="137"/>
      <c r="M1868" s="137"/>
      <c r="N1868" s="137"/>
      <c r="O1868" s="137"/>
      <c r="P1868" s="137"/>
      <c r="Q1868" s="137"/>
    </row>
    <row r="1869" spans="1:17" ht="15" customHeight="1" x14ac:dyDescent="0.35">
      <c r="A1869" s="129"/>
      <c r="B1869" s="137"/>
      <c r="C1869" s="137"/>
      <c r="D1869" s="137"/>
      <c r="E1869" s="137"/>
      <c r="F1869" s="137"/>
      <c r="G1869" s="137"/>
      <c r="H1869" s="137"/>
      <c r="I1869" s="137"/>
      <c r="J1869" s="138"/>
      <c r="K1869" s="137"/>
      <c r="L1869" s="137"/>
      <c r="M1869" s="137"/>
      <c r="N1869" s="137"/>
      <c r="O1869" s="137"/>
      <c r="P1869" s="137"/>
      <c r="Q1869" s="137"/>
    </row>
    <row r="1870" spans="1:17" ht="15" customHeight="1" x14ac:dyDescent="0.35">
      <c r="A1870" s="129"/>
      <c r="B1870" s="137"/>
      <c r="C1870" s="137"/>
      <c r="D1870" s="137"/>
      <c r="E1870" s="137"/>
      <c r="F1870" s="137"/>
      <c r="G1870" s="137"/>
      <c r="H1870" s="137"/>
      <c r="I1870" s="137"/>
      <c r="J1870" s="138"/>
      <c r="K1870" s="137"/>
      <c r="L1870" s="137"/>
      <c r="M1870" s="137"/>
      <c r="N1870" s="137"/>
      <c r="O1870" s="137"/>
      <c r="P1870" s="137"/>
      <c r="Q1870" s="137"/>
    </row>
    <row r="1871" spans="1:17" ht="15" customHeight="1" x14ac:dyDescent="0.35">
      <c r="A1871" s="129"/>
      <c r="B1871" s="137"/>
      <c r="C1871" s="137"/>
      <c r="D1871" s="137"/>
      <c r="E1871" s="137"/>
      <c r="F1871" s="137"/>
      <c r="G1871" s="137"/>
      <c r="H1871" s="137"/>
      <c r="I1871" s="137"/>
      <c r="J1871" s="138"/>
      <c r="K1871" s="137"/>
      <c r="L1871" s="137"/>
      <c r="M1871" s="137"/>
      <c r="N1871" s="137"/>
      <c r="O1871" s="137"/>
      <c r="P1871" s="137"/>
      <c r="Q1871" s="137"/>
    </row>
    <row r="1872" spans="1:17" ht="15" customHeight="1" x14ac:dyDescent="0.35">
      <c r="A1872" s="129"/>
      <c r="B1872" s="137"/>
      <c r="C1872" s="137"/>
      <c r="D1872" s="137"/>
      <c r="E1872" s="137"/>
      <c r="F1872" s="137"/>
      <c r="G1872" s="137"/>
      <c r="H1872" s="137"/>
      <c r="I1872" s="137"/>
      <c r="J1872" s="138"/>
      <c r="K1872" s="137"/>
      <c r="L1872" s="137"/>
      <c r="M1872" s="137"/>
      <c r="N1872" s="137"/>
      <c r="O1872" s="137"/>
      <c r="P1872" s="137"/>
      <c r="Q1872" s="137"/>
    </row>
    <row r="1873" spans="1:17" ht="15" customHeight="1" x14ac:dyDescent="0.35">
      <c r="A1873" s="129"/>
      <c r="B1873" s="137"/>
      <c r="C1873" s="137"/>
      <c r="D1873" s="137"/>
      <c r="E1873" s="137"/>
      <c r="F1873" s="137"/>
      <c r="G1873" s="137"/>
      <c r="H1873" s="137"/>
      <c r="I1873" s="137"/>
      <c r="J1873" s="138"/>
      <c r="K1873" s="137"/>
      <c r="L1873" s="137"/>
      <c r="M1873" s="137"/>
      <c r="N1873" s="137"/>
      <c r="O1873" s="137"/>
      <c r="P1873" s="137"/>
      <c r="Q1873" s="137"/>
    </row>
    <row r="1874" spans="1:17" ht="15" customHeight="1" x14ac:dyDescent="0.35">
      <c r="A1874" s="129"/>
      <c r="B1874" s="137"/>
      <c r="C1874" s="137"/>
      <c r="D1874" s="137"/>
      <c r="E1874" s="137"/>
      <c r="F1874" s="137"/>
      <c r="G1874" s="137"/>
      <c r="H1874" s="137"/>
      <c r="I1874" s="137"/>
      <c r="J1874" s="138"/>
      <c r="K1874" s="137"/>
      <c r="L1874" s="137"/>
      <c r="M1874" s="137"/>
      <c r="N1874" s="137"/>
      <c r="O1874" s="137"/>
      <c r="P1874" s="137"/>
      <c r="Q1874" s="137"/>
    </row>
    <row r="1875" spans="1:17" ht="15" customHeight="1" x14ac:dyDescent="0.35">
      <c r="A1875" s="129"/>
      <c r="B1875" s="137"/>
      <c r="C1875" s="137"/>
      <c r="D1875" s="137"/>
      <c r="E1875" s="137"/>
      <c r="F1875" s="137"/>
      <c r="G1875" s="137"/>
      <c r="H1875" s="137"/>
      <c r="I1875" s="137"/>
      <c r="J1875" s="138"/>
      <c r="K1875" s="137"/>
      <c r="L1875" s="137"/>
      <c r="M1875" s="137"/>
      <c r="N1875" s="137"/>
      <c r="O1875" s="137"/>
      <c r="P1875" s="137"/>
      <c r="Q1875" s="137"/>
    </row>
    <row r="1876" spans="1:17" ht="15" customHeight="1" x14ac:dyDescent="0.35">
      <c r="A1876" s="129"/>
      <c r="B1876" s="137"/>
      <c r="C1876" s="137"/>
      <c r="D1876" s="137"/>
      <c r="E1876" s="137"/>
      <c r="F1876" s="137"/>
      <c r="G1876" s="137"/>
      <c r="H1876" s="137"/>
      <c r="I1876" s="137"/>
      <c r="J1876" s="138"/>
      <c r="K1876" s="137"/>
      <c r="L1876" s="137"/>
      <c r="M1876" s="137"/>
      <c r="N1876" s="137"/>
      <c r="O1876" s="137"/>
      <c r="P1876" s="137"/>
      <c r="Q1876" s="137"/>
    </row>
    <row r="1877" spans="1:17" ht="15" customHeight="1" x14ac:dyDescent="0.35">
      <c r="A1877" s="129"/>
      <c r="B1877" s="137"/>
      <c r="C1877" s="137"/>
      <c r="D1877" s="137"/>
      <c r="E1877" s="137"/>
      <c r="F1877" s="137"/>
      <c r="G1877" s="137"/>
      <c r="H1877" s="137"/>
      <c r="I1877" s="137"/>
      <c r="J1877" s="138"/>
      <c r="K1877" s="137"/>
      <c r="L1877" s="137"/>
      <c r="M1877" s="137"/>
      <c r="N1877" s="137"/>
      <c r="O1877" s="137"/>
      <c r="P1877" s="137"/>
      <c r="Q1877" s="137"/>
    </row>
    <row r="1878" spans="1:17" ht="15" customHeight="1" x14ac:dyDescent="0.35">
      <c r="A1878" s="129"/>
      <c r="B1878" s="137"/>
      <c r="C1878" s="137"/>
      <c r="D1878" s="137"/>
      <c r="E1878" s="137"/>
      <c r="F1878" s="137"/>
      <c r="G1878" s="137"/>
      <c r="H1878" s="137"/>
      <c r="I1878" s="137"/>
      <c r="J1878" s="138"/>
      <c r="K1878" s="137"/>
      <c r="L1878" s="137"/>
      <c r="M1878" s="137"/>
      <c r="N1878" s="137"/>
      <c r="O1878" s="137"/>
      <c r="P1878" s="137"/>
      <c r="Q1878" s="137"/>
    </row>
    <row r="1879" spans="1:17" ht="15" customHeight="1" x14ac:dyDescent="0.35">
      <c r="A1879" s="129"/>
      <c r="B1879" s="137"/>
      <c r="C1879" s="137"/>
      <c r="D1879" s="137"/>
      <c r="E1879" s="137"/>
      <c r="F1879" s="137"/>
      <c r="G1879" s="137"/>
      <c r="H1879" s="137"/>
      <c r="I1879" s="137"/>
      <c r="J1879" s="138"/>
      <c r="K1879" s="137"/>
      <c r="L1879" s="137"/>
      <c r="M1879" s="137"/>
      <c r="N1879" s="137"/>
      <c r="O1879" s="137"/>
      <c r="P1879" s="137"/>
      <c r="Q1879" s="137"/>
    </row>
    <row r="1880" spans="1:17" ht="15" customHeight="1" x14ac:dyDescent="0.35">
      <c r="A1880" s="129"/>
      <c r="B1880" s="137"/>
      <c r="C1880" s="137"/>
      <c r="D1880" s="137"/>
      <c r="E1880" s="137"/>
      <c r="F1880" s="137"/>
      <c r="G1880" s="137"/>
      <c r="H1880" s="137"/>
      <c r="I1880" s="137"/>
      <c r="J1880" s="138"/>
      <c r="K1880" s="137"/>
      <c r="L1880" s="137"/>
      <c r="M1880" s="137"/>
      <c r="N1880" s="137"/>
      <c r="O1880" s="137"/>
      <c r="P1880" s="137"/>
      <c r="Q1880" s="137"/>
    </row>
    <row r="1881" spans="1:17" ht="15" customHeight="1" x14ac:dyDescent="0.35">
      <c r="A1881" s="129"/>
      <c r="B1881" s="137"/>
      <c r="C1881" s="137"/>
      <c r="D1881" s="137"/>
      <c r="E1881" s="137"/>
      <c r="F1881" s="137"/>
      <c r="G1881" s="137"/>
      <c r="H1881" s="137"/>
      <c r="I1881" s="137"/>
      <c r="J1881" s="138"/>
      <c r="K1881" s="137"/>
      <c r="L1881" s="137"/>
      <c r="M1881" s="137"/>
      <c r="N1881" s="137"/>
      <c r="O1881" s="137"/>
      <c r="P1881" s="137"/>
      <c r="Q1881" s="137"/>
    </row>
    <row r="1882" spans="1:17" ht="15" customHeight="1" x14ac:dyDescent="0.35">
      <c r="A1882" s="129"/>
      <c r="B1882" s="137"/>
      <c r="C1882" s="137"/>
      <c r="D1882" s="137"/>
      <c r="E1882" s="137"/>
      <c r="F1882" s="137"/>
      <c r="G1882" s="137"/>
      <c r="H1882" s="137"/>
      <c r="I1882" s="137"/>
      <c r="J1882" s="138"/>
      <c r="K1882" s="137"/>
      <c r="L1882" s="137"/>
      <c r="M1882" s="137"/>
      <c r="N1882" s="137"/>
      <c r="O1882" s="137"/>
      <c r="P1882" s="137"/>
      <c r="Q1882" s="137"/>
    </row>
    <row r="1883" spans="1:17" ht="15" customHeight="1" x14ac:dyDescent="0.35">
      <c r="A1883" s="129"/>
      <c r="B1883" s="137"/>
      <c r="C1883" s="137"/>
      <c r="D1883" s="137"/>
      <c r="E1883" s="137"/>
      <c r="F1883" s="137"/>
      <c r="G1883" s="137"/>
      <c r="H1883" s="137"/>
      <c r="I1883" s="137"/>
      <c r="J1883" s="138"/>
      <c r="K1883" s="137"/>
      <c r="L1883" s="137"/>
      <c r="M1883" s="137"/>
      <c r="N1883" s="137"/>
      <c r="O1883" s="137"/>
      <c r="P1883" s="137"/>
      <c r="Q1883" s="137"/>
    </row>
    <row r="1884" spans="1:17" ht="15" customHeight="1" x14ac:dyDescent="0.35">
      <c r="A1884" s="129"/>
      <c r="B1884" s="137"/>
      <c r="C1884" s="137"/>
      <c r="D1884" s="137"/>
      <c r="E1884" s="137"/>
      <c r="F1884" s="137"/>
      <c r="G1884" s="137"/>
      <c r="H1884" s="137"/>
      <c r="I1884" s="137"/>
      <c r="J1884" s="138"/>
      <c r="K1884" s="137"/>
      <c r="L1884" s="137"/>
      <c r="M1884" s="137"/>
      <c r="N1884" s="137"/>
      <c r="O1884" s="137"/>
      <c r="P1884" s="137"/>
      <c r="Q1884" s="137"/>
    </row>
    <row r="1885" spans="1:17" ht="15" customHeight="1" x14ac:dyDescent="0.35">
      <c r="A1885" s="129"/>
      <c r="B1885" s="137"/>
      <c r="C1885" s="137"/>
      <c r="D1885" s="137"/>
      <c r="E1885" s="137"/>
      <c r="F1885" s="137"/>
      <c r="G1885" s="137"/>
      <c r="H1885" s="137"/>
      <c r="I1885" s="137"/>
      <c r="J1885" s="138"/>
      <c r="K1885" s="137"/>
      <c r="L1885" s="137"/>
      <c r="M1885" s="137"/>
      <c r="N1885" s="137"/>
      <c r="O1885" s="137"/>
      <c r="P1885" s="137"/>
      <c r="Q1885" s="137"/>
    </row>
    <row r="1886" spans="1:17" ht="15" customHeight="1" x14ac:dyDescent="0.35">
      <c r="A1886" s="129"/>
      <c r="B1886" s="137"/>
      <c r="C1886" s="137"/>
      <c r="D1886" s="137"/>
      <c r="E1886" s="137"/>
      <c r="F1886" s="137"/>
      <c r="G1886" s="137"/>
      <c r="H1886" s="137"/>
      <c r="I1886" s="137"/>
      <c r="J1886" s="138"/>
      <c r="K1886" s="137"/>
      <c r="L1886" s="137"/>
      <c r="M1886" s="137"/>
      <c r="N1886" s="137"/>
      <c r="O1886" s="137"/>
      <c r="P1886" s="137"/>
      <c r="Q1886" s="137"/>
    </row>
    <row r="1887" spans="1:17" ht="15" customHeight="1" x14ac:dyDescent="0.35">
      <c r="A1887" s="129"/>
      <c r="B1887" s="137"/>
      <c r="C1887" s="137"/>
      <c r="D1887" s="137"/>
      <c r="E1887" s="137"/>
      <c r="F1887" s="137"/>
      <c r="G1887" s="137"/>
      <c r="H1887" s="137"/>
      <c r="I1887" s="137"/>
      <c r="J1887" s="138"/>
      <c r="K1887" s="137"/>
      <c r="L1887" s="137"/>
      <c r="M1887" s="137"/>
      <c r="N1887" s="137"/>
      <c r="O1887" s="137"/>
      <c r="P1887" s="137"/>
      <c r="Q1887" s="137"/>
    </row>
    <row r="1888" spans="1:17" ht="15" customHeight="1" x14ac:dyDescent="0.35">
      <c r="A1888" s="129"/>
      <c r="B1888" s="137"/>
      <c r="C1888" s="137"/>
      <c r="D1888" s="137"/>
      <c r="E1888" s="137"/>
      <c r="F1888" s="137"/>
      <c r="G1888" s="137"/>
      <c r="H1888" s="137"/>
      <c r="I1888" s="137"/>
      <c r="J1888" s="138"/>
      <c r="K1888" s="137"/>
      <c r="L1888" s="137"/>
      <c r="M1888" s="137"/>
      <c r="N1888" s="137"/>
      <c r="O1888" s="137"/>
      <c r="P1888" s="137"/>
      <c r="Q1888" s="137"/>
    </row>
    <row r="1889" spans="1:17" ht="15" customHeight="1" x14ac:dyDescent="0.35">
      <c r="A1889" s="129"/>
      <c r="B1889" s="137"/>
      <c r="C1889" s="137"/>
      <c r="D1889" s="137"/>
      <c r="E1889" s="137"/>
      <c r="F1889" s="137"/>
      <c r="G1889" s="137"/>
      <c r="H1889" s="137"/>
      <c r="I1889" s="137"/>
      <c r="J1889" s="138"/>
      <c r="K1889" s="137"/>
      <c r="L1889" s="137"/>
      <c r="M1889" s="137"/>
      <c r="N1889" s="137"/>
      <c r="O1889" s="137"/>
      <c r="P1889" s="137"/>
      <c r="Q1889" s="137"/>
    </row>
    <row r="1890" spans="1:17" ht="15" customHeight="1" x14ac:dyDescent="0.35">
      <c r="A1890" s="129"/>
      <c r="B1890" s="137"/>
      <c r="C1890" s="137"/>
      <c r="D1890" s="137"/>
      <c r="E1890" s="137"/>
      <c r="F1890" s="137"/>
      <c r="G1890" s="137"/>
      <c r="H1890" s="137"/>
      <c r="I1890" s="137"/>
      <c r="J1890" s="138"/>
      <c r="K1890" s="137"/>
      <c r="L1890" s="137"/>
      <c r="M1890" s="137"/>
      <c r="N1890" s="137"/>
      <c r="O1890" s="137"/>
      <c r="P1890" s="137"/>
      <c r="Q1890" s="137"/>
    </row>
    <row r="1891" spans="1:17" ht="15" customHeight="1" x14ac:dyDescent="0.35">
      <c r="A1891" s="129"/>
      <c r="B1891" s="137"/>
      <c r="C1891" s="137"/>
      <c r="D1891" s="137"/>
      <c r="E1891" s="137"/>
      <c r="F1891" s="137"/>
      <c r="G1891" s="137"/>
      <c r="H1891" s="137"/>
      <c r="I1891" s="137"/>
      <c r="J1891" s="138"/>
      <c r="K1891" s="137"/>
      <c r="L1891" s="137"/>
      <c r="M1891" s="137"/>
      <c r="N1891" s="137"/>
      <c r="O1891" s="137"/>
      <c r="P1891" s="137"/>
      <c r="Q1891" s="137"/>
    </row>
    <row r="1892" spans="1:17" ht="15" customHeight="1" x14ac:dyDescent="0.35">
      <c r="A1892" s="129"/>
      <c r="B1892" s="137"/>
      <c r="C1892" s="137"/>
      <c r="D1892" s="137"/>
      <c r="E1892" s="137"/>
      <c r="F1892" s="137"/>
      <c r="G1892" s="137"/>
      <c r="H1892" s="137"/>
      <c r="I1892" s="137"/>
      <c r="J1892" s="138"/>
      <c r="K1892" s="137"/>
      <c r="L1892" s="137"/>
      <c r="M1892" s="137"/>
      <c r="N1892" s="137"/>
      <c r="O1892" s="137"/>
      <c r="P1892" s="137"/>
      <c r="Q1892" s="137"/>
    </row>
    <row r="1893" spans="1:17" ht="15" customHeight="1" x14ac:dyDescent="0.35">
      <c r="A1893" s="129"/>
      <c r="B1893" s="137"/>
      <c r="C1893" s="137"/>
      <c r="D1893" s="137"/>
      <c r="E1893" s="137"/>
      <c r="F1893" s="137"/>
      <c r="G1893" s="137"/>
      <c r="H1893" s="137"/>
      <c r="I1893" s="137"/>
      <c r="J1893" s="138"/>
      <c r="K1893" s="137"/>
      <c r="L1893" s="137"/>
      <c r="M1893" s="137"/>
      <c r="N1893" s="137"/>
      <c r="O1893" s="137"/>
      <c r="P1893" s="137"/>
      <c r="Q1893" s="137"/>
    </row>
    <row r="1894" spans="1:17" ht="15" customHeight="1" x14ac:dyDescent="0.35">
      <c r="A1894" s="129"/>
      <c r="B1894" s="137"/>
      <c r="C1894" s="137"/>
      <c r="D1894" s="137"/>
      <c r="E1894" s="137"/>
      <c r="F1894" s="137"/>
      <c r="G1894" s="137"/>
      <c r="H1894" s="137"/>
      <c r="I1894" s="137"/>
      <c r="J1894" s="138"/>
      <c r="K1894" s="137"/>
      <c r="L1894" s="137"/>
      <c r="M1894" s="137"/>
      <c r="N1894" s="137"/>
      <c r="O1894" s="137"/>
      <c r="P1894" s="137"/>
      <c r="Q1894" s="137"/>
    </row>
    <row r="1895" spans="1:17" ht="15" customHeight="1" x14ac:dyDescent="0.35">
      <c r="A1895" s="129"/>
      <c r="B1895" s="137"/>
      <c r="C1895" s="137"/>
      <c r="D1895" s="137"/>
      <c r="E1895" s="137"/>
      <c r="F1895" s="137"/>
      <c r="G1895" s="137"/>
      <c r="H1895" s="137"/>
      <c r="I1895" s="137"/>
      <c r="J1895" s="138"/>
      <c r="K1895" s="137"/>
      <c r="L1895" s="137"/>
      <c r="M1895" s="137"/>
      <c r="N1895" s="137"/>
      <c r="O1895" s="137"/>
      <c r="P1895" s="137"/>
      <c r="Q1895" s="137"/>
    </row>
    <row r="1896" spans="1:17" ht="15" customHeight="1" x14ac:dyDescent="0.35">
      <c r="A1896" s="129"/>
      <c r="B1896" s="137"/>
      <c r="C1896" s="137"/>
      <c r="D1896" s="137"/>
      <c r="E1896" s="137"/>
      <c r="F1896" s="137"/>
      <c r="G1896" s="137"/>
      <c r="H1896" s="137"/>
      <c r="I1896" s="137"/>
      <c r="J1896" s="138"/>
      <c r="K1896" s="137"/>
      <c r="L1896" s="137"/>
      <c r="M1896" s="137"/>
      <c r="N1896" s="137"/>
      <c r="O1896" s="137"/>
      <c r="P1896" s="137"/>
      <c r="Q1896" s="137"/>
    </row>
    <row r="1897" spans="1:17" ht="15" customHeight="1" x14ac:dyDescent="0.35">
      <c r="A1897" s="129"/>
      <c r="B1897" s="137"/>
      <c r="C1897" s="137"/>
      <c r="D1897" s="137"/>
      <c r="E1897" s="137"/>
      <c r="F1897" s="137"/>
      <c r="G1897" s="137"/>
      <c r="H1897" s="137"/>
      <c r="I1897" s="137"/>
      <c r="J1897" s="138"/>
      <c r="K1897" s="137"/>
      <c r="L1897" s="137"/>
      <c r="M1897" s="137"/>
      <c r="N1897" s="137"/>
      <c r="O1897" s="137"/>
      <c r="P1897" s="137"/>
      <c r="Q1897" s="137"/>
    </row>
    <row r="1898" spans="1:17" ht="15" customHeight="1" x14ac:dyDescent="0.35">
      <c r="A1898" s="129"/>
      <c r="B1898" s="137"/>
      <c r="C1898" s="137"/>
      <c r="D1898" s="137"/>
      <c r="E1898" s="137"/>
      <c r="F1898" s="137"/>
      <c r="G1898" s="137"/>
      <c r="H1898" s="137"/>
      <c r="I1898" s="137"/>
      <c r="J1898" s="138"/>
      <c r="K1898" s="137"/>
      <c r="L1898" s="137"/>
      <c r="M1898" s="137"/>
      <c r="N1898" s="137"/>
      <c r="O1898" s="137"/>
      <c r="P1898" s="137"/>
      <c r="Q1898" s="137"/>
    </row>
    <row r="1899" spans="1:17" ht="15" customHeight="1" x14ac:dyDescent="0.35">
      <c r="A1899" s="129"/>
      <c r="B1899" s="137"/>
      <c r="C1899" s="137"/>
      <c r="D1899" s="137"/>
      <c r="E1899" s="137"/>
      <c r="F1899" s="137"/>
      <c r="G1899" s="137"/>
      <c r="H1899" s="137"/>
      <c r="I1899" s="137"/>
      <c r="J1899" s="138"/>
      <c r="K1899" s="137"/>
      <c r="L1899" s="137"/>
      <c r="M1899" s="137"/>
      <c r="N1899" s="137"/>
      <c r="O1899" s="137"/>
      <c r="P1899" s="137"/>
      <c r="Q1899" s="137"/>
    </row>
    <row r="1900" spans="1:17" ht="15" customHeight="1" x14ac:dyDescent="0.35">
      <c r="A1900" s="129"/>
      <c r="B1900" s="137"/>
      <c r="C1900" s="137"/>
      <c r="D1900" s="137"/>
      <c r="E1900" s="137"/>
      <c r="F1900" s="137"/>
      <c r="G1900" s="137"/>
      <c r="H1900" s="137"/>
      <c r="I1900" s="137"/>
      <c r="J1900" s="138"/>
      <c r="K1900" s="137"/>
      <c r="L1900" s="137"/>
      <c r="M1900" s="137"/>
      <c r="N1900" s="137"/>
      <c r="O1900" s="137"/>
      <c r="P1900" s="137"/>
      <c r="Q1900" s="137"/>
    </row>
    <row r="1901" spans="1:17" ht="15" customHeight="1" x14ac:dyDescent="0.35">
      <c r="A1901" s="129"/>
      <c r="B1901" s="137"/>
      <c r="C1901" s="137"/>
      <c r="D1901" s="137"/>
      <c r="E1901" s="137"/>
      <c r="F1901" s="137"/>
      <c r="G1901" s="137"/>
      <c r="H1901" s="137"/>
      <c r="I1901" s="137"/>
      <c r="J1901" s="138"/>
      <c r="K1901" s="137"/>
      <c r="L1901" s="137"/>
      <c r="M1901" s="137"/>
      <c r="N1901" s="137"/>
      <c r="O1901" s="137"/>
      <c r="P1901" s="137"/>
      <c r="Q1901" s="137"/>
    </row>
    <row r="1902" spans="1:17" ht="15" customHeight="1" x14ac:dyDescent="0.35">
      <c r="A1902" s="129"/>
      <c r="B1902" s="137"/>
      <c r="C1902" s="137"/>
      <c r="D1902" s="137"/>
      <c r="E1902" s="137"/>
      <c r="F1902" s="137"/>
      <c r="G1902" s="137"/>
      <c r="H1902" s="137"/>
      <c r="I1902" s="137"/>
      <c r="J1902" s="138"/>
      <c r="K1902" s="137"/>
      <c r="L1902" s="137"/>
      <c r="M1902" s="137"/>
      <c r="N1902" s="137"/>
      <c r="O1902" s="137"/>
      <c r="P1902" s="137"/>
      <c r="Q1902" s="137"/>
    </row>
    <row r="1903" spans="1:17" ht="15" customHeight="1" x14ac:dyDescent="0.35">
      <c r="A1903" s="129"/>
      <c r="B1903" s="137"/>
      <c r="C1903" s="137"/>
      <c r="D1903" s="137"/>
      <c r="E1903" s="137"/>
      <c r="F1903" s="137"/>
      <c r="G1903" s="137"/>
      <c r="H1903" s="137"/>
      <c r="I1903" s="137"/>
      <c r="J1903" s="138"/>
      <c r="K1903" s="137"/>
      <c r="L1903" s="137"/>
      <c r="M1903" s="137"/>
      <c r="N1903" s="137"/>
      <c r="O1903" s="137"/>
      <c r="P1903" s="137"/>
      <c r="Q1903" s="137"/>
    </row>
    <row r="1904" spans="1:17" ht="15" customHeight="1" x14ac:dyDescent="0.35">
      <c r="A1904" s="129"/>
      <c r="B1904" s="137"/>
      <c r="C1904" s="137"/>
      <c r="D1904" s="137"/>
      <c r="E1904" s="137"/>
      <c r="F1904" s="137"/>
      <c r="G1904" s="137"/>
      <c r="H1904" s="137"/>
      <c r="I1904" s="137"/>
      <c r="J1904" s="138"/>
      <c r="K1904" s="137"/>
      <c r="L1904" s="137"/>
      <c r="M1904" s="137"/>
      <c r="N1904" s="137"/>
      <c r="O1904" s="137"/>
      <c r="P1904" s="137"/>
      <c r="Q1904" s="137"/>
    </row>
    <row r="1905" spans="1:17" ht="15" customHeight="1" x14ac:dyDescent="0.35">
      <c r="A1905" s="129"/>
      <c r="B1905" s="137"/>
      <c r="C1905" s="137"/>
      <c r="D1905" s="137"/>
      <c r="E1905" s="137"/>
      <c r="F1905" s="137"/>
      <c r="G1905" s="137"/>
      <c r="H1905" s="137"/>
      <c r="I1905" s="137"/>
      <c r="J1905" s="138"/>
      <c r="K1905" s="137"/>
      <c r="L1905" s="137"/>
      <c r="M1905" s="137"/>
      <c r="N1905" s="137"/>
      <c r="O1905" s="137"/>
      <c r="P1905" s="137"/>
      <c r="Q1905" s="137"/>
    </row>
    <row r="1906" spans="1:17" ht="15" customHeight="1" x14ac:dyDescent="0.35">
      <c r="A1906" s="129"/>
      <c r="B1906" s="137"/>
      <c r="C1906" s="137"/>
      <c r="D1906" s="137"/>
      <c r="E1906" s="137"/>
      <c r="F1906" s="137"/>
      <c r="G1906" s="137"/>
      <c r="H1906" s="137"/>
      <c r="I1906" s="137"/>
      <c r="J1906" s="138"/>
      <c r="K1906" s="137"/>
      <c r="L1906" s="137"/>
      <c r="M1906" s="137"/>
      <c r="N1906" s="137"/>
      <c r="O1906" s="137"/>
      <c r="P1906" s="137"/>
      <c r="Q1906" s="137"/>
    </row>
    <row r="1907" spans="1:17" ht="15" customHeight="1" x14ac:dyDescent="0.35">
      <c r="A1907" s="129"/>
      <c r="B1907" s="137"/>
      <c r="C1907" s="137"/>
      <c r="D1907" s="137"/>
      <c r="E1907" s="137"/>
      <c r="F1907" s="137"/>
      <c r="G1907" s="137"/>
      <c r="H1907" s="137"/>
      <c r="I1907" s="137"/>
      <c r="J1907" s="138"/>
      <c r="K1907" s="137"/>
      <c r="L1907" s="137"/>
      <c r="M1907" s="137"/>
      <c r="N1907" s="137"/>
      <c r="O1907" s="137"/>
      <c r="P1907" s="137"/>
      <c r="Q1907" s="137"/>
    </row>
    <row r="1908" spans="1:17" ht="15" customHeight="1" x14ac:dyDescent="0.35">
      <c r="A1908" s="129"/>
      <c r="B1908" s="137"/>
      <c r="C1908" s="137"/>
      <c r="D1908" s="137"/>
      <c r="E1908" s="137"/>
      <c r="F1908" s="137"/>
      <c r="G1908" s="137"/>
      <c r="H1908" s="137"/>
      <c r="I1908" s="137"/>
      <c r="J1908" s="138"/>
      <c r="K1908" s="137"/>
      <c r="L1908" s="137"/>
      <c r="M1908" s="137"/>
      <c r="N1908" s="137"/>
      <c r="O1908" s="137"/>
      <c r="P1908" s="137"/>
      <c r="Q1908" s="137"/>
    </row>
    <row r="1909" spans="1:17" ht="15" customHeight="1" x14ac:dyDescent="0.35">
      <c r="A1909" s="129"/>
      <c r="B1909" s="137"/>
      <c r="C1909" s="137"/>
      <c r="D1909" s="137"/>
      <c r="E1909" s="137"/>
      <c r="F1909" s="137"/>
      <c r="G1909" s="137"/>
      <c r="H1909" s="137"/>
      <c r="I1909" s="137"/>
      <c r="J1909" s="138"/>
      <c r="K1909" s="137"/>
      <c r="L1909" s="137"/>
      <c r="M1909" s="137"/>
      <c r="N1909" s="137"/>
      <c r="O1909" s="137"/>
      <c r="P1909" s="137"/>
      <c r="Q1909" s="137"/>
    </row>
    <row r="1910" spans="1:17" ht="15" customHeight="1" x14ac:dyDescent="0.35">
      <c r="A1910" s="129"/>
      <c r="B1910" s="137"/>
      <c r="C1910" s="137"/>
      <c r="D1910" s="137"/>
      <c r="E1910" s="137"/>
      <c r="F1910" s="137"/>
      <c r="G1910" s="137"/>
      <c r="H1910" s="137"/>
      <c r="I1910" s="137"/>
      <c r="J1910" s="138"/>
      <c r="K1910" s="137"/>
      <c r="L1910" s="137"/>
      <c r="M1910" s="137"/>
      <c r="N1910" s="137"/>
      <c r="O1910" s="137"/>
      <c r="P1910" s="137"/>
      <c r="Q1910" s="137"/>
    </row>
    <row r="1911" spans="1:17" ht="15" customHeight="1" x14ac:dyDescent="0.35">
      <c r="A1911" s="129"/>
      <c r="B1911" s="137"/>
      <c r="C1911" s="137"/>
      <c r="D1911" s="137"/>
      <c r="E1911" s="137"/>
      <c r="F1911" s="137"/>
      <c r="G1911" s="137"/>
      <c r="H1911" s="137"/>
      <c r="I1911" s="137"/>
      <c r="J1911" s="138"/>
      <c r="K1911" s="137"/>
      <c r="L1911" s="137"/>
      <c r="M1911" s="137"/>
      <c r="N1911" s="137"/>
      <c r="O1911" s="137"/>
      <c r="P1911" s="137"/>
      <c r="Q1911" s="137"/>
    </row>
    <row r="1912" spans="1:17" ht="15" customHeight="1" x14ac:dyDescent="0.35">
      <c r="A1912" s="129"/>
      <c r="B1912" s="137"/>
      <c r="C1912" s="137"/>
      <c r="D1912" s="137"/>
      <c r="E1912" s="137"/>
      <c r="F1912" s="137"/>
      <c r="G1912" s="137"/>
      <c r="H1912" s="137"/>
      <c r="I1912" s="137"/>
      <c r="J1912" s="138"/>
      <c r="K1912" s="137"/>
      <c r="L1912" s="137"/>
      <c r="M1912" s="137"/>
      <c r="N1912" s="137"/>
      <c r="O1912" s="137"/>
      <c r="P1912" s="137"/>
      <c r="Q1912" s="137"/>
    </row>
    <row r="1913" spans="1:17" ht="15" customHeight="1" x14ac:dyDescent="0.35">
      <c r="A1913" s="129"/>
      <c r="B1913" s="137"/>
      <c r="C1913" s="137"/>
      <c r="D1913" s="137"/>
      <c r="E1913" s="137"/>
      <c r="F1913" s="137"/>
      <c r="G1913" s="137"/>
      <c r="H1913" s="137"/>
      <c r="I1913" s="137"/>
      <c r="J1913" s="138"/>
      <c r="K1913" s="137"/>
      <c r="L1913" s="137"/>
      <c r="M1913" s="137"/>
      <c r="N1913" s="137"/>
      <c r="O1913" s="137"/>
      <c r="P1913" s="137"/>
      <c r="Q1913" s="137"/>
    </row>
    <row r="1914" spans="1:17" ht="15" customHeight="1" x14ac:dyDescent="0.35">
      <c r="A1914" s="129"/>
      <c r="B1914" s="137"/>
      <c r="C1914" s="137"/>
      <c r="D1914" s="137"/>
      <c r="E1914" s="137"/>
      <c r="F1914" s="137"/>
      <c r="G1914" s="137"/>
      <c r="H1914" s="137"/>
      <c r="I1914" s="137"/>
      <c r="J1914" s="138"/>
      <c r="K1914" s="137"/>
      <c r="L1914" s="137"/>
      <c r="M1914" s="137"/>
      <c r="N1914" s="137"/>
      <c r="O1914" s="137"/>
      <c r="P1914" s="137"/>
      <c r="Q1914" s="137"/>
    </row>
    <row r="1915" spans="1:17" ht="15" customHeight="1" x14ac:dyDescent="0.35">
      <c r="A1915" s="129"/>
      <c r="B1915" s="137"/>
      <c r="C1915" s="137"/>
      <c r="D1915" s="137"/>
      <c r="E1915" s="137"/>
      <c r="F1915" s="137"/>
      <c r="G1915" s="137"/>
      <c r="H1915" s="137"/>
      <c r="I1915" s="137"/>
      <c r="J1915" s="138"/>
      <c r="K1915" s="137"/>
      <c r="L1915" s="137"/>
      <c r="M1915" s="137"/>
      <c r="N1915" s="137"/>
      <c r="O1915" s="137"/>
      <c r="P1915" s="137"/>
      <c r="Q1915" s="137"/>
    </row>
    <row r="1916" spans="1:17" ht="15" customHeight="1" x14ac:dyDescent="0.35">
      <c r="A1916" s="129"/>
      <c r="B1916" s="137"/>
      <c r="C1916" s="137"/>
      <c r="D1916" s="137"/>
      <c r="E1916" s="137"/>
      <c r="F1916" s="137"/>
      <c r="G1916" s="137"/>
      <c r="H1916" s="137"/>
      <c r="I1916" s="137"/>
      <c r="J1916" s="138"/>
      <c r="K1916" s="137"/>
      <c r="L1916" s="137"/>
      <c r="M1916" s="137"/>
      <c r="N1916" s="137"/>
      <c r="O1916" s="137"/>
      <c r="P1916" s="137"/>
      <c r="Q1916" s="137"/>
    </row>
    <row r="1917" spans="1:17" ht="15" customHeight="1" x14ac:dyDescent="0.35">
      <c r="A1917" s="129"/>
      <c r="B1917" s="137"/>
      <c r="C1917" s="137"/>
      <c r="D1917" s="137"/>
      <c r="E1917" s="137"/>
      <c r="F1917" s="137"/>
      <c r="G1917" s="137"/>
      <c r="H1917" s="137"/>
      <c r="I1917" s="137"/>
      <c r="J1917" s="138"/>
      <c r="K1917" s="137"/>
      <c r="L1917" s="137"/>
      <c r="M1917" s="137"/>
      <c r="N1917" s="137"/>
      <c r="O1917" s="137"/>
      <c r="P1917" s="137"/>
      <c r="Q1917" s="137"/>
    </row>
    <row r="1918" spans="1:17" ht="15" customHeight="1" x14ac:dyDescent="0.35">
      <c r="A1918" s="129"/>
      <c r="B1918" s="137"/>
      <c r="C1918" s="137"/>
      <c r="D1918" s="137"/>
      <c r="E1918" s="137"/>
      <c r="F1918" s="137"/>
      <c r="G1918" s="137"/>
      <c r="H1918" s="137"/>
      <c r="I1918" s="137"/>
      <c r="J1918" s="138"/>
      <c r="K1918" s="137"/>
      <c r="L1918" s="137"/>
      <c r="M1918" s="137"/>
      <c r="N1918" s="137"/>
      <c r="O1918" s="137"/>
      <c r="P1918" s="137"/>
      <c r="Q1918" s="137"/>
    </row>
    <row r="1919" spans="1:17" ht="15" customHeight="1" x14ac:dyDescent="0.35">
      <c r="A1919" s="129"/>
      <c r="B1919" s="137"/>
      <c r="C1919" s="137"/>
      <c r="D1919" s="137"/>
      <c r="E1919" s="137"/>
      <c r="F1919" s="137"/>
      <c r="G1919" s="137"/>
      <c r="H1919" s="137"/>
      <c r="I1919" s="137"/>
      <c r="J1919" s="138"/>
      <c r="K1919" s="137"/>
      <c r="L1919" s="137"/>
      <c r="M1919" s="137"/>
      <c r="N1919" s="137"/>
      <c r="O1919" s="137"/>
      <c r="P1919" s="137"/>
      <c r="Q1919" s="137"/>
    </row>
    <row r="1920" spans="1:17" ht="15" customHeight="1" x14ac:dyDescent="0.35">
      <c r="A1920" s="129"/>
      <c r="B1920" s="137"/>
      <c r="C1920" s="137"/>
      <c r="D1920" s="137"/>
      <c r="E1920" s="137"/>
      <c r="F1920" s="137"/>
      <c r="G1920" s="137"/>
      <c r="H1920" s="137"/>
      <c r="I1920" s="137"/>
      <c r="J1920" s="138"/>
      <c r="K1920" s="137"/>
      <c r="L1920" s="137"/>
      <c r="M1920" s="137"/>
      <c r="N1920" s="137"/>
      <c r="O1920" s="137"/>
      <c r="P1920" s="137"/>
      <c r="Q1920" s="137"/>
    </row>
    <row r="1921" spans="1:17" ht="15" customHeight="1" x14ac:dyDescent="0.35">
      <c r="A1921" s="129"/>
      <c r="B1921" s="137"/>
      <c r="C1921" s="137"/>
      <c r="D1921" s="137"/>
      <c r="E1921" s="137"/>
      <c r="F1921" s="137"/>
      <c r="G1921" s="137"/>
      <c r="H1921" s="137"/>
      <c r="I1921" s="137"/>
      <c r="J1921" s="138"/>
      <c r="K1921" s="137"/>
      <c r="L1921" s="137"/>
      <c r="M1921" s="137"/>
      <c r="N1921" s="137"/>
      <c r="O1921" s="137"/>
      <c r="P1921" s="137"/>
      <c r="Q1921" s="137"/>
    </row>
    <row r="1922" spans="1:17" ht="15" customHeight="1" x14ac:dyDescent="0.35">
      <c r="A1922" s="129"/>
      <c r="B1922" s="137"/>
      <c r="C1922" s="137"/>
      <c r="D1922" s="137"/>
      <c r="E1922" s="137"/>
      <c r="F1922" s="137"/>
      <c r="G1922" s="137"/>
      <c r="H1922" s="137"/>
      <c r="I1922" s="137"/>
      <c r="J1922" s="138"/>
      <c r="K1922" s="137"/>
      <c r="L1922" s="137"/>
      <c r="M1922" s="137"/>
      <c r="N1922" s="137"/>
      <c r="O1922" s="137"/>
      <c r="P1922" s="137"/>
      <c r="Q1922" s="137"/>
    </row>
    <row r="1923" spans="1:17" ht="15" customHeight="1" x14ac:dyDescent="0.35">
      <c r="A1923" s="129"/>
      <c r="B1923" s="137"/>
      <c r="C1923" s="137"/>
      <c r="D1923" s="137"/>
      <c r="E1923" s="137"/>
      <c r="F1923" s="137"/>
      <c r="G1923" s="137"/>
      <c r="H1923" s="137"/>
      <c r="I1923" s="137"/>
      <c r="J1923" s="138"/>
      <c r="K1923" s="137"/>
      <c r="L1923" s="137"/>
      <c r="M1923" s="137"/>
      <c r="N1923" s="137"/>
      <c r="O1923" s="137"/>
      <c r="P1923" s="137"/>
      <c r="Q1923" s="137"/>
    </row>
    <row r="1924" spans="1:17" ht="15" customHeight="1" x14ac:dyDescent="0.35">
      <c r="A1924" s="129"/>
      <c r="B1924" s="137"/>
      <c r="C1924" s="137"/>
      <c r="D1924" s="137"/>
      <c r="E1924" s="137"/>
      <c r="F1924" s="137"/>
      <c r="G1924" s="137"/>
      <c r="H1924" s="137"/>
      <c r="I1924" s="137"/>
      <c r="J1924" s="138"/>
      <c r="K1924" s="137"/>
      <c r="L1924" s="137"/>
      <c r="M1924" s="137"/>
      <c r="N1924" s="137"/>
      <c r="O1924" s="137"/>
      <c r="P1924" s="137"/>
      <c r="Q1924" s="137"/>
    </row>
    <row r="1925" spans="1:17" ht="15" customHeight="1" x14ac:dyDescent="0.35">
      <c r="A1925" s="129"/>
      <c r="B1925" s="137"/>
      <c r="C1925" s="137"/>
      <c r="D1925" s="137"/>
      <c r="E1925" s="137"/>
      <c r="F1925" s="137"/>
      <c r="G1925" s="137"/>
      <c r="H1925" s="137"/>
      <c r="I1925" s="137"/>
      <c r="J1925" s="138"/>
      <c r="K1925" s="137"/>
      <c r="L1925" s="137"/>
      <c r="M1925" s="137"/>
      <c r="N1925" s="137"/>
      <c r="O1925" s="137"/>
      <c r="P1925" s="137"/>
      <c r="Q1925" s="137"/>
    </row>
    <row r="1926" spans="1:17" ht="15" customHeight="1" x14ac:dyDescent="0.35">
      <c r="A1926" s="129"/>
      <c r="B1926" s="137"/>
      <c r="C1926" s="137"/>
      <c r="D1926" s="137"/>
      <c r="E1926" s="137"/>
      <c r="F1926" s="137"/>
      <c r="G1926" s="137"/>
      <c r="H1926" s="137"/>
      <c r="I1926" s="137"/>
      <c r="J1926" s="138"/>
      <c r="K1926" s="137"/>
      <c r="L1926" s="137"/>
      <c r="M1926" s="137"/>
      <c r="N1926" s="137"/>
      <c r="O1926" s="137"/>
      <c r="P1926" s="137"/>
      <c r="Q1926" s="137"/>
    </row>
    <row r="1927" spans="1:17" ht="15" customHeight="1" x14ac:dyDescent="0.35">
      <c r="A1927" s="129"/>
      <c r="B1927" s="137"/>
      <c r="C1927" s="137"/>
      <c r="D1927" s="137"/>
      <c r="E1927" s="137"/>
      <c r="F1927" s="137"/>
      <c r="G1927" s="137"/>
      <c r="H1927" s="137"/>
      <c r="I1927" s="137"/>
      <c r="J1927" s="138"/>
      <c r="K1927" s="137"/>
      <c r="L1927" s="137"/>
      <c r="M1927" s="137"/>
      <c r="N1927" s="137"/>
      <c r="O1927" s="137"/>
      <c r="P1927" s="137"/>
      <c r="Q1927" s="137"/>
    </row>
    <row r="1928" spans="1:17" ht="15" customHeight="1" x14ac:dyDescent="0.35">
      <c r="A1928" s="129"/>
      <c r="B1928" s="137"/>
      <c r="C1928" s="137"/>
      <c r="D1928" s="137"/>
      <c r="E1928" s="137"/>
      <c r="F1928" s="137"/>
      <c r="G1928" s="137"/>
      <c r="H1928" s="137"/>
      <c r="I1928" s="137"/>
      <c r="J1928" s="138"/>
      <c r="K1928" s="137"/>
      <c r="L1928" s="137"/>
      <c r="M1928" s="137"/>
      <c r="N1928" s="137"/>
      <c r="O1928" s="137"/>
      <c r="P1928" s="137"/>
      <c r="Q1928" s="137"/>
    </row>
    <row r="1929" spans="1:17" ht="15" customHeight="1" x14ac:dyDescent="0.35">
      <c r="A1929" s="129"/>
      <c r="B1929" s="137"/>
      <c r="C1929" s="137"/>
      <c r="D1929" s="137"/>
      <c r="E1929" s="137"/>
      <c r="F1929" s="137"/>
      <c r="G1929" s="137"/>
      <c r="H1929" s="137"/>
      <c r="I1929" s="137"/>
      <c r="J1929" s="138"/>
      <c r="K1929" s="137"/>
      <c r="L1929" s="137"/>
      <c r="M1929" s="137"/>
      <c r="N1929" s="137"/>
      <c r="O1929" s="137"/>
      <c r="P1929" s="137"/>
      <c r="Q1929" s="137"/>
    </row>
    <row r="1930" spans="1:17" ht="15" customHeight="1" x14ac:dyDescent="0.35">
      <c r="A1930" s="129"/>
      <c r="B1930" s="137"/>
      <c r="C1930" s="137"/>
      <c r="D1930" s="137"/>
      <c r="E1930" s="137"/>
      <c r="F1930" s="137"/>
      <c r="G1930" s="137"/>
      <c r="H1930" s="137"/>
      <c r="I1930" s="137"/>
      <c r="J1930" s="138"/>
      <c r="K1930" s="137"/>
      <c r="L1930" s="137"/>
      <c r="M1930" s="137"/>
      <c r="N1930" s="137"/>
      <c r="O1930" s="137"/>
      <c r="P1930" s="137"/>
      <c r="Q1930" s="137"/>
    </row>
    <row r="1931" spans="1:17" ht="15" customHeight="1" x14ac:dyDescent="0.35">
      <c r="A1931" s="129"/>
      <c r="B1931" s="137"/>
      <c r="C1931" s="137"/>
      <c r="D1931" s="137"/>
      <c r="E1931" s="137"/>
      <c r="F1931" s="137"/>
      <c r="G1931" s="137"/>
      <c r="H1931" s="137"/>
      <c r="I1931" s="137"/>
      <c r="J1931" s="138"/>
      <c r="K1931" s="137"/>
      <c r="L1931" s="137"/>
      <c r="M1931" s="137"/>
      <c r="N1931" s="137"/>
      <c r="O1931" s="137"/>
      <c r="P1931" s="137"/>
      <c r="Q1931" s="137"/>
    </row>
    <row r="1932" spans="1:17" ht="15" customHeight="1" x14ac:dyDescent="0.35">
      <c r="A1932" s="129"/>
      <c r="B1932" s="137"/>
      <c r="C1932" s="137"/>
      <c r="D1932" s="137"/>
      <c r="E1932" s="137"/>
      <c r="F1932" s="137"/>
      <c r="G1932" s="137"/>
      <c r="H1932" s="137"/>
      <c r="I1932" s="137"/>
      <c r="J1932" s="138"/>
      <c r="K1932" s="137"/>
      <c r="L1932" s="137"/>
      <c r="M1932" s="137"/>
      <c r="N1932" s="137"/>
      <c r="O1932" s="137"/>
      <c r="P1932" s="137"/>
      <c r="Q1932" s="137"/>
    </row>
    <row r="1933" spans="1:17" ht="15" customHeight="1" x14ac:dyDescent="0.35">
      <c r="A1933" s="129"/>
      <c r="B1933" s="137"/>
      <c r="C1933" s="137"/>
      <c r="D1933" s="137"/>
      <c r="E1933" s="137"/>
      <c r="F1933" s="137"/>
      <c r="G1933" s="137"/>
      <c r="H1933" s="137"/>
      <c r="I1933" s="137"/>
      <c r="J1933" s="138"/>
      <c r="K1933" s="137"/>
      <c r="L1933" s="137"/>
      <c r="M1933" s="137"/>
      <c r="N1933" s="137"/>
      <c r="O1933" s="137"/>
      <c r="P1933" s="137"/>
      <c r="Q1933" s="137"/>
    </row>
    <row r="1934" spans="1:17" ht="15" customHeight="1" x14ac:dyDescent="0.35">
      <c r="A1934" s="129"/>
      <c r="B1934" s="137"/>
      <c r="C1934" s="137"/>
      <c r="D1934" s="137"/>
      <c r="E1934" s="137"/>
      <c r="F1934" s="137"/>
      <c r="G1934" s="137"/>
      <c r="H1934" s="137"/>
      <c r="I1934" s="137"/>
      <c r="J1934" s="138"/>
      <c r="K1934" s="137"/>
      <c r="L1934" s="137"/>
      <c r="M1934" s="137"/>
      <c r="N1934" s="137"/>
      <c r="O1934" s="137"/>
      <c r="P1934" s="137"/>
      <c r="Q1934" s="137"/>
    </row>
    <row r="1935" spans="1:17" ht="15" customHeight="1" x14ac:dyDescent="0.35">
      <c r="A1935" s="129"/>
      <c r="B1935" s="137"/>
      <c r="C1935" s="137"/>
      <c r="D1935" s="137"/>
      <c r="E1935" s="137"/>
      <c r="F1935" s="137"/>
      <c r="G1935" s="137"/>
      <c r="H1935" s="137"/>
      <c r="I1935" s="137"/>
      <c r="J1935" s="138"/>
      <c r="K1935" s="137"/>
      <c r="L1935" s="137"/>
      <c r="M1935" s="137"/>
      <c r="N1935" s="137"/>
      <c r="O1935" s="137"/>
      <c r="P1935" s="137"/>
      <c r="Q1935" s="137"/>
    </row>
    <row r="1936" spans="1:17" ht="15" customHeight="1" x14ac:dyDescent="0.35">
      <c r="A1936" s="129"/>
      <c r="B1936" s="137"/>
      <c r="C1936" s="137"/>
      <c r="D1936" s="137"/>
      <c r="E1936" s="137"/>
      <c r="F1936" s="137"/>
      <c r="G1936" s="137"/>
      <c r="H1936" s="137"/>
      <c r="I1936" s="137"/>
      <c r="J1936" s="138"/>
      <c r="K1936" s="137"/>
      <c r="L1936" s="137"/>
      <c r="M1936" s="137"/>
      <c r="N1936" s="137"/>
      <c r="O1936" s="137"/>
      <c r="P1936" s="137"/>
      <c r="Q1936" s="137"/>
    </row>
    <row r="1937" spans="1:17" ht="15" customHeight="1" x14ac:dyDescent="0.35">
      <c r="A1937" s="129"/>
      <c r="B1937" s="137"/>
      <c r="C1937" s="137"/>
      <c r="D1937" s="137"/>
      <c r="E1937" s="137"/>
      <c r="F1937" s="137"/>
      <c r="G1937" s="137"/>
      <c r="H1937" s="137"/>
      <c r="I1937" s="137"/>
      <c r="J1937" s="138"/>
      <c r="K1937" s="137"/>
      <c r="L1937" s="137"/>
      <c r="M1937" s="137"/>
      <c r="N1937" s="137"/>
      <c r="O1937" s="137"/>
      <c r="P1937" s="137"/>
      <c r="Q1937" s="137"/>
    </row>
    <row r="1938" spans="1:17" ht="15" customHeight="1" x14ac:dyDescent="0.35">
      <c r="A1938" s="129"/>
      <c r="B1938" s="137"/>
      <c r="C1938" s="137"/>
      <c r="D1938" s="137"/>
      <c r="E1938" s="137"/>
      <c r="F1938" s="137"/>
      <c r="G1938" s="137"/>
      <c r="H1938" s="137"/>
      <c r="I1938" s="137"/>
      <c r="J1938" s="138"/>
      <c r="K1938" s="137"/>
      <c r="L1938" s="137"/>
      <c r="M1938" s="137"/>
      <c r="N1938" s="137"/>
      <c r="O1938" s="137"/>
      <c r="P1938" s="137"/>
      <c r="Q1938" s="137"/>
    </row>
    <row r="1939" spans="1:17" ht="15" customHeight="1" x14ac:dyDescent="0.35">
      <c r="A1939" s="129"/>
      <c r="B1939" s="137"/>
      <c r="C1939" s="137"/>
      <c r="D1939" s="137"/>
      <c r="E1939" s="137"/>
      <c r="F1939" s="137"/>
      <c r="G1939" s="137"/>
      <c r="H1939" s="137"/>
      <c r="I1939" s="137"/>
      <c r="J1939" s="138"/>
      <c r="K1939" s="137"/>
      <c r="L1939" s="137"/>
      <c r="M1939" s="137"/>
      <c r="N1939" s="137"/>
      <c r="O1939" s="137"/>
      <c r="P1939" s="137"/>
      <c r="Q1939" s="137"/>
    </row>
    <row r="1940" spans="1:17" ht="15" customHeight="1" x14ac:dyDescent="0.35">
      <c r="A1940" s="129"/>
      <c r="B1940" s="137"/>
      <c r="C1940" s="137"/>
      <c r="D1940" s="137"/>
      <c r="E1940" s="137"/>
      <c r="F1940" s="137"/>
      <c r="G1940" s="137"/>
      <c r="H1940" s="137"/>
      <c r="I1940" s="137"/>
      <c r="J1940" s="138"/>
      <c r="K1940" s="137"/>
      <c r="L1940" s="137"/>
      <c r="M1940" s="137"/>
      <c r="N1940" s="137"/>
      <c r="O1940" s="137"/>
      <c r="P1940" s="137"/>
      <c r="Q1940" s="137"/>
    </row>
    <row r="1941" spans="1:17" ht="15" customHeight="1" x14ac:dyDescent="0.35">
      <c r="A1941" s="129"/>
      <c r="B1941" s="137"/>
      <c r="C1941" s="137"/>
      <c r="D1941" s="137"/>
      <c r="E1941" s="137"/>
      <c r="F1941" s="137"/>
      <c r="G1941" s="137"/>
      <c r="H1941" s="137"/>
      <c r="I1941" s="137"/>
      <c r="J1941" s="138"/>
      <c r="K1941" s="137"/>
      <c r="L1941" s="137"/>
      <c r="M1941" s="137"/>
      <c r="N1941" s="137"/>
      <c r="O1941" s="137"/>
      <c r="P1941" s="137"/>
      <c r="Q1941" s="137"/>
    </row>
    <row r="1942" spans="1:17" ht="15" customHeight="1" x14ac:dyDescent="0.35">
      <c r="A1942" s="129"/>
      <c r="B1942" s="137"/>
      <c r="C1942" s="137"/>
      <c r="D1942" s="137"/>
      <c r="E1942" s="137"/>
      <c r="F1942" s="137"/>
      <c r="G1942" s="137"/>
      <c r="H1942" s="137"/>
      <c r="I1942" s="137"/>
      <c r="J1942" s="138"/>
      <c r="K1942" s="137"/>
      <c r="L1942" s="137"/>
      <c r="M1942" s="137"/>
      <c r="N1942" s="137"/>
      <c r="O1942" s="137"/>
      <c r="P1942" s="137"/>
      <c r="Q1942" s="137"/>
    </row>
    <row r="1943" spans="1:17" ht="15" customHeight="1" x14ac:dyDescent="0.35">
      <c r="A1943" s="129"/>
      <c r="B1943" s="137"/>
      <c r="C1943" s="137"/>
      <c r="D1943" s="137"/>
      <c r="E1943" s="137"/>
      <c r="F1943" s="137"/>
      <c r="G1943" s="137"/>
      <c r="H1943" s="137"/>
      <c r="I1943" s="137"/>
      <c r="J1943" s="138"/>
      <c r="K1943" s="137"/>
      <c r="L1943" s="137"/>
      <c r="M1943" s="137"/>
      <c r="N1943" s="137"/>
      <c r="O1943" s="137"/>
      <c r="P1943" s="137"/>
      <c r="Q1943" s="137"/>
    </row>
    <row r="1944" spans="1:17" ht="15" customHeight="1" x14ac:dyDescent="0.35">
      <c r="A1944" s="129"/>
      <c r="B1944" s="137"/>
      <c r="C1944" s="137"/>
      <c r="D1944" s="137"/>
      <c r="E1944" s="137"/>
      <c r="F1944" s="137"/>
      <c r="G1944" s="137"/>
      <c r="H1944" s="137"/>
      <c r="I1944" s="137"/>
      <c r="J1944" s="138"/>
      <c r="K1944" s="137"/>
      <c r="L1944" s="137"/>
      <c r="M1944" s="137"/>
      <c r="N1944" s="137"/>
      <c r="O1944" s="137"/>
      <c r="P1944" s="137"/>
      <c r="Q1944" s="137"/>
    </row>
    <row r="1945" spans="1:17" ht="15" customHeight="1" x14ac:dyDescent="0.35">
      <c r="A1945" s="129"/>
      <c r="B1945" s="137"/>
      <c r="C1945" s="137"/>
      <c r="D1945" s="137"/>
      <c r="E1945" s="137"/>
      <c r="F1945" s="137"/>
      <c r="G1945" s="137"/>
      <c r="H1945" s="137"/>
      <c r="I1945" s="137"/>
      <c r="J1945" s="138"/>
      <c r="K1945" s="137"/>
      <c r="L1945" s="137"/>
      <c r="M1945" s="137"/>
      <c r="N1945" s="137"/>
      <c r="O1945" s="137"/>
      <c r="P1945" s="137"/>
      <c r="Q1945" s="137"/>
    </row>
    <row r="1946" spans="1:17" ht="15" customHeight="1" x14ac:dyDescent="0.35">
      <c r="A1946" s="129"/>
      <c r="B1946" s="137"/>
      <c r="C1946" s="137"/>
      <c r="D1946" s="137"/>
      <c r="E1946" s="137"/>
      <c r="F1946" s="137"/>
      <c r="G1946" s="137"/>
      <c r="H1946" s="137"/>
      <c r="I1946" s="137"/>
      <c r="J1946" s="138"/>
      <c r="K1946" s="137"/>
      <c r="L1946" s="137"/>
      <c r="M1946" s="137"/>
      <c r="N1946" s="137"/>
      <c r="O1946" s="137"/>
      <c r="P1946" s="137"/>
      <c r="Q1946" s="137"/>
    </row>
    <row r="1947" spans="1:17" ht="15" customHeight="1" x14ac:dyDescent="0.35">
      <c r="A1947" s="129"/>
      <c r="B1947" s="137"/>
      <c r="C1947" s="137"/>
      <c r="D1947" s="137"/>
      <c r="E1947" s="137"/>
      <c r="F1947" s="137"/>
      <c r="G1947" s="137"/>
      <c r="H1947" s="137"/>
      <c r="I1947" s="137"/>
      <c r="J1947" s="138"/>
      <c r="K1947" s="137"/>
      <c r="L1947" s="137"/>
      <c r="M1947" s="137"/>
      <c r="N1947" s="137"/>
      <c r="O1947" s="137"/>
      <c r="P1947" s="137"/>
      <c r="Q1947" s="137"/>
    </row>
    <row r="1948" spans="1:17" ht="15" customHeight="1" x14ac:dyDescent="0.35">
      <c r="A1948" s="129"/>
      <c r="B1948" s="137"/>
      <c r="C1948" s="137"/>
      <c r="D1948" s="137"/>
      <c r="E1948" s="137"/>
      <c r="F1948" s="137"/>
      <c r="G1948" s="137"/>
      <c r="H1948" s="137"/>
      <c r="I1948" s="137"/>
      <c r="J1948" s="138"/>
      <c r="K1948" s="137"/>
      <c r="L1948" s="137"/>
      <c r="M1948" s="137"/>
      <c r="N1948" s="137"/>
      <c r="O1948" s="137"/>
      <c r="P1948" s="137"/>
      <c r="Q1948" s="137"/>
    </row>
    <row r="1949" spans="1:17" ht="15" customHeight="1" x14ac:dyDescent="0.35">
      <c r="A1949" s="129"/>
      <c r="B1949" s="137"/>
      <c r="C1949" s="137"/>
      <c r="D1949" s="137"/>
      <c r="E1949" s="137"/>
      <c r="F1949" s="137"/>
      <c r="G1949" s="137"/>
      <c r="H1949" s="137"/>
      <c r="I1949" s="137"/>
      <c r="J1949" s="138"/>
      <c r="K1949" s="137"/>
      <c r="L1949" s="137"/>
      <c r="M1949" s="137"/>
      <c r="N1949" s="137"/>
      <c r="O1949" s="137"/>
      <c r="P1949" s="137"/>
      <c r="Q1949" s="137"/>
    </row>
    <row r="1950" spans="1:17" ht="15" customHeight="1" x14ac:dyDescent="0.35">
      <c r="A1950" s="129"/>
      <c r="B1950" s="137"/>
      <c r="C1950" s="137"/>
      <c r="D1950" s="137"/>
      <c r="E1950" s="137"/>
      <c r="F1950" s="137"/>
      <c r="G1950" s="137"/>
      <c r="H1950" s="137"/>
      <c r="I1950" s="137"/>
      <c r="J1950" s="138"/>
      <c r="K1950" s="137"/>
      <c r="L1950" s="137"/>
      <c r="M1950" s="137"/>
      <c r="N1950" s="137"/>
      <c r="O1950" s="137"/>
      <c r="P1950" s="137"/>
      <c r="Q1950" s="137"/>
    </row>
    <row r="1951" spans="1:17" ht="15" customHeight="1" x14ac:dyDescent="0.35">
      <c r="A1951" s="129"/>
      <c r="B1951" s="137"/>
      <c r="C1951" s="137"/>
      <c r="D1951" s="137"/>
      <c r="E1951" s="137"/>
      <c r="F1951" s="137"/>
      <c r="G1951" s="137"/>
      <c r="H1951" s="137"/>
      <c r="I1951" s="137"/>
      <c r="J1951" s="138"/>
      <c r="K1951" s="137"/>
      <c r="L1951" s="137"/>
      <c r="M1951" s="137"/>
      <c r="N1951" s="137"/>
      <c r="O1951" s="137"/>
      <c r="P1951" s="137"/>
      <c r="Q1951" s="137"/>
    </row>
    <row r="1952" spans="1:17" ht="15" customHeight="1" x14ac:dyDescent="0.35">
      <c r="A1952" s="129"/>
      <c r="B1952" s="137"/>
      <c r="C1952" s="137"/>
      <c r="D1952" s="137"/>
      <c r="E1952" s="137"/>
      <c r="F1952" s="137"/>
      <c r="G1952" s="137"/>
      <c r="H1952" s="137"/>
      <c r="I1952" s="137"/>
      <c r="J1952" s="138"/>
      <c r="K1952" s="137"/>
      <c r="L1952" s="137"/>
      <c r="M1952" s="137"/>
      <c r="N1952" s="137"/>
      <c r="O1952" s="137"/>
      <c r="P1952" s="137"/>
      <c r="Q1952" s="137"/>
    </row>
    <row r="1953" spans="1:17" ht="15" customHeight="1" x14ac:dyDescent="0.35">
      <c r="A1953" s="129"/>
      <c r="B1953" s="137"/>
      <c r="C1953" s="137"/>
      <c r="D1953" s="137"/>
      <c r="E1953" s="137"/>
      <c r="F1953" s="137"/>
      <c r="G1953" s="137"/>
      <c r="H1953" s="137"/>
      <c r="I1953" s="137"/>
      <c r="J1953" s="138"/>
      <c r="K1953" s="137"/>
      <c r="L1953" s="137"/>
      <c r="M1953" s="137"/>
      <c r="N1953" s="137"/>
      <c r="O1953" s="137"/>
      <c r="P1953" s="137"/>
      <c r="Q1953" s="137"/>
    </row>
    <row r="1954" spans="1:17" ht="15" customHeight="1" x14ac:dyDescent="0.35">
      <c r="A1954" s="129"/>
      <c r="B1954" s="137"/>
      <c r="C1954" s="137"/>
      <c r="D1954" s="137"/>
      <c r="E1954" s="137"/>
      <c r="F1954" s="137"/>
      <c r="G1954" s="137"/>
      <c r="H1954" s="137"/>
      <c r="I1954" s="137"/>
      <c r="J1954" s="138"/>
      <c r="K1954" s="137"/>
      <c r="L1954" s="137"/>
      <c r="M1954" s="137"/>
      <c r="N1954" s="137"/>
      <c r="O1954" s="137"/>
      <c r="P1954" s="137"/>
      <c r="Q1954" s="137"/>
    </row>
    <row r="1955" spans="1:17" ht="15" customHeight="1" x14ac:dyDescent="0.35">
      <c r="A1955" s="129"/>
      <c r="B1955" s="137"/>
      <c r="C1955" s="137"/>
      <c r="D1955" s="137"/>
      <c r="E1955" s="137"/>
      <c r="F1955" s="137"/>
      <c r="G1955" s="137"/>
      <c r="H1955" s="137"/>
      <c r="I1955" s="137"/>
      <c r="J1955" s="138"/>
      <c r="K1955" s="137"/>
      <c r="L1955" s="137"/>
      <c r="M1955" s="137"/>
      <c r="N1955" s="137"/>
      <c r="O1955" s="137"/>
      <c r="P1955" s="137"/>
      <c r="Q1955" s="137"/>
    </row>
    <row r="1956" spans="1:17" ht="15" customHeight="1" x14ac:dyDescent="0.35">
      <c r="A1956" s="129"/>
      <c r="B1956" s="137"/>
      <c r="C1956" s="137"/>
      <c r="D1956" s="137"/>
      <c r="E1956" s="137"/>
      <c r="F1956" s="137"/>
      <c r="G1956" s="137"/>
      <c r="H1956" s="137"/>
      <c r="I1956" s="137"/>
      <c r="J1956" s="138"/>
      <c r="K1956" s="137"/>
      <c r="L1956" s="137"/>
      <c r="M1956" s="137"/>
      <c r="N1956" s="137"/>
      <c r="O1956" s="137"/>
      <c r="P1956" s="137"/>
      <c r="Q1956" s="137"/>
    </row>
    <row r="1957" spans="1:17" ht="15" customHeight="1" x14ac:dyDescent="0.35">
      <c r="A1957" s="129"/>
      <c r="B1957" s="137"/>
      <c r="C1957" s="137"/>
      <c r="D1957" s="137"/>
      <c r="E1957" s="137"/>
      <c r="F1957" s="137"/>
      <c r="G1957" s="137"/>
      <c r="H1957" s="137"/>
      <c r="I1957" s="137"/>
      <c r="J1957" s="138"/>
      <c r="K1957" s="137"/>
      <c r="L1957" s="137"/>
      <c r="M1957" s="137"/>
      <c r="N1957" s="137"/>
      <c r="O1957" s="137"/>
      <c r="P1957" s="137"/>
      <c r="Q1957" s="137"/>
    </row>
    <row r="1958" spans="1:17" ht="15" customHeight="1" x14ac:dyDescent="0.35">
      <c r="A1958" s="129"/>
      <c r="B1958" s="137"/>
      <c r="C1958" s="137"/>
      <c r="D1958" s="137"/>
      <c r="E1958" s="137"/>
      <c r="F1958" s="137"/>
      <c r="G1958" s="137"/>
      <c r="H1958" s="137"/>
      <c r="I1958" s="137"/>
      <c r="J1958" s="138"/>
      <c r="K1958" s="137"/>
      <c r="L1958" s="137"/>
      <c r="M1958" s="137"/>
      <c r="N1958" s="137"/>
      <c r="O1958" s="137"/>
      <c r="P1958" s="137"/>
      <c r="Q1958" s="137"/>
    </row>
    <row r="1959" spans="1:17" ht="15" customHeight="1" x14ac:dyDescent="0.35">
      <c r="A1959" s="129"/>
      <c r="B1959" s="137"/>
      <c r="C1959" s="137"/>
      <c r="D1959" s="137"/>
      <c r="E1959" s="137"/>
      <c r="F1959" s="137"/>
      <c r="G1959" s="137"/>
      <c r="H1959" s="137"/>
      <c r="I1959" s="137"/>
      <c r="J1959" s="138"/>
      <c r="K1959" s="137"/>
      <c r="L1959" s="137"/>
      <c r="M1959" s="137"/>
      <c r="N1959" s="137"/>
      <c r="O1959" s="137"/>
      <c r="P1959" s="137"/>
      <c r="Q1959" s="137"/>
    </row>
  </sheetData>
  <autoFilter ref="A1:L1" xr:uid="{F2B7B1ED-BDD2-430B-83FC-DFD7C45D20EA}"/>
  <dataValidations count="1">
    <dataValidation type="list" allowBlank="1" showInputMessage="1" showErrorMessage="1" sqref="G36:G46" xr:uid="{1240D072-F61E-412E-9F28-3558485C4992}">
      <formula1>$B$2:$B$9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7382eed-c40f-41fd-bf9d-4aaf6863bd68">
      <UserInfo>
        <DisplayName>Matt Lloyd</DisplayName>
        <AccountId>23</AccountId>
        <AccountType/>
      </UserInfo>
      <UserInfo>
        <DisplayName>Rodgers Oloo</DisplayName>
        <AccountId>50</AccountId>
        <AccountType/>
      </UserInfo>
      <UserInfo>
        <DisplayName>Vophsy Orwa</DisplayName>
        <AccountId>25</AccountId>
        <AccountType/>
      </UserInfo>
      <UserInfo>
        <DisplayName>Emma Nyaga</DisplayName>
        <AccountId>60</AccountId>
        <AccountType/>
      </UserInfo>
      <UserInfo>
        <DisplayName>John Ndegwa</DisplayName>
        <AccountId>63</AccountId>
        <AccountType/>
      </UserInfo>
      <UserInfo>
        <DisplayName>William Kuta</DisplayName>
        <AccountId>75</AccountId>
        <AccountType/>
      </UserInfo>
      <UserInfo>
        <DisplayName>Mark Bett</DisplayName>
        <AccountId>57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543A5DEF329E46AE9C91E62576F4F6" ma:contentTypeVersion="6" ma:contentTypeDescription="Create a new document." ma:contentTypeScope="" ma:versionID="4351078edde727eda5e8cae6453fd7f9">
  <xsd:schema xmlns:xsd="http://www.w3.org/2001/XMLSchema" xmlns:xs="http://www.w3.org/2001/XMLSchema" xmlns:p="http://schemas.microsoft.com/office/2006/metadata/properties" xmlns:ns2="566c56f7-076d-439c-ba62-869ecba82d16" xmlns:ns3="07382eed-c40f-41fd-bf9d-4aaf6863bd68" targetNamespace="http://schemas.microsoft.com/office/2006/metadata/properties" ma:root="true" ma:fieldsID="b9207c707ccc1966b0642f331b6a89bb" ns2:_="" ns3:_="">
    <xsd:import namespace="566c56f7-076d-439c-ba62-869ecba82d16"/>
    <xsd:import namespace="07382eed-c40f-41fd-bf9d-4aaf6863b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c56f7-076d-439c-ba62-869ecba82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82eed-c40f-41fd-bf9d-4aaf6863bd6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B2D9A8-E1F6-4553-859A-19C47AA153EB}">
  <ds:schemaRefs>
    <ds:schemaRef ds:uri="http://schemas.microsoft.com/office/2006/metadata/properties"/>
    <ds:schemaRef ds:uri="http://schemas.microsoft.com/office/infopath/2007/PartnerControls"/>
    <ds:schemaRef ds:uri="07382eed-c40f-41fd-bf9d-4aaf6863bd68"/>
  </ds:schemaRefs>
</ds:datastoreItem>
</file>

<file path=customXml/itemProps2.xml><?xml version="1.0" encoding="utf-8"?>
<ds:datastoreItem xmlns:ds="http://schemas.openxmlformats.org/officeDocument/2006/customXml" ds:itemID="{BA33DB2F-9F2E-4739-B200-C3360E6C8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09C77A-2312-4041-98D1-1EB7C36B20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c56f7-076d-439c-ba62-869ecba82d16"/>
    <ds:schemaRef ds:uri="07382eed-c40f-41fd-bf9d-4aaf6863b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</vt:lpstr>
      <vt:lpstr>ROBBING LIST</vt:lpstr>
      <vt:lpstr>STORE ITEMS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Winnie Ikaal</dc:creator>
  <cp:keywords/>
  <dc:description/>
  <cp:lastModifiedBy>John Ndegwa</cp:lastModifiedBy>
  <cp:revision/>
  <dcterms:created xsi:type="dcterms:W3CDTF">2023-07-13T12:12:58Z</dcterms:created>
  <dcterms:modified xsi:type="dcterms:W3CDTF">2024-10-21T17:39:53Z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0x01010085543A5DEF329E46AE9C91E62576F4F6</vt:lpwstr>
  </property>
  <property fmtid="{D5CDD505-2E9C-101B-9397-08002B2CF9AE}" pid="3" name="MediaServiceImageTags">
    <vt:lpwstr/>
  </property>
  <property fmtid="{D5CDD505-2E9C-101B-9397-08002B2CF9AE}" pid="4" name="Order">
    <vt:r8>1728100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